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on\Resilio Sync\School File\Github\titration-curves\"/>
    </mc:Choice>
  </mc:AlternateContent>
  <xr:revisionPtr revIDLastSave="0" documentId="13_ncr:1_{B948A0BC-096F-4C13-A170-B530F53A244B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onoprotic" sheetId="11" r:id="rId1"/>
    <sheet name="Demonstration" sheetId="14" r:id="rId2"/>
    <sheet name="CalcSheet" sheetId="13" r:id="rId3"/>
  </sheets>
  <definedNames>
    <definedName name="_xlnm._FilterDatabase" localSheetId="2" hidden="1">CalcSheet!#REF!</definedName>
    <definedName name="dpSAWB_Ca">Monoprotic!$I$23</definedName>
    <definedName name="dpSAWB_Cb">Monoprotic!$I$20</definedName>
    <definedName name="dpSAWB_Kb1">Monoprotic!$I$18</definedName>
    <definedName name="dpSAWB_Kb2">Monoprotic!$I$19</definedName>
    <definedName name="dpSAWB_Vb">Monoprotic!$I$21</definedName>
    <definedName name="dpWASB_Ca">Monoprotic!$I$6</definedName>
    <definedName name="dpWASB_Cb">Monoprotic!$I$9</definedName>
    <definedName name="dpWASB_Ka1">Monoprotic!$I$4</definedName>
    <definedName name="dpWASB_Ka2">Monoprotic!$I$5</definedName>
    <definedName name="dpWASB_Va">Monoprotic!$I$7</definedName>
    <definedName name="Kw">Monoprotic!$O$27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9" i="11" l="1"/>
  <c r="B3" i="13"/>
  <c r="C3" i="13"/>
  <c r="T6" i="14"/>
  <c r="B4" i="13"/>
  <c r="C4" i="13"/>
  <c r="B5" i="13"/>
  <c r="C5" i="13"/>
  <c r="B6" i="13"/>
  <c r="C6" i="13"/>
  <c r="B7" i="13"/>
  <c r="C7" i="13"/>
  <c r="B8" i="13"/>
  <c r="C8" i="13"/>
  <c r="B9" i="13"/>
  <c r="C9" i="13"/>
  <c r="B10" i="13"/>
  <c r="C10" i="13"/>
  <c r="B11" i="13"/>
  <c r="C11" i="13"/>
  <c r="B12" i="13"/>
  <c r="C12" i="13"/>
  <c r="B13" i="13"/>
  <c r="C13" i="13"/>
  <c r="B14" i="13"/>
  <c r="C14" i="13"/>
  <c r="B15" i="13"/>
  <c r="C15" i="13"/>
  <c r="B16" i="13"/>
  <c r="C16" i="13"/>
  <c r="B17" i="13"/>
  <c r="C17" i="13"/>
  <c r="B18" i="13"/>
  <c r="C18" i="13"/>
  <c r="B19" i="13"/>
  <c r="C19" i="13"/>
  <c r="B20" i="13"/>
  <c r="C20" i="13"/>
  <c r="B21" i="13"/>
  <c r="C21" i="13"/>
  <c r="B22" i="13"/>
  <c r="C22" i="13"/>
  <c r="B23" i="13"/>
  <c r="C23" i="13"/>
  <c r="B24" i="13"/>
  <c r="C24" i="13"/>
  <c r="B25" i="13"/>
  <c r="C25" i="13"/>
  <c r="B26" i="13"/>
  <c r="C26" i="13"/>
  <c r="B27" i="13"/>
  <c r="C27" i="13"/>
  <c r="B28" i="13"/>
  <c r="C28" i="13"/>
  <c r="B29" i="13"/>
  <c r="C29" i="13"/>
  <c r="B30" i="13"/>
  <c r="C30" i="13"/>
  <c r="B31" i="13"/>
  <c r="C31" i="13"/>
  <c r="B32" i="13"/>
  <c r="C32" i="13"/>
  <c r="B33" i="13"/>
  <c r="C33" i="13"/>
  <c r="B34" i="13"/>
  <c r="C34" i="13"/>
  <c r="B35" i="13"/>
  <c r="C35" i="13"/>
  <c r="B36" i="13"/>
  <c r="C36" i="13"/>
  <c r="B37" i="13"/>
  <c r="C37" i="13"/>
  <c r="B38" i="13"/>
  <c r="C38" i="13"/>
  <c r="B39" i="13"/>
  <c r="C39" i="13"/>
  <c r="B40" i="13"/>
  <c r="C40" i="13"/>
  <c r="B41" i="13"/>
  <c r="C41" i="13"/>
  <c r="B42" i="13"/>
  <c r="C42" i="13"/>
  <c r="B43" i="13"/>
  <c r="C43" i="13"/>
  <c r="B44" i="13"/>
  <c r="C44" i="13"/>
  <c r="B45" i="13"/>
  <c r="C45" i="13"/>
  <c r="B46" i="13"/>
  <c r="C46" i="13"/>
  <c r="B47" i="13"/>
  <c r="C47" i="13"/>
  <c r="B48" i="13"/>
  <c r="C48" i="13"/>
  <c r="B49" i="13"/>
  <c r="C49" i="13"/>
  <c r="B50" i="13"/>
  <c r="C50" i="13"/>
  <c r="B51" i="13"/>
  <c r="C51" i="13"/>
  <c r="B52" i="13"/>
  <c r="C52" i="13"/>
  <c r="B53" i="13"/>
  <c r="C53" i="13"/>
  <c r="B54" i="13"/>
  <c r="C54" i="13"/>
  <c r="B55" i="13"/>
  <c r="C55" i="13"/>
  <c r="B56" i="13"/>
  <c r="C56" i="13"/>
  <c r="B57" i="13"/>
  <c r="C57" i="13"/>
  <c r="B58" i="13"/>
  <c r="C58" i="13"/>
  <c r="B59" i="13"/>
  <c r="C59" i="13"/>
  <c r="B60" i="13"/>
  <c r="C60" i="13"/>
  <c r="B61" i="13"/>
  <c r="C61" i="13"/>
  <c r="B62" i="13"/>
  <c r="C62" i="13"/>
  <c r="B63" i="13"/>
  <c r="C63" i="13"/>
  <c r="B64" i="13"/>
  <c r="C64" i="13"/>
  <c r="B65" i="13"/>
  <c r="C65" i="13"/>
  <c r="B66" i="13"/>
  <c r="C66" i="13"/>
  <c r="B67" i="13"/>
  <c r="C67" i="13"/>
  <c r="B68" i="13"/>
  <c r="C68" i="13"/>
  <c r="B69" i="13"/>
  <c r="C69" i="13"/>
  <c r="B70" i="13"/>
  <c r="C70" i="13"/>
  <c r="B71" i="13"/>
  <c r="C71" i="13"/>
  <c r="B72" i="13"/>
  <c r="C72" i="13"/>
  <c r="B73" i="13"/>
  <c r="C73" i="13"/>
  <c r="B74" i="13"/>
  <c r="C74" i="13"/>
  <c r="B75" i="13"/>
  <c r="C75" i="13"/>
  <c r="B76" i="13"/>
  <c r="C76" i="13"/>
  <c r="B77" i="13"/>
  <c r="C77" i="13"/>
  <c r="B78" i="13"/>
  <c r="C78" i="13"/>
  <c r="B79" i="13"/>
  <c r="C79" i="13"/>
  <c r="B80" i="13"/>
  <c r="C80" i="13"/>
  <c r="B81" i="13"/>
  <c r="C81" i="13"/>
  <c r="B82" i="13"/>
  <c r="C82" i="13"/>
  <c r="B83" i="13"/>
  <c r="C83" i="13"/>
  <c r="B84" i="13"/>
  <c r="C84" i="13"/>
  <c r="B85" i="13"/>
  <c r="C85" i="13"/>
  <c r="B86" i="13"/>
  <c r="C86" i="13"/>
  <c r="B87" i="13"/>
  <c r="C87" i="13"/>
  <c r="B88" i="13"/>
  <c r="C88" i="13"/>
  <c r="B89" i="13"/>
  <c r="C89" i="13"/>
  <c r="B90" i="13"/>
  <c r="C90" i="13"/>
  <c r="B91" i="13"/>
  <c r="C91" i="13"/>
  <c r="B92" i="13"/>
  <c r="C92" i="13"/>
  <c r="B93" i="13"/>
  <c r="C93" i="13"/>
  <c r="B94" i="13"/>
  <c r="C94" i="13"/>
  <c r="B95" i="13"/>
  <c r="C95" i="13"/>
  <c r="B96" i="13"/>
  <c r="C96" i="13"/>
  <c r="B97" i="13"/>
  <c r="C97" i="13"/>
  <c r="B98" i="13"/>
  <c r="C98" i="13"/>
  <c r="B99" i="13"/>
  <c r="C99" i="13"/>
  <c r="B100" i="13"/>
  <c r="C100" i="13"/>
  <c r="B101" i="13"/>
  <c r="C101" i="13"/>
  <c r="B102" i="13"/>
  <c r="C102" i="13"/>
  <c r="B103" i="13"/>
  <c r="C103" i="13"/>
  <c r="B104" i="13"/>
  <c r="C104" i="13"/>
  <c r="B105" i="13"/>
  <c r="C105" i="13"/>
  <c r="B106" i="13"/>
  <c r="C106" i="13"/>
  <c r="B107" i="13"/>
  <c r="C107" i="13"/>
  <c r="B108" i="13"/>
  <c r="C108" i="13"/>
  <c r="B109" i="13"/>
  <c r="C109" i="13"/>
  <c r="B110" i="13"/>
  <c r="C110" i="13"/>
  <c r="B111" i="13"/>
  <c r="C111" i="13"/>
  <c r="B112" i="13"/>
  <c r="C112" i="13"/>
  <c r="B113" i="13"/>
  <c r="C113" i="13"/>
  <c r="B114" i="13"/>
  <c r="C114" i="13"/>
  <c r="B115" i="13"/>
  <c r="C115" i="13"/>
  <c r="B116" i="13"/>
  <c r="C116" i="13"/>
  <c r="B117" i="13"/>
  <c r="C117" i="13"/>
  <c r="B118" i="13"/>
  <c r="C118" i="13"/>
  <c r="B119" i="13"/>
  <c r="C119" i="13"/>
  <c r="B120" i="13"/>
  <c r="C120" i="13"/>
  <c r="B121" i="13"/>
  <c r="C121" i="13"/>
  <c r="B122" i="13"/>
  <c r="C122" i="13"/>
  <c r="B123" i="13"/>
  <c r="C123" i="13"/>
  <c r="B124" i="13"/>
  <c r="C124" i="13"/>
  <c r="B125" i="13"/>
  <c r="C125" i="13"/>
  <c r="B126" i="13"/>
  <c r="C126" i="13"/>
  <c r="B127" i="13"/>
  <c r="C127" i="13"/>
  <c r="B128" i="13"/>
  <c r="C128" i="13"/>
  <c r="B129" i="13"/>
  <c r="C129" i="13"/>
  <c r="B130" i="13"/>
  <c r="C130" i="13"/>
  <c r="B131" i="13"/>
  <c r="C131" i="13"/>
  <c r="B132" i="13"/>
  <c r="C132" i="13"/>
  <c r="B133" i="13"/>
  <c r="C133" i="13"/>
  <c r="B134" i="13"/>
  <c r="C134" i="13"/>
  <c r="B135" i="13"/>
  <c r="C135" i="13"/>
  <c r="B136" i="13"/>
  <c r="C136" i="13"/>
  <c r="B137" i="13"/>
  <c r="C137" i="13"/>
  <c r="B138" i="13"/>
  <c r="C138" i="13"/>
  <c r="B139" i="13"/>
  <c r="C139" i="13"/>
  <c r="B140" i="13"/>
  <c r="C140" i="13"/>
  <c r="B141" i="13"/>
  <c r="C141" i="13"/>
  <c r="T7" i="14"/>
  <c r="T12" i="14"/>
  <c r="T11" i="14"/>
  <c r="T13" i="14"/>
  <c r="B1" i="13"/>
  <c r="C1" i="13"/>
  <c r="B2" i="13"/>
  <c r="C2" i="13"/>
</calcChain>
</file>

<file path=xl/sharedStrings.xml><?xml version="1.0" encoding="utf-8"?>
<sst xmlns="http://schemas.openxmlformats.org/spreadsheetml/2006/main" count="45" uniqueCount="36">
  <si>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</si>
  <si>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</si>
  <si>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</si>
  <si>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</si>
  <si>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</si>
  <si>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</si>
  <si>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</si>
  <si>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</si>
  <si>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Ve:</t>
  </si>
  <si>
    <t>Strong Acid / Weak Base</t>
  </si>
  <si>
    <t>Kw:</t>
  </si>
  <si>
    <t>2Ve:</t>
  </si>
  <si>
    <t>1/2 Ve:</t>
  </si>
  <si>
    <t>HNO3</t>
  </si>
  <si>
    <t>INFO:</t>
  </si>
  <si>
    <t>Formulas from: (Quantitative Chemical Analysis, Harris, p.256)</t>
  </si>
  <si>
    <t>Ka Const.</t>
  </si>
  <si>
    <t>Scroll Value</t>
  </si>
  <si>
    <t>Weak Acid</t>
  </si>
  <si>
    <t>Strong Base</t>
  </si>
  <si>
    <t>Ca Const.</t>
  </si>
  <si>
    <t>KOH</t>
  </si>
  <si>
    <t xml:space="preserve"> </t>
  </si>
  <si>
    <t>Contact: jkelowitt@protonmail.com</t>
  </si>
  <si>
    <t>Instructions:</t>
  </si>
  <si>
    <t>Insert initial conditions into the colored cells</t>
  </si>
  <si>
    <t>The graph will auto update to these conditions</t>
  </si>
  <si>
    <t>but will not touch the data in the tables</t>
  </si>
  <si>
    <t>The button "Clear All Calculations" will clear all graphs,</t>
  </si>
  <si>
    <t>https://github.com/jkelowitt/titration-curves</t>
  </si>
  <si>
    <t>Base Kb1:</t>
  </si>
  <si>
    <t>Base Kb2:</t>
  </si>
  <si>
    <t>Acid Ka1:</t>
  </si>
  <si>
    <t>Acid Ka2:</t>
  </si>
  <si>
    <t>WA</t>
  </si>
  <si>
    <t>WB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</si>
</sst>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8">
    <xf numFmtId="0" fontId="0" fillId="0" borderId="0" xfId="0"/>
    <xf numFmtId="11" fontId="0" fillId="0" borderId="0" xfId="0" applyNumberFormat="1"/>
    <xf numFmtId="2" fontId="0" fillId="0" borderId="0" xfId="0" applyNumberFormat="1"/>
    <xf numFmtId="0" fontId="0" fillId="0" borderId="4" xfId="0" applyBorder="1"/>
    <xf numFmtId="0" fontId="0" fillId="0" borderId="0" xfId="0" applyBorder="1"/>
    <xf numFmtId="0" fontId="0" fillId="0" borderId="9" xfId="0" applyBorder="1"/>
    <xf numFmtId="11" fontId="0" fillId="0" borderId="10" xfId="0" applyNumberFormat="1" applyBorder="1"/>
    <xf numFmtId="11" fontId="0" fillId="0" borderId="11" xfId="0" applyNumberFormat="1" applyBorder="1"/>
    <xf numFmtId="0" fontId="0" fillId="0" borderId="0" xfId="0" applyAlignment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11" fontId="0" fillId="3" borderId="3" xfId="0" applyNumberFormat="1" applyFill="1" applyBorder="1"/>
    <xf numFmtId="2" fontId="0" fillId="3" borderId="3" xfId="0" applyNumberFormat="1" applyFill="1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11" fontId="0" fillId="0" borderId="13" xfId="0" applyNumberFormat="1" applyBorder="1"/>
    <xf numFmtId="0" fontId="3" fillId="4" borderId="16" xfId="0" applyFont="1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3" fillId="4" borderId="4" xfId="0" applyFont="1" applyFill="1" applyBorder="1"/>
    <xf numFmtId="0" fontId="3" fillId="4" borderId="0" xfId="0" applyFont="1" applyFill="1" applyBorder="1"/>
    <xf numFmtId="0" fontId="3" fillId="4" borderId="3" xfId="0" applyFont="1" applyFill="1" applyBorder="1"/>
    <xf numFmtId="0" fontId="3" fillId="4" borderId="0" xfId="0" applyFont="1" applyFill="1" applyBorder="1" applyAlignment="1"/>
    <xf numFmtId="0" fontId="4" fillId="4" borderId="4" xfId="0" applyFont="1" applyFill="1" applyBorder="1"/>
    <xf numFmtId="11" fontId="4" fillId="4" borderId="3" xfId="0" applyNumberFormat="1" applyFont="1" applyFill="1" applyBorder="1" applyAlignment="1">
      <alignment horizontal="right"/>
    </xf>
    <xf numFmtId="2" fontId="4" fillId="4" borderId="3" xfId="0" applyNumberFormat="1" applyFont="1" applyFill="1" applyBorder="1" applyAlignment="1">
      <alignment horizontal="right"/>
    </xf>
    <xf numFmtId="0" fontId="4" fillId="4" borderId="3" xfId="0" applyFont="1" applyFill="1" applyBorder="1"/>
    <xf numFmtId="0" fontId="4" fillId="4" borderId="2" xfId="0" applyFont="1" applyFill="1" applyBorder="1"/>
    <xf numFmtId="0" fontId="4" fillId="4" borderId="1" xfId="0" applyFont="1" applyFill="1" applyBorder="1"/>
    <xf numFmtId="0" fontId="3" fillId="4" borderId="2" xfId="0" applyFont="1" applyFill="1" applyBorder="1"/>
    <xf numFmtId="0" fontId="3" fillId="4" borderId="19" xfId="0" applyFont="1" applyFill="1" applyBorder="1" applyAlignment="1">
      <alignment horizontal="left" vertical="center"/>
    </xf>
    <xf numFmtId="0" fontId="3" fillId="4" borderId="19" xfId="0" applyFont="1" applyFill="1" applyBorder="1"/>
    <xf numFmtId="0" fontId="3" fillId="4" borderId="1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0" fontId="7" fillId="0" borderId="0" xfId="1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2" xfId="0" applyBorder="1"/>
    <xf numFmtId="2" fontId="0" fillId="2" borderId="1" xfId="0" applyNumberFormat="1" applyFill="1" applyBorder="1" applyAlignment="1">
      <alignment horizontal="right"/>
    </xf>
    <xf numFmtId="2" fontId="0" fillId="3" borderId="1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C80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CalcSheet!$L$1:$L$141</c:f>
              <c:numCache>
                <c:formatCode>General</c:formatCode>
                <c:ptCount val="141"/>
              </c:numCache>
            </c:numRef>
          </c:xVal>
          <c:yVal>
            <c:numRef>
              <c:f>CalcSheet!$G$1:$G$141</c:f>
              <c:numCache>
                <c:formatCode>General</c:formatCode>
                <c:ptCount val="14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</a:t>
            </a:r>
            <a:r>
              <a:rPr lang="en-US" sz="1200" baseline="0"/>
              <a:t> Base vs Volume of Strong Acid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CalcSheet!$X$1:$X$141</c:f>
              <c:numCache>
                <c:formatCode>General</c:formatCode>
                <c:ptCount val="141"/>
              </c:numCache>
            </c:numRef>
          </c:xVal>
          <c:yVal>
            <c:numRef>
              <c:f>CalcSheet!$S$1:$S$141</c:f>
              <c:numCache>
                <c:formatCode>General</c:formatCode>
                <c:ptCount val="1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666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CalcSheet!$AJ$1:$AJ$141</c:f>
              <c:numCache>
                <c:formatCode>General</c:formatCode>
                <c:ptCount val="141"/>
              </c:numCache>
            </c:numRef>
          </c:xVal>
          <c:yVal>
            <c:numRef>
              <c:f>CalcSheet!$AE$1:$AE$141</c:f>
              <c:numCache>
                <c:formatCode>General</c:formatCode>
                <c:ptCount val="14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C-4B43-9A91-9D0E9EAF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Volume of Titrant Added (mL)</a:t>
                </a:r>
              </a:p>
            </c:rich>
          </c:tx>
          <c:layout>
            <c:manualLayout>
              <c:xMode val="edge"/>
              <c:yMode val="edge"/>
              <c:x val="0.4109438648516997"/>
              <c:y val="0.950929280907292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B$58" horiz="1" inc="50" max="1500" min="1" noThreeD="1" page="0" val="72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E$58" horiz="1" max="2000" min="1" page="0" val="100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2</xdr:row>
          <xdr:rowOff>60960</xdr:rowOff>
        </xdr:from>
        <xdr:to>
          <xdr:col>10</xdr:col>
          <xdr:colOff>160020</xdr:colOff>
          <xdr:row>3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601980</xdr:colOff>
          <xdr:row>18</xdr:row>
          <xdr:rowOff>15240</xdr:rowOff>
        </xdr:from>
        <xdr:to>
          <xdr:col>15</xdr:col>
          <xdr:colOff>83820</xdr:colOff>
          <xdr:row>25</xdr:row>
          <xdr:rowOff>99060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16</xdr:row>
          <xdr:rowOff>60960</xdr:rowOff>
        </xdr:from>
        <xdr:to>
          <xdr:col>10</xdr:col>
          <xdr:colOff>152400</xdr:colOff>
          <xdr:row>17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106680</xdr:colOff>
      <xdr:row>0</xdr:row>
      <xdr:rowOff>72390</xdr:rowOff>
    </xdr:from>
    <xdr:to>
      <xdr:col>6</xdr:col>
      <xdr:colOff>533400</xdr:colOff>
      <xdr:row>14</xdr:row>
      <xdr:rowOff>30480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106680</xdr:colOff>
      <xdr:row>15</xdr:row>
      <xdr:rowOff>0</xdr:rowOff>
    </xdr:from>
    <xdr:to>
      <xdr:col>6</xdr:col>
      <xdr:colOff>533400</xdr:colOff>
      <xdr:row>28</xdr:row>
      <xdr:rowOff>57150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63135</xdr:colOff>
      <xdr:row>1</xdr:row>
      <xdr:rowOff>7075</xdr:rowOff>
    </xdr:from>
    <xdr:to>
      <xdr:col>16</xdr:col>
      <xdr:colOff>489855</xdr:colOff>
      <xdr:row>29</xdr:row>
      <xdr:rowOff>10886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</xdr:colOff>
          <xdr:row>5</xdr:row>
          <xdr:rowOff>53340</xdr:rowOff>
        </xdr:from>
        <xdr:to>
          <xdr:col>22</xdr:col>
          <xdr:colOff>655320</xdr:colOff>
          <xdr:row>5</xdr:row>
          <xdr:rowOff>327660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137160</xdr:colOff>
          <xdr:row>2</xdr:row>
          <xdr:rowOff>121920</xdr:rowOff>
        </xdr:from>
        <xdr:to>
          <xdr:col>22</xdr:col>
          <xdr:colOff>594360</xdr:colOff>
          <xdr:row>3</xdr:row>
          <xdr:rowOff>304800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Prepare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396240</xdr:colOff>
          <xdr:row>9</xdr:row>
          <xdr:rowOff>152400</xdr:rowOff>
        </xdr:from>
        <xdr:to>
          <xdr:col>22</xdr:col>
          <xdr:colOff>579120</xdr:colOff>
          <xdr:row>13</xdr:row>
          <xdr:rowOff>30480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</xdr:colOff>
          <xdr:row>6</xdr:row>
          <xdr:rowOff>53340</xdr:rowOff>
        </xdr:from>
        <xdr:to>
          <xdr:col>22</xdr:col>
          <xdr:colOff>647700</xdr:colOff>
          <xdr:row>6</xdr:row>
          <xdr:rowOff>320040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kelowitt/titration-curve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>
    <tabColor theme="5" tint="0.59999389629810485"/>
  </sheetPr>
  <dimension ref="D1:S27"/>
  <sheetViews>
    <sheetView tabSelected="1" workbookViewId="0"/>
  </sheetViews>
  <sheetFormatPr defaultRowHeight="14.4" x14ac:dyDescent="0.3"/>
  <cols>
    <col min="1" max="7" width="9.33203125" customWidth="1"/>
    <col min="8" max="8" width="22.6640625" bestFit="1" customWidth="1"/>
    <col min="9" max="9" width="10.44140625" bestFit="1" customWidth="1"/>
    <col min="10" max="10" width="9.33203125" customWidth="1"/>
    <col min="11" max="11" width="21" bestFit="1" customWidth="1"/>
    <col min="12" max="12" width="10.44140625" bestFit="1" customWidth="1"/>
    <col min="13" max="14" width="9.33203125" customWidth="1"/>
  </cols>
  <sheetData>
    <row r="1" spans="4:19" ht="15" thickBot="1" x14ac:dyDescent="0.35">
      <c r="G1" s="1"/>
    </row>
    <row r="2" spans="4:19" x14ac:dyDescent="0.3">
      <c r="H2" s="39" t="s">
        <v>0</v>
      </c>
      <c r="I2" s="40"/>
    </row>
    <row r="3" spans="4:19" x14ac:dyDescent="0.3">
      <c r="H3" s="3" t="s">
        <v>1</v>
      </c>
      <c r="I3" s="9" t="s">
        <v>34</v>
      </c>
      <c r="L3" t="s">
        <v>24</v>
      </c>
    </row>
    <row r="4" spans="4:19" x14ac:dyDescent="0.3">
      <c r="D4" s="4"/>
      <c r="E4" s="4"/>
      <c r="H4" s="3" t="s">
        <v>32</v>
      </c>
      <c r="I4" s="10">
        <v>1.8000000000000001E-4</v>
      </c>
      <c r="M4" t="s">
        <v>25</v>
      </c>
    </row>
    <row r="5" spans="4:19" x14ac:dyDescent="0.3">
      <c r="H5" s="3" t="s">
        <v>33</v>
      </c>
      <c r="I5" s="10">
        <v>5.5700000000000002E-8</v>
      </c>
      <c r="M5" t="s">
        <v>26</v>
      </c>
    </row>
    <row r="6" spans="4:19" x14ac:dyDescent="0.3">
      <c r="H6" s="3" t="s">
        <v>4</v>
      </c>
      <c r="I6" s="11">
        <v>0.5</v>
      </c>
      <c r="M6" t="s">
        <v>28</v>
      </c>
    </row>
    <row r="7" spans="4:19" x14ac:dyDescent="0.3">
      <c r="H7" s="3" t="s">
        <v>5</v>
      </c>
      <c r="I7" s="11">
        <v>50</v>
      </c>
      <c r="M7" t="s">
        <v>27</v>
      </c>
      <c r="N7" s="4"/>
      <c r="O7" s="4"/>
      <c r="P7" s="4"/>
      <c r="Q7" s="4"/>
      <c r="R7" s="4"/>
    </row>
    <row r="8" spans="4:19" x14ac:dyDescent="0.3">
      <c r="H8" s="3" t="s">
        <v>3</v>
      </c>
      <c r="I8" s="9" t="s">
        <v>21</v>
      </c>
      <c r="N8" s="4"/>
      <c r="O8" s="4"/>
      <c r="P8" s="4"/>
      <c r="Q8" s="4"/>
      <c r="R8" s="4"/>
    </row>
    <row r="9" spans="4:19" ht="15" thickBot="1" x14ac:dyDescent="0.35">
      <c r="H9" s="45" t="s">
        <v>6</v>
      </c>
      <c r="I9" s="46">
        <v>0.05</v>
      </c>
      <c r="L9" s="4" t="s">
        <v>14</v>
      </c>
      <c r="M9" s="4"/>
      <c r="N9" s="4"/>
      <c r="O9" s="4"/>
      <c r="P9" s="4"/>
      <c r="Q9" s="4"/>
      <c r="R9" s="4"/>
    </row>
    <row r="10" spans="4:19" x14ac:dyDescent="0.3">
      <c r="L10" s="4"/>
      <c r="M10" s="4" t="s">
        <v>15</v>
      </c>
    </row>
    <row r="11" spans="4:19" x14ac:dyDescent="0.3">
      <c r="L11" s="4"/>
      <c r="M11" s="4" t="s">
        <v>23</v>
      </c>
    </row>
    <row r="12" spans="4:19" x14ac:dyDescent="0.3">
      <c r="M12" s="38" t="s">
        <v>29</v>
      </c>
    </row>
    <row r="13" spans="4:19" x14ac:dyDescent="0.3">
      <c r="H13" s="4"/>
      <c r="I13" s="4"/>
    </row>
    <row r="14" spans="4:19" ht="15" customHeight="1" x14ac:dyDescent="0.3">
      <c r="H14" s="4"/>
      <c r="I14" s="4"/>
      <c r="P14" s="8"/>
      <c r="Q14" s="8"/>
      <c r="R14" s="8"/>
      <c r="S14" s="8"/>
    </row>
    <row r="15" spans="4:19" ht="15" thickBot="1" x14ac:dyDescent="0.35">
      <c r="H15" s="4"/>
      <c r="I15" s="4"/>
    </row>
    <row r="16" spans="4:19" x14ac:dyDescent="0.3">
      <c r="H16" s="39" t="s">
        <v>9</v>
      </c>
      <c r="I16" s="40"/>
    </row>
    <row r="17" spans="8:15" x14ac:dyDescent="0.3">
      <c r="H17" s="3" t="s">
        <v>3</v>
      </c>
      <c r="I17" s="12" t="s">
        <v>35</v>
      </c>
    </row>
    <row r="18" spans="8:15" x14ac:dyDescent="0.3">
      <c r="H18" s="3" t="s">
        <v>30</v>
      </c>
      <c r="I18" s="13">
        <v>1.8000000000000001E-4</v>
      </c>
    </row>
    <row r="19" spans="8:15" x14ac:dyDescent="0.3">
      <c r="H19" s="3" t="s">
        <v>31</v>
      </c>
      <c r="I19" s="13">
        <f>0.00000026</f>
        <v>2.6E-7</v>
      </c>
    </row>
    <row r="20" spans="8:15" x14ac:dyDescent="0.3">
      <c r="H20" s="3" t="s">
        <v>6</v>
      </c>
      <c r="I20" s="14">
        <v>0.1</v>
      </c>
    </row>
    <row r="21" spans="8:15" x14ac:dyDescent="0.3">
      <c r="H21" s="3" t="s">
        <v>7</v>
      </c>
      <c r="I21" s="14">
        <v>50</v>
      </c>
    </row>
    <row r="22" spans="8:15" x14ac:dyDescent="0.3">
      <c r="H22" s="3" t="s">
        <v>1</v>
      </c>
      <c r="I22" s="12" t="s">
        <v>13</v>
      </c>
    </row>
    <row r="23" spans="8:15" ht="15" thickBot="1" x14ac:dyDescent="0.35">
      <c r="H23" s="45" t="s">
        <v>4</v>
      </c>
      <c r="I23" s="47">
        <v>0.2</v>
      </c>
    </row>
    <row r="26" spans="8:15" ht="15" thickBot="1" x14ac:dyDescent="0.35"/>
    <row r="27" spans="8:15" ht="15" thickBot="1" x14ac:dyDescent="0.35">
      <c r="N27" s="5" t="s">
        <v>10</v>
      </c>
      <c r="O27" s="6">
        <v>1.0099999999999999E-14</v>
      </c>
    </row>
  </sheetData>
  <scenarios current="0" show="0" sqref="L10:L19">
    <scenario name="Changing Ka and Concentration" locked="1" count="2" user="Jackson" comment="Created by Jackson on 12/2/2019">
      <inputCells r="I5" val="0.00002" numFmtId="11"/>
      <inputCells r="I6" val="0.05" numFmtId="2"/>
    </scenario>
  </scenarios>
  <mergeCells count="2">
    <mergeCell ref="H2:I2"/>
    <mergeCell ref="H16:I16"/>
  </mergeCells>
  <hyperlinks>
    <hyperlink ref="M12" r:id="rId1" xr:uid="{0C373940-687D-40F0-90F7-4EC936D71852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epareWASB">
                <anchor moveWithCells="1">
                  <from>
                    <xdr:col>9</xdr:col>
                    <xdr:colOff>114300</xdr:colOff>
                    <xdr:row>2</xdr:row>
                    <xdr:rowOff>60960</xdr:rowOff>
                  </from>
                  <to>
                    <xdr:col>10</xdr:col>
                    <xdr:colOff>160020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etCalcSheet">
                <anchor moveWithCells="1">
                  <from>
                    <xdr:col>12</xdr:col>
                    <xdr:colOff>601980</xdr:colOff>
                    <xdr:row>18</xdr:row>
                    <xdr:rowOff>15240</xdr:rowOff>
                  </from>
                  <to>
                    <xdr:col>15</xdr:col>
                    <xdr:colOff>83820</xdr:colOff>
                    <xdr:row>25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repareSAWB">
                <anchor moveWithCells="1">
                  <from>
                    <xdr:col>9</xdr:col>
                    <xdr:colOff>106680</xdr:colOff>
                    <xdr:row>16</xdr:row>
                    <xdr:rowOff>60960</xdr:rowOff>
                  </from>
                  <to>
                    <xdr:col>10</xdr:col>
                    <xdr:colOff>152400</xdr:colOff>
                    <xdr:row>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F0A9-F92E-443D-BF97-B7703F67AA7E}">
  <sheetPr codeName="Sheet3">
    <tabColor theme="9" tint="0.59999389629810485"/>
  </sheetPr>
  <dimension ref="A1:W58"/>
  <sheetViews>
    <sheetView showGridLines="0" zoomScale="70" zoomScaleNormal="70" workbookViewId="0">
      <selection activeCell="X12" sqref="X12"/>
    </sheetView>
  </sheetViews>
  <sheetFormatPr defaultRowHeight="14.4" x14ac:dyDescent="0.3"/>
  <cols>
    <col min="1" max="1" width="11.5546875" customWidth="1"/>
    <col min="2" max="2" width="12" bestFit="1" customWidth="1"/>
    <col min="4" max="4" width="11.44140625" bestFit="1" customWidth="1"/>
    <col min="8" max="8" width="22.6640625" bestFit="1" customWidth="1"/>
    <col min="9" max="9" width="8.5546875" bestFit="1" customWidth="1"/>
    <col min="17" max="17" width="9.33203125" customWidth="1"/>
    <col min="18" max="18" width="3.21875" customWidth="1"/>
    <col min="19" max="19" width="44.5546875" bestFit="1" customWidth="1"/>
    <col min="20" max="20" width="22.21875" bestFit="1" customWidth="1"/>
    <col min="21" max="21" width="8.33203125" customWidth="1"/>
    <col min="23" max="23" width="10" customWidth="1"/>
  </cols>
  <sheetData>
    <row r="1" spans="4:23" ht="15" thickBot="1" x14ac:dyDescent="0.35">
      <c r="G1" s="1"/>
    </row>
    <row r="2" spans="4:23" ht="5.4" customHeight="1" x14ac:dyDescent="0.55000000000000004">
      <c r="R2" s="19"/>
      <c r="S2" s="20"/>
      <c r="T2" s="20"/>
      <c r="U2" s="20"/>
      <c r="V2" s="20"/>
      <c r="W2" s="21"/>
    </row>
    <row r="3" spans="4:23" ht="10.8" customHeight="1" thickBot="1" x14ac:dyDescent="0.6">
      <c r="R3" s="22"/>
      <c r="S3" s="23"/>
      <c r="T3" s="23"/>
      <c r="U3" s="23"/>
      <c r="V3" s="23"/>
      <c r="W3" s="24"/>
    </row>
    <row r="4" spans="4:23" ht="33.6" x14ac:dyDescent="0.65">
      <c r="D4" s="4"/>
      <c r="E4" s="4"/>
      <c r="R4" s="22"/>
      <c r="S4" s="41" t="s">
        <v>0</v>
      </c>
      <c r="T4" s="42"/>
      <c r="U4" s="25"/>
      <c r="V4" s="23"/>
      <c r="W4" s="24"/>
    </row>
    <row r="5" spans="4:23" ht="31.2" x14ac:dyDescent="0.6">
      <c r="R5" s="22"/>
      <c r="S5" s="43" t="s">
        <v>18</v>
      </c>
      <c r="T5" s="44"/>
      <c r="U5" s="23"/>
      <c r="V5" s="23"/>
      <c r="W5" s="24"/>
    </row>
    <row r="6" spans="4:23" ht="28.8" x14ac:dyDescent="0.55000000000000004">
      <c r="R6" s="22"/>
      <c r="S6" s="26" t="s">
        <v>2</v>
      </c>
      <c r="T6" s="27">
        <f>B57*B58</f>
        <v>7.1999999999999996E-8</v>
      </c>
      <c r="U6" s="23"/>
      <c r="V6" s="23"/>
      <c r="W6" s="24"/>
    </row>
    <row r="7" spans="4:23" ht="28.8" x14ac:dyDescent="0.55000000000000004">
      <c r="R7" s="22"/>
      <c r="S7" s="26" t="s">
        <v>4</v>
      </c>
      <c r="T7" s="27">
        <f>E57*E58</f>
        <v>0.5</v>
      </c>
      <c r="U7" s="23"/>
      <c r="V7" s="23"/>
      <c r="W7" s="24"/>
    </row>
    <row r="8" spans="4:23" ht="28.8" x14ac:dyDescent="0.55000000000000004">
      <c r="R8" s="22"/>
      <c r="S8" s="26" t="s">
        <v>5</v>
      </c>
      <c r="T8" s="28">
        <v>100</v>
      </c>
      <c r="U8" s="23"/>
      <c r="V8" s="23"/>
      <c r="W8" s="24"/>
    </row>
    <row r="9" spans="4:23" ht="31.2" x14ac:dyDescent="0.6">
      <c r="R9" s="22"/>
      <c r="S9" s="43" t="s">
        <v>19</v>
      </c>
      <c r="T9" s="44"/>
      <c r="U9" s="23"/>
      <c r="V9" s="23"/>
      <c r="W9" s="24"/>
    </row>
    <row r="10" spans="4:23" ht="28.8" x14ac:dyDescent="0.55000000000000004">
      <c r="R10" s="22"/>
      <c r="S10" s="26" t="s">
        <v>6</v>
      </c>
      <c r="T10" s="28">
        <v>0.5</v>
      </c>
      <c r="U10" s="23"/>
      <c r="V10" s="23"/>
      <c r="W10" s="24"/>
    </row>
    <row r="11" spans="4:23" ht="28.8" x14ac:dyDescent="0.55000000000000004">
      <c r="R11" s="22"/>
      <c r="S11" s="36" t="s">
        <v>12</v>
      </c>
      <c r="T11" s="37">
        <f>0.5*T12</f>
        <v>50</v>
      </c>
      <c r="U11" s="23"/>
      <c r="V11" s="23"/>
      <c r="W11" s="24"/>
    </row>
    <row r="12" spans="4:23" ht="28.8" x14ac:dyDescent="0.55000000000000004">
      <c r="R12" s="22"/>
      <c r="S12" s="26" t="s">
        <v>8</v>
      </c>
      <c r="T12" s="29">
        <f>(T7*T8)/T10</f>
        <v>100</v>
      </c>
      <c r="U12" s="23"/>
      <c r="V12" s="23"/>
      <c r="W12" s="24"/>
    </row>
    <row r="13" spans="4:23" ht="29.4" thickBot="1" x14ac:dyDescent="0.6">
      <c r="H13" s="4"/>
      <c r="I13" s="4"/>
      <c r="R13" s="22"/>
      <c r="S13" s="30" t="s">
        <v>11</v>
      </c>
      <c r="T13" s="31">
        <f>2*T12</f>
        <v>200</v>
      </c>
      <c r="U13" s="23"/>
      <c r="V13" s="23"/>
      <c r="W13" s="24"/>
    </row>
    <row r="14" spans="4:23" ht="8.4" customHeight="1" x14ac:dyDescent="0.55000000000000004">
      <c r="H14" s="4"/>
      <c r="I14" s="4"/>
      <c r="R14" s="22"/>
      <c r="S14" s="23"/>
      <c r="T14" s="23"/>
      <c r="U14" s="23"/>
      <c r="V14" s="23"/>
      <c r="W14" s="24"/>
    </row>
    <row r="15" spans="4:23" ht="8.4" customHeight="1" thickBot="1" x14ac:dyDescent="0.6">
      <c r="R15" s="32"/>
      <c r="S15" s="33"/>
      <c r="T15" s="34"/>
      <c r="U15" s="34"/>
      <c r="V15" s="34"/>
      <c r="W15" s="35"/>
    </row>
    <row r="25" spans="19:19" x14ac:dyDescent="0.3">
      <c r="S25" t="s">
        <v>22</v>
      </c>
    </row>
    <row r="57" spans="1:5" x14ac:dyDescent="0.3">
      <c r="A57" s="15" t="s">
        <v>16</v>
      </c>
      <c r="B57" s="18">
        <v>1E-10</v>
      </c>
      <c r="D57" t="s">
        <v>20</v>
      </c>
      <c r="E57">
        <v>5.0000000000000001E-4</v>
      </c>
    </row>
    <row r="58" spans="1:5" x14ac:dyDescent="0.3">
      <c r="A58" s="16" t="s">
        <v>17</v>
      </c>
      <c r="B58" s="17">
        <v>720</v>
      </c>
      <c r="D58" t="s">
        <v>17</v>
      </c>
      <c r="E58">
        <v>1000</v>
      </c>
    </row>
  </sheetData>
  <mergeCells count="3">
    <mergeCell ref="S4:T4"/>
    <mergeCell ref="S9:T9"/>
    <mergeCell ref="S5:T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 macro="[0]!Demonstration">
                <anchor moveWithCells="1">
                  <from>
                    <xdr:col>20</xdr:col>
                    <xdr:colOff>15240</xdr:colOff>
                    <xdr:row>5</xdr:row>
                    <xdr:rowOff>53340</xdr:rowOff>
                  </from>
                  <to>
                    <xdr:col>22</xdr:col>
                    <xdr:colOff>655320</xdr:colOff>
                    <xdr:row>5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emonstration">
                <anchor moveWithCells="1" sizeWithCells="1">
                  <from>
                    <xdr:col>21</xdr:col>
                    <xdr:colOff>137160</xdr:colOff>
                    <xdr:row>2</xdr:row>
                    <xdr:rowOff>121920</xdr:rowOff>
                  </from>
                  <to>
                    <xdr:col>22</xdr:col>
                    <xdr:colOff>594360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esetCalcSheet">
                <anchor moveWithCells="1">
                  <from>
                    <xdr:col>20</xdr:col>
                    <xdr:colOff>396240</xdr:colOff>
                    <xdr:row>9</xdr:row>
                    <xdr:rowOff>152400</xdr:rowOff>
                  </from>
                  <to>
                    <xdr:col>22</xdr:col>
                    <xdr:colOff>579120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Scroll Bar 5">
              <controlPr defaultSize="0" autoPict="0" macro="[0]!Demonstration">
                <anchor moveWithCells="1">
                  <from>
                    <xdr:col>20</xdr:col>
                    <xdr:colOff>7620</xdr:colOff>
                    <xdr:row>6</xdr:row>
                    <xdr:rowOff>53340</xdr:rowOff>
                  </from>
                  <to>
                    <xdr:col>22</xdr:col>
                    <xdr:colOff>647700</xdr:colOff>
                    <xdr:row>6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>
    <tabColor theme="4" tint="0.59999389629810485"/>
  </sheetPr>
  <dimension ref="A1:ZZ1401"/>
  <sheetViews>
    <sheetView topLeftCell="A3" zoomScale="123" zoomScaleNormal="73" workbookViewId="0">
      <selection activeCell="D3" sqref="D3"/>
    </sheetView>
  </sheetViews>
  <sheetFormatPr defaultColWidth="9.44140625" defaultRowHeight="15" customHeight="1" x14ac:dyDescent="0.3"/>
  <cols>
    <col min="1" max="1" width="5.77734375" style="2" bestFit="1" customWidth="1"/>
    <col min="2" max="3" width="8.6640625" style="1" bestFit="1" customWidth="1"/>
    <col min="4" max="4" width="8.6640625" bestFit="1" customWidth="1"/>
    <col min="5" max="5" width="9.21875" bestFit="1" customWidth="1"/>
    <col min="6" max="6" width="9.5546875" bestFit="1" customWidth="1"/>
    <col min="7" max="7" width="5.77734375" bestFit="1" customWidth="1"/>
    <col min="8" max="9" width="8.33203125" bestFit="1" customWidth="1"/>
    <col min="10" max="11" width="8.6640625" bestFit="1" customWidth="1"/>
    <col min="12" max="12" width="6.77734375" bestFit="1" customWidth="1"/>
    <col min="13" max="13" width="5.77734375" bestFit="1" customWidth="1"/>
    <col min="14" max="16" width="8.6640625" bestFit="1" customWidth="1"/>
    <col min="17" max="17" width="9.21875" bestFit="1" customWidth="1"/>
    <col min="18" max="18" width="8.88671875" bestFit="1" customWidth="1"/>
    <col min="19" max="19" width="5.77734375" bestFit="1" customWidth="1"/>
    <col min="20" max="21" width="8.33203125" bestFit="1" customWidth="1"/>
    <col min="22" max="23" width="8.6640625" bestFit="1" customWidth="1"/>
    <col min="24" max="25" width="5.77734375" bestFit="1" customWidth="1"/>
    <col min="26" max="28" width="8.6640625" bestFit="1" customWidth="1"/>
    <col min="29" max="29" width="9.21875" bestFit="1" customWidth="1"/>
    <col min="30" max="30" width="9.5546875" bestFit="1" customWidth="1"/>
    <col min="31" max="31" width="5.77734375" bestFit="1" customWidth="1"/>
    <col min="32" max="33" width="8.33203125" bestFit="1" customWidth="1"/>
    <col min="34" max="35" width="8.6640625" bestFit="1" customWidth="1"/>
    <col min="36" max="36" width="6.77734375" customWidth="1"/>
    <col min="37" max="37" width="6.5546875" bestFit="1" customWidth="1"/>
    <col min="38" max="40" width="9.6640625" bestFit="1" customWidth="1"/>
    <col min="41" max="41" width="10.33203125" bestFit="1" customWidth="1"/>
    <col min="42" max="42" width="14.44140625" customWidth="1"/>
    <col min="46" max="46" width="5.44140625" bestFit="1" customWidth="1"/>
    <col min="47" max="48" width="9.33203125" style="1" bestFit="1" customWidth="1"/>
    <col min="49" max="49" width="9.88671875" style="1" bestFit="1" customWidth="1"/>
    <col min="50" max="50" width="9.33203125" style="1" bestFit="1" customWidth="1"/>
    <col min="51" max="52" width="9.6640625" style="1" bestFit="1" customWidth="1"/>
    <col min="53" max="53" width="9.33203125" style="2" bestFit="1" customWidth="1"/>
    <col min="54" max="16384" width="9.44140625" style="1"/>
  </cols>
  <sheetData>
    <row r="1" spans="1:3" ht="15" customHeight="1" x14ac:dyDescent="0.3">
      <c r="A1" s="2">
        <v>0</v>
      </c>
      <c r="B1" s="1">
        <f>10^(-A1)</f>
        <v>1</v>
      </c>
      <c r="C1" s="1">
        <f t="shared" ref="C1:C2" si="0">Kw/B1</f>
        <v>1.0099999999999999E-14</v>
      </c>
    </row>
    <row r="2" spans="1:3" ht="15" customHeight="1" x14ac:dyDescent="0.3">
      <c r="A2" s="2">
        <v>0.1</v>
      </c>
      <c r="B2" s="1">
        <f>10^(-A2)</f>
        <v>0.79432823472428149</v>
      </c>
      <c r="C2" s="1">
        <f t="shared" si="0"/>
        <v>1.2715146659121089E-14</v>
      </c>
    </row>
    <row r="3" spans="1:3" ht="15" customHeight="1" x14ac:dyDescent="0.3">
      <c r="A3" s="2">
        <v>0.2</v>
      </c>
      <c r="B3" s="1">
        <f t="shared" ref="B3:B66" si="1">10^(-A3)</f>
        <v>0.63095734448019325</v>
      </c>
      <c r="C3" s="1">
        <f t="shared" ref="C3:C66" si="2">Kw/B3</f>
        <v>1.6007421243857246E-14</v>
      </c>
    </row>
    <row r="4" spans="1:3" ht="15" customHeight="1" x14ac:dyDescent="0.3">
      <c r="A4" s="2">
        <v>0.3</v>
      </c>
      <c r="B4" s="1">
        <f t="shared" si="1"/>
        <v>0.50118723362727224</v>
      </c>
      <c r="C4" s="1">
        <f t="shared" si="2"/>
        <v>2.0152149381185686E-14</v>
      </c>
    </row>
    <row r="5" spans="1:3" ht="15" customHeight="1" x14ac:dyDescent="0.3">
      <c r="A5" s="2">
        <v>0.4</v>
      </c>
      <c r="B5" s="1">
        <f t="shared" si="1"/>
        <v>0.3981071705534972</v>
      </c>
      <c r="C5" s="1">
        <f t="shared" si="2"/>
        <v>2.537005295824676E-14</v>
      </c>
    </row>
    <row r="6" spans="1:3" ht="15" customHeight="1" x14ac:dyDescent="0.3">
      <c r="A6" s="2">
        <v>0.5</v>
      </c>
      <c r="B6" s="1">
        <f t="shared" si="1"/>
        <v>0.31622776601683794</v>
      </c>
      <c r="C6" s="1">
        <f t="shared" si="2"/>
        <v>3.193900436770063E-14</v>
      </c>
    </row>
    <row r="7" spans="1:3" ht="15" customHeight="1" x14ac:dyDescent="0.3">
      <c r="A7" s="2">
        <v>0.6</v>
      </c>
      <c r="B7" s="1">
        <f t="shared" si="1"/>
        <v>0.25118864315095801</v>
      </c>
      <c r="C7" s="1">
        <f t="shared" si="2"/>
        <v>4.0208824225903217E-14</v>
      </c>
    </row>
    <row r="8" spans="1:3" ht="15" customHeight="1" x14ac:dyDescent="0.3">
      <c r="A8" s="2">
        <v>0.7</v>
      </c>
      <c r="B8" s="1">
        <f t="shared" si="1"/>
        <v>0.19952623149688795</v>
      </c>
      <c r="C8" s="1">
        <f t="shared" si="2"/>
        <v>5.0619910596354503E-14</v>
      </c>
    </row>
    <row r="9" spans="1:3" ht="15" customHeight="1" x14ac:dyDescent="0.3">
      <c r="A9" s="2">
        <v>0.8</v>
      </c>
      <c r="B9" s="1">
        <f t="shared" si="1"/>
        <v>0.15848931924611132</v>
      </c>
      <c r="C9" s="1">
        <f t="shared" si="2"/>
        <v>6.3726691792499529E-14</v>
      </c>
    </row>
    <row r="10" spans="1:3" ht="15" customHeight="1" x14ac:dyDescent="0.3">
      <c r="A10" s="2">
        <v>0.9</v>
      </c>
      <c r="B10" s="1">
        <f t="shared" si="1"/>
        <v>0.12589254117941667</v>
      </c>
      <c r="C10" s="1">
        <f t="shared" si="2"/>
        <v>8.0227151707152451E-14</v>
      </c>
    </row>
    <row r="11" spans="1:3" ht="15" customHeight="1" x14ac:dyDescent="0.3">
      <c r="A11" s="2">
        <v>1</v>
      </c>
      <c r="B11" s="1">
        <f t="shared" si="1"/>
        <v>0.1</v>
      </c>
      <c r="C11" s="1">
        <f t="shared" si="2"/>
        <v>1.0099999999999999E-13</v>
      </c>
    </row>
    <row r="12" spans="1:3" ht="15" customHeight="1" x14ac:dyDescent="0.3">
      <c r="A12" s="2">
        <v>1.1000000000000001</v>
      </c>
      <c r="B12" s="1">
        <f t="shared" si="1"/>
        <v>7.9432823472428096E-2</v>
      </c>
      <c r="C12" s="1">
        <f t="shared" si="2"/>
        <v>1.2715146659121095E-13</v>
      </c>
    </row>
    <row r="13" spans="1:3" ht="15" customHeight="1" x14ac:dyDescent="0.3">
      <c r="A13" s="2">
        <v>1.2</v>
      </c>
      <c r="B13" s="1">
        <f t="shared" si="1"/>
        <v>6.3095734448019317E-2</v>
      </c>
      <c r="C13" s="1">
        <f t="shared" si="2"/>
        <v>1.6007421243857248E-13</v>
      </c>
    </row>
    <row r="14" spans="1:3" ht="15" customHeight="1" x14ac:dyDescent="0.3">
      <c r="A14" s="2">
        <v>1.3</v>
      </c>
      <c r="B14" s="1">
        <f t="shared" si="1"/>
        <v>5.0118723362727206E-2</v>
      </c>
      <c r="C14" s="1">
        <f t="shared" si="2"/>
        <v>2.0152149381185691E-13</v>
      </c>
    </row>
    <row r="15" spans="1:3" ht="15" customHeight="1" x14ac:dyDescent="0.3">
      <c r="A15" s="2">
        <v>1.4</v>
      </c>
      <c r="B15" s="1">
        <f t="shared" si="1"/>
        <v>3.9810717055349727E-2</v>
      </c>
      <c r="C15" s="1">
        <f t="shared" si="2"/>
        <v>2.5370052958246757E-13</v>
      </c>
    </row>
    <row r="16" spans="1:3" ht="15" customHeight="1" x14ac:dyDescent="0.3">
      <c r="A16" s="2">
        <v>1.5</v>
      </c>
      <c r="B16" s="1">
        <f t="shared" si="1"/>
        <v>3.1622776601683784E-2</v>
      </c>
      <c r="C16" s="1">
        <f t="shared" si="2"/>
        <v>3.193900436770064E-13</v>
      </c>
    </row>
    <row r="17" spans="1:3" ht="15" customHeight="1" x14ac:dyDescent="0.3">
      <c r="A17" s="2">
        <v>1.6</v>
      </c>
      <c r="B17" s="1">
        <f t="shared" si="1"/>
        <v>2.511886431509578E-2</v>
      </c>
      <c r="C17" s="1">
        <f t="shared" si="2"/>
        <v>4.0208824225903255E-13</v>
      </c>
    </row>
    <row r="18" spans="1:3" ht="15" customHeight="1" x14ac:dyDescent="0.3">
      <c r="A18" s="2">
        <v>1.7</v>
      </c>
      <c r="B18" s="1">
        <f t="shared" si="1"/>
        <v>1.9952623149688792E-2</v>
      </c>
      <c r="C18" s="1">
        <f t="shared" si="2"/>
        <v>5.0619910596354508E-13</v>
      </c>
    </row>
    <row r="19" spans="1:3" ht="15" customHeight="1" x14ac:dyDescent="0.3">
      <c r="A19" s="2">
        <v>1.8</v>
      </c>
      <c r="B19" s="1">
        <f t="shared" si="1"/>
        <v>1.5848931924611124E-2</v>
      </c>
      <c r="C19" s="1">
        <f t="shared" si="2"/>
        <v>6.3726691792499559E-13</v>
      </c>
    </row>
    <row r="20" spans="1:3" ht="15" customHeight="1" x14ac:dyDescent="0.3">
      <c r="A20" s="2">
        <v>1.9</v>
      </c>
      <c r="B20" s="1">
        <f t="shared" si="1"/>
        <v>1.2589254117941664E-2</v>
      </c>
      <c r="C20" s="1">
        <f t="shared" si="2"/>
        <v>8.0227151707152477E-13</v>
      </c>
    </row>
    <row r="21" spans="1:3" ht="15" customHeight="1" x14ac:dyDescent="0.3">
      <c r="A21" s="2">
        <v>2</v>
      </c>
      <c r="B21" s="1">
        <f t="shared" si="1"/>
        <v>0.01</v>
      </c>
      <c r="C21" s="1">
        <f t="shared" si="2"/>
        <v>1.0099999999999999E-12</v>
      </c>
    </row>
    <row r="22" spans="1:3" ht="15" customHeight="1" x14ac:dyDescent="0.3">
      <c r="A22" s="2">
        <v>2.1</v>
      </c>
      <c r="B22" s="1">
        <f t="shared" si="1"/>
        <v>7.9432823472428121E-3</v>
      </c>
      <c r="C22" s="1">
        <f t="shared" si="2"/>
        <v>1.2715146659121093E-12</v>
      </c>
    </row>
    <row r="23" spans="1:3" ht="15" customHeight="1" x14ac:dyDescent="0.3">
      <c r="A23" s="2">
        <v>2.2000000000000002</v>
      </c>
      <c r="B23" s="1">
        <f t="shared" si="1"/>
        <v>6.3095734448019251E-3</v>
      </c>
      <c r="C23" s="1">
        <f t="shared" si="2"/>
        <v>1.6007421243857264E-12</v>
      </c>
    </row>
    <row r="24" spans="1:3" ht="15" customHeight="1" x14ac:dyDescent="0.3">
      <c r="A24" s="2">
        <v>2.2999999999999998</v>
      </c>
      <c r="B24" s="1">
        <f t="shared" si="1"/>
        <v>5.0118723362727212E-3</v>
      </c>
      <c r="C24" s="1">
        <f t="shared" si="2"/>
        <v>2.015214938118569E-12</v>
      </c>
    </row>
    <row r="25" spans="1:3" ht="15" customHeight="1" x14ac:dyDescent="0.3">
      <c r="A25" s="2">
        <v>2.4</v>
      </c>
      <c r="B25" s="1">
        <f t="shared" si="1"/>
        <v>3.9810717055349717E-3</v>
      </c>
      <c r="C25" s="1">
        <f t="shared" si="2"/>
        <v>2.5370052958246762E-12</v>
      </c>
    </row>
    <row r="26" spans="1:3" ht="15" customHeight="1" x14ac:dyDescent="0.3">
      <c r="A26" s="2">
        <v>2.5</v>
      </c>
      <c r="B26" s="1">
        <f t="shared" si="1"/>
        <v>3.1622776601683764E-3</v>
      </c>
      <c r="C26" s="1">
        <f t="shared" si="2"/>
        <v>3.1939004367700658E-12</v>
      </c>
    </row>
    <row r="27" spans="1:3" ht="15" customHeight="1" x14ac:dyDescent="0.3">
      <c r="A27" s="2">
        <v>2.6</v>
      </c>
      <c r="B27" s="1">
        <f t="shared" si="1"/>
        <v>2.5118864315095777E-3</v>
      </c>
      <c r="C27" s="1">
        <f t="shared" si="2"/>
        <v>4.0208824225903259E-12</v>
      </c>
    </row>
    <row r="28" spans="1:3" ht="15" customHeight="1" x14ac:dyDescent="0.3">
      <c r="A28" s="2">
        <v>2.7</v>
      </c>
      <c r="B28" s="1">
        <f t="shared" si="1"/>
        <v>1.9952623149688781E-3</v>
      </c>
      <c r="C28" s="1">
        <f t="shared" si="2"/>
        <v>5.0619910596354535E-12</v>
      </c>
    </row>
    <row r="29" spans="1:3" ht="15" customHeight="1" x14ac:dyDescent="0.3">
      <c r="A29" s="2">
        <v>2.8</v>
      </c>
      <c r="B29" s="1">
        <f t="shared" si="1"/>
        <v>1.5848931924611134E-3</v>
      </c>
      <c r="C29" s="1">
        <f t="shared" si="2"/>
        <v>6.3726691792499515E-12</v>
      </c>
    </row>
    <row r="30" spans="1:3" ht="15" customHeight="1" x14ac:dyDescent="0.3">
      <c r="A30" s="2">
        <v>2.9</v>
      </c>
      <c r="B30" s="1">
        <f t="shared" si="1"/>
        <v>1.2589254117941662E-3</v>
      </c>
      <c r="C30" s="1">
        <f t="shared" si="2"/>
        <v>8.0227151707152493E-12</v>
      </c>
    </row>
    <row r="31" spans="1:3" ht="15" customHeight="1" x14ac:dyDescent="0.3">
      <c r="A31" s="2">
        <v>3</v>
      </c>
      <c r="B31" s="1">
        <f t="shared" si="1"/>
        <v>1E-3</v>
      </c>
      <c r="C31" s="1">
        <f t="shared" si="2"/>
        <v>1.0099999999999999E-11</v>
      </c>
    </row>
    <row r="32" spans="1:3" ht="15" customHeight="1" x14ac:dyDescent="0.3">
      <c r="A32" s="2">
        <v>3.1</v>
      </c>
      <c r="B32" s="1">
        <f t="shared" si="1"/>
        <v>7.9432823472428099E-4</v>
      </c>
      <c r="C32" s="1">
        <f t="shared" si="2"/>
        <v>1.2715146659121097E-11</v>
      </c>
    </row>
    <row r="33" spans="1:3" ht="15" customHeight="1" x14ac:dyDescent="0.3">
      <c r="A33" s="2">
        <v>3.2</v>
      </c>
      <c r="B33" s="1">
        <f t="shared" si="1"/>
        <v>6.3095734448019244E-4</v>
      </c>
      <c r="C33" s="1">
        <f t="shared" si="2"/>
        <v>1.6007421243857267E-11</v>
      </c>
    </row>
    <row r="34" spans="1:3" ht="15" customHeight="1" x14ac:dyDescent="0.3">
      <c r="A34" s="2">
        <v>3.3</v>
      </c>
      <c r="B34" s="1">
        <f t="shared" si="1"/>
        <v>5.0118723362727209E-4</v>
      </c>
      <c r="C34" s="1">
        <f t="shared" si="2"/>
        <v>2.0152149381185689E-11</v>
      </c>
    </row>
    <row r="35" spans="1:3" ht="15" customHeight="1" x14ac:dyDescent="0.3">
      <c r="A35" s="2">
        <v>3.4</v>
      </c>
      <c r="B35" s="1">
        <f t="shared" si="1"/>
        <v>3.9810717055349708E-4</v>
      </c>
      <c r="C35" s="1">
        <f t="shared" si="2"/>
        <v>2.537005295824677E-11</v>
      </c>
    </row>
    <row r="36" spans="1:3" ht="15" customHeight="1" x14ac:dyDescent="0.3">
      <c r="A36" s="2">
        <v>3.5</v>
      </c>
      <c r="B36" s="1">
        <f t="shared" si="1"/>
        <v>3.1622776601683783E-4</v>
      </c>
      <c r="C36" s="1">
        <f t="shared" si="2"/>
        <v>3.1939004367700641E-11</v>
      </c>
    </row>
    <row r="37" spans="1:3" ht="15" customHeight="1" x14ac:dyDescent="0.3">
      <c r="A37" s="2">
        <v>3.6</v>
      </c>
      <c r="B37" s="1">
        <f t="shared" si="1"/>
        <v>2.5118864315095774E-4</v>
      </c>
      <c r="C37" s="1">
        <f t="shared" si="2"/>
        <v>4.020882422590326E-11</v>
      </c>
    </row>
    <row r="38" spans="1:3" ht="15" customHeight="1" x14ac:dyDescent="0.3">
      <c r="A38" s="2">
        <v>3.7</v>
      </c>
      <c r="B38" s="1">
        <f t="shared" si="1"/>
        <v>1.9952623149688758E-4</v>
      </c>
      <c r="C38" s="1">
        <f t="shared" si="2"/>
        <v>5.0619910596354591E-11</v>
      </c>
    </row>
    <row r="39" spans="1:3" ht="15" customHeight="1" x14ac:dyDescent="0.3">
      <c r="A39" s="2">
        <v>3.8</v>
      </c>
      <c r="B39" s="1">
        <f t="shared" si="1"/>
        <v>1.584893192461112E-4</v>
      </c>
      <c r="C39" s="1">
        <f t="shared" si="2"/>
        <v>6.3726691792499571E-11</v>
      </c>
    </row>
    <row r="40" spans="1:3" ht="15" customHeight="1" x14ac:dyDescent="0.3">
      <c r="A40" s="2">
        <v>3.9</v>
      </c>
      <c r="B40" s="1">
        <f t="shared" si="1"/>
        <v>1.2589254117941672E-4</v>
      </c>
      <c r="C40" s="1">
        <f t="shared" si="2"/>
        <v>8.0227151707152435E-11</v>
      </c>
    </row>
    <row r="41" spans="1:3" ht="15" customHeight="1" x14ac:dyDescent="0.3">
      <c r="A41" s="2">
        <v>4</v>
      </c>
      <c r="B41" s="1">
        <f t="shared" si="1"/>
        <v>1E-4</v>
      </c>
      <c r="C41" s="1">
        <f t="shared" si="2"/>
        <v>1.0099999999999999E-10</v>
      </c>
    </row>
    <row r="42" spans="1:3" ht="15" customHeight="1" x14ac:dyDescent="0.3">
      <c r="A42" s="2">
        <v>4.0999999999999996</v>
      </c>
      <c r="B42" s="1">
        <f t="shared" si="1"/>
        <v>7.9432823472428153E-5</v>
      </c>
      <c r="C42" s="1">
        <f t="shared" si="2"/>
        <v>1.2715146659121088E-10</v>
      </c>
    </row>
    <row r="43" spans="1:3" ht="15" customHeight="1" x14ac:dyDescent="0.3">
      <c r="A43" s="2">
        <v>4.2</v>
      </c>
      <c r="B43" s="1">
        <f t="shared" si="1"/>
        <v>6.3095734448019279E-5</v>
      </c>
      <c r="C43" s="1">
        <f t="shared" si="2"/>
        <v>1.6007421243857255E-10</v>
      </c>
    </row>
    <row r="44" spans="1:3" ht="15" customHeight="1" x14ac:dyDescent="0.3">
      <c r="A44" s="2">
        <v>4.3</v>
      </c>
      <c r="B44" s="1">
        <f t="shared" si="1"/>
        <v>5.0118723362727238E-5</v>
      </c>
      <c r="C44" s="1">
        <f t="shared" si="2"/>
        <v>2.0152149381185678E-10</v>
      </c>
    </row>
    <row r="45" spans="1:3" ht="15" customHeight="1" x14ac:dyDescent="0.3">
      <c r="A45" s="2">
        <v>4.4000000000000004</v>
      </c>
      <c r="B45" s="1">
        <f t="shared" si="1"/>
        <v>3.9810717055349634E-5</v>
      </c>
      <c r="C45" s="1">
        <f t="shared" si="2"/>
        <v>2.5370052958246817E-10</v>
      </c>
    </row>
    <row r="46" spans="1:3" ht="15" customHeight="1" x14ac:dyDescent="0.3">
      <c r="A46" s="2">
        <v>4.5</v>
      </c>
      <c r="B46" s="1">
        <f t="shared" si="1"/>
        <v>3.1622776601683748E-5</v>
      </c>
      <c r="C46" s="1">
        <f t="shared" si="2"/>
        <v>3.1939004367700672E-10</v>
      </c>
    </row>
    <row r="47" spans="1:3" ht="15" customHeight="1" x14ac:dyDescent="0.3">
      <c r="A47" s="2">
        <v>4.5999999999999996</v>
      </c>
      <c r="B47" s="1">
        <f t="shared" si="1"/>
        <v>2.5118864315095791E-5</v>
      </c>
      <c r="C47" s="1">
        <f t="shared" si="2"/>
        <v>4.0208824225903234E-10</v>
      </c>
    </row>
    <row r="48" spans="1:3" ht="15" customHeight="1" x14ac:dyDescent="0.3">
      <c r="A48" s="2">
        <v>4.7</v>
      </c>
      <c r="B48" s="1">
        <f t="shared" si="1"/>
        <v>1.9952623149688769E-5</v>
      </c>
      <c r="C48" s="1">
        <f t="shared" si="2"/>
        <v>5.0619910596354569E-10</v>
      </c>
    </row>
    <row r="49" spans="1:3" ht="15" customHeight="1" x14ac:dyDescent="0.3">
      <c r="A49" s="2">
        <v>4.8</v>
      </c>
      <c r="B49" s="1">
        <f t="shared" si="1"/>
        <v>1.5848931924611131E-5</v>
      </c>
      <c r="C49" s="1">
        <f t="shared" si="2"/>
        <v>6.3726691792499525E-10</v>
      </c>
    </row>
    <row r="50" spans="1:3" ht="15" customHeight="1" x14ac:dyDescent="0.3">
      <c r="A50" s="2">
        <v>4.9000000000000004</v>
      </c>
      <c r="B50" s="1">
        <f t="shared" si="1"/>
        <v>1.2589254117941658E-5</v>
      </c>
      <c r="C50" s="1">
        <f t="shared" si="2"/>
        <v>8.0227151707152515E-10</v>
      </c>
    </row>
    <row r="51" spans="1:3" ht="15" customHeight="1" x14ac:dyDescent="0.3">
      <c r="A51" s="2">
        <v>5</v>
      </c>
      <c r="B51" s="1">
        <f t="shared" si="1"/>
        <v>1.0000000000000001E-5</v>
      </c>
      <c r="C51" s="1">
        <f t="shared" si="2"/>
        <v>1.0099999999999998E-9</v>
      </c>
    </row>
    <row r="52" spans="1:3" ht="15" customHeight="1" x14ac:dyDescent="0.3">
      <c r="A52" s="2">
        <v>5.0999999999999996</v>
      </c>
      <c r="B52" s="1">
        <f t="shared" si="1"/>
        <v>7.9432823472428065E-6</v>
      </c>
      <c r="C52" s="1">
        <f t="shared" si="2"/>
        <v>1.2715146659121102E-9</v>
      </c>
    </row>
    <row r="53" spans="1:3" ht="15" customHeight="1" x14ac:dyDescent="0.3">
      <c r="A53" s="2">
        <v>5.2</v>
      </c>
      <c r="B53" s="1">
        <f t="shared" si="1"/>
        <v>6.3095734448019212E-6</v>
      </c>
      <c r="C53" s="1">
        <f t="shared" si="2"/>
        <v>1.6007421243857275E-9</v>
      </c>
    </row>
    <row r="54" spans="1:3" ht="15" customHeight="1" x14ac:dyDescent="0.3">
      <c r="A54" s="2">
        <v>5.3</v>
      </c>
      <c r="B54" s="1">
        <f t="shared" si="1"/>
        <v>5.011872336272719E-6</v>
      </c>
      <c r="C54" s="1">
        <f t="shared" si="2"/>
        <v>2.0152149381185696E-9</v>
      </c>
    </row>
    <row r="55" spans="1:3" ht="15" customHeight="1" x14ac:dyDescent="0.3">
      <c r="A55" s="2">
        <v>5.4</v>
      </c>
      <c r="B55" s="1">
        <f t="shared" si="1"/>
        <v>3.9810717055349657E-6</v>
      </c>
      <c r="C55" s="1">
        <f t="shared" si="2"/>
        <v>2.53700529582468E-9</v>
      </c>
    </row>
    <row r="56" spans="1:3" ht="15" customHeight="1" x14ac:dyDescent="0.3">
      <c r="A56" s="2">
        <v>5.5</v>
      </c>
      <c r="B56" s="1">
        <f t="shared" si="1"/>
        <v>3.1622776601683767E-6</v>
      </c>
      <c r="C56" s="1">
        <f t="shared" si="2"/>
        <v>3.1939004367700655E-9</v>
      </c>
    </row>
    <row r="57" spans="1:3" ht="15" customHeight="1" x14ac:dyDescent="0.3">
      <c r="A57" s="2">
        <v>5.6</v>
      </c>
      <c r="B57" s="1">
        <f t="shared" si="1"/>
        <v>2.5118864315095806E-6</v>
      </c>
      <c r="C57" s="1">
        <f t="shared" si="2"/>
        <v>4.0208824225903214E-9</v>
      </c>
    </row>
    <row r="58" spans="1:3" ht="15" customHeight="1" x14ac:dyDescent="0.3">
      <c r="A58" s="2">
        <v>5.7</v>
      </c>
      <c r="B58" s="1">
        <f t="shared" si="1"/>
        <v>1.9952623149688749E-6</v>
      </c>
      <c r="C58" s="1">
        <f t="shared" si="2"/>
        <v>5.0619910596354619E-9</v>
      </c>
    </row>
    <row r="59" spans="1:3" ht="15" customHeight="1" x14ac:dyDescent="0.3">
      <c r="A59" s="2">
        <v>5.8</v>
      </c>
      <c r="B59" s="1">
        <f t="shared" si="1"/>
        <v>1.5848931924611111E-6</v>
      </c>
      <c r="C59" s="1">
        <f t="shared" si="2"/>
        <v>6.3726691792499607E-9</v>
      </c>
    </row>
    <row r="60" spans="1:3" ht="15" customHeight="1" x14ac:dyDescent="0.3">
      <c r="A60" s="2">
        <v>5.9</v>
      </c>
      <c r="B60" s="1">
        <f t="shared" si="1"/>
        <v>1.2589254117941642E-6</v>
      </c>
      <c r="C60" s="1">
        <f t="shared" si="2"/>
        <v>8.0227151707152622E-9</v>
      </c>
    </row>
    <row r="61" spans="1:3" ht="15" customHeight="1" x14ac:dyDescent="0.3">
      <c r="A61" s="2">
        <v>6</v>
      </c>
      <c r="B61" s="1">
        <f t="shared" si="1"/>
        <v>9.9999999999999995E-7</v>
      </c>
      <c r="C61" s="1">
        <f t="shared" si="2"/>
        <v>1.0099999999999999E-8</v>
      </c>
    </row>
    <row r="62" spans="1:3" ht="15" customHeight="1" x14ac:dyDescent="0.3">
      <c r="A62" s="2">
        <v>6.1</v>
      </c>
      <c r="B62" s="1">
        <f t="shared" si="1"/>
        <v>7.9432823472428114E-7</v>
      </c>
      <c r="C62" s="1">
        <f t="shared" si="2"/>
        <v>1.2715146659121094E-8</v>
      </c>
    </row>
    <row r="63" spans="1:3" ht="15" customHeight="1" x14ac:dyDescent="0.3">
      <c r="A63" s="2">
        <v>6.2</v>
      </c>
      <c r="B63" s="1">
        <f t="shared" si="1"/>
        <v>6.3095734448019254E-7</v>
      </c>
      <c r="C63" s="1">
        <f t="shared" si="2"/>
        <v>1.6007421243857263E-8</v>
      </c>
    </row>
    <row r="64" spans="1:3" ht="15" customHeight="1" x14ac:dyDescent="0.3">
      <c r="A64" s="2">
        <v>6.3</v>
      </c>
      <c r="B64" s="1">
        <f t="shared" si="1"/>
        <v>5.0118723362727218E-7</v>
      </c>
      <c r="C64" s="1">
        <f t="shared" si="2"/>
        <v>2.0152149381185686E-8</v>
      </c>
    </row>
    <row r="65" spans="1:3" ht="15" customHeight="1" x14ac:dyDescent="0.3">
      <c r="A65" s="2">
        <v>6.4</v>
      </c>
      <c r="B65" s="1">
        <f t="shared" si="1"/>
        <v>3.9810717055349618E-7</v>
      </c>
      <c r="C65" s="1">
        <f t="shared" si="2"/>
        <v>2.5370052958246826E-8</v>
      </c>
    </row>
    <row r="66" spans="1:3" ht="15" customHeight="1" x14ac:dyDescent="0.3">
      <c r="A66" s="2">
        <v>6.5</v>
      </c>
      <c r="B66" s="1">
        <f t="shared" si="1"/>
        <v>3.1622776601683734E-7</v>
      </c>
      <c r="C66" s="1">
        <f t="shared" si="2"/>
        <v>3.1939004367700689E-8</v>
      </c>
    </row>
    <row r="67" spans="1:3" ht="15" customHeight="1" x14ac:dyDescent="0.3">
      <c r="A67" s="2">
        <v>6.6</v>
      </c>
      <c r="B67" s="1">
        <f t="shared" ref="B67:B130" si="3">10^(-A67)</f>
        <v>2.511886431509578E-7</v>
      </c>
      <c r="C67" s="1">
        <f t="shared" ref="C67:C130" si="4">Kw/B67</f>
        <v>4.0208824225903253E-8</v>
      </c>
    </row>
    <row r="68" spans="1:3" ht="15" customHeight="1" x14ac:dyDescent="0.3">
      <c r="A68" s="2">
        <v>6.7</v>
      </c>
      <c r="B68" s="1">
        <f t="shared" si="3"/>
        <v>1.9952623149688761E-7</v>
      </c>
      <c r="C68" s="1">
        <f t="shared" si="4"/>
        <v>5.0619910596354589E-8</v>
      </c>
    </row>
    <row r="69" spans="1:3" ht="15" customHeight="1" x14ac:dyDescent="0.3">
      <c r="A69" s="2">
        <v>6.8</v>
      </c>
      <c r="B69" s="1">
        <f t="shared" si="3"/>
        <v>1.5848931924611122E-7</v>
      </c>
      <c r="C69" s="1">
        <f t="shared" si="4"/>
        <v>6.3726691792499566E-8</v>
      </c>
    </row>
    <row r="70" spans="1:3" ht="15" customHeight="1" x14ac:dyDescent="0.3">
      <c r="A70" s="2">
        <v>6.9</v>
      </c>
      <c r="B70" s="1">
        <f t="shared" si="3"/>
        <v>1.2589254117941651E-7</v>
      </c>
      <c r="C70" s="1">
        <f t="shared" si="4"/>
        <v>8.0227151707152563E-8</v>
      </c>
    </row>
    <row r="71" spans="1:3" ht="15" customHeight="1" x14ac:dyDescent="0.3">
      <c r="A71" s="2">
        <v>7</v>
      </c>
      <c r="B71" s="1">
        <f t="shared" si="3"/>
        <v>9.9999999999999995E-8</v>
      </c>
      <c r="C71" s="1">
        <f t="shared" si="4"/>
        <v>1.0099999999999999E-7</v>
      </c>
    </row>
    <row r="72" spans="1:3" ht="15" customHeight="1" x14ac:dyDescent="0.3">
      <c r="A72" s="2">
        <v>7.1</v>
      </c>
      <c r="B72" s="1">
        <f t="shared" si="3"/>
        <v>7.943282347242818E-8</v>
      </c>
      <c r="C72" s="1">
        <f t="shared" si="4"/>
        <v>1.2715146659121083E-7</v>
      </c>
    </row>
    <row r="73" spans="1:3" ht="15" customHeight="1" x14ac:dyDescent="0.3">
      <c r="A73" s="2">
        <v>7.2</v>
      </c>
      <c r="B73" s="1">
        <f t="shared" si="3"/>
        <v>6.3095734448019177E-8</v>
      </c>
      <c r="C73" s="1">
        <f t="shared" si="4"/>
        <v>1.6007421243857284E-7</v>
      </c>
    </row>
    <row r="74" spans="1:3" ht="15" customHeight="1" x14ac:dyDescent="0.3">
      <c r="A74" s="2">
        <v>7.3</v>
      </c>
      <c r="B74" s="1">
        <f t="shared" si="3"/>
        <v>5.0118723362727164E-8</v>
      </c>
      <c r="C74" s="1">
        <f t="shared" si="4"/>
        <v>2.0152149381185708E-7</v>
      </c>
    </row>
    <row r="75" spans="1:3" ht="15" customHeight="1" x14ac:dyDescent="0.3">
      <c r="A75" s="2">
        <v>7.4</v>
      </c>
      <c r="B75" s="1">
        <f t="shared" si="3"/>
        <v>3.981071705534957E-8</v>
      </c>
      <c r="C75" s="1">
        <f t="shared" si="4"/>
        <v>2.5370052958246857E-7</v>
      </c>
    </row>
    <row r="76" spans="1:3" ht="15" customHeight="1" x14ac:dyDescent="0.3">
      <c r="A76" s="2">
        <v>7.5</v>
      </c>
      <c r="B76" s="1">
        <f t="shared" si="3"/>
        <v>3.1622776601683699E-8</v>
      </c>
      <c r="C76" s="1">
        <f t="shared" si="4"/>
        <v>3.1939004367700723E-7</v>
      </c>
    </row>
    <row r="77" spans="1:3" ht="15" customHeight="1" x14ac:dyDescent="0.3">
      <c r="A77" s="2">
        <v>7.6</v>
      </c>
      <c r="B77" s="1">
        <f t="shared" si="3"/>
        <v>2.5118864315095751E-8</v>
      </c>
      <c r="C77" s="1">
        <f t="shared" si="4"/>
        <v>4.02088242259033E-7</v>
      </c>
    </row>
    <row r="78" spans="1:3" ht="15" customHeight="1" x14ac:dyDescent="0.3">
      <c r="A78" s="2">
        <v>7.7</v>
      </c>
      <c r="B78" s="1">
        <f t="shared" si="3"/>
        <v>1.9952623149688773E-8</v>
      </c>
      <c r="C78" s="1">
        <f t="shared" si="4"/>
        <v>5.0619910596354556E-7</v>
      </c>
    </row>
    <row r="79" spans="1:3" ht="15" customHeight="1" x14ac:dyDescent="0.3">
      <c r="A79" s="2">
        <v>7.8</v>
      </c>
      <c r="B79" s="1">
        <f t="shared" si="3"/>
        <v>1.5848931924611133E-8</v>
      </c>
      <c r="C79" s="1">
        <f t="shared" si="4"/>
        <v>6.3726691792499521E-7</v>
      </c>
    </row>
    <row r="80" spans="1:3" ht="15" customHeight="1" x14ac:dyDescent="0.3">
      <c r="A80" s="2">
        <v>7.9</v>
      </c>
      <c r="B80" s="1">
        <f t="shared" si="3"/>
        <v>1.2589254117941638E-8</v>
      </c>
      <c r="C80" s="1">
        <f t="shared" si="4"/>
        <v>8.0227151707152647E-7</v>
      </c>
    </row>
    <row r="81" spans="1:3" ht="15" customHeight="1" x14ac:dyDescent="0.3">
      <c r="A81" s="2">
        <v>8</v>
      </c>
      <c r="B81" s="1">
        <f t="shared" si="3"/>
        <v>1E-8</v>
      </c>
      <c r="C81" s="1">
        <f t="shared" si="4"/>
        <v>1.0099999999999999E-6</v>
      </c>
    </row>
    <row r="82" spans="1:3" ht="15" customHeight="1" x14ac:dyDescent="0.3">
      <c r="A82" s="2">
        <v>8.1</v>
      </c>
      <c r="B82" s="1">
        <f t="shared" si="3"/>
        <v>7.9432823472428087E-9</v>
      </c>
      <c r="C82" s="1">
        <f t="shared" si="4"/>
        <v>1.2715146659121098E-6</v>
      </c>
    </row>
    <row r="83" spans="1:3" ht="15" customHeight="1" x14ac:dyDescent="0.3">
      <c r="A83" s="2">
        <v>8.1999999999999993</v>
      </c>
      <c r="B83" s="1">
        <f t="shared" si="3"/>
        <v>6.3095734448019329E-9</v>
      </c>
      <c r="C83" s="1">
        <f t="shared" si="4"/>
        <v>1.6007421243857243E-6</v>
      </c>
    </row>
    <row r="84" spans="1:3" ht="15" customHeight="1" x14ac:dyDescent="0.3">
      <c r="A84" s="2">
        <v>8.3000000000000007</v>
      </c>
      <c r="B84" s="1">
        <f t="shared" si="3"/>
        <v>5.0118723362727114E-9</v>
      </c>
      <c r="C84" s="1">
        <f t="shared" si="4"/>
        <v>2.0152149381185727E-6</v>
      </c>
    </row>
    <row r="85" spans="1:3" ht="15" customHeight="1" x14ac:dyDescent="0.3">
      <c r="A85" s="2">
        <v>8.4</v>
      </c>
      <c r="B85" s="1">
        <f t="shared" si="3"/>
        <v>3.9810717055349665E-9</v>
      </c>
      <c r="C85" s="1">
        <f t="shared" si="4"/>
        <v>2.5370052958246796E-6</v>
      </c>
    </row>
    <row r="86" spans="1:3" ht="15" customHeight="1" x14ac:dyDescent="0.3">
      <c r="A86" s="2">
        <v>8.5</v>
      </c>
      <c r="B86" s="1">
        <f t="shared" si="3"/>
        <v>3.1622776601683779E-9</v>
      </c>
      <c r="C86" s="1">
        <f t="shared" si="4"/>
        <v>3.1939004367700643E-6</v>
      </c>
    </row>
    <row r="87" spans="1:3" ht="15" customHeight="1" x14ac:dyDescent="0.3">
      <c r="A87" s="2">
        <v>8.6</v>
      </c>
      <c r="B87" s="1">
        <f t="shared" si="3"/>
        <v>2.5118864315095812E-9</v>
      </c>
      <c r="C87" s="1">
        <f t="shared" si="4"/>
        <v>4.02088242259032E-6</v>
      </c>
    </row>
    <row r="88" spans="1:3" ht="15" customHeight="1" x14ac:dyDescent="0.3">
      <c r="A88" s="2">
        <v>8.6999999999999993</v>
      </c>
      <c r="B88" s="1">
        <f t="shared" si="3"/>
        <v>1.9952623149688824E-9</v>
      </c>
      <c r="C88" s="1">
        <f t="shared" si="4"/>
        <v>5.0619910596354431E-6</v>
      </c>
    </row>
    <row r="89" spans="1:3" ht="15" customHeight="1" x14ac:dyDescent="0.3">
      <c r="A89" s="2">
        <v>8.8000000000000007</v>
      </c>
      <c r="B89" s="1">
        <f t="shared" si="3"/>
        <v>1.584893192461106E-9</v>
      </c>
      <c r="C89" s="1">
        <f t="shared" si="4"/>
        <v>6.3726691792499815E-6</v>
      </c>
    </row>
    <row r="90" spans="1:3" ht="15" customHeight="1" x14ac:dyDescent="0.3">
      <c r="A90" s="2">
        <v>8.9</v>
      </c>
      <c r="B90" s="1">
        <f t="shared" si="3"/>
        <v>1.2589254117941623E-9</v>
      </c>
      <c r="C90" s="1">
        <f t="shared" si="4"/>
        <v>8.0227151707152736E-6</v>
      </c>
    </row>
    <row r="91" spans="1:3" ht="15" customHeight="1" x14ac:dyDescent="0.3">
      <c r="A91" s="2">
        <v>9</v>
      </c>
      <c r="B91" s="1">
        <f t="shared" si="3"/>
        <v>1.0000000000000001E-9</v>
      </c>
      <c r="C91" s="1">
        <f t="shared" si="4"/>
        <v>1.0099999999999998E-5</v>
      </c>
    </row>
    <row r="92" spans="1:3" ht="15" customHeight="1" x14ac:dyDescent="0.3">
      <c r="A92" s="2">
        <v>9.1</v>
      </c>
      <c r="B92" s="1">
        <f t="shared" si="3"/>
        <v>7.9432823472428E-10</v>
      </c>
      <c r="C92" s="1">
        <f t="shared" si="4"/>
        <v>1.2715146659121113E-5</v>
      </c>
    </row>
    <row r="93" spans="1:3" ht="15" customHeight="1" x14ac:dyDescent="0.3">
      <c r="A93" s="2">
        <v>9.1999999999999993</v>
      </c>
      <c r="B93" s="1">
        <f t="shared" si="3"/>
        <v>6.309573444801927E-10</v>
      </c>
      <c r="C93" s="1">
        <f t="shared" si="4"/>
        <v>1.6007421243857258E-5</v>
      </c>
    </row>
    <row r="94" spans="1:3" ht="15" customHeight="1" x14ac:dyDescent="0.3">
      <c r="A94" s="2">
        <v>9.3000000000000007</v>
      </c>
      <c r="B94" s="1">
        <f t="shared" si="3"/>
        <v>5.011872336272705E-10</v>
      </c>
      <c r="C94" s="1">
        <f t="shared" si="4"/>
        <v>2.0152149381185755E-5</v>
      </c>
    </row>
    <row r="95" spans="1:3" ht="15" customHeight="1" x14ac:dyDescent="0.3">
      <c r="A95" s="2">
        <v>9.4</v>
      </c>
      <c r="B95" s="1">
        <f t="shared" si="3"/>
        <v>3.9810717055349621E-10</v>
      </c>
      <c r="C95" s="1">
        <f t="shared" si="4"/>
        <v>2.5370052958246823E-5</v>
      </c>
    </row>
    <row r="96" spans="1:3" ht="15" customHeight="1" x14ac:dyDescent="0.3">
      <c r="A96" s="2">
        <v>9.5</v>
      </c>
      <c r="B96" s="1">
        <f t="shared" si="3"/>
        <v>3.1622776601683744E-10</v>
      </c>
      <c r="C96" s="1">
        <f t="shared" si="4"/>
        <v>3.193900436770068E-5</v>
      </c>
    </row>
    <row r="97" spans="1:3" ht="15" customHeight="1" x14ac:dyDescent="0.3">
      <c r="A97" s="2">
        <v>9.6</v>
      </c>
      <c r="B97" s="1">
        <f t="shared" si="3"/>
        <v>2.5118864315095784E-10</v>
      </c>
      <c r="C97" s="1">
        <f t="shared" si="4"/>
        <v>4.0208824225903246E-5</v>
      </c>
    </row>
    <row r="98" spans="1:3" ht="15" customHeight="1" x14ac:dyDescent="0.3">
      <c r="A98" s="2">
        <v>9.6999999999999993</v>
      </c>
      <c r="B98" s="1">
        <f t="shared" si="3"/>
        <v>1.9952623149688802E-10</v>
      </c>
      <c r="C98" s="1">
        <f t="shared" si="4"/>
        <v>5.0619910596354482E-5</v>
      </c>
    </row>
    <row r="99" spans="1:3" ht="15" customHeight="1" x14ac:dyDescent="0.3">
      <c r="A99" s="2">
        <v>9.8000000000000007</v>
      </c>
      <c r="B99" s="1">
        <f t="shared" si="3"/>
        <v>1.5848931924611098E-10</v>
      </c>
      <c r="C99" s="1">
        <f t="shared" si="4"/>
        <v>6.3726691792499661E-5</v>
      </c>
    </row>
    <row r="100" spans="1:3" ht="15" customHeight="1" x14ac:dyDescent="0.3">
      <c r="A100" s="2">
        <v>9.9</v>
      </c>
      <c r="B100" s="1">
        <f t="shared" si="3"/>
        <v>1.2589254117941656E-10</v>
      </c>
      <c r="C100" s="1">
        <f t="shared" si="4"/>
        <v>8.0227151707152526E-5</v>
      </c>
    </row>
    <row r="101" spans="1:3" ht="15" customHeight="1" x14ac:dyDescent="0.3">
      <c r="A101" s="2">
        <v>10</v>
      </c>
      <c r="B101" s="1">
        <f t="shared" si="3"/>
        <v>1E-10</v>
      </c>
      <c r="C101" s="1">
        <f t="shared" si="4"/>
        <v>1.0099999999999999E-4</v>
      </c>
    </row>
    <row r="102" spans="1:3" ht="15" customHeight="1" x14ac:dyDescent="0.3">
      <c r="A102" s="2">
        <v>10.1</v>
      </c>
      <c r="B102" s="1">
        <f t="shared" si="3"/>
        <v>7.943282347242792E-11</v>
      </c>
      <c r="C102" s="1">
        <f t="shared" si="4"/>
        <v>1.2715146659121124E-4</v>
      </c>
    </row>
    <row r="103" spans="1:3" ht="15" customHeight="1" x14ac:dyDescent="0.3">
      <c r="A103" s="2">
        <v>10.199999999999999</v>
      </c>
      <c r="B103" s="1">
        <f t="shared" si="3"/>
        <v>6.3095734448019192E-11</v>
      </c>
      <c r="C103" s="1">
        <f t="shared" si="4"/>
        <v>1.600742124385728E-4</v>
      </c>
    </row>
    <row r="104" spans="1:3" ht="15" customHeight="1" x14ac:dyDescent="0.3">
      <c r="A104" s="2">
        <v>10.3</v>
      </c>
      <c r="B104" s="1">
        <f t="shared" si="3"/>
        <v>5.0118723362726993E-11</v>
      </c>
      <c r="C104" s="1">
        <f t="shared" si="4"/>
        <v>2.0152149381185778E-4</v>
      </c>
    </row>
    <row r="105" spans="1:3" ht="15" customHeight="1" x14ac:dyDescent="0.3">
      <c r="A105" s="2">
        <v>10.4</v>
      </c>
      <c r="B105" s="1">
        <f t="shared" si="3"/>
        <v>3.9810717055349579E-11</v>
      </c>
      <c r="C105" s="1">
        <f t="shared" si="4"/>
        <v>2.5370052958246852E-4</v>
      </c>
    </row>
    <row r="106" spans="1:3" ht="15" customHeight="1" x14ac:dyDescent="0.3">
      <c r="A106" s="2">
        <v>10.5</v>
      </c>
      <c r="B106" s="1">
        <f t="shared" si="3"/>
        <v>3.162277660168371E-11</v>
      </c>
      <c r="C106" s="1">
        <f t="shared" si="4"/>
        <v>3.1939004367700712E-4</v>
      </c>
    </row>
    <row r="107" spans="1:3" ht="15" customHeight="1" x14ac:dyDescent="0.3">
      <c r="A107" s="2">
        <v>10.6</v>
      </c>
      <c r="B107" s="1">
        <f t="shared" si="3"/>
        <v>2.5118864315095759E-11</v>
      </c>
      <c r="C107" s="1">
        <f t="shared" si="4"/>
        <v>4.0208824225903287E-4</v>
      </c>
    </row>
    <row r="108" spans="1:3" ht="15" customHeight="1" x14ac:dyDescent="0.3">
      <c r="A108" s="2">
        <v>10.7</v>
      </c>
      <c r="B108" s="1">
        <f t="shared" si="3"/>
        <v>1.995262314968878E-11</v>
      </c>
      <c r="C108" s="1">
        <f t="shared" si="4"/>
        <v>5.0619910596354538E-4</v>
      </c>
    </row>
    <row r="109" spans="1:3" ht="15" customHeight="1" x14ac:dyDescent="0.3">
      <c r="A109" s="2">
        <v>10.8</v>
      </c>
      <c r="B109" s="1">
        <f t="shared" si="3"/>
        <v>1.5848931924611082E-11</v>
      </c>
      <c r="C109" s="1">
        <f t="shared" si="4"/>
        <v>6.3726691792499724E-4</v>
      </c>
    </row>
    <row r="110" spans="1:3" ht="15" customHeight="1" x14ac:dyDescent="0.3">
      <c r="A110" s="2">
        <v>10.9</v>
      </c>
      <c r="B110" s="1">
        <f t="shared" si="3"/>
        <v>1.2589254117941641E-11</v>
      </c>
      <c r="C110" s="1">
        <f t="shared" si="4"/>
        <v>8.0227151707152624E-4</v>
      </c>
    </row>
    <row r="111" spans="1:3" ht="15" customHeight="1" x14ac:dyDescent="0.3">
      <c r="A111" s="2">
        <v>11</v>
      </c>
      <c r="B111" s="1">
        <f t="shared" si="3"/>
        <v>9.9999999999999994E-12</v>
      </c>
      <c r="C111" s="1">
        <f t="shared" si="4"/>
        <v>1.01E-3</v>
      </c>
    </row>
    <row r="112" spans="1:3" ht="15" customHeight="1" x14ac:dyDescent="0.3">
      <c r="A112" s="2">
        <v>11.1</v>
      </c>
      <c r="B112" s="1">
        <f t="shared" si="3"/>
        <v>7.9432823472428101E-12</v>
      </c>
      <c r="C112" s="1">
        <f t="shared" si="4"/>
        <v>1.2715146659121096E-3</v>
      </c>
    </row>
    <row r="113" spans="1:3" ht="15" customHeight="1" x14ac:dyDescent="0.3">
      <c r="A113" s="2">
        <v>11.2</v>
      </c>
      <c r="B113" s="1">
        <f t="shared" si="3"/>
        <v>6.3095734448019345E-12</v>
      </c>
      <c r="C113" s="1">
        <f t="shared" si="4"/>
        <v>1.600742124385724E-3</v>
      </c>
    </row>
    <row r="114" spans="1:3" ht="15" customHeight="1" x14ac:dyDescent="0.3">
      <c r="A114" s="2">
        <v>11.3</v>
      </c>
      <c r="B114" s="1">
        <f t="shared" si="3"/>
        <v>5.0118723362726945E-12</v>
      </c>
      <c r="C114" s="1">
        <f t="shared" si="4"/>
        <v>2.0152149381185798E-3</v>
      </c>
    </row>
    <row r="115" spans="1:3" ht="15" customHeight="1" x14ac:dyDescent="0.3">
      <c r="A115" s="2">
        <v>11.4</v>
      </c>
      <c r="B115" s="1">
        <f t="shared" si="3"/>
        <v>3.9810717055349533E-12</v>
      </c>
      <c r="C115" s="1">
        <f t="shared" si="4"/>
        <v>2.5370052958246878E-3</v>
      </c>
    </row>
    <row r="116" spans="1:3" ht="15" customHeight="1" x14ac:dyDescent="0.3">
      <c r="A116" s="2">
        <v>11.5</v>
      </c>
      <c r="B116" s="1">
        <f t="shared" si="3"/>
        <v>3.1622776601683669E-12</v>
      </c>
      <c r="C116" s="1">
        <f t="shared" si="4"/>
        <v>3.1939004367700754E-3</v>
      </c>
    </row>
    <row r="117" spans="1:3" ht="15" customHeight="1" x14ac:dyDescent="0.3">
      <c r="A117" s="2">
        <v>11.6</v>
      </c>
      <c r="B117" s="1">
        <f t="shared" si="3"/>
        <v>2.5118864315095726E-12</v>
      </c>
      <c r="C117" s="1">
        <f t="shared" si="4"/>
        <v>4.0208824225903342E-3</v>
      </c>
    </row>
    <row r="118" spans="1:3" ht="15" customHeight="1" x14ac:dyDescent="0.3">
      <c r="A118" s="2">
        <v>11.7</v>
      </c>
      <c r="B118" s="1">
        <f t="shared" si="3"/>
        <v>1.9952623149688759E-12</v>
      </c>
      <c r="C118" s="1">
        <f t="shared" si="4"/>
        <v>5.061991059635459E-3</v>
      </c>
    </row>
    <row r="119" spans="1:3" ht="15" customHeight="1" x14ac:dyDescent="0.3">
      <c r="A119" s="2">
        <v>11.8</v>
      </c>
      <c r="B119" s="1">
        <f t="shared" si="3"/>
        <v>1.5848931924611065E-12</v>
      </c>
      <c r="C119" s="1">
        <f t="shared" si="4"/>
        <v>6.3726691792499795E-3</v>
      </c>
    </row>
    <row r="120" spans="1:3" ht="15" customHeight="1" x14ac:dyDescent="0.3">
      <c r="A120" s="2">
        <v>11.9</v>
      </c>
      <c r="B120" s="1">
        <f t="shared" si="3"/>
        <v>1.2589254117941629E-12</v>
      </c>
      <c r="C120" s="1">
        <f t="shared" si="4"/>
        <v>8.0227151707152698E-3</v>
      </c>
    </row>
    <row r="121" spans="1:3" ht="15" customHeight="1" x14ac:dyDescent="0.3">
      <c r="A121" s="2">
        <v>12</v>
      </c>
      <c r="B121" s="1">
        <f t="shared" si="3"/>
        <v>9.9999999999999998E-13</v>
      </c>
      <c r="C121" s="1">
        <f t="shared" si="4"/>
        <v>1.01E-2</v>
      </c>
    </row>
    <row r="122" spans="1:3" ht="15" customHeight="1" x14ac:dyDescent="0.3">
      <c r="A122" s="2">
        <v>12.1</v>
      </c>
      <c r="B122" s="1">
        <f t="shared" si="3"/>
        <v>7.9432823472428024E-13</v>
      </c>
      <c r="C122" s="1">
        <f t="shared" si="4"/>
        <v>1.2715146659121108E-2</v>
      </c>
    </row>
    <row r="123" spans="1:3" ht="15" customHeight="1" x14ac:dyDescent="0.3">
      <c r="A123" s="2">
        <v>12.2</v>
      </c>
      <c r="B123" s="1">
        <f t="shared" si="3"/>
        <v>6.3095734448019283E-13</v>
      </c>
      <c r="C123" s="1">
        <f t="shared" si="4"/>
        <v>1.6007421243857255E-2</v>
      </c>
    </row>
    <row r="124" spans="1:3" ht="15" customHeight="1" x14ac:dyDescent="0.3">
      <c r="A124" s="2">
        <v>12.3</v>
      </c>
      <c r="B124" s="1">
        <f t="shared" si="3"/>
        <v>5.0118723362727066E-13</v>
      </c>
      <c r="C124" s="1">
        <f t="shared" si="4"/>
        <v>2.0152149381185747E-2</v>
      </c>
    </row>
    <row r="125" spans="1:3" ht="15" customHeight="1" x14ac:dyDescent="0.3">
      <c r="A125" s="2">
        <v>12.4</v>
      </c>
      <c r="B125" s="1">
        <f t="shared" si="3"/>
        <v>3.9810717055349631E-13</v>
      </c>
      <c r="C125" s="1">
        <f t="shared" si="4"/>
        <v>2.5370052958246816E-2</v>
      </c>
    </row>
    <row r="126" spans="1:3" ht="15" customHeight="1" x14ac:dyDescent="0.3">
      <c r="A126" s="2">
        <v>12.5</v>
      </c>
      <c r="B126" s="1">
        <f t="shared" si="3"/>
        <v>3.1622776601683746E-13</v>
      </c>
      <c r="C126" s="1">
        <f t="shared" si="4"/>
        <v>3.1939004367700675E-2</v>
      </c>
    </row>
    <row r="127" spans="1:3" ht="15" customHeight="1" x14ac:dyDescent="0.3">
      <c r="A127" s="2">
        <v>12.6</v>
      </c>
      <c r="B127" s="1">
        <f t="shared" si="3"/>
        <v>2.511886431509579E-13</v>
      </c>
      <c r="C127" s="1">
        <f t="shared" si="4"/>
        <v>4.0208824225903238E-2</v>
      </c>
    </row>
    <row r="128" spans="1:3" ht="15" customHeight="1" x14ac:dyDescent="0.3">
      <c r="A128" s="2">
        <v>12.7</v>
      </c>
      <c r="B128" s="1">
        <f t="shared" si="3"/>
        <v>1.9952623149688807E-13</v>
      </c>
      <c r="C128" s="1">
        <f t="shared" si="4"/>
        <v>5.061991059635447E-2</v>
      </c>
    </row>
    <row r="129" spans="1:3" ht="15" customHeight="1" x14ac:dyDescent="0.3">
      <c r="A129" s="2">
        <v>12.8</v>
      </c>
      <c r="B129" s="1">
        <f t="shared" si="3"/>
        <v>1.5848931924611046E-13</v>
      </c>
      <c r="C129" s="1">
        <f t="shared" si="4"/>
        <v>6.3726691792499873E-2</v>
      </c>
    </row>
    <row r="130" spans="1:3" ht="15" customHeight="1" x14ac:dyDescent="0.3">
      <c r="A130" s="2">
        <v>12.9</v>
      </c>
      <c r="B130" s="1">
        <f t="shared" si="3"/>
        <v>1.2589254117941612E-13</v>
      </c>
      <c r="C130" s="1">
        <f t="shared" si="4"/>
        <v>8.0227151707152805E-2</v>
      </c>
    </row>
    <row r="131" spans="1:3" ht="15" customHeight="1" x14ac:dyDescent="0.3">
      <c r="A131" s="2">
        <v>13</v>
      </c>
      <c r="B131" s="1">
        <f t="shared" ref="B131:B141" si="5">10^(-A131)</f>
        <v>1E-13</v>
      </c>
      <c r="C131" s="1">
        <f t="shared" ref="C131:C141" si="6">Kw/B131</f>
        <v>0.10099999999999999</v>
      </c>
    </row>
    <row r="132" spans="1:3" ht="15" customHeight="1" x14ac:dyDescent="0.3">
      <c r="A132" s="2">
        <v>13.1</v>
      </c>
      <c r="B132" s="1">
        <f t="shared" si="5"/>
        <v>7.9432823472427931E-14</v>
      </c>
      <c r="C132" s="1">
        <f t="shared" si="6"/>
        <v>0.12715146659121124</v>
      </c>
    </row>
    <row r="133" spans="1:3" ht="15" customHeight="1" x14ac:dyDescent="0.3">
      <c r="A133" s="2">
        <v>13.2</v>
      </c>
      <c r="B133" s="1">
        <f t="shared" si="5"/>
        <v>6.3095734448019215E-14</v>
      </c>
      <c r="C133" s="1">
        <f t="shared" si="6"/>
        <v>0.16007421243857273</v>
      </c>
    </row>
    <row r="134" spans="1:3" ht="15" customHeight="1" x14ac:dyDescent="0.3">
      <c r="A134" s="2">
        <v>13.3</v>
      </c>
      <c r="B134" s="1">
        <f t="shared" si="5"/>
        <v>5.0118723362727011E-14</v>
      </c>
      <c r="C134" s="1">
        <f t="shared" si="6"/>
        <v>0.20152149381185769</v>
      </c>
    </row>
    <row r="135" spans="1:3" ht="15" customHeight="1" x14ac:dyDescent="0.3">
      <c r="A135" s="2">
        <v>13.4</v>
      </c>
      <c r="B135" s="1">
        <f t="shared" si="5"/>
        <v>3.9810717055349592E-14</v>
      </c>
      <c r="C135" s="1">
        <f t="shared" si="6"/>
        <v>0.25370052958246841</v>
      </c>
    </row>
    <row r="136" spans="1:3" ht="15" customHeight="1" x14ac:dyDescent="0.3">
      <c r="A136" s="2">
        <v>13.5</v>
      </c>
      <c r="B136" s="1">
        <f t="shared" si="5"/>
        <v>3.1622776601683714E-14</v>
      </c>
      <c r="C136" s="1">
        <f t="shared" si="6"/>
        <v>0.31939004367700707</v>
      </c>
    </row>
    <row r="137" spans="1:3" ht="15" customHeight="1" x14ac:dyDescent="0.3">
      <c r="A137" s="2">
        <v>13.6</v>
      </c>
      <c r="B137" s="1">
        <f t="shared" si="5"/>
        <v>2.511886431509576E-14</v>
      </c>
      <c r="C137" s="1">
        <f t="shared" si="6"/>
        <v>0.40208824225903284</v>
      </c>
    </row>
    <row r="138" spans="1:3" ht="15" customHeight="1" x14ac:dyDescent="0.3">
      <c r="A138" s="2">
        <v>13.7</v>
      </c>
      <c r="B138" s="1">
        <f t="shared" si="5"/>
        <v>1.9952623149688784E-14</v>
      </c>
      <c r="C138" s="1">
        <f t="shared" si="6"/>
        <v>0.50619910596354523</v>
      </c>
    </row>
    <row r="139" spans="1:3" ht="15" customHeight="1" x14ac:dyDescent="0.3">
      <c r="A139" s="2">
        <v>13.8</v>
      </c>
      <c r="B139" s="1">
        <f t="shared" si="5"/>
        <v>1.5848931924611084E-14</v>
      </c>
      <c r="C139" s="1">
        <f t="shared" si="6"/>
        <v>0.63726691792499712</v>
      </c>
    </row>
    <row r="140" spans="1:3" ht="15" customHeight="1" x14ac:dyDescent="0.3">
      <c r="A140" s="2">
        <v>13.9</v>
      </c>
      <c r="B140" s="1">
        <f t="shared" si="5"/>
        <v>1.2589254117941644E-14</v>
      </c>
      <c r="C140" s="1">
        <f t="shared" si="6"/>
        <v>0.802271517071526</v>
      </c>
    </row>
    <row r="141" spans="1:3" ht="15" customHeight="1" x14ac:dyDescent="0.3">
      <c r="A141" s="2">
        <v>14</v>
      </c>
      <c r="B141" s="1">
        <f t="shared" si="5"/>
        <v>1E-14</v>
      </c>
      <c r="C141" s="1">
        <f t="shared" si="6"/>
        <v>1.01</v>
      </c>
    </row>
    <row r="1401" spans="1:702" s="7" customFormat="1" ht="15" customHeight="1" x14ac:dyDescent="0.3">
      <c r="A1401" s="2"/>
      <c r="B1401" s="1"/>
      <c r="C1401" s="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 s="1"/>
      <c r="AV1401" s="1"/>
      <c r="AW1401" s="1"/>
      <c r="AX1401" s="1"/>
      <c r="AY1401" s="1"/>
      <c r="AZ1401" s="1"/>
      <c r="BA1401" s="2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1"/>
      <c r="CE1401" s="1"/>
      <c r="CF1401" s="1"/>
      <c r="CG1401" s="1"/>
      <c r="CH1401" s="1"/>
      <c r="CI1401" s="1"/>
      <c r="CJ1401" s="1"/>
      <c r="CK1401" s="1"/>
      <c r="CL1401" s="1"/>
      <c r="CM1401" s="1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  <c r="CX1401" s="1"/>
      <c r="CY1401" s="1"/>
      <c r="CZ1401" s="1"/>
      <c r="DA1401" s="1"/>
      <c r="DB1401" s="1"/>
      <c r="DC1401" s="1"/>
      <c r="DD1401" s="1"/>
      <c r="DE1401" s="1"/>
      <c r="DF1401" s="1"/>
      <c r="DG1401" s="1"/>
      <c r="DH1401" s="1"/>
      <c r="DI1401" s="1"/>
      <c r="DJ1401" s="1"/>
      <c r="DK1401" s="1"/>
      <c r="DL1401" s="1"/>
      <c r="DM1401" s="1"/>
      <c r="DN1401" s="1"/>
      <c r="DO1401" s="1"/>
      <c r="DP1401" s="1"/>
      <c r="DQ1401" s="1"/>
      <c r="DR1401" s="1"/>
      <c r="DS1401" s="1"/>
      <c r="DT1401" s="1"/>
      <c r="DU1401" s="1"/>
      <c r="DV1401" s="1"/>
      <c r="DW1401" s="1"/>
      <c r="DX1401" s="1"/>
      <c r="DY1401" s="1"/>
      <c r="DZ1401" s="1"/>
      <c r="EA1401" s="1"/>
      <c r="EB1401" s="1"/>
      <c r="EC1401" s="1"/>
      <c r="ED1401" s="1"/>
      <c r="EE1401" s="1"/>
      <c r="EF1401" s="1"/>
      <c r="EG1401" s="1"/>
      <c r="EH1401" s="1"/>
      <c r="EI1401" s="1"/>
      <c r="EJ1401" s="1"/>
      <c r="EK1401" s="1"/>
      <c r="EL1401" s="1"/>
      <c r="EM1401" s="1"/>
      <c r="EN1401" s="1"/>
      <c r="EO1401" s="1"/>
      <c r="EP1401" s="1"/>
      <c r="EQ1401" s="1"/>
      <c r="ER1401" s="1"/>
      <c r="ES1401" s="1"/>
      <c r="ET1401" s="1"/>
      <c r="EU1401" s="1"/>
      <c r="EV1401" s="1"/>
      <c r="EW1401" s="1"/>
      <c r="EX1401" s="1"/>
      <c r="EY1401" s="1"/>
      <c r="EZ1401" s="1"/>
      <c r="FA1401" s="1"/>
      <c r="FB1401" s="1"/>
      <c r="FC1401" s="1"/>
      <c r="FD1401" s="1"/>
      <c r="FE1401" s="1"/>
      <c r="FF1401" s="1"/>
      <c r="FG1401" s="1"/>
      <c r="FH1401" s="1"/>
      <c r="FI1401" s="1"/>
      <c r="FJ1401" s="1"/>
      <c r="FK1401" s="1"/>
      <c r="FL1401" s="1"/>
      <c r="FM1401" s="1"/>
      <c r="FN1401" s="1"/>
      <c r="FO1401" s="1"/>
      <c r="FP1401" s="1"/>
      <c r="FQ1401" s="1"/>
      <c r="FR1401" s="1"/>
      <c r="FS1401" s="1"/>
      <c r="FT1401" s="1"/>
      <c r="FU1401" s="1"/>
      <c r="FV1401" s="1"/>
      <c r="FW1401" s="1"/>
      <c r="FX1401" s="1"/>
      <c r="FY1401" s="1"/>
      <c r="FZ1401" s="1"/>
      <c r="GA1401" s="1"/>
      <c r="GB1401" s="1"/>
      <c r="GC1401" s="1"/>
      <c r="GD1401" s="1"/>
      <c r="GE1401" s="1"/>
      <c r="GF1401" s="1"/>
      <c r="GG1401" s="1"/>
      <c r="GH1401" s="1"/>
      <c r="GI1401" s="1"/>
      <c r="GJ1401" s="1"/>
      <c r="GK1401" s="1"/>
      <c r="GL1401" s="1"/>
      <c r="GM1401" s="1"/>
      <c r="GN1401" s="1"/>
      <c r="GO1401" s="1"/>
      <c r="GP1401" s="1"/>
      <c r="GQ1401" s="1"/>
      <c r="GR1401" s="1"/>
      <c r="GS1401" s="1"/>
      <c r="GT1401" s="1"/>
      <c r="GU1401" s="1"/>
      <c r="GV1401" s="1"/>
      <c r="GW1401" s="1"/>
      <c r="GX1401" s="1"/>
      <c r="GY1401" s="1"/>
      <c r="GZ1401" s="1"/>
      <c r="HA1401" s="1"/>
      <c r="HB1401" s="1"/>
      <c r="HC1401" s="1"/>
      <c r="HD1401" s="1"/>
      <c r="HE1401" s="1"/>
      <c r="HF1401" s="1"/>
      <c r="HG1401" s="1"/>
      <c r="HH1401" s="1"/>
      <c r="HI1401" s="1"/>
      <c r="HJ1401" s="1"/>
      <c r="HK1401" s="1"/>
      <c r="HL1401" s="1"/>
      <c r="HM1401" s="1"/>
      <c r="HN1401" s="1"/>
      <c r="HO1401" s="1"/>
      <c r="HP1401" s="1"/>
      <c r="HQ1401" s="1"/>
      <c r="HR1401" s="1"/>
      <c r="HS1401" s="1"/>
      <c r="HT1401" s="1"/>
      <c r="HU1401" s="1"/>
      <c r="HV1401" s="1"/>
      <c r="HW1401" s="1"/>
      <c r="HX1401" s="1"/>
      <c r="HY1401" s="1"/>
      <c r="HZ1401" s="1"/>
      <c r="IA1401" s="1"/>
      <c r="IB1401" s="1"/>
      <c r="IC1401" s="1"/>
      <c r="ID1401" s="1"/>
      <c r="IE1401" s="1"/>
      <c r="IF1401" s="1"/>
      <c r="IG1401" s="1"/>
      <c r="IH1401" s="1"/>
      <c r="II1401" s="1"/>
      <c r="IJ1401" s="1"/>
      <c r="IK1401" s="1"/>
      <c r="IL1401" s="1"/>
      <c r="IM1401" s="1"/>
      <c r="IN1401" s="1"/>
      <c r="IO1401" s="1"/>
      <c r="IP1401" s="1"/>
      <c r="IQ1401" s="1"/>
      <c r="IR1401" s="1"/>
      <c r="IS1401" s="1"/>
      <c r="IT1401" s="1"/>
      <c r="IU1401" s="1"/>
      <c r="IV1401" s="1"/>
      <c r="IW1401" s="1"/>
      <c r="IX1401" s="1"/>
      <c r="IY1401" s="1"/>
      <c r="IZ1401" s="1"/>
      <c r="JA1401" s="1"/>
      <c r="JB1401" s="1"/>
      <c r="JC1401" s="1"/>
      <c r="JD1401" s="1"/>
      <c r="JE1401" s="1"/>
      <c r="JF1401" s="1"/>
      <c r="JG1401" s="1"/>
      <c r="JH1401" s="1"/>
      <c r="JI1401" s="1"/>
      <c r="JJ1401" s="1"/>
      <c r="JK1401" s="1"/>
      <c r="JL1401" s="1"/>
      <c r="JM1401" s="1"/>
      <c r="JN1401" s="1"/>
      <c r="JO1401" s="1"/>
      <c r="JP1401" s="1"/>
      <c r="JQ1401" s="1"/>
      <c r="JR1401" s="1"/>
      <c r="JS1401" s="1"/>
      <c r="JT1401" s="1"/>
      <c r="JU1401" s="1"/>
      <c r="JV1401" s="1"/>
      <c r="JW1401" s="1"/>
      <c r="JX1401" s="1"/>
      <c r="JY1401" s="1"/>
      <c r="JZ1401" s="1"/>
      <c r="KA1401" s="1"/>
      <c r="KB1401" s="1"/>
      <c r="KC1401" s="1"/>
      <c r="KD1401" s="1"/>
      <c r="KE1401" s="1"/>
      <c r="KF1401" s="1"/>
      <c r="KG1401" s="1"/>
      <c r="KH1401" s="1"/>
      <c r="KI1401" s="1"/>
      <c r="KJ1401" s="1"/>
      <c r="KK1401" s="1"/>
      <c r="KL1401" s="1"/>
      <c r="KM1401" s="1"/>
      <c r="KN1401" s="1"/>
      <c r="KO1401" s="1"/>
      <c r="KP1401" s="1"/>
      <c r="KQ1401" s="1"/>
      <c r="KR1401" s="1"/>
      <c r="KS1401" s="1"/>
      <c r="KT1401" s="1"/>
      <c r="KU1401" s="1"/>
      <c r="KV1401" s="1"/>
      <c r="KW1401" s="1"/>
      <c r="KX1401" s="1"/>
      <c r="KY1401" s="1"/>
      <c r="KZ1401" s="1"/>
      <c r="LA1401" s="1"/>
      <c r="LB1401" s="1"/>
      <c r="LC1401" s="1"/>
      <c r="LD1401" s="1"/>
      <c r="LE1401" s="1"/>
      <c r="LF1401" s="1"/>
      <c r="LG1401" s="1"/>
      <c r="LH1401" s="1"/>
      <c r="LI1401" s="1"/>
      <c r="LJ1401" s="1"/>
      <c r="LK1401" s="1"/>
      <c r="LL1401" s="1"/>
      <c r="LM1401" s="1"/>
      <c r="LN1401" s="1"/>
      <c r="LO1401" s="1"/>
      <c r="LP1401" s="1"/>
      <c r="LQ1401" s="1"/>
      <c r="LR1401" s="1"/>
      <c r="LS1401" s="1"/>
      <c r="LT1401" s="1"/>
      <c r="LU1401" s="1"/>
      <c r="LV1401" s="1"/>
      <c r="LW1401" s="1"/>
      <c r="LX1401" s="1"/>
      <c r="LY1401" s="1"/>
      <c r="LZ1401" s="1"/>
      <c r="MA1401" s="1"/>
      <c r="MB1401" s="1"/>
      <c r="MC1401" s="1"/>
      <c r="MD1401" s="1"/>
      <c r="ME1401" s="1"/>
      <c r="MF1401" s="1"/>
      <c r="MG1401" s="1"/>
      <c r="MH1401" s="1"/>
      <c r="MI1401" s="1"/>
      <c r="MJ1401" s="1"/>
      <c r="MK1401" s="1"/>
      <c r="ML1401" s="1"/>
      <c r="MM1401" s="1"/>
      <c r="MN1401" s="1"/>
      <c r="MO1401" s="1"/>
      <c r="MP1401" s="1"/>
      <c r="MQ1401" s="1"/>
      <c r="MR1401" s="1"/>
      <c r="MS1401" s="1"/>
      <c r="MT1401" s="1"/>
      <c r="MU1401" s="1"/>
      <c r="MV1401" s="1"/>
      <c r="MW1401" s="1"/>
      <c r="MX1401" s="1"/>
      <c r="MY1401" s="1"/>
      <c r="MZ1401" s="1"/>
      <c r="NA1401" s="1"/>
      <c r="NB1401" s="1"/>
      <c r="NC1401" s="1"/>
      <c r="ND1401" s="1"/>
      <c r="NE1401" s="1"/>
      <c r="NF1401" s="1"/>
      <c r="NG1401" s="1"/>
      <c r="NH1401" s="1"/>
      <c r="NI1401" s="1"/>
      <c r="NJ1401" s="1"/>
      <c r="NK1401" s="1"/>
      <c r="NL1401" s="1"/>
      <c r="NM1401" s="1"/>
      <c r="NN1401" s="1"/>
      <c r="NO1401" s="1"/>
      <c r="NP1401" s="1"/>
      <c r="NQ1401" s="1"/>
      <c r="NR1401" s="1"/>
      <c r="NS1401" s="1"/>
      <c r="NT1401" s="1"/>
      <c r="NU1401" s="1"/>
      <c r="NV1401" s="1"/>
      <c r="NW1401" s="1"/>
      <c r="NX1401" s="1"/>
      <c r="NY1401" s="1"/>
      <c r="NZ1401" s="1"/>
      <c r="OA1401" s="1"/>
      <c r="OB1401" s="1"/>
      <c r="OC1401" s="1"/>
      <c r="OD1401" s="1"/>
      <c r="OE1401" s="1"/>
      <c r="OF1401" s="1"/>
      <c r="OG1401" s="1"/>
      <c r="OH1401" s="1"/>
      <c r="OI1401" s="1"/>
      <c r="OJ1401" s="1"/>
      <c r="OK1401" s="1"/>
      <c r="OL1401" s="1"/>
      <c r="OM1401" s="1"/>
      <c r="ON1401" s="1"/>
      <c r="OO1401" s="1"/>
      <c r="OP1401" s="1"/>
      <c r="OQ1401" s="1"/>
      <c r="OR1401" s="1"/>
      <c r="OS1401" s="1"/>
      <c r="OT1401" s="1"/>
      <c r="OU1401" s="1"/>
      <c r="OV1401" s="1"/>
      <c r="OW1401" s="1"/>
      <c r="OX1401" s="1"/>
      <c r="OY1401" s="1"/>
      <c r="OZ1401" s="1"/>
      <c r="PA1401" s="1"/>
      <c r="PB1401" s="1"/>
      <c r="PC1401" s="1"/>
      <c r="PD1401" s="1"/>
      <c r="PE1401" s="1"/>
      <c r="PF1401" s="1"/>
      <c r="PG1401" s="1"/>
      <c r="PH1401" s="1"/>
      <c r="PI1401" s="1"/>
      <c r="PJ1401" s="1"/>
      <c r="PK1401" s="1"/>
      <c r="PL1401" s="1"/>
      <c r="PM1401" s="1"/>
      <c r="PN1401" s="1"/>
      <c r="PO1401" s="1"/>
      <c r="PP1401" s="1"/>
      <c r="PQ1401" s="1"/>
      <c r="PR1401" s="1"/>
      <c r="PS1401" s="1"/>
      <c r="PT1401" s="1"/>
      <c r="PU1401" s="1"/>
      <c r="PV1401" s="1"/>
      <c r="PW1401" s="1"/>
      <c r="PX1401" s="1"/>
      <c r="PY1401" s="1"/>
      <c r="PZ1401" s="1"/>
      <c r="QA1401" s="1"/>
      <c r="QB1401" s="1"/>
      <c r="QC1401" s="1"/>
      <c r="QD1401" s="1"/>
      <c r="QE1401" s="1"/>
      <c r="QF1401" s="1"/>
      <c r="QG1401" s="1"/>
      <c r="QH1401" s="1"/>
      <c r="QI1401" s="1"/>
      <c r="QJ1401" s="1"/>
      <c r="QK1401" s="1"/>
      <c r="QL1401" s="1"/>
      <c r="QM1401" s="1"/>
      <c r="QN1401" s="1"/>
      <c r="QO1401" s="1"/>
      <c r="QP1401" s="1"/>
      <c r="QQ1401" s="1"/>
      <c r="QR1401" s="1"/>
      <c r="QS1401" s="1"/>
      <c r="QT1401" s="1"/>
      <c r="QU1401" s="1"/>
      <c r="QV1401" s="1"/>
      <c r="QW1401" s="1"/>
      <c r="QX1401" s="1"/>
      <c r="QY1401" s="1"/>
      <c r="QZ1401" s="1"/>
      <c r="RA1401" s="1"/>
      <c r="RB1401" s="1"/>
      <c r="RC1401" s="1"/>
      <c r="RD1401" s="1"/>
      <c r="RE1401" s="1"/>
      <c r="RF1401" s="1"/>
      <c r="RG1401" s="1"/>
      <c r="RH1401" s="1"/>
      <c r="RI1401" s="1"/>
      <c r="RJ1401" s="1"/>
      <c r="RK1401" s="1"/>
      <c r="RL1401" s="1"/>
      <c r="RM1401" s="1"/>
      <c r="RN1401" s="1"/>
      <c r="RO1401" s="1"/>
      <c r="RP1401" s="1"/>
      <c r="RQ1401" s="1"/>
      <c r="RR1401" s="1"/>
      <c r="RS1401" s="1"/>
      <c r="RT1401" s="1"/>
      <c r="RU1401" s="1"/>
      <c r="RV1401" s="1"/>
      <c r="RW1401" s="1"/>
      <c r="RX1401" s="1"/>
      <c r="RY1401" s="1"/>
      <c r="RZ1401" s="1"/>
      <c r="SA1401" s="1"/>
      <c r="SB1401" s="1"/>
      <c r="SC1401" s="1"/>
      <c r="SD1401" s="1"/>
      <c r="SE1401" s="1"/>
      <c r="SF1401" s="1"/>
      <c r="SG1401" s="1"/>
      <c r="SH1401" s="1"/>
      <c r="SI1401" s="1"/>
      <c r="SJ1401" s="1"/>
      <c r="SK1401" s="1"/>
      <c r="SL1401" s="1"/>
      <c r="SM1401" s="1"/>
      <c r="SN1401" s="1"/>
      <c r="SO1401" s="1"/>
      <c r="SP1401" s="1"/>
      <c r="SQ1401" s="1"/>
      <c r="SR1401" s="1"/>
      <c r="SS1401" s="1"/>
      <c r="ST1401" s="1"/>
      <c r="SU1401" s="1"/>
      <c r="SV1401" s="1"/>
      <c r="SW1401" s="1"/>
      <c r="SX1401" s="1"/>
      <c r="SY1401" s="1"/>
      <c r="SZ1401" s="1"/>
      <c r="TA1401" s="1"/>
      <c r="TB1401" s="1"/>
      <c r="TC1401" s="1"/>
      <c r="TD1401" s="1"/>
      <c r="TE1401" s="1"/>
      <c r="TF1401" s="1"/>
      <c r="TG1401" s="1"/>
      <c r="TH1401" s="1"/>
      <c r="TI1401" s="1"/>
      <c r="TJ1401" s="1"/>
      <c r="TK1401" s="1"/>
      <c r="TL1401" s="1"/>
      <c r="TM1401" s="1"/>
      <c r="TN1401" s="1"/>
      <c r="TO1401" s="1"/>
      <c r="TP1401" s="1"/>
      <c r="TQ1401" s="1"/>
      <c r="TR1401" s="1"/>
      <c r="TS1401" s="1"/>
      <c r="TT1401" s="1"/>
      <c r="TU1401" s="1"/>
      <c r="TV1401" s="1"/>
      <c r="TW1401" s="1"/>
      <c r="TX1401" s="1"/>
      <c r="TY1401" s="1"/>
      <c r="TZ1401" s="1"/>
      <c r="UA1401" s="1"/>
      <c r="UB1401" s="1"/>
      <c r="UC1401" s="1"/>
      <c r="UD1401" s="1"/>
      <c r="UE1401" s="1"/>
      <c r="UF1401" s="1"/>
      <c r="UG1401" s="1"/>
      <c r="UH1401" s="1"/>
      <c r="UI1401" s="1"/>
      <c r="UJ1401" s="1"/>
      <c r="UK1401" s="1"/>
      <c r="UL1401" s="1"/>
      <c r="UM1401" s="1"/>
      <c r="UN1401" s="1"/>
      <c r="UO1401" s="1"/>
      <c r="UP1401" s="1"/>
      <c r="UQ1401" s="1"/>
      <c r="UR1401" s="1"/>
      <c r="US1401" s="1"/>
      <c r="UT1401" s="1"/>
      <c r="UU1401" s="1"/>
      <c r="UV1401" s="1"/>
      <c r="UW1401" s="1"/>
      <c r="UX1401" s="1"/>
      <c r="UY1401" s="1"/>
      <c r="UZ1401" s="1"/>
      <c r="VA1401" s="1"/>
      <c r="VB1401" s="1"/>
      <c r="VC1401" s="1"/>
      <c r="VD1401" s="1"/>
      <c r="VE1401" s="1"/>
      <c r="VF1401" s="1"/>
      <c r="VG1401" s="1"/>
      <c r="VH1401" s="1"/>
      <c r="VI1401" s="1"/>
      <c r="VJ1401" s="1"/>
      <c r="VK1401" s="1"/>
      <c r="VL1401" s="1"/>
      <c r="VM1401" s="1"/>
      <c r="VN1401" s="1"/>
      <c r="VO1401" s="1"/>
      <c r="VP1401" s="1"/>
      <c r="VQ1401" s="1"/>
      <c r="VR1401" s="1"/>
      <c r="VS1401" s="1"/>
      <c r="VT1401" s="1"/>
      <c r="VU1401" s="1"/>
      <c r="VV1401" s="1"/>
      <c r="VW1401" s="1"/>
      <c r="VX1401" s="1"/>
      <c r="VY1401" s="1"/>
      <c r="VZ1401" s="1"/>
      <c r="WA1401" s="1"/>
      <c r="WB1401" s="1"/>
      <c r="WC1401" s="1"/>
      <c r="WD1401" s="1"/>
      <c r="WE1401" s="1"/>
      <c r="WF1401" s="1"/>
      <c r="WG1401" s="1"/>
      <c r="WH1401" s="1"/>
      <c r="WI1401" s="1"/>
      <c r="WJ1401" s="1"/>
      <c r="WK1401" s="1"/>
      <c r="WL1401" s="1"/>
      <c r="WM1401" s="1"/>
      <c r="WN1401" s="1"/>
      <c r="WO1401" s="1"/>
      <c r="WP1401" s="1"/>
      <c r="WQ1401" s="1"/>
      <c r="WR1401" s="1"/>
      <c r="WS1401" s="1"/>
      <c r="WT1401" s="1"/>
      <c r="WU1401" s="1"/>
      <c r="WV1401" s="1"/>
      <c r="WW1401" s="1"/>
      <c r="WX1401" s="1"/>
      <c r="WY1401" s="1"/>
      <c r="WZ1401" s="1"/>
      <c r="XA1401" s="1"/>
      <c r="XB1401" s="1"/>
      <c r="XC1401" s="1"/>
      <c r="XD1401" s="1"/>
      <c r="XE1401" s="1"/>
      <c r="XF1401" s="1"/>
      <c r="XG1401" s="1"/>
      <c r="XH1401" s="1"/>
      <c r="XI1401" s="1"/>
      <c r="XJ1401" s="1"/>
      <c r="XK1401" s="1"/>
      <c r="XL1401" s="1"/>
      <c r="XM1401" s="1"/>
      <c r="XN1401" s="1"/>
      <c r="XO1401" s="1"/>
      <c r="XP1401" s="1"/>
      <c r="XQ1401" s="1"/>
      <c r="XR1401" s="1"/>
      <c r="XS1401" s="1"/>
      <c r="XT1401" s="1"/>
      <c r="XU1401" s="1"/>
      <c r="XV1401" s="1"/>
      <c r="XW1401" s="1"/>
      <c r="XX1401" s="1"/>
      <c r="XY1401" s="1"/>
      <c r="XZ1401" s="1"/>
      <c r="YA1401" s="1"/>
      <c r="YB1401" s="1"/>
      <c r="YC1401" s="1"/>
      <c r="YD1401" s="1"/>
      <c r="YE1401" s="1"/>
      <c r="YF1401" s="1"/>
      <c r="YG1401" s="1"/>
      <c r="YH1401" s="1"/>
      <c r="YI1401" s="1"/>
      <c r="YJ1401" s="1"/>
      <c r="YK1401" s="1"/>
      <c r="YL1401" s="1"/>
      <c r="YM1401" s="1"/>
      <c r="YN1401" s="1"/>
      <c r="YO1401" s="1"/>
      <c r="YP1401" s="1"/>
      <c r="YQ1401" s="1"/>
      <c r="YR1401" s="1"/>
      <c r="YS1401" s="1"/>
      <c r="YT1401" s="1"/>
      <c r="YU1401" s="1"/>
      <c r="YV1401" s="1"/>
      <c r="YW1401" s="1"/>
      <c r="YX1401" s="1"/>
      <c r="YY1401" s="1"/>
      <c r="YZ1401" s="1"/>
      <c r="ZA1401" s="1"/>
      <c r="ZB1401" s="1"/>
      <c r="ZC1401" s="1"/>
      <c r="ZD1401" s="1"/>
      <c r="ZE1401" s="1"/>
      <c r="ZF1401" s="1"/>
      <c r="ZG1401" s="1"/>
      <c r="ZH1401" s="1"/>
      <c r="ZI1401" s="1"/>
      <c r="ZJ1401" s="1"/>
      <c r="ZK1401" s="1"/>
      <c r="ZL1401" s="1"/>
      <c r="ZM1401" s="1"/>
      <c r="ZN1401" s="1"/>
      <c r="ZO1401" s="1"/>
      <c r="ZP1401" s="1"/>
      <c r="ZQ1401" s="1"/>
      <c r="ZR1401" s="1"/>
      <c r="ZS1401" s="1"/>
      <c r="ZT1401" s="1"/>
      <c r="ZU1401" s="1"/>
      <c r="ZV1401" s="1"/>
      <c r="ZW1401" s="1"/>
      <c r="ZX1401" s="1"/>
      <c r="ZY1401" s="1"/>
      <c r="ZZ1401" s="1"/>
    </row>
  </sheetData>
  <dataValidations xWindow="120" yWindow="350" count="7">
    <dataValidation allowBlank="1" showInputMessage="1" showErrorMessage="1" prompt="OH-" sqref="C1:C1401" xr:uid="{756CD598-DE40-4998-BB9A-75DDE261E9C2}"/>
    <dataValidation allowBlank="1" showInputMessage="1" showErrorMessage="1" prompt="Phi" sqref="F1" xr:uid="{88D7A583-2603-44E1-8477-832929CAA046}"/>
    <dataValidation allowBlank="1" showInputMessage="1" showErrorMessage="1" prompt="H+" sqref="B1:B1401" xr:uid="{CBFA251B-C552-407B-A270-34EECE63E996}"/>
    <dataValidation allowBlank="1" showInputMessage="1" showErrorMessage="1" prompt="pH" sqref="A1:A1401" xr:uid="{54C5E4C2-6E56-4770-8377-BC74E943F2BE}"/>
    <dataValidation allowBlank="1" showInputMessage="1" showErrorMessage="1" prompt="Alpha HA-" sqref="D1" xr:uid="{03B15B22-32A3-417B-B1D8-386D7124955F}"/>
    <dataValidation allowBlank="1" showInputMessage="1" showErrorMessage="1" prompt="Alpha A2-" sqref="E1" xr:uid="{0568F526-C31F-4176-B7E6-7F0346DCACD8}"/>
    <dataValidation allowBlank="1" showInputMessage="1" showErrorMessage="1" prompt="Volume Titrant" sqref="G1" xr:uid="{BD318899-764B-41C4-AA65-5C67106BC542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Monoprotic</vt:lpstr>
      <vt:lpstr>Demonstration</vt:lpstr>
      <vt:lpstr>CalcSheet</vt:lpstr>
      <vt:lpstr>dpSAWB_Ca</vt:lpstr>
      <vt:lpstr>dpSAWB_Cb</vt:lpstr>
      <vt:lpstr>dpSAWB_Kb1</vt:lpstr>
      <vt:lpstr>dpSAWB_Kb2</vt:lpstr>
      <vt:lpstr>dpSAWB_Vb</vt:lpstr>
      <vt:lpstr>dpWASB_Ca</vt:lpstr>
      <vt:lpstr>dpWASB_Cb</vt:lpstr>
      <vt:lpstr>dpWASB_Ka1</vt:lpstr>
      <vt:lpstr>dpWASB_Ka2</vt:lpstr>
      <vt:lpstr>dpWASB_Va</vt:lpstr>
      <vt:lpstr>Kw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Jackson</cp:lastModifiedBy>
  <dcterms:created xsi:type="dcterms:W3CDTF">2019-12-01T21:13:38Z</dcterms:created>
  <dcterms:modified xsi:type="dcterms:W3CDTF">2019-12-04T19:43:44Z</dcterms:modified>
</cp:coreProperties>
</file>