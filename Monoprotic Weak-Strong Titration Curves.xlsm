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Github\titration-curves\"/>
    </mc:Choice>
  </mc:AlternateContent>
  <xr:revisionPtr revIDLastSave="0" documentId="13_ncr:1_{17B6F4F8-45D9-4ED3-B4D8-24405E9996E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onoprotic" sheetId="11" r:id="rId1"/>
    <sheet name="CalcSheet" sheetId="13" r:id="rId2"/>
  </sheets>
  <definedNames>
    <definedName name="_xlnm._FilterDatabase" localSheetId="1" hidden="1">CalcSheet!#REF!</definedName>
    <definedName name="Kw">Monoprotic!$O$27</definedName>
    <definedName name="SAWB_Ca">Monoprotic!$I$23</definedName>
    <definedName name="SAWB_Cb">Monoprotic!$I$20</definedName>
    <definedName name="SAWB_DVe">Monoprotic!$I$26</definedName>
    <definedName name="SAWB_Ka">Monoprotic!$I$19</definedName>
    <definedName name="SAWB_Vb">Monoprotic!$I$21</definedName>
    <definedName name="WASB_Ca">Monoprotic!$I$6</definedName>
    <definedName name="WASB_Cb">Monoprotic!$I$9</definedName>
    <definedName name="WASB_DVe">Monoprotic!$I$12</definedName>
    <definedName name="WASB_Ka">Monoprotic!$I$5</definedName>
    <definedName name="WASB_Va">Monoprotic!$I$7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3" l="1"/>
  <c r="C3" i="13"/>
  <c r="F3" i="13"/>
  <c r="G3" i="13"/>
  <c r="H3" i="13"/>
  <c r="D3" i="13"/>
  <c r="E3" i="13"/>
  <c r="T3" i="13"/>
  <c r="U3" i="13"/>
  <c r="X3" i="13"/>
  <c r="Y3" i="13"/>
  <c r="Z3" i="13"/>
  <c r="V3" i="13"/>
  <c r="W3" i="13"/>
  <c r="B4" i="13"/>
  <c r="C4" i="13"/>
  <c r="F4" i="13"/>
  <c r="G4" i="13"/>
  <c r="H4" i="13"/>
  <c r="D4" i="13"/>
  <c r="E4" i="13"/>
  <c r="T4" i="13"/>
  <c r="U4" i="13"/>
  <c r="X4" i="13"/>
  <c r="Y4" i="13"/>
  <c r="Z4" i="13"/>
  <c r="V4" i="13"/>
  <c r="W4" i="13"/>
  <c r="B5" i="13"/>
  <c r="C5" i="13"/>
  <c r="F5" i="13"/>
  <c r="G5" i="13"/>
  <c r="H5" i="13"/>
  <c r="D5" i="13"/>
  <c r="E5" i="13"/>
  <c r="T5" i="13"/>
  <c r="U5" i="13"/>
  <c r="X5" i="13"/>
  <c r="Y5" i="13"/>
  <c r="Z5" i="13"/>
  <c r="V5" i="13"/>
  <c r="W5" i="13"/>
  <c r="B6" i="13"/>
  <c r="C6" i="13"/>
  <c r="F6" i="13"/>
  <c r="G6" i="13"/>
  <c r="H6" i="13"/>
  <c r="D6" i="13"/>
  <c r="E6" i="13"/>
  <c r="T6" i="13"/>
  <c r="U6" i="13"/>
  <c r="X6" i="13"/>
  <c r="Y6" i="13"/>
  <c r="Z6" i="13"/>
  <c r="V6" i="13"/>
  <c r="W6" i="13"/>
  <c r="B7" i="13"/>
  <c r="C7" i="13"/>
  <c r="F7" i="13"/>
  <c r="G7" i="13"/>
  <c r="H7" i="13"/>
  <c r="D7" i="13"/>
  <c r="E7" i="13"/>
  <c r="T7" i="13"/>
  <c r="U7" i="13"/>
  <c r="X7" i="13"/>
  <c r="Y7" i="13"/>
  <c r="Z7" i="13"/>
  <c r="V7" i="13"/>
  <c r="W7" i="13"/>
  <c r="B8" i="13"/>
  <c r="C8" i="13"/>
  <c r="F8" i="13"/>
  <c r="G8" i="13"/>
  <c r="H8" i="13"/>
  <c r="D8" i="13"/>
  <c r="E8" i="13"/>
  <c r="T8" i="13"/>
  <c r="U8" i="13"/>
  <c r="X8" i="13"/>
  <c r="Y8" i="13"/>
  <c r="Z8" i="13"/>
  <c r="V8" i="13"/>
  <c r="W8" i="13"/>
  <c r="B9" i="13"/>
  <c r="C9" i="13"/>
  <c r="F9" i="13"/>
  <c r="G9" i="13"/>
  <c r="H9" i="13"/>
  <c r="D9" i="13"/>
  <c r="E9" i="13"/>
  <c r="T9" i="13"/>
  <c r="U9" i="13"/>
  <c r="X9" i="13"/>
  <c r="Y9" i="13"/>
  <c r="Z9" i="13"/>
  <c r="V9" i="13"/>
  <c r="W9" i="13"/>
  <c r="B10" i="13"/>
  <c r="C10" i="13"/>
  <c r="F10" i="13"/>
  <c r="G10" i="13"/>
  <c r="H10" i="13"/>
  <c r="D10" i="13"/>
  <c r="E10" i="13"/>
  <c r="T10" i="13"/>
  <c r="U10" i="13"/>
  <c r="X10" i="13"/>
  <c r="Y10" i="13"/>
  <c r="Z10" i="13"/>
  <c r="V10" i="13"/>
  <c r="W10" i="13"/>
  <c r="B11" i="13"/>
  <c r="C11" i="13"/>
  <c r="F11" i="13"/>
  <c r="G11" i="13"/>
  <c r="H11" i="13"/>
  <c r="D11" i="13"/>
  <c r="E11" i="13"/>
  <c r="T11" i="13"/>
  <c r="U11" i="13"/>
  <c r="X11" i="13"/>
  <c r="Y11" i="13"/>
  <c r="Z11" i="13"/>
  <c r="V11" i="13"/>
  <c r="W11" i="13"/>
  <c r="B12" i="13"/>
  <c r="C12" i="13"/>
  <c r="F12" i="13"/>
  <c r="G12" i="13"/>
  <c r="H12" i="13"/>
  <c r="D12" i="13"/>
  <c r="E12" i="13"/>
  <c r="T12" i="13"/>
  <c r="U12" i="13"/>
  <c r="X12" i="13"/>
  <c r="Y12" i="13"/>
  <c r="Z12" i="13"/>
  <c r="V12" i="13"/>
  <c r="W12" i="13"/>
  <c r="B13" i="13"/>
  <c r="C13" i="13"/>
  <c r="F13" i="13"/>
  <c r="G13" i="13"/>
  <c r="H13" i="13"/>
  <c r="D13" i="13"/>
  <c r="E13" i="13"/>
  <c r="T13" i="13"/>
  <c r="U13" i="13"/>
  <c r="X13" i="13"/>
  <c r="Y13" i="13"/>
  <c r="Z13" i="13"/>
  <c r="V13" i="13"/>
  <c r="W13" i="13"/>
  <c r="B14" i="13"/>
  <c r="C14" i="13"/>
  <c r="F14" i="13"/>
  <c r="G14" i="13"/>
  <c r="H14" i="13"/>
  <c r="D14" i="13"/>
  <c r="E14" i="13"/>
  <c r="T14" i="13"/>
  <c r="U14" i="13"/>
  <c r="X14" i="13"/>
  <c r="Y14" i="13"/>
  <c r="Z14" i="13"/>
  <c r="V14" i="13"/>
  <c r="W14" i="13"/>
  <c r="B15" i="13"/>
  <c r="C15" i="13"/>
  <c r="F15" i="13"/>
  <c r="G15" i="13"/>
  <c r="H15" i="13"/>
  <c r="D15" i="13"/>
  <c r="E15" i="13"/>
  <c r="T15" i="13"/>
  <c r="U15" i="13"/>
  <c r="X15" i="13"/>
  <c r="Y15" i="13"/>
  <c r="Z15" i="13"/>
  <c r="V15" i="13"/>
  <c r="W15" i="13"/>
  <c r="B16" i="13"/>
  <c r="C16" i="13"/>
  <c r="F16" i="13"/>
  <c r="G16" i="13"/>
  <c r="H16" i="13"/>
  <c r="D16" i="13"/>
  <c r="E16" i="13"/>
  <c r="T16" i="13"/>
  <c r="U16" i="13"/>
  <c r="X16" i="13"/>
  <c r="Y16" i="13"/>
  <c r="Z16" i="13"/>
  <c r="V16" i="13"/>
  <c r="W16" i="13"/>
  <c r="B17" i="13"/>
  <c r="C17" i="13"/>
  <c r="F17" i="13"/>
  <c r="G17" i="13"/>
  <c r="H17" i="13"/>
  <c r="D17" i="13"/>
  <c r="E17" i="13"/>
  <c r="T17" i="13"/>
  <c r="U17" i="13"/>
  <c r="X17" i="13"/>
  <c r="Y17" i="13"/>
  <c r="Z17" i="13"/>
  <c r="V17" i="13"/>
  <c r="W17" i="13"/>
  <c r="B18" i="13"/>
  <c r="C18" i="13"/>
  <c r="F18" i="13"/>
  <c r="G18" i="13"/>
  <c r="H18" i="13"/>
  <c r="D18" i="13"/>
  <c r="E18" i="13"/>
  <c r="T18" i="13"/>
  <c r="U18" i="13"/>
  <c r="X18" i="13"/>
  <c r="Y18" i="13"/>
  <c r="Z18" i="13"/>
  <c r="V18" i="13"/>
  <c r="W18" i="13"/>
  <c r="B19" i="13"/>
  <c r="C19" i="13"/>
  <c r="F19" i="13"/>
  <c r="G19" i="13"/>
  <c r="H19" i="13"/>
  <c r="D19" i="13"/>
  <c r="E19" i="13"/>
  <c r="T19" i="13"/>
  <c r="U19" i="13"/>
  <c r="X19" i="13"/>
  <c r="Y19" i="13"/>
  <c r="Z19" i="13"/>
  <c r="V19" i="13"/>
  <c r="W19" i="13"/>
  <c r="B20" i="13"/>
  <c r="C20" i="13"/>
  <c r="F20" i="13"/>
  <c r="G20" i="13"/>
  <c r="H20" i="13"/>
  <c r="D20" i="13"/>
  <c r="E20" i="13"/>
  <c r="T20" i="13"/>
  <c r="U20" i="13"/>
  <c r="X20" i="13"/>
  <c r="Y20" i="13"/>
  <c r="Z20" i="13"/>
  <c r="V20" i="13"/>
  <c r="W20" i="13"/>
  <c r="B21" i="13"/>
  <c r="C21" i="13"/>
  <c r="F21" i="13"/>
  <c r="G21" i="13"/>
  <c r="H21" i="13"/>
  <c r="D21" i="13"/>
  <c r="E21" i="13"/>
  <c r="T21" i="13"/>
  <c r="U21" i="13"/>
  <c r="X21" i="13"/>
  <c r="Y21" i="13"/>
  <c r="Z21" i="13"/>
  <c r="V21" i="13"/>
  <c r="W21" i="13"/>
  <c r="B22" i="13"/>
  <c r="C22" i="13"/>
  <c r="F22" i="13"/>
  <c r="G22" i="13"/>
  <c r="H22" i="13"/>
  <c r="D22" i="13"/>
  <c r="E22" i="13"/>
  <c r="T22" i="13"/>
  <c r="U22" i="13"/>
  <c r="X22" i="13"/>
  <c r="Y22" i="13"/>
  <c r="Z22" i="13"/>
  <c r="V22" i="13"/>
  <c r="W22" i="13"/>
  <c r="B23" i="13"/>
  <c r="C23" i="13"/>
  <c r="F23" i="13"/>
  <c r="G23" i="13"/>
  <c r="H23" i="13"/>
  <c r="D23" i="13"/>
  <c r="E23" i="13"/>
  <c r="T23" i="13"/>
  <c r="U23" i="13"/>
  <c r="X23" i="13"/>
  <c r="Y23" i="13"/>
  <c r="Z23" i="13"/>
  <c r="V23" i="13"/>
  <c r="W23" i="13"/>
  <c r="B24" i="13"/>
  <c r="C24" i="13"/>
  <c r="F24" i="13"/>
  <c r="G24" i="13"/>
  <c r="H24" i="13"/>
  <c r="D24" i="13"/>
  <c r="E24" i="13"/>
  <c r="T24" i="13"/>
  <c r="U24" i="13"/>
  <c r="X24" i="13"/>
  <c r="Y24" i="13"/>
  <c r="Z24" i="13"/>
  <c r="V24" i="13"/>
  <c r="W24" i="13"/>
  <c r="B25" i="13"/>
  <c r="C25" i="13"/>
  <c r="F25" i="13"/>
  <c r="G25" i="13"/>
  <c r="H25" i="13"/>
  <c r="D25" i="13"/>
  <c r="E25" i="13"/>
  <c r="T25" i="13"/>
  <c r="U25" i="13"/>
  <c r="X25" i="13"/>
  <c r="Y25" i="13"/>
  <c r="Z25" i="13"/>
  <c r="V25" i="13"/>
  <c r="W25" i="13"/>
  <c r="B26" i="13"/>
  <c r="C26" i="13"/>
  <c r="F26" i="13"/>
  <c r="G26" i="13"/>
  <c r="H26" i="13"/>
  <c r="D26" i="13"/>
  <c r="E26" i="13"/>
  <c r="T26" i="13"/>
  <c r="U26" i="13"/>
  <c r="X26" i="13"/>
  <c r="Y26" i="13"/>
  <c r="Z26" i="13"/>
  <c r="V26" i="13"/>
  <c r="W26" i="13"/>
  <c r="B27" i="13"/>
  <c r="C27" i="13"/>
  <c r="F27" i="13"/>
  <c r="G27" i="13"/>
  <c r="H27" i="13"/>
  <c r="D27" i="13"/>
  <c r="E27" i="13"/>
  <c r="T27" i="13"/>
  <c r="U27" i="13"/>
  <c r="X27" i="13"/>
  <c r="Y27" i="13"/>
  <c r="Z27" i="13"/>
  <c r="V27" i="13"/>
  <c r="W27" i="13"/>
  <c r="B28" i="13"/>
  <c r="C28" i="13"/>
  <c r="F28" i="13"/>
  <c r="G28" i="13"/>
  <c r="H28" i="13"/>
  <c r="D28" i="13"/>
  <c r="E28" i="13"/>
  <c r="T28" i="13"/>
  <c r="U28" i="13"/>
  <c r="X28" i="13"/>
  <c r="Y28" i="13"/>
  <c r="Z28" i="13"/>
  <c r="V28" i="13"/>
  <c r="W28" i="13"/>
  <c r="B29" i="13"/>
  <c r="C29" i="13"/>
  <c r="F29" i="13"/>
  <c r="G29" i="13"/>
  <c r="H29" i="13"/>
  <c r="D29" i="13"/>
  <c r="E29" i="13"/>
  <c r="T29" i="13"/>
  <c r="U29" i="13"/>
  <c r="X29" i="13"/>
  <c r="Y29" i="13"/>
  <c r="Z29" i="13"/>
  <c r="V29" i="13"/>
  <c r="W29" i="13"/>
  <c r="B30" i="13"/>
  <c r="C30" i="13"/>
  <c r="F30" i="13"/>
  <c r="G30" i="13"/>
  <c r="H30" i="13"/>
  <c r="D30" i="13"/>
  <c r="E30" i="13"/>
  <c r="T30" i="13"/>
  <c r="U30" i="13"/>
  <c r="X30" i="13"/>
  <c r="Y30" i="13"/>
  <c r="Z30" i="13"/>
  <c r="V30" i="13"/>
  <c r="W30" i="13"/>
  <c r="B31" i="13"/>
  <c r="C31" i="13"/>
  <c r="F31" i="13"/>
  <c r="G31" i="13"/>
  <c r="H31" i="13"/>
  <c r="D31" i="13"/>
  <c r="E31" i="13"/>
  <c r="T31" i="13"/>
  <c r="U31" i="13"/>
  <c r="X31" i="13"/>
  <c r="Y31" i="13"/>
  <c r="Z31" i="13"/>
  <c r="V31" i="13"/>
  <c r="W31" i="13"/>
  <c r="B32" i="13"/>
  <c r="C32" i="13"/>
  <c r="F32" i="13"/>
  <c r="G32" i="13"/>
  <c r="H32" i="13"/>
  <c r="D32" i="13"/>
  <c r="E32" i="13"/>
  <c r="T32" i="13"/>
  <c r="U32" i="13"/>
  <c r="X32" i="13"/>
  <c r="Y32" i="13"/>
  <c r="Z32" i="13"/>
  <c r="V32" i="13"/>
  <c r="W32" i="13"/>
  <c r="B33" i="13"/>
  <c r="C33" i="13"/>
  <c r="F33" i="13"/>
  <c r="G33" i="13"/>
  <c r="H33" i="13"/>
  <c r="D33" i="13"/>
  <c r="E33" i="13"/>
  <c r="T33" i="13"/>
  <c r="U33" i="13"/>
  <c r="X33" i="13"/>
  <c r="Y33" i="13"/>
  <c r="Z33" i="13"/>
  <c r="V33" i="13"/>
  <c r="W33" i="13"/>
  <c r="B34" i="13"/>
  <c r="C34" i="13"/>
  <c r="F34" i="13"/>
  <c r="G34" i="13"/>
  <c r="H34" i="13"/>
  <c r="D34" i="13"/>
  <c r="E34" i="13"/>
  <c r="T34" i="13"/>
  <c r="U34" i="13"/>
  <c r="X34" i="13"/>
  <c r="Y34" i="13"/>
  <c r="Z34" i="13"/>
  <c r="V34" i="13"/>
  <c r="W34" i="13"/>
  <c r="B35" i="13"/>
  <c r="C35" i="13"/>
  <c r="F35" i="13"/>
  <c r="G35" i="13"/>
  <c r="H35" i="13"/>
  <c r="D35" i="13"/>
  <c r="E35" i="13"/>
  <c r="T35" i="13"/>
  <c r="U35" i="13"/>
  <c r="X35" i="13"/>
  <c r="Y35" i="13"/>
  <c r="Z35" i="13"/>
  <c r="V35" i="13"/>
  <c r="W35" i="13"/>
  <c r="B36" i="13"/>
  <c r="C36" i="13"/>
  <c r="F36" i="13"/>
  <c r="G36" i="13"/>
  <c r="H36" i="13"/>
  <c r="D36" i="13"/>
  <c r="E36" i="13"/>
  <c r="T36" i="13"/>
  <c r="U36" i="13"/>
  <c r="X36" i="13"/>
  <c r="Y36" i="13"/>
  <c r="Z36" i="13"/>
  <c r="V36" i="13"/>
  <c r="W36" i="13"/>
  <c r="B37" i="13"/>
  <c r="C37" i="13"/>
  <c r="F37" i="13"/>
  <c r="G37" i="13"/>
  <c r="H37" i="13"/>
  <c r="D37" i="13"/>
  <c r="E37" i="13"/>
  <c r="T37" i="13"/>
  <c r="U37" i="13"/>
  <c r="X37" i="13"/>
  <c r="Y37" i="13"/>
  <c r="Z37" i="13"/>
  <c r="V37" i="13"/>
  <c r="W37" i="13"/>
  <c r="B38" i="13"/>
  <c r="C38" i="13"/>
  <c r="F38" i="13"/>
  <c r="G38" i="13"/>
  <c r="H38" i="13"/>
  <c r="D38" i="13"/>
  <c r="E38" i="13"/>
  <c r="T38" i="13"/>
  <c r="U38" i="13"/>
  <c r="X38" i="13"/>
  <c r="Y38" i="13"/>
  <c r="Z38" i="13"/>
  <c r="V38" i="13"/>
  <c r="W38" i="13"/>
  <c r="B39" i="13"/>
  <c r="C39" i="13"/>
  <c r="F39" i="13"/>
  <c r="G39" i="13"/>
  <c r="H39" i="13"/>
  <c r="D39" i="13"/>
  <c r="E39" i="13"/>
  <c r="T39" i="13"/>
  <c r="U39" i="13"/>
  <c r="X39" i="13"/>
  <c r="Y39" i="13"/>
  <c r="Z39" i="13"/>
  <c r="V39" i="13"/>
  <c r="W39" i="13"/>
  <c r="B40" i="13"/>
  <c r="C40" i="13"/>
  <c r="F40" i="13"/>
  <c r="G40" i="13"/>
  <c r="H40" i="13"/>
  <c r="D40" i="13"/>
  <c r="E40" i="13"/>
  <c r="T40" i="13"/>
  <c r="U40" i="13"/>
  <c r="X40" i="13"/>
  <c r="Y40" i="13"/>
  <c r="Z40" i="13"/>
  <c r="V40" i="13"/>
  <c r="W40" i="13"/>
  <c r="B41" i="13"/>
  <c r="C41" i="13"/>
  <c r="F41" i="13"/>
  <c r="G41" i="13"/>
  <c r="H41" i="13"/>
  <c r="D41" i="13"/>
  <c r="E41" i="13"/>
  <c r="T41" i="13"/>
  <c r="U41" i="13"/>
  <c r="X41" i="13"/>
  <c r="Y41" i="13"/>
  <c r="Z41" i="13"/>
  <c r="V41" i="13"/>
  <c r="W41" i="13"/>
  <c r="B42" i="13"/>
  <c r="C42" i="13"/>
  <c r="F42" i="13"/>
  <c r="G42" i="13"/>
  <c r="H42" i="13"/>
  <c r="D42" i="13"/>
  <c r="E42" i="13"/>
  <c r="T42" i="13"/>
  <c r="U42" i="13"/>
  <c r="X42" i="13"/>
  <c r="Y42" i="13"/>
  <c r="Z42" i="13"/>
  <c r="V42" i="13"/>
  <c r="W42" i="13"/>
  <c r="B43" i="13"/>
  <c r="C43" i="13"/>
  <c r="F43" i="13"/>
  <c r="G43" i="13"/>
  <c r="H43" i="13"/>
  <c r="D43" i="13"/>
  <c r="E43" i="13"/>
  <c r="T43" i="13"/>
  <c r="U43" i="13"/>
  <c r="X43" i="13"/>
  <c r="Y43" i="13"/>
  <c r="Z43" i="13"/>
  <c r="V43" i="13"/>
  <c r="W43" i="13"/>
  <c r="B44" i="13"/>
  <c r="C44" i="13"/>
  <c r="F44" i="13"/>
  <c r="G44" i="13"/>
  <c r="H44" i="13"/>
  <c r="D44" i="13"/>
  <c r="E44" i="13"/>
  <c r="T44" i="13"/>
  <c r="U44" i="13"/>
  <c r="X44" i="13"/>
  <c r="Y44" i="13"/>
  <c r="Z44" i="13"/>
  <c r="V44" i="13"/>
  <c r="W44" i="13"/>
  <c r="B45" i="13"/>
  <c r="C45" i="13"/>
  <c r="F45" i="13"/>
  <c r="G45" i="13"/>
  <c r="H45" i="13"/>
  <c r="D45" i="13"/>
  <c r="E45" i="13"/>
  <c r="T45" i="13"/>
  <c r="U45" i="13"/>
  <c r="X45" i="13"/>
  <c r="Y45" i="13"/>
  <c r="Z45" i="13"/>
  <c r="V45" i="13"/>
  <c r="W45" i="13"/>
  <c r="B46" i="13"/>
  <c r="C46" i="13"/>
  <c r="F46" i="13"/>
  <c r="G46" i="13"/>
  <c r="H46" i="13"/>
  <c r="D46" i="13"/>
  <c r="E46" i="13"/>
  <c r="T46" i="13"/>
  <c r="U46" i="13"/>
  <c r="X46" i="13"/>
  <c r="Y46" i="13"/>
  <c r="Z46" i="13"/>
  <c r="V46" i="13"/>
  <c r="W46" i="13"/>
  <c r="B47" i="13"/>
  <c r="C47" i="13"/>
  <c r="F47" i="13"/>
  <c r="G47" i="13"/>
  <c r="H47" i="13"/>
  <c r="D47" i="13"/>
  <c r="E47" i="13"/>
  <c r="T47" i="13"/>
  <c r="U47" i="13"/>
  <c r="X47" i="13"/>
  <c r="Y47" i="13"/>
  <c r="Z47" i="13"/>
  <c r="V47" i="13"/>
  <c r="W47" i="13"/>
  <c r="B48" i="13"/>
  <c r="C48" i="13"/>
  <c r="F48" i="13"/>
  <c r="G48" i="13"/>
  <c r="H48" i="13"/>
  <c r="D48" i="13"/>
  <c r="E48" i="13"/>
  <c r="T48" i="13"/>
  <c r="U48" i="13"/>
  <c r="X48" i="13"/>
  <c r="Y48" i="13"/>
  <c r="Z48" i="13"/>
  <c r="V48" i="13"/>
  <c r="W48" i="13"/>
  <c r="B49" i="13"/>
  <c r="C49" i="13"/>
  <c r="F49" i="13"/>
  <c r="G49" i="13"/>
  <c r="H49" i="13"/>
  <c r="D49" i="13"/>
  <c r="E49" i="13"/>
  <c r="T49" i="13"/>
  <c r="U49" i="13"/>
  <c r="X49" i="13"/>
  <c r="Y49" i="13"/>
  <c r="Z49" i="13"/>
  <c r="V49" i="13"/>
  <c r="W49" i="13"/>
  <c r="B50" i="13"/>
  <c r="C50" i="13"/>
  <c r="F50" i="13"/>
  <c r="G50" i="13"/>
  <c r="H50" i="13"/>
  <c r="D50" i="13"/>
  <c r="E50" i="13"/>
  <c r="T50" i="13"/>
  <c r="U50" i="13"/>
  <c r="X50" i="13"/>
  <c r="Y50" i="13"/>
  <c r="Z50" i="13"/>
  <c r="V50" i="13"/>
  <c r="W50" i="13"/>
  <c r="B51" i="13"/>
  <c r="C51" i="13"/>
  <c r="F51" i="13"/>
  <c r="G51" i="13"/>
  <c r="H51" i="13"/>
  <c r="D51" i="13"/>
  <c r="E51" i="13"/>
  <c r="T51" i="13"/>
  <c r="U51" i="13"/>
  <c r="X51" i="13"/>
  <c r="Y51" i="13"/>
  <c r="Z51" i="13"/>
  <c r="V51" i="13"/>
  <c r="W51" i="13"/>
  <c r="B52" i="13"/>
  <c r="C52" i="13"/>
  <c r="F52" i="13"/>
  <c r="G52" i="13"/>
  <c r="H52" i="13"/>
  <c r="D52" i="13"/>
  <c r="E52" i="13"/>
  <c r="T52" i="13"/>
  <c r="U52" i="13"/>
  <c r="X52" i="13"/>
  <c r="Y52" i="13"/>
  <c r="Z52" i="13"/>
  <c r="V52" i="13"/>
  <c r="W52" i="13"/>
  <c r="B53" i="13"/>
  <c r="C53" i="13"/>
  <c r="F53" i="13"/>
  <c r="G53" i="13"/>
  <c r="H53" i="13"/>
  <c r="D53" i="13"/>
  <c r="E53" i="13"/>
  <c r="T53" i="13"/>
  <c r="U53" i="13"/>
  <c r="X53" i="13"/>
  <c r="Y53" i="13"/>
  <c r="Z53" i="13"/>
  <c r="V53" i="13"/>
  <c r="W53" i="13"/>
  <c r="B54" i="13"/>
  <c r="C54" i="13"/>
  <c r="F54" i="13"/>
  <c r="G54" i="13"/>
  <c r="H54" i="13"/>
  <c r="D54" i="13"/>
  <c r="E54" i="13"/>
  <c r="T54" i="13"/>
  <c r="U54" i="13"/>
  <c r="X54" i="13"/>
  <c r="Y54" i="13"/>
  <c r="Z54" i="13"/>
  <c r="V54" i="13"/>
  <c r="W54" i="13"/>
  <c r="B55" i="13"/>
  <c r="C55" i="13"/>
  <c r="F55" i="13"/>
  <c r="G55" i="13"/>
  <c r="H55" i="13"/>
  <c r="D55" i="13"/>
  <c r="E55" i="13"/>
  <c r="T55" i="13"/>
  <c r="U55" i="13"/>
  <c r="X55" i="13"/>
  <c r="Y55" i="13"/>
  <c r="Z55" i="13"/>
  <c r="V55" i="13"/>
  <c r="W55" i="13"/>
  <c r="B56" i="13"/>
  <c r="C56" i="13"/>
  <c r="F56" i="13"/>
  <c r="G56" i="13"/>
  <c r="H56" i="13"/>
  <c r="D56" i="13"/>
  <c r="E56" i="13"/>
  <c r="T56" i="13"/>
  <c r="U56" i="13"/>
  <c r="X56" i="13"/>
  <c r="Y56" i="13"/>
  <c r="Z56" i="13"/>
  <c r="V56" i="13"/>
  <c r="W56" i="13"/>
  <c r="B57" i="13"/>
  <c r="C57" i="13"/>
  <c r="F57" i="13"/>
  <c r="G57" i="13"/>
  <c r="H57" i="13"/>
  <c r="D57" i="13"/>
  <c r="E57" i="13"/>
  <c r="T57" i="13"/>
  <c r="U57" i="13"/>
  <c r="X57" i="13"/>
  <c r="Y57" i="13"/>
  <c r="Z57" i="13"/>
  <c r="V57" i="13"/>
  <c r="W57" i="13"/>
  <c r="B58" i="13"/>
  <c r="C58" i="13"/>
  <c r="F58" i="13"/>
  <c r="G58" i="13"/>
  <c r="H58" i="13"/>
  <c r="D58" i="13"/>
  <c r="E58" i="13"/>
  <c r="T58" i="13"/>
  <c r="U58" i="13"/>
  <c r="X58" i="13"/>
  <c r="Y58" i="13"/>
  <c r="Z58" i="13"/>
  <c r="V58" i="13"/>
  <c r="W58" i="13"/>
  <c r="B59" i="13"/>
  <c r="C59" i="13"/>
  <c r="F59" i="13"/>
  <c r="G59" i="13"/>
  <c r="H59" i="13"/>
  <c r="D59" i="13"/>
  <c r="E59" i="13"/>
  <c r="T59" i="13"/>
  <c r="U59" i="13"/>
  <c r="X59" i="13"/>
  <c r="Y59" i="13"/>
  <c r="Z59" i="13"/>
  <c r="V59" i="13"/>
  <c r="W59" i="13"/>
  <c r="B60" i="13"/>
  <c r="C60" i="13"/>
  <c r="F60" i="13"/>
  <c r="G60" i="13"/>
  <c r="H60" i="13"/>
  <c r="D60" i="13"/>
  <c r="E60" i="13"/>
  <c r="T60" i="13"/>
  <c r="U60" i="13"/>
  <c r="X60" i="13"/>
  <c r="Y60" i="13"/>
  <c r="Z60" i="13"/>
  <c r="V60" i="13"/>
  <c r="W60" i="13"/>
  <c r="B61" i="13"/>
  <c r="C61" i="13"/>
  <c r="F61" i="13"/>
  <c r="G61" i="13"/>
  <c r="H61" i="13"/>
  <c r="D61" i="13"/>
  <c r="E61" i="13"/>
  <c r="T61" i="13"/>
  <c r="U61" i="13"/>
  <c r="X61" i="13"/>
  <c r="Y61" i="13"/>
  <c r="Z61" i="13"/>
  <c r="V61" i="13"/>
  <c r="W61" i="13"/>
  <c r="B62" i="13"/>
  <c r="C62" i="13"/>
  <c r="F62" i="13"/>
  <c r="G62" i="13"/>
  <c r="H62" i="13"/>
  <c r="D62" i="13"/>
  <c r="E62" i="13"/>
  <c r="T62" i="13"/>
  <c r="U62" i="13"/>
  <c r="X62" i="13"/>
  <c r="Y62" i="13"/>
  <c r="Z62" i="13"/>
  <c r="V62" i="13"/>
  <c r="W62" i="13"/>
  <c r="B63" i="13"/>
  <c r="C63" i="13"/>
  <c r="F63" i="13"/>
  <c r="G63" i="13"/>
  <c r="H63" i="13"/>
  <c r="D63" i="13"/>
  <c r="E63" i="13"/>
  <c r="T63" i="13"/>
  <c r="U63" i="13"/>
  <c r="X63" i="13"/>
  <c r="Y63" i="13"/>
  <c r="Z63" i="13"/>
  <c r="V63" i="13"/>
  <c r="W63" i="13"/>
  <c r="B64" i="13"/>
  <c r="C64" i="13"/>
  <c r="F64" i="13"/>
  <c r="G64" i="13"/>
  <c r="H64" i="13"/>
  <c r="D64" i="13"/>
  <c r="E64" i="13"/>
  <c r="T64" i="13"/>
  <c r="U64" i="13"/>
  <c r="X64" i="13"/>
  <c r="Y64" i="13"/>
  <c r="Z64" i="13"/>
  <c r="V64" i="13"/>
  <c r="W64" i="13"/>
  <c r="B65" i="13"/>
  <c r="C65" i="13"/>
  <c r="F65" i="13"/>
  <c r="G65" i="13"/>
  <c r="H65" i="13"/>
  <c r="D65" i="13"/>
  <c r="E65" i="13"/>
  <c r="T65" i="13"/>
  <c r="U65" i="13"/>
  <c r="X65" i="13"/>
  <c r="Y65" i="13"/>
  <c r="Z65" i="13"/>
  <c r="V65" i="13"/>
  <c r="W65" i="13"/>
  <c r="B66" i="13"/>
  <c r="C66" i="13"/>
  <c r="F66" i="13"/>
  <c r="G66" i="13"/>
  <c r="H66" i="13"/>
  <c r="D66" i="13"/>
  <c r="E66" i="13"/>
  <c r="T66" i="13"/>
  <c r="U66" i="13"/>
  <c r="X66" i="13"/>
  <c r="Y66" i="13"/>
  <c r="Z66" i="13"/>
  <c r="V66" i="13"/>
  <c r="W66" i="13"/>
  <c r="B67" i="13"/>
  <c r="C67" i="13"/>
  <c r="F67" i="13"/>
  <c r="G67" i="13"/>
  <c r="H67" i="13"/>
  <c r="D67" i="13"/>
  <c r="E67" i="13"/>
  <c r="T67" i="13"/>
  <c r="U67" i="13"/>
  <c r="X67" i="13"/>
  <c r="Y67" i="13"/>
  <c r="Z67" i="13"/>
  <c r="V67" i="13"/>
  <c r="W67" i="13"/>
  <c r="B68" i="13"/>
  <c r="C68" i="13"/>
  <c r="F68" i="13"/>
  <c r="G68" i="13"/>
  <c r="H68" i="13"/>
  <c r="D68" i="13"/>
  <c r="E68" i="13"/>
  <c r="T68" i="13"/>
  <c r="U68" i="13"/>
  <c r="X68" i="13"/>
  <c r="Y68" i="13"/>
  <c r="Z68" i="13"/>
  <c r="V68" i="13"/>
  <c r="W68" i="13"/>
  <c r="B69" i="13"/>
  <c r="C69" i="13"/>
  <c r="F69" i="13"/>
  <c r="G69" i="13"/>
  <c r="H69" i="13"/>
  <c r="D69" i="13"/>
  <c r="E69" i="13"/>
  <c r="T69" i="13"/>
  <c r="U69" i="13"/>
  <c r="X69" i="13"/>
  <c r="Y69" i="13"/>
  <c r="Z69" i="13"/>
  <c r="V69" i="13"/>
  <c r="W69" i="13"/>
  <c r="B70" i="13"/>
  <c r="C70" i="13"/>
  <c r="F70" i="13"/>
  <c r="G70" i="13"/>
  <c r="H70" i="13"/>
  <c r="D70" i="13"/>
  <c r="E70" i="13"/>
  <c r="T70" i="13"/>
  <c r="U70" i="13"/>
  <c r="X70" i="13"/>
  <c r="Y70" i="13"/>
  <c r="Z70" i="13"/>
  <c r="V70" i="13"/>
  <c r="W70" i="13"/>
  <c r="B71" i="13"/>
  <c r="C71" i="13"/>
  <c r="F71" i="13"/>
  <c r="G71" i="13"/>
  <c r="H71" i="13"/>
  <c r="D71" i="13"/>
  <c r="E71" i="13"/>
  <c r="T71" i="13"/>
  <c r="U71" i="13"/>
  <c r="X71" i="13"/>
  <c r="Y71" i="13"/>
  <c r="Z71" i="13"/>
  <c r="V71" i="13"/>
  <c r="W71" i="13"/>
  <c r="B72" i="13"/>
  <c r="C72" i="13"/>
  <c r="F72" i="13"/>
  <c r="G72" i="13"/>
  <c r="H72" i="13"/>
  <c r="D72" i="13"/>
  <c r="E72" i="13"/>
  <c r="T72" i="13"/>
  <c r="U72" i="13"/>
  <c r="X72" i="13"/>
  <c r="Y72" i="13"/>
  <c r="Z72" i="13"/>
  <c r="V72" i="13"/>
  <c r="W72" i="13"/>
  <c r="B73" i="13"/>
  <c r="C73" i="13"/>
  <c r="F73" i="13"/>
  <c r="G73" i="13"/>
  <c r="H73" i="13"/>
  <c r="D73" i="13"/>
  <c r="E73" i="13"/>
  <c r="T73" i="13"/>
  <c r="U73" i="13"/>
  <c r="X73" i="13"/>
  <c r="Y73" i="13"/>
  <c r="Z73" i="13"/>
  <c r="V73" i="13"/>
  <c r="W73" i="13"/>
  <c r="B74" i="13"/>
  <c r="C74" i="13"/>
  <c r="F74" i="13"/>
  <c r="G74" i="13"/>
  <c r="H74" i="13"/>
  <c r="D74" i="13"/>
  <c r="E74" i="13"/>
  <c r="T74" i="13"/>
  <c r="U74" i="13"/>
  <c r="X74" i="13"/>
  <c r="Y74" i="13"/>
  <c r="Z74" i="13"/>
  <c r="V74" i="13"/>
  <c r="W74" i="13"/>
  <c r="B75" i="13"/>
  <c r="C75" i="13"/>
  <c r="F75" i="13"/>
  <c r="G75" i="13"/>
  <c r="H75" i="13"/>
  <c r="D75" i="13"/>
  <c r="E75" i="13"/>
  <c r="T75" i="13"/>
  <c r="U75" i="13"/>
  <c r="X75" i="13"/>
  <c r="Y75" i="13"/>
  <c r="Z75" i="13"/>
  <c r="V75" i="13"/>
  <c r="W75" i="13"/>
  <c r="B76" i="13"/>
  <c r="C76" i="13"/>
  <c r="F76" i="13"/>
  <c r="G76" i="13"/>
  <c r="H76" i="13"/>
  <c r="D76" i="13"/>
  <c r="E76" i="13"/>
  <c r="T76" i="13"/>
  <c r="U76" i="13"/>
  <c r="X76" i="13"/>
  <c r="Y76" i="13"/>
  <c r="Z76" i="13"/>
  <c r="V76" i="13"/>
  <c r="W76" i="13"/>
  <c r="B77" i="13"/>
  <c r="C77" i="13"/>
  <c r="F77" i="13"/>
  <c r="G77" i="13"/>
  <c r="H77" i="13"/>
  <c r="D77" i="13"/>
  <c r="E77" i="13"/>
  <c r="T77" i="13"/>
  <c r="U77" i="13"/>
  <c r="X77" i="13"/>
  <c r="Y77" i="13"/>
  <c r="Z77" i="13"/>
  <c r="V77" i="13"/>
  <c r="W77" i="13"/>
  <c r="B78" i="13"/>
  <c r="C78" i="13"/>
  <c r="F78" i="13"/>
  <c r="G78" i="13"/>
  <c r="H78" i="13"/>
  <c r="D78" i="13"/>
  <c r="E78" i="13"/>
  <c r="T78" i="13"/>
  <c r="U78" i="13"/>
  <c r="X78" i="13"/>
  <c r="Y78" i="13"/>
  <c r="Z78" i="13"/>
  <c r="V78" i="13"/>
  <c r="W78" i="13"/>
  <c r="B79" i="13"/>
  <c r="C79" i="13"/>
  <c r="F79" i="13"/>
  <c r="G79" i="13"/>
  <c r="H79" i="13"/>
  <c r="D79" i="13"/>
  <c r="E79" i="13"/>
  <c r="T79" i="13"/>
  <c r="U79" i="13"/>
  <c r="X79" i="13"/>
  <c r="Y79" i="13"/>
  <c r="Z79" i="13"/>
  <c r="V79" i="13"/>
  <c r="W79" i="13"/>
  <c r="B80" i="13"/>
  <c r="C80" i="13"/>
  <c r="F80" i="13"/>
  <c r="G80" i="13"/>
  <c r="H80" i="13"/>
  <c r="D80" i="13"/>
  <c r="E80" i="13"/>
  <c r="T80" i="13"/>
  <c r="U80" i="13"/>
  <c r="X80" i="13"/>
  <c r="Y80" i="13"/>
  <c r="Z80" i="13"/>
  <c r="V80" i="13"/>
  <c r="W80" i="13"/>
  <c r="B81" i="13"/>
  <c r="C81" i="13"/>
  <c r="F81" i="13"/>
  <c r="G81" i="13"/>
  <c r="H81" i="13"/>
  <c r="D81" i="13"/>
  <c r="E81" i="13"/>
  <c r="T81" i="13"/>
  <c r="U81" i="13"/>
  <c r="X81" i="13"/>
  <c r="Y81" i="13"/>
  <c r="Z81" i="13"/>
  <c r="V81" i="13"/>
  <c r="W81" i="13"/>
  <c r="B82" i="13"/>
  <c r="C82" i="13"/>
  <c r="F82" i="13"/>
  <c r="G82" i="13"/>
  <c r="H82" i="13"/>
  <c r="D82" i="13"/>
  <c r="E82" i="13"/>
  <c r="T82" i="13"/>
  <c r="U82" i="13"/>
  <c r="X82" i="13"/>
  <c r="Y82" i="13"/>
  <c r="Z82" i="13"/>
  <c r="V82" i="13"/>
  <c r="W82" i="13"/>
  <c r="B83" i="13"/>
  <c r="C83" i="13"/>
  <c r="F83" i="13"/>
  <c r="G83" i="13"/>
  <c r="H83" i="13"/>
  <c r="D83" i="13"/>
  <c r="E83" i="13"/>
  <c r="T83" i="13"/>
  <c r="U83" i="13"/>
  <c r="X83" i="13"/>
  <c r="Y83" i="13"/>
  <c r="Z83" i="13"/>
  <c r="V83" i="13"/>
  <c r="W83" i="13"/>
  <c r="B84" i="13"/>
  <c r="C84" i="13"/>
  <c r="F84" i="13"/>
  <c r="G84" i="13"/>
  <c r="H84" i="13"/>
  <c r="D84" i="13"/>
  <c r="E84" i="13"/>
  <c r="T84" i="13"/>
  <c r="U84" i="13"/>
  <c r="X84" i="13"/>
  <c r="Y84" i="13"/>
  <c r="Z84" i="13"/>
  <c r="V84" i="13"/>
  <c r="W84" i="13"/>
  <c r="B85" i="13"/>
  <c r="C85" i="13"/>
  <c r="F85" i="13"/>
  <c r="G85" i="13"/>
  <c r="H85" i="13"/>
  <c r="D85" i="13"/>
  <c r="E85" i="13"/>
  <c r="T85" i="13"/>
  <c r="U85" i="13"/>
  <c r="X85" i="13"/>
  <c r="Y85" i="13"/>
  <c r="Z85" i="13"/>
  <c r="V85" i="13"/>
  <c r="W85" i="13"/>
  <c r="B86" i="13"/>
  <c r="C86" i="13"/>
  <c r="F86" i="13"/>
  <c r="G86" i="13"/>
  <c r="H86" i="13"/>
  <c r="D86" i="13"/>
  <c r="E86" i="13"/>
  <c r="T86" i="13"/>
  <c r="U86" i="13"/>
  <c r="X86" i="13"/>
  <c r="Y86" i="13"/>
  <c r="Z86" i="13"/>
  <c r="V86" i="13"/>
  <c r="W86" i="13"/>
  <c r="B87" i="13"/>
  <c r="C87" i="13"/>
  <c r="F87" i="13"/>
  <c r="G87" i="13"/>
  <c r="H87" i="13"/>
  <c r="D87" i="13"/>
  <c r="E87" i="13"/>
  <c r="T87" i="13"/>
  <c r="U87" i="13"/>
  <c r="X87" i="13"/>
  <c r="Y87" i="13"/>
  <c r="Z87" i="13"/>
  <c r="V87" i="13"/>
  <c r="W87" i="13"/>
  <c r="B88" i="13"/>
  <c r="C88" i="13"/>
  <c r="F88" i="13"/>
  <c r="G88" i="13"/>
  <c r="H88" i="13"/>
  <c r="D88" i="13"/>
  <c r="E88" i="13"/>
  <c r="T88" i="13"/>
  <c r="U88" i="13"/>
  <c r="X88" i="13"/>
  <c r="Y88" i="13"/>
  <c r="Z88" i="13"/>
  <c r="V88" i="13"/>
  <c r="W88" i="13"/>
  <c r="B89" i="13"/>
  <c r="C89" i="13"/>
  <c r="F89" i="13"/>
  <c r="G89" i="13"/>
  <c r="H89" i="13"/>
  <c r="D89" i="13"/>
  <c r="E89" i="13"/>
  <c r="T89" i="13"/>
  <c r="U89" i="13"/>
  <c r="X89" i="13"/>
  <c r="Y89" i="13"/>
  <c r="Z89" i="13"/>
  <c r="V89" i="13"/>
  <c r="W89" i="13"/>
  <c r="B90" i="13"/>
  <c r="C90" i="13"/>
  <c r="F90" i="13"/>
  <c r="G90" i="13"/>
  <c r="H90" i="13"/>
  <c r="D90" i="13"/>
  <c r="E90" i="13"/>
  <c r="T90" i="13"/>
  <c r="U90" i="13"/>
  <c r="X90" i="13"/>
  <c r="Y90" i="13"/>
  <c r="Z90" i="13"/>
  <c r="V90" i="13"/>
  <c r="W90" i="13"/>
  <c r="B91" i="13"/>
  <c r="C91" i="13"/>
  <c r="F91" i="13"/>
  <c r="G91" i="13"/>
  <c r="H91" i="13"/>
  <c r="D91" i="13"/>
  <c r="E91" i="13"/>
  <c r="T91" i="13"/>
  <c r="U91" i="13"/>
  <c r="X91" i="13"/>
  <c r="Y91" i="13"/>
  <c r="Z91" i="13"/>
  <c r="V91" i="13"/>
  <c r="W91" i="13"/>
  <c r="B92" i="13"/>
  <c r="C92" i="13"/>
  <c r="F92" i="13"/>
  <c r="G92" i="13"/>
  <c r="H92" i="13"/>
  <c r="D92" i="13"/>
  <c r="E92" i="13"/>
  <c r="T92" i="13"/>
  <c r="U92" i="13"/>
  <c r="X92" i="13"/>
  <c r="Y92" i="13"/>
  <c r="Z92" i="13"/>
  <c r="V92" i="13"/>
  <c r="W92" i="13"/>
  <c r="B93" i="13"/>
  <c r="C93" i="13"/>
  <c r="F93" i="13"/>
  <c r="G93" i="13"/>
  <c r="H93" i="13"/>
  <c r="D93" i="13"/>
  <c r="E93" i="13"/>
  <c r="T93" i="13"/>
  <c r="U93" i="13"/>
  <c r="X93" i="13"/>
  <c r="Y93" i="13"/>
  <c r="Z93" i="13"/>
  <c r="V93" i="13"/>
  <c r="W93" i="13"/>
  <c r="B94" i="13"/>
  <c r="C94" i="13"/>
  <c r="F94" i="13"/>
  <c r="G94" i="13"/>
  <c r="H94" i="13"/>
  <c r="D94" i="13"/>
  <c r="E94" i="13"/>
  <c r="T94" i="13"/>
  <c r="U94" i="13"/>
  <c r="X94" i="13"/>
  <c r="Y94" i="13"/>
  <c r="Z94" i="13"/>
  <c r="V94" i="13"/>
  <c r="W94" i="13"/>
  <c r="B95" i="13"/>
  <c r="C95" i="13"/>
  <c r="F95" i="13"/>
  <c r="G95" i="13"/>
  <c r="H95" i="13"/>
  <c r="D95" i="13"/>
  <c r="E95" i="13"/>
  <c r="T95" i="13"/>
  <c r="U95" i="13"/>
  <c r="X95" i="13"/>
  <c r="Y95" i="13"/>
  <c r="Z95" i="13"/>
  <c r="V95" i="13"/>
  <c r="W95" i="13"/>
  <c r="B96" i="13"/>
  <c r="C96" i="13"/>
  <c r="F96" i="13"/>
  <c r="G96" i="13"/>
  <c r="H96" i="13"/>
  <c r="D96" i="13"/>
  <c r="E96" i="13"/>
  <c r="T96" i="13"/>
  <c r="U96" i="13"/>
  <c r="X96" i="13"/>
  <c r="Y96" i="13"/>
  <c r="Z96" i="13"/>
  <c r="V96" i="13"/>
  <c r="W96" i="13"/>
  <c r="B97" i="13"/>
  <c r="C97" i="13"/>
  <c r="F97" i="13"/>
  <c r="G97" i="13"/>
  <c r="H97" i="13"/>
  <c r="D97" i="13"/>
  <c r="E97" i="13"/>
  <c r="T97" i="13"/>
  <c r="U97" i="13"/>
  <c r="X97" i="13"/>
  <c r="Y97" i="13"/>
  <c r="Z97" i="13"/>
  <c r="V97" i="13"/>
  <c r="W97" i="13"/>
  <c r="B98" i="13"/>
  <c r="C98" i="13"/>
  <c r="F98" i="13"/>
  <c r="G98" i="13"/>
  <c r="H98" i="13"/>
  <c r="D98" i="13"/>
  <c r="E98" i="13"/>
  <c r="T98" i="13"/>
  <c r="U98" i="13"/>
  <c r="X98" i="13"/>
  <c r="Y98" i="13"/>
  <c r="Z98" i="13"/>
  <c r="V98" i="13"/>
  <c r="W98" i="13"/>
  <c r="B99" i="13"/>
  <c r="C99" i="13"/>
  <c r="F99" i="13"/>
  <c r="G99" i="13"/>
  <c r="H99" i="13"/>
  <c r="D99" i="13"/>
  <c r="E99" i="13"/>
  <c r="T99" i="13"/>
  <c r="U99" i="13"/>
  <c r="X99" i="13"/>
  <c r="Y99" i="13"/>
  <c r="Z99" i="13"/>
  <c r="V99" i="13"/>
  <c r="W99" i="13"/>
  <c r="B100" i="13"/>
  <c r="C100" i="13"/>
  <c r="F100" i="13"/>
  <c r="G100" i="13"/>
  <c r="H100" i="13"/>
  <c r="D100" i="13"/>
  <c r="E100" i="13"/>
  <c r="T100" i="13"/>
  <c r="U100" i="13"/>
  <c r="X100" i="13"/>
  <c r="Y100" i="13"/>
  <c r="Z100" i="13"/>
  <c r="V100" i="13"/>
  <c r="W100" i="13"/>
  <c r="B101" i="13"/>
  <c r="C101" i="13"/>
  <c r="F101" i="13"/>
  <c r="G101" i="13"/>
  <c r="H101" i="13"/>
  <c r="D101" i="13"/>
  <c r="E101" i="13"/>
  <c r="T101" i="13"/>
  <c r="U101" i="13"/>
  <c r="X101" i="13"/>
  <c r="Y101" i="13"/>
  <c r="Z101" i="13"/>
  <c r="V101" i="13"/>
  <c r="W101" i="13"/>
  <c r="B102" i="13"/>
  <c r="C102" i="13"/>
  <c r="F102" i="13"/>
  <c r="G102" i="13"/>
  <c r="H102" i="13"/>
  <c r="D102" i="13"/>
  <c r="E102" i="13"/>
  <c r="T102" i="13"/>
  <c r="U102" i="13"/>
  <c r="X102" i="13"/>
  <c r="Y102" i="13"/>
  <c r="Z102" i="13"/>
  <c r="V102" i="13"/>
  <c r="W102" i="13"/>
  <c r="B103" i="13"/>
  <c r="C103" i="13"/>
  <c r="F103" i="13"/>
  <c r="G103" i="13"/>
  <c r="H103" i="13"/>
  <c r="D103" i="13"/>
  <c r="E103" i="13"/>
  <c r="T103" i="13"/>
  <c r="U103" i="13"/>
  <c r="X103" i="13"/>
  <c r="Y103" i="13"/>
  <c r="Z103" i="13"/>
  <c r="V103" i="13"/>
  <c r="W103" i="13"/>
  <c r="B104" i="13"/>
  <c r="C104" i="13"/>
  <c r="F104" i="13"/>
  <c r="G104" i="13"/>
  <c r="H104" i="13"/>
  <c r="D104" i="13"/>
  <c r="E104" i="13"/>
  <c r="T104" i="13"/>
  <c r="U104" i="13"/>
  <c r="X104" i="13"/>
  <c r="Y104" i="13"/>
  <c r="Z104" i="13"/>
  <c r="V104" i="13"/>
  <c r="W104" i="13"/>
  <c r="B105" i="13"/>
  <c r="C105" i="13"/>
  <c r="F105" i="13"/>
  <c r="G105" i="13"/>
  <c r="H105" i="13"/>
  <c r="D105" i="13"/>
  <c r="E105" i="13"/>
  <c r="T105" i="13"/>
  <c r="U105" i="13"/>
  <c r="X105" i="13"/>
  <c r="Y105" i="13"/>
  <c r="Z105" i="13"/>
  <c r="V105" i="13"/>
  <c r="W105" i="13"/>
  <c r="B106" i="13"/>
  <c r="C106" i="13"/>
  <c r="F106" i="13"/>
  <c r="G106" i="13"/>
  <c r="H106" i="13"/>
  <c r="D106" i="13"/>
  <c r="E106" i="13"/>
  <c r="T106" i="13"/>
  <c r="U106" i="13"/>
  <c r="X106" i="13"/>
  <c r="Y106" i="13"/>
  <c r="Z106" i="13"/>
  <c r="V106" i="13"/>
  <c r="W106" i="13"/>
  <c r="B107" i="13"/>
  <c r="C107" i="13"/>
  <c r="F107" i="13"/>
  <c r="G107" i="13"/>
  <c r="H107" i="13"/>
  <c r="D107" i="13"/>
  <c r="E107" i="13"/>
  <c r="T107" i="13"/>
  <c r="U107" i="13"/>
  <c r="X107" i="13"/>
  <c r="Y107" i="13"/>
  <c r="Z107" i="13"/>
  <c r="V107" i="13"/>
  <c r="W107" i="13"/>
  <c r="B108" i="13"/>
  <c r="C108" i="13"/>
  <c r="F108" i="13"/>
  <c r="G108" i="13"/>
  <c r="H108" i="13"/>
  <c r="D108" i="13"/>
  <c r="E108" i="13"/>
  <c r="T108" i="13"/>
  <c r="U108" i="13"/>
  <c r="X108" i="13"/>
  <c r="Y108" i="13"/>
  <c r="Z108" i="13"/>
  <c r="V108" i="13"/>
  <c r="W108" i="13"/>
  <c r="B109" i="13"/>
  <c r="C109" i="13"/>
  <c r="F109" i="13"/>
  <c r="G109" i="13"/>
  <c r="H109" i="13"/>
  <c r="D109" i="13"/>
  <c r="E109" i="13"/>
  <c r="T109" i="13"/>
  <c r="U109" i="13"/>
  <c r="X109" i="13"/>
  <c r="Y109" i="13"/>
  <c r="Z109" i="13"/>
  <c r="V109" i="13"/>
  <c r="W109" i="13"/>
  <c r="B110" i="13"/>
  <c r="C110" i="13"/>
  <c r="F110" i="13"/>
  <c r="G110" i="13"/>
  <c r="H110" i="13"/>
  <c r="D110" i="13"/>
  <c r="E110" i="13"/>
  <c r="T110" i="13"/>
  <c r="U110" i="13"/>
  <c r="X110" i="13"/>
  <c r="Y110" i="13"/>
  <c r="Z110" i="13"/>
  <c r="V110" i="13"/>
  <c r="W110" i="13"/>
  <c r="B111" i="13"/>
  <c r="C111" i="13"/>
  <c r="F111" i="13"/>
  <c r="G111" i="13"/>
  <c r="H111" i="13"/>
  <c r="D111" i="13"/>
  <c r="E111" i="13"/>
  <c r="T111" i="13"/>
  <c r="U111" i="13"/>
  <c r="X111" i="13"/>
  <c r="Y111" i="13"/>
  <c r="Z111" i="13"/>
  <c r="V111" i="13"/>
  <c r="W111" i="13"/>
  <c r="B112" i="13"/>
  <c r="C112" i="13"/>
  <c r="F112" i="13"/>
  <c r="G112" i="13"/>
  <c r="H112" i="13"/>
  <c r="D112" i="13"/>
  <c r="E112" i="13"/>
  <c r="T112" i="13"/>
  <c r="U112" i="13"/>
  <c r="X112" i="13"/>
  <c r="Y112" i="13"/>
  <c r="Z112" i="13"/>
  <c r="V112" i="13"/>
  <c r="W112" i="13"/>
  <c r="B113" i="13"/>
  <c r="C113" i="13"/>
  <c r="F113" i="13"/>
  <c r="G113" i="13"/>
  <c r="H113" i="13"/>
  <c r="D113" i="13"/>
  <c r="E113" i="13"/>
  <c r="T113" i="13"/>
  <c r="U113" i="13"/>
  <c r="X113" i="13"/>
  <c r="Y113" i="13"/>
  <c r="Z113" i="13"/>
  <c r="V113" i="13"/>
  <c r="W113" i="13"/>
  <c r="B114" i="13"/>
  <c r="C114" i="13"/>
  <c r="F114" i="13"/>
  <c r="G114" i="13"/>
  <c r="H114" i="13"/>
  <c r="D114" i="13"/>
  <c r="E114" i="13"/>
  <c r="T114" i="13"/>
  <c r="U114" i="13"/>
  <c r="X114" i="13"/>
  <c r="Y114" i="13"/>
  <c r="Z114" i="13"/>
  <c r="V114" i="13"/>
  <c r="W114" i="13"/>
  <c r="B115" i="13"/>
  <c r="C115" i="13"/>
  <c r="F115" i="13"/>
  <c r="G115" i="13"/>
  <c r="H115" i="13"/>
  <c r="D115" i="13"/>
  <c r="E115" i="13"/>
  <c r="T115" i="13"/>
  <c r="U115" i="13"/>
  <c r="X115" i="13"/>
  <c r="Y115" i="13"/>
  <c r="Z115" i="13"/>
  <c r="V115" i="13"/>
  <c r="W115" i="13"/>
  <c r="B116" i="13"/>
  <c r="C116" i="13"/>
  <c r="F116" i="13"/>
  <c r="G116" i="13"/>
  <c r="H116" i="13"/>
  <c r="D116" i="13"/>
  <c r="E116" i="13"/>
  <c r="T116" i="13"/>
  <c r="U116" i="13"/>
  <c r="X116" i="13"/>
  <c r="Y116" i="13"/>
  <c r="Z116" i="13"/>
  <c r="V116" i="13"/>
  <c r="W116" i="13"/>
  <c r="B117" i="13"/>
  <c r="C117" i="13"/>
  <c r="F117" i="13"/>
  <c r="G117" i="13"/>
  <c r="H117" i="13"/>
  <c r="D117" i="13"/>
  <c r="E117" i="13"/>
  <c r="T117" i="13"/>
  <c r="U117" i="13"/>
  <c r="X117" i="13"/>
  <c r="Y117" i="13"/>
  <c r="Z117" i="13"/>
  <c r="V117" i="13"/>
  <c r="W117" i="13"/>
  <c r="B118" i="13"/>
  <c r="C118" i="13"/>
  <c r="F118" i="13"/>
  <c r="G118" i="13"/>
  <c r="H118" i="13"/>
  <c r="D118" i="13"/>
  <c r="E118" i="13"/>
  <c r="T118" i="13"/>
  <c r="U118" i="13"/>
  <c r="X118" i="13"/>
  <c r="Y118" i="13"/>
  <c r="Z118" i="13"/>
  <c r="V118" i="13"/>
  <c r="W118" i="13"/>
  <c r="B119" i="13"/>
  <c r="C119" i="13"/>
  <c r="F119" i="13"/>
  <c r="G119" i="13"/>
  <c r="H119" i="13"/>
  <c r="D119" i="13"/>
  <c r="E119" i="13"/>
  <c r="T119" i="13"/>
  <c r="U119" i="13"/>
  <c r="X119" i="13"/>
  <c r="Y119" i="13"/>
  <c r="Z119" i="13"/>
  <c r="V119" i="13"/>
  <c r="W119" i="13"/>
  <c r="B120" i="13"/>
  <c r="C120" i="13"/>
  <c r="F120" i="13"/>
  <c r="G120" i="13"/>
  <c r="H120" i="13"/>
  <c r="D120" i="13"/>
  <c r="E120" i="13"/>
  <c r="T120" i="13"/>
  <c r="U120" i="13"/>
  <c r="X120" i="13"/>
  <c r="Y120" i="13"/>
  <c r="Z120" i="13"/>
  <c r="V120" i="13"/>
  <c r="W120" i="13"/>
  <c r="B121" i="13"/>
  <c r="C121" i="13"/>
  <c r="F121" i="13"/>
  <c r="G121" i="13"/>
  <c r="H121" i="13"/>
  <c r="D121" i="13"/>
  <c r="E121" i="13"/>
  <c r="T121" i="13"/>
  <c r="U121" i="13"/>
  <c r="X121" i="13"/>
  <c r="Y121" i="13"/>
  <c r="Z121" i="13"/>
  <c r="V121" i="13"/>
  <c r="W121" i="13"/>
  <c r="B122" i="13"/>
  <c r="C122" i="13"/>
  <c r="F122" i="13"/>
  <c r="G122" i="13"/>
  <c r="H122" i="13"/>
  <c r="D122" i="13"/>
  <c r="E122" i="13"/>
  <c r="T122" i="13"/>
  <c r="U122" i="13"/>
  <c r="X122" i="13"/>
  <c r="Y122" i="13"/>
  <c r="Z122" i="13"/>
  <c r="V122" i="13"/>
  <c r="W122" i="13"/>
  <c r="B123" i="13"/>
  <c r="C123" i="13"/>
  <c r="F123" i="13"/>
  <c r="G123" i="13"/>
  <c r="H123" i="13"/>
  <c r="D123" i="13"/>
  <c r="E123" i="13"/>
  <c r="T123" i="13"/>
  <c r="U123" i="13"/>
  <c r="X123" i="13"/>
  <c r="Y123" i="13"/>
  <c r="Z123" i="13"/>
  <c r="V123" i="13"/>
  <c r="W123" i="13"/>
  <c r="B124" i="13"/>
  <c r="C124" i="13"/>
  <c r="F124" i="13"/>
  <c r="G124" i="13"/>
  <c r="H124" i="13"/>
  <c r="D124" i="13"/>
  <c r="E124" i="13"/>
  <c r="T124" i="13"/>
  <c r="U124" i="13"/>
  <c r="X124" i="13"/>
  <c r="Y124" i="13"/>
  <c r="Z124" i="13"/>
  <c r="V124" i="13"/>
  <c r="W124" i="13"/>
  <c r="B125" i="13"/>
  <c r="C125" i="13"/>
  <c r="F125" i="13"/>
  <c r="G125" i="13"/>
  <c r="H125" i="13"/>
  <c r="D125" i="13"/>
  <c r="E125" i="13"/>
  <c r="T125" i="13"/>
  <c r="U125" i="13"/>
  <c r="X125" i="13"/>
  <c r="Y125" i="13"/>
  <c r="Z125" i="13"/>
  <c r="V125" i="13"/>
  <c r="W125" i="13"/>
  <c r="B126" i="13"/>
  <c r="C126" i="13"/>
  <c r="F126" i="13"/>
  <c r="G126" i="13"/>
  <c r="H126" i="13"/>
  <c r="D126" i="13"/>
  <c r="E126" i="13"/>
  <c r="T126" i="13"/>
  <c r="U126" i="13"/>
  <c r="X126" i="13"/>
  <c r="Y126" i="13"/>
  <c r="Z126" i="13"/>
  <c r="V126" i="13"/>
  <c r="W126" i="13"/>
  <c r="B127" i="13"/>
  <c r="C127" i="13"/>
  <c r="F127" i="13"/>
  <c r="G127" i="13"/>
  <c r="H127" i="13"/>
  <c r="D127" i="13"/>
  <c r="E127" i="13"/>
  <c r="T127" i="13"/>
  <c r="U127" i="13"/>
  <c r="X127" i="13"/>
  <c r="Y127" i="13"/>
  <c r="Z127" i="13"/>
  <c r="V127" i="13"/>
  <c r="W127" i="13"/>
  <c r="B128" i="13"/>
  <c r="C128" i="13"/>
  <c r="F128" i="13"/>
  <c r="G128" i="13"/>
  <c r="H128" i="13"/>
  <c r="D128" i="13"/>
  <c r="E128" i="13"/>
  <c r="T128" i="13"/>
  <c r="U128" i="13"/>
  <c r="X128" i="13"/>
  <c r="Y128" i="13"/>
  <c r="Z128" i="13"/>
  <c r="V128" i="13"/>
  <c r="W128" i="13"/>
  <c r="B129" i="13"/>
  <c r="C129" i="13"/>
  <c r="F129" i="13"/>
  <c r="G129" i="13"/>
  <c r="H129" i="13"/>
  <c r="D129" i="13"/>
  <c r="E129" i="13"/>
  <c r="T129" i="13"/>
  <c r="U129" i="13"/>
  <c r="X129" i="13"/>
  <c r="Y129" i="13"/>
  <c r="Z129" i="13"/>
  <c r="V129" i="13"/>
  <c r="W129" i="13"/>
  <c r="B130" i="13"/>
  <c r="C130" i="13"/>
  <c r="F130" i="13"/>
  <c r="G130" i="13"/>
  <c r="H130" i="13"/>
  <c r="D130" i="13"/>
  <c r="E130" i="13"/>
  <c r="T130" i="13"/>
  <c r="U130" i="13"/>
  <c r="X130" i="13"/>
  <c r="Y130" i="13"/>
  <c r="Z130" i="13"/>
  <c r="V130" i="13"/>
  <c r="W130" i="13"/>
  <c r="B131" i="13"/>
  <c r="C131" i="13"/>
  <c r="F131" i="13"/>
  <c r="G131" i="13"/>
  <c r="H131" i="13"/>
  <c r="D131" i="13"/>
  <c r="E131" i="13"/>
  <c r="T131" i="13"/>
  <c r="U131" i="13"/>
  <c r="X131" i="13"/>
  <c r="Y131" i="13"/>
  <c r="Z131" i="13"/>
  <c r="V131" i="13"/>
  <c r="W131" i="13"/>
  <c r="B132" i="13"/>
  <c r="C132" i="13"/>
  <c r="F132" i="13"/>
  <c r="G132" i="13"/>
  <c r="H132" i="13"/>
  <c r="D132" i="13"/>
  <c r="E132" i="13"/>
  <c r="T132" i="13"/>
  <c r="U132" i="13"/>
  <c r="X132" i="13"/>
  <c r="Y132" i="13"/>
  <c r="Z132" i="13"/>
  <c r="V132" i="13"/>
  <c r="W132" i="13"/>
  <c r="B133" i="13"/>
  <c r="C133" i="13"/>
  <c r="F133" i="13"/>
  <c r="G133" i="13"/>
  <c r="H133" i="13"/>
  <c r="D133" i="13"/>
  <c r="E133" i="13"/>
  <c r="T133" i="13"/>
  <c r="U133" i="13"/>
  <c r="X133" i="13"/>
  <c r="Y133" i="13"/>
  <c r="Z133" i="13"/>
  <c r="V133" i="13"/>
  <c r="W133" i="13"/>
  <c r="B134" i="13"/>
  <c r="C134" i="13"/>
  <c r="F134" i="13"/>
  <c r="G134" i="13"/>
  <c r="H134" i="13"/>
  <c r="D134" i="13"/>
  <c r="E134" i="13"/>
  <c r="T134" i="13"/>
  <c r="U134" i="13"/>
  <c r="X134" i="13"/>
  <c r="Y134" i="13"/>
  <c r="Z134" i="13"/>
  <c r="V134" i="13"/>
  <c r="W134" i="13"/>
  <c r="B135" i="13"/>
  <c r="C135" i="13"/>
  <c r="F135" i="13"/>
  <c r="G135" i="13"/>
  <c r="H135" i="13"/>
  <c r="D135" i="13"/>
  <c r="E135" i="13"/>
  <c r="T135" i="13"/>
  <c r="U135" i="13"/>
  <c r="X135" i="13"/>
  <c r="Y135" i="13"/>
  <c r="Z135" i="13"/>
  <c r="V135" i="13"/>
  <c r="W135" i="13"/>
  <c r="B136" i="13"/>
  <c r="C136" i="13"/>
  <c r="F136" i="13"/>
  <c r="G136" i="13"/>
  <c r="H136" i="13"/>
  <c r="D136" i="13"/>
  <c r="E136" i="13"/>
  <c r="T136" i="13"/>
  <c r="U136" i="13"/>
  <c r="X136" i="13"/>
  <c r="Y136" i="13"/>
  <c r="Z136" i="13"/>
  <c r="V136" i="13"/>
  <c r="W136" i="13"/>
  <c r="B137" i="13"/>
  <c r="C137" i="13"/>
  <c r="F137" i="13"/>
  <c r="G137" i="13"/>
  <c r="H137" i="13"/>
  <c r="D137" i="13"/>
  <c r="E137" i="13"/>
  <c r="T137" i="13"/>
  <c r="U137" i="13"/>
  <c r="X137" i="13"/>
  <c r="Y137" i="13"/>
  <c r="Z137" i="13"/>
  <c r="V137" i="13"/>
  <c r="W137" i="13"/>
  <c r="B138" i="13"/>
  <c r="C138" i="13"/>
  <c r="F138" i="13"/>
  <c r="G138" i="13"/>
  <c r="H138" i="13"/>
  <c r="D138" i="13"/>
  <c r="E138" i="13"/>
  <c r="T138" i="13"/>
  <c r="U138" i="13"/>
  <c r="X138" i="13"/>
  <c r="Y138" i="13"/>
  <c r="Z138" i="13"/>
  <c r="V138" i="13"/>
  <c r="W138" i="13"/>
  <c r="B139" i="13"/>
  <c r="C139" i="13"/>
  <c r="F139" i="13"/>
  <c r="G139" i="13"/>
  <c r="H139" i="13"/>
  <c r="D139" i="13"/>
  <c r="E139" i="13"/>
  <c r="T139" i="13"/>
  <c r="U139" i="13"/>
  <c r="X139" i="13"/>
  <c r="Y139" i="13"/>
  <c r="Z139" i="13"/>
  <c r="V139" i="13"/>
  <c r="W139" i="13"/>
  <c r="B140" i="13"/>
  <c r="C140" i="13"/>
  <c r="F140" i="13"/>
  <c r="G140" i="13"/>
  <c r="H140" i="13"/>
  <c r="D140" i="13"/>
  <c r="E140" i="13"/>
  <c r="T140" i="13"/>
  <c r="U140" i="13"/>
  <c r="X140" i="13"/>
  <c r="Y140" i="13"/>
  <c r="Z140" i="13"/>
  <c r="V140" i="13"/>
  <c r="W140" i="13"/>
  <c r="B141" i="13"/>
  <c r="C141" i="13"/>
  <c r="F141" i="13"/>
  <c r="G141" i="13"/>
  <c r="H141" i="13"/>
  <c r="D141" i="13"/>
  <c r="E141" i="13"/>
  <c r="T141" i="13"/>
  <c r="U141" i="13"/>
  <c r="X141" i="13"/>
  <c r="Y141" i="13"/>
  <c r="Z141" i="13"/>
  <c r="V141" i="13"/>
  <c r="W141" i="13"/>
  <c r="B142" i="13"/>
  <c r="C142" i="13"/>
  <c r="F142" i="13"/>
  <c r="G142" i="13"/>
  <c r="H142" i="13"/>
  <c r="D142" i="13"/>
  <c r="E142" i="13"/>
  <c r="T142" i="13"/>
  <c r="U142" i="13"/>
  <c r="X142" i="13"/>
  <c r="Y142" i="13"/>
  <c r="Z142" i="13"/>
  <c r="V142" i="13"/>
  <c r="W142" i="13"/>
  <c r="B143" i="13"/>
  <c r="C143" i="13"/>
  <c r="F143" i="13"/>
  <c r="G143" i="13"/>
  <c r="H143" i="13"/>
  <c r="D143" i="13"/>
  <c r="E143" i="13"/>
  <c r="T143" i="13"/>
  <c r="U143" i="13"/>
  <c r="X143" i="13"/>
  <c r="Y143" i="13"/>
  <c r="Z143" i="13"/>
  <c r="V143" i="13"/>
  <c r="W143" i="13"/>
  <c r="B144" i="13"/>
  <c r="C144" i="13"/>
  <c r="F144" i="13"/>
  <c r="G144" i="13"/>
  <c r="H144" i="13"/>
  <c r="D144" i="13"/>
  <c r="E144" i="13"/>
  <c r="T144" i="13"/>
  <c r="U144" i="13"/>
  <c r="X144" i="13"/>
  <c r="Y144" i="13"/>
  <c r="Z144" i="13"/>
  <c r="V144" i="13"/>
  <c r="W144" i="13"/>
  <c r="B145" i="13"/>
  <c r="C145" i="13"/>
  <c r="F145" i="13"/>
  <c r="G145" i="13"/>
  <c r="H145" i="13"/>
  <c r="D145" i="13"/>
  <c r="E145" i="13"/>
  <c r="T145" i="13"/>
  <c r="U145" i="13"/>
  <c r="X145" i="13"/>
  <c r="Y145" i="13"/>
  <c r="Z145" i="13"/>
  <c r="V145" i="13"/>
  <c r="W145" i="13"/>
  <c r="B146" i="13"/>
  <c r="C146" i="13"/>
  <c r="F146" i="13"/>
  <c r="G146" i="13"/>
  <c r="H146" i="13"/>
  <c r="D146" i="13"/>
  <c r="E146" i="13"/>
  <c r="T146" i="13"/>
  <c r="U146" i="13"/>
  <c r="X146" i="13"/>
  <c r="Y146" i="13"/>
  <c r="Z146" i="13"/>
  <c r="V146" i="13"/>
  <c r="W146" i="13"/>
  <c r="B147" i="13"/>
  <c r="C147" i="13"/>
  <c r="F147" i="13"/>
  <c r="G147" i="13"/>
  <c r="H147" i="13"/>
  <c r="D147" i="13"/>
  <c r="E147" i="13"/>
  <c r="T147" i="13"/>
  <c r="U147" i="13"/>
  <c r="X147" i="13"/>
  <c r="Y147" i="13"/>
  <c r="Z147" i="13"/>
  <c r="V147" i="13"/>
  <c r="W147" i="13"/>
  <c r="B148" i="13"/>
  <c r="C148" i="13"/>
  <c r="F148" i="13"/>
  <c r="G148" i="13"/>
  <c r="H148" i="13"/>
  <c r="D148" i="13"/>
  <c r="E148" i="13"/>
  <c r="T148" i="13"/>
  <c r="U148" i="13"/>
  <c r="X148" i="13"/>
  <c r="Y148" i="13"/>
  <c r="Z148" i="13"/>
  <c r="V148" i="13"/>
  <c r="W148" i="13"/>
  <c r="B149" i="13"/>
  <c r="C149" i="13"/>
  <c r="F149" i="13"/>
  <c r="G149" i="13"/>
  <c r="H149" i="13"/>
  <c r="D149" i="13"/>
  <c r="E149" i="13"/>
  <c r="T149" i="13"/>
  <c r="U149" i="13"/>
  <c r="X149" i="13"/>
  <c r="Y149" i="13"/>
  <c r="Z149" i="13"/>
  <c r="V149" i="13"/>
  <c r="W149" i="13"/>
  <c r="B150" i="13"/>
  <c r="C150" i="13"/>
  <c r="F150" i="13"/>
  <c r="G150" i="13"/>
  <c r="H150" i="13"/>
  <c r="D150" i="13"/>
  <c r="E150" i="13"/>
  <c r="T150" i="13"/>
  <c r="U150" i="13"/>
  <c r="X150" i="13"/>
  <c r="Y150" i="13"/>
  <c r="Z150" i="13"/>
  <c r="V150" i="13"/>
  <c r="W150" i="13"/>
  <c r="B151" i="13"/>
  <c r="C151" i="13"/>
  <c r="F151" i="13"/>
  <c r="G151" i="13"/>
  <c r="H151" i="13"/>
  <c r="D151" i="13"/>
  <c r="E151" i="13"/>
  <c r="T151" i="13"/>
  <c r="U151" i="13"/>
  <c r="X151" i="13"/>
  <c r="Y151" i="13"/>
  <c r="Z151" i="13"/>
  <c r="V151" i="13"/>
  <c r="W151" i="13"/>
  <c r="B152" i="13"/>
  <c r="C152" i="13"/>
  <c r="F152" i="13"/>
  <c r="G152" i="13"/>
  <c r="H152" i="13"/>
  <c r="D152" i="13"/>
  <c r="E152" i="13"/>
  <c r="T152" i="13"/>
  <c r="U152" i="13"/>
  <c r="X152" i="13"/>
  <c r="Y152" i="13"/>
  <c r="Z152" i="13"/>
  <c r="V152" i="13"/>
  <c r="W152" i="13"/>
  <c r="B153" i="13"/>
  <c r="C153" i="13"/>
  <c r="F153" i="13"/>
  <c r="G153" i="13"/>
  <c r="H153" i="13"/>
  <c r="D153" i="13"/>
  <c r="E153" i="13"/>
  <c r="T153" i="13"/>
  <c r="U153" i="13"/>
  <c r="X153" i="13"/>
  <c r="Y153" i="13"/>
  <c r="Z153" i="13"/>
  <c r="V153" i="13"/>
  <c r="W153" i="13"/>
  <c r="B154" i="13"/>
  <c r="C154" i="13"/>
  <c r="F154" i="13"/>
  <c r="G154" i="13"/>
  <c r="H154" i="13"/>
  <c r="D154" i="13"/>
  <c r="E154" i="13"/>
  <c r="T154" i="13"/>
  <c r="U154" i="13"/>
  <c r="X154" i="13"/>
  <c r="Y154" i="13"/>
  <c r="Z154" i="13"/>
  <c r="V154" i="13"/>
  <c r="W154" i="13"/>
  <c r="B155" i="13"/>
  <c r="C155" i="13"/>
  <c r="F155" i="13"/>
  <c r="G155" i="13"/>
  <c r="H155" i="13"/>
  <c r="D155" i="13"/>
  <c r="E155" i="13"/>
  <c r="T155" i="13"/>
  <c r="U155" i="13"/>
  <c r="X155" i="13"/>
  <c r="Y155" i="13"/>
  <c r="Z155" i="13"/>
  <c r="V155" i="13"/>
  <c r="W155" i="13"/>
  <c r="B156" i="13"/>
  <c r="C156" i="13"/>
  <c r="F156" i="13"/>
  <c r="G156" i="13"/>
  <c r="H156" i="13"/>
  <c r="D156" i="13"/>
  <c r="E156" i="13"/>
  <c r="T156" i="13"/>
  <c r="U156" i="13"/>
  <c r="X156" i="13"/>
  <c r="Y156" i="13"/>
  <c r="Z156" i="13"/>
  <c r="V156" i="13"/>
  <c r="W156" i="13"/>
  <c r="B157" i="13"/>
  <c r="C157" i="13"/>
  <c r="F157" i="13"/>
  <c r="G157" i="13"/>
  <c r="H157" i="13"/>
  <c r="D157" i="13"/>
  <c r="E157" i="13"/>
  <c r="T157" i="13"/>
  <c r="U157" i="13"/>
  <c r="X157" i="13"/>
  <c r="Y157" i="13"/>
  <c r="Z157" i="13"/>
  <c r="V157" i="13"/>
  <c r="W157" i="13"/>
  <c r="B158" i="13"/>
  <c r="C158" i="13"/>
  <c r="F158" i="13"/>
  <c r="G158" i="13"/>
  <c r="H158" i="13"/>
  <c r="D158" i="13"/>
  <c r="E158" i="13"/>
  <c r="T158" i="13"/>
  <c r="U158" i="13"/>
  <c r="X158" i="13"/>
  <c r="Y158" i="13"/>
  <c r="Z158" i="13"/>
  <c r="V158" i="13"/>
  <c r="W158" i="13"/>
  <c r="B159" i="13"/>
  <c r="C159" i="13"/>
  <c r="F159" i="13"/>
  <c r="G159" i="13"/>
  <c r="H159" i="13"/>
  <c r="D159" i="13"/>
  <c r="E159" i="13"/>
  <c r="T159" i="13"/>
  <c r="U159" i="13"/>
  <c r="X159" i="13"/>
  <c r="Y159" i="13"/>
  <c r="Z159" i="13"/>
  <c r="V159" i="13"/>
  <c r="W159" i="13"/>
  <c r="B160" i="13"/>
  <c r="C160" i="13"/>
  <c r="F160" i="13"/>
  <c r="G160" i="13"/>
  <c r="H160" i="13"/>
  <c r="D160" i="13"/>
  <c r="E160" i="13"/>
  <c r="T160" i="13"/>
  <c r="U160" i="13"/>
  <c r="X160" i="13"/>
  <c r="Y160" i="13"/>
  <c r="Z160" i="13"/>
  <c r="V160" i="13"/>
  <c r="W160" i="13"/>
  <c r="B161" i="13"/>
  <c r="C161" i="13"/>
  <c r="F161" i="13"/>
  <c r="G161" i="13"/>
  <c r="H161" i="13"/>
  <c r="D161" i="13"/>
  <c r="E161" i="13"/>
  <c r="T161" i="13"/>
  <c r="U161" i="13"/>
  <c r="X161" i="13"/>
  <c r="Y161" i="13"/>
  <c r="Z161" i="13"/>
  <c r="V161" i="13"/>
  <c r="W161" i="13"/>
  <c r="B162" i="13"/>
  <c r="C162" i="13"/>
  <c r="F162" i="13"/>
  <c r="G162" i="13"/>
  <c r="H162" i="13"/>
  <c r="D162" i="13"/>
  <c r="E162" i="13"/>
  <c r="T162" i="13"/>
  <c r="U162" i="13"/>
  <c r="X162" i="13"/>
  <c r="Y162" i="13"/>
  <c r="Z162" i="13"/>
  <c r="V162" i="13"/>
  <c r="W162" i="13"/>
  <c r="B163" i="13"/>
  <c r="C163" i="13"/>
  <c r="F163" i="13"/>
  <c r="G163" i="13"/>
  <c r="H163" i="13"/>
  <c r="D163" i="13"/>
  <c r="E163" i="13"/>
  <c r="T163" i="13"/>
  <c r="U163" i="13"/>
  <c r="X163" i="13"/>
  <c r="Y163" i="13"/>
  <c r="Z163" i="13"/>
  <c r="V163" i="13"/>
  <c r="W163" i="13"/>
  <c r="B164" i="13"/>
  <c r="C164" i="13"/>
  <c r="F164" i="13"/>
  <c r="G164" i="13"/>
  <c r="H164" i="13"/>
  <c r="D164" i="13"/>
  <c r="E164" i="13"/>
  <c r="T164" i="13"/>
  <c r="U164" i="13"/>
  <c r="X164" i="13"/>
  <c r="Y164" i="13"/>
  <c r="Z164" i="13"/>
  <c r="V164" i="13"/>
  <c r="W164" i="13"/>
  <c r="B165" i="13"/>
  <c r="C165" i="13"/>
  <c r="F165" i="13"/>
  <c r="G165" i="13"/>
  <c r="H165" i="13"/>
  <c r="D165" i="13"/>
  <c r="E165" i="13"/>
  <c r="T165" i="13"/>
  <c r="U165" i="13"/>
  <c r="X165" i="13"/>
  <c r="Y165" i="13"/>
  <c r="Z165" i="13"/>
  <c r="V165" i="13"/>
  <c r="W165" i="13"/>
  <c r="B166" i="13"/>
  <c r="C166" i="13"/>
  <c r="F166" i="13"/>
  <c r="G166" i="13"/>
  <c r="H166" i="13"/>
  <c r="D166" i="13"/>
  <c r="E166" i="13"/>
  <c r="T166" i="13"/>
  <c r="U166" i="13"/>
  <c r="X166" i="13"/>
  <c r="Y166" i="13"/>
  <c r="Z166" i="13"/>
  <c r="V166" i="13"/>
  <c r="W166" i="13"/>
  <c r="B167" i="13"/>
  <c r="C167" i="13"/>
  <c r="F167" i="13"/>
  <c r="G167" i="13"/>
  <c r="H167" i="13"/>
  <c r="D167" i="13"/>
  <c r="E167" i="13"/>
  <c r="T167" i="13"/>
  <c r="U167" i="13"/>
  <c r="X167" i="13"/>
  <c r="Y167" i="13"/>
  <c r="Z167" i="13"/>
  <c r="V167" i="13"/>
  <c r="W167" i="13"/>
  <c r="B168" i="13"/>
  <c r="C168" i="13"/>
  <c r="F168" i="13"/>
  <c r="G168" i="13"/>
  <c r="H168" i="13"/>
  <c r="D168" i="13"/>
  <c r="E168" i="13"/>
  <c r="T168" i="13"/>
  <c r="U168" i="13"/>
  <c r="X168" i="13"/>
  <c r="Y168" i="13"/>
  <c r="Z168" i="13"/>
  <c r="V168" i="13"/>
  <c r="W168" i="13"/>
  <c r="B169" i="13"/>
  <c r="C169" i="13"/>
  <c r="F169" i="13"/>
  <c r="G169" i="13"/>
  <c r="H169" i="13"/>
  <c r="D169" i="13"/>
  <c r="E169" i="13"/>
  <c r="T169" i="13"/>
  <c r="U169" i="13"/>
  <c r="X169" i="13"/>
  <c r="Y169" i="13"/>
  <c r="Z169" i="13"/>
  <c r="V169" i="13"/>
  <c r="W169" i="13"/>
  <c r="B170" i="13"/>
  <c r="C170" i="13"/>
  <c r="F170" i="13"/>
  <c r="G170" i="13"/>
  <c r="H170" i="13"/>
  <c r="D170" i="13"/>
  <c r="E170" i="13"/>
  <c r="T170" i="13"/>
  <c r="U170" i="13"/>
  <c r="X170" i="13"/>
  <c r="Y170" i="13"/>
  <c r="Z170" i="13"/>
  <c r="V170" i="13"/>
  <c r="W170" i="13"/>
  <c r="B171" i="13"/>
  <c r="C171" i="13"/>
  <c r="F171" i="13"/>
  <c r="G171" i="13"/>
  <c r="H171" i="13"/>
  <c r="D171" i="13"/>
  <c r="E171" i="13"/>
  <c r="T171" i="13"/>
  <c r="U171" i="13"/>
  <c r="X171" i="13"/>
  <c r="Y171" i="13"/>
  <c r="Z171" i="13"/>
  <c r="V171" i="13"/>
  <c r="W171" i="13"/>
  <c r="B172" i="13"/>
  <c r="C172" i="13"/>
  <c r="F172" i="13"/>
  <c r="G172" i="13"/>
  <c r="H172" i="13"/>
  <c r="D172" i="13"/>
  <c r="E172" i="13"/>
  <c r="T172" i="13"/>
  <c r="U172" i="13"/>
  <c r="X172" i="13"/>
  <c r="Y172" i="13"/>
  <c r="Z172" i="13"/>
  <c r="V172" i="13"/>
  <c r="W172" i="13"/>
  <c r="B173" i="13"/>
  <c r="C173" i="13"/>
  <c r="F173" i="13"/>
  <c r="G173" i="13"/>
  <c r="H173" i="13"/>
  <c r="D173" i="13"/>
  <c r="E173" i="13"/>
  <c r="T173" i="13"/>
  <c r="U173" i="13"/>
  <c r="X173" i="13"/>
  <c r="Y173" i="13"/>
  <c r="Z173" i="13"/>
  <c r="V173" i="13"/>
  <c r="W173" i="13"/>
  <c r="B174" i="13"/>
  <c r="C174" i="13"/>
  <c r="F174" i="13"/>
  <c r="G174" i="13"/>
  <c r="H174" i="13"/>
  <c r="D174" i="13"/>
  <c r="E174" i="13"/>
  <c r="T174" i="13"/>
  <c r="U174" i="13"/>
  <c r="X174" i="13"/>
  <c r="Y174" i="13"/>
  <c r="Z174" i="13"/>
  <c r="V174" i="13"/>
  <c r="W174" i="13"/>
  <c r="B175" i="13"/>
  <c r="C175" i="13"/>
  <c r="F175" i="13"/>
  <c r="G175" i="13"/>
  <c r="H175" i="13"/>
  <c r="D175" i="13"/>
  <c r="E175" i="13"/>
  <c r="T175" i="13"/>
  <c r="U175" i="13"/>
  <c r="X175" i="13"/>
  <c r="Y175" i="13"/>
  <c r="Z175" i="13"/>
  <c r="V175" i="13"/>
  <c r="W175" i="13"/>
  <c r="B176" i="13"/>
  <c r="C176" i="13"/>
  <c r="F176" i="13"/>
  <c r="G176" i="13"/>
  <c r="H176" i="13"/>
  <c r="D176" i="13"/>
  <c r="E176" i="13"/>
  <c r="T176" i="13"/>
  <c r="U176" i="13"/>
  <c r="X176" i="13"/>
  <c r="Y176" i="13"/>
  <c r="Z176" i="13"/>
  <c r="V176" i="13"/>
  <c r="W176" i="13"/>
  <c r="B177" i="13"/>
  <c r="C177" i="13"/>
  <c r="F177" i="13"/>
  <c r="G177" i="13"/>
  <c r="H177" i="13"/>
  <c r="D177" i="13"/>
  <c r="E177" i="13"/>
  <c r="T177" i="13"/>
  <c r="U177" i="13"/>
  <c r="X177" i="13"/>
  <c r="Y177" i="13"/>
  <c r="Z177" i="13"/>
  <c r="V177" i="13"/>
  <c r="W177" i="13"/>
  <c r="B178" i="13"/>
  <c r="C178" i="13"/>
  <c r="F178" i="13"/>
  <c r="G178" i="13"/>
  <c r="H178" i="13"/>
  <c r="D178" i="13"/>
  <c r="E178" i="13"/>
  <c r="T178" i="13"/>
  <c r="U178" i="13"/>
  <c r="X178" i="13"/>
  <c r="Y178" i="13"/>
  <c r="Z178" i="13"/>
  <c r="V178" i="13"/>
  <c r="W178" i="13"/>
  <c r="B179" i="13"/>
  <c r="C179" i="13"/>
  <c r="F179" i="13"/>
  <c r="G179" i="13"/>
  <c r="H179" i="13"/>
  <c r="D179" i="13"/>
  <c r="E179" i="13"/>
  <c r="T179" i="13"/>
  <c r="U179" i="13"/>
  <c r="X179" i="13"/>
  <c r="Y179" i="13"/>
  <c r="Z179" i="13"/>
  <c r="V179" i="13"/>
  <c r="W179" i="13"/>
  <c r="B180" i="13"/>
  <c r="C180" i="13"/>
  <c r="F180" i="13"/>
  <c r="G180" i="13"/>
  <c r="H180" i="13"/>
  <c r="D180" i="13"/>
  <c r="E180" i="13"/>
  <c r="T180" i="13"/>
  <c r="U180" i="13"/>
  <c r="X180" i="13"/>
  <c r="Y180" i="13"/>
  <c r="Z180" i="13"/>
  <c r="V180" i="13"/>
  <c r="W180" i="13"/>
  <c r="B181" i="13"/>
  <c r="C181" i="13"/>
  <c r="F181" i="13"/>
  <c r="G181" i="13"/>
  <c r="H181" i="13"/>
  <c r="D181" i="13"/>
  <c r="E181" i="13"/>
  <c r="T181" i="13"/>
  <c r="U181" i="13"/>
  <c r="X181" i="13"/>
  <c r="Y181" i="13"/>
  <c r="Z181" i="13"/>
  <c r="V181" i="13"/>
  <c r="W181" i="13"/>
  <c r="B182" i="13"/>
  <c r="C182" i="13"/>
  <c r="F182" i="13"/>
  <c r="G182" i="13"/>
  <c r="H182" i="13"/>
  <c r="D182" i="13"/>
  <c r="E182" i="13"/>
  <c r="T182" i="13"/>
  <c r="U182" i="13"/>
  <c r="X182" i="13"/>
  <c r="Y182" i="13"/>
  <c r="Z182" i="13"/>
  <c r="V182" i="13"/>
  <c r="W182" i="13"/>
  <c r="B183" i="13"/>
  <c r="C183" i="13"/>
  <c r="F183" i="13"/>
  <c r="G183" i="13"/>
  <c r="H183" i="13"/>
  <c r="D183" i="13"/>
  <c r="E183" i="13"/>
  <c r="T183" i="13"/>
  <c r="U183" i="13"/>
  <c r="X183" i="13"/>
  <c r="Y183" i="13"/>
  <c r="Z183" i="13"/>
  <c r="V183" i="13"/>
  <c r="W183" i="13"/>
  <c r="B184" i="13"/>
  <c r="C184" i="13"/>
  <c r="F184" i="13"/>
  <c r="G184" i="13"/>
  <c r="H184" i="13"/>
  <c r="D184" i="13"/>
  <c r="E184" i="13"/>
  <c r="T184" i="13"/>
  <c r="U184" i="13"/>
  <c r="X184" i="13"/>
  <c r="Y184" i="13"/>
  <c r="Z184" i="13"/>
  <c r="V184" i="13"/>
  <c r="W184" i="13"/>
  <c r="B185" i="13"/>
  <c r="C185" i="13"/>
  <c r="F185" i="13"/>
  <c r="G185" i="13"/>
  <c r="H185" i="13"/>
  <c r="D185" i="13"/>
  <c r="E185" i="13"/>
  <c r="T185" i="13"/>
  <c r="U185" i="13"/>
  <c r="X185" i="13"/>
  <c r="Y185" i="13"/>
  <c r="Z185" i="13"/>
  <c r="V185" i="13"/>
  <c r="W185" i="13"/>
  <c r="B186" i="13"/>
  <c r="C186" i="13"/>
  <c r="F186" i="13"/>
  <c r="G186" i="13"/>
  <c r="H186" i="13"/>
  <c r="D186" i="13"/>
  <c r="E186" i="13"/>
  <c r="T186" i="13"/>
  <c r="U186" i="13"/>
  <c r="X186" i="13"/>
  <c r="Y186" i="13"/>
  <c r="Z186" i="13"/>
  <c r="V186" i="13"/>
  <c r="W186" i="13"/>
  <c r="B187" i="13"/>
  <c r="C187" i="13"/>
  <c r="F187" i="13"/>
  <c r="G187" i="13"/>
  <c r="H187" i="13"/>
  <c r="D187" i="13"/>
  <c r="E187" i="13"/>
  <c r="T187" i="13"/>
  <c r="U187" i="13"/>
  <c r="X187" i="13"/>
  <c r="Y187" i="13"/>
  <c r="Z187" i="13"/>
  <c r="V187" i="13"/>
  <c r="W187" i="13"/>
  <c r="B188" i="13"/>
  <c r="C188" i="13"/>
  <c r="F188" i="13"/>
  <c r="G188" i="13"/>
  <c r="H188" i="13"/>
  <c r="D188" i="13"/>
  <c r="E188" i="13"/>
  <c r="T188" i="13"/>
  <c r="U188" i="13"/>
  <c r="X188" i="13"/>
  <c r="Y188" i="13"/>
  <c r="Z188" i="13"/>
  <c r="V188" i="13"/>
  <c r="W188" i="13"/>
  <c r="B189" i="13"/>
  <c r="C189" i="13"/>
  <c r="F189" i="13"/>
  <c r="G189" i="13"/>
  <c r="H189" i="13"/>
  <c r="D189" i="13"/>
  <c r="E189" i="13"/>
  <c r="T189" i="13"/>
  <c r="U189" i="13"/>
  <c r="X189" i="13"/>
  <c r="Y189" i="13"/>
  <c r="Z189" i="13"/>
  <c r="V189" i="13"/>
  <c r="W189" i="13"/>
  <c r="B190" i="13"/>
  <c r="C190" i="13"/>
  <c r="F190" i="13"/>
  <c r="G190" i="13"/>
  <c r="H190" i="13"/>
  <c r="D190" i="13"/>
  <c r="E190" i="13"/>
  <c r="T190" i="13"/>
  <c r="U190" i="13"/>
  <c r="X190" i="13"/>
  <c r="Y190" i="13"/>
  <c r="Z190" i="13"/>
  <c r="V190" i="13"/>
  <c r="W190" i="13"/>
  <c r="B191" i="13"/>
  <c r="C191" i="13"/>
  <c r="F191" i="13"/>
  <c r="G191" i="13"/>
  <c r="H191" i="13"/>
  <c r="D191" i="13"/>
  <c r="E191" i="13"/>
  <c r="T191" i="13"/>
  <c r="U191" i="13"/>
  <c r="X191" i="13"/>
  <c r="Y191" i="13"/>
  <c r="Z191" i="13"/>
  <c r="V191" i="13"/>
  <c r="W191" i="13"/>
  <c r="B192" i="13"/>
  <c r="C192" i="13"/>
  <c r="F192" i="13"/>
  <c r="G192" i="13"/>
  <c r="H192" i="13"/>
  <c r="D192" i="13"/>
  <c r="E192" i="13"/>
  <c r="T192" i="13"/>
  <c r="U192" i="13"/>
  <c r="X192" i="13"/>
  <c r="Y192" i="13"/>
  <c r="Z192" i="13"/>
  <c r="V192" i="13"/>
  <c r="W192" i="13"/>
  <c r="B193" i="13"/>
  <c r="C193" i="13"/>
  <c r="F193" i="13"/>
  <c r="G193" i="13"/>
  <c r="H193" i="13"/>
  <c r="D193" i="13"/>
  <c r="E193" i="13"/>
  <c r="T193" i="13"/>
  <c r="U193" i="13"/>
  <c r="X193" i="13"/>
  <c r="Y193" i="13"/>
  <c r="Z193" i="13"/>
  <c r="V193" i="13"/>
  <c r="W193" i="13"/>
  <c r="B194" i="13"/>
  <c r="C194" i="13"/>
  <c r="F194" i="13"/>
  <c r="G194" i="13"/>
  <c r="H194" i="13"/>
  <c r="D194" i="13"/>
  <c r="E194" i="13"/>
  <c r="T194" i="13"/>
  <c r="U194" i="13"/>
  <c r="X194" i="13"/>
  <c r="Y194" i="13"/>
  <c r="Z194" i="13"/>
  <c r="V194" i="13"/>
  <c r="W194" i="13"/>
  <c r="B195" i="13"/>
  <c r="C195" i="13"/>
  <c r="F195" i="13"/>
  <c r="G195" i="13"/>
  <c r="H195" i="13"/>
  <c r="D195" i="13"/>
  <c r="E195" i="13"/>
  <c r="T195" i="13"/>
  <c r="U195" i="13"/>
  <c r="X195" i="13"/>
  <c r="Y195" i="13"/>
  <c r="Z195" i="13"/>
  <c r="V195" i="13"/>
  <c r="W195" i="13"/>
  <c r="B196" i="13"/>
  <c r="C196" i="13"/>
  <c r="F196" i="13"/>
  <c r="G196" i="13"/>
  <c r="H196" i="13"/>
  <c r="D196" i="13"/>
  <c r="E196" i="13"/>
  <c r="T196" i="13"/>
  <c r="U196" i="13"/>
  <c r="X196" i="13"/>
  <c r="Y196" i="13"/>
  <c r="Z196" i="13"/>
  <c r="V196" i="13"/>
  <c r="W196" i="13"/>
  <c r="B197" i="13"/>
  <c r="C197" i="13"/>
  <c r="F197" i="13"/>
  <c r="G197" i="13"/>
  <c r="H197" i="13"/>
  <c r="D197" i="13"/>
  <c r="E197" i="13"/>
  <c r="T197" i="13"/>
  <c r="U197" i="13"/>
  <c r="X197" i="13"/>
  <c r="Y197" i="13"/>
  <c r="Z197" i="13"/>
  <c r="V197" i="13"/>
  <c r="W197" i="13"/>
  <c r="B198" i="13"/>
  <c r="C198" i="13"/>
  <c r="F198" i="13"/>
  <c r="G198" i="13"/>
  <c r="H198" i="13"/>
  <c r="D198" i="13"/>
  <c r="E198" i="13"/>
  <c r="T198" i="13"/>
  <c r="U198" i="13"/>
  <c r="X198" i="13"/>
  <c r="Y198" i="13"/>
  <c r="Z198" i="13"/>
  <c r="V198" i="13"/>
  <c r="W198" i="13"/>
  <c r="B199" i="13"/>
  <c r="C199" i="13"/>
  <c r="F199" i="13"/>
  <c r="G199" i="13"/>
  <c r="H199" i="13"/>
  <c r="D199" i="13"/>
  <c r="E199" i="13"/>
  <c r="T199" i="13"/>
  <c r="U199" i="13"/>
  <c r="X199" i="13"/>
  <c r="Y199" i="13"/>
  <c r="Z199" i="13"/>
  <c r="V199" i="13"/>
  <c r="W199" i="13"/>
  <c r="B200" i="13"/>
  <c r="C200" i="13"/>
  <c r="F200" i="13"/>
  <c r="G200" i="13"/>
  <c r="H200" i="13"/>
  <c r="D200" i="13"/>
  <c r="E200" i="13"/>
  <c r="T200" i="13"/>
  <c r="U200" i="13"/>
  <c r="X200" i="13"/>
  <c r="Y200" i="13"/>
  <c r="Z200" i="13"/>
  <c r="V200" i="13"/>
  <c r="W200" i="13"/>
  <c r="B201" i="13"/>
  <c r="C201" i="13"/>
  <c r="F201" i="13"/>
  <c r="G201" i="13"/>
  <c r="H201" i="13"/>
  <c r="D201" i="13"/>
  <c r="E201" i="13"/>
  <c r="T201" i="13"/>
  <c r="U201" i="13"/>
  <c r="X201" i="13"/>
  <c r="Y201" i="13"/>
  <c r="Z201" i="13"/>
  <c r="V201" i="13"/>
  <c r="W201" i="13"/>
  <c r="B202" i="13"/>
  <c r="C202" i="13"/>
  <c r="F202" i="13"/>
  <c r="G202" i="13"/>
  <c r="H202" i="13"/>
  <c r="D202" i="13"/>
  <c r="E202" i="13"/>
  <c r="T202" i="13"/>
  <c r="U202" i="13"/>
  <c r="X202" i="13"/>
  <c r="Y202" i="13"/>
  <c r="Z202" i="13"/>
  <c r="V202" i="13"/>
  <c r="W202" i="13"/>
  <c r="B203" i="13"/>
  <c r="C203" i="13"/>
  <c r="F203" i="13"/>
  <c r="G203" i="13"/>
  <c r="H203" i="13"/>
  <c r="D203" i="13"/>
  <c r="E203" i="13"/>
  <c r="T203" i="13"/>
  <c r="U203" i="13"/>
  <c r="X203" i="13"/>
  <c r="Y203" i="13"/>
  <c r="Z203" i="13"/>
  <c r="V203" i="13"/>
  <c r="W203" i="13"/>
  <c r="B204" i="13"/>
  <c r="C204" i="13"/>
  <c r="F204" i="13"/>
  <c r="G204" i="13"/>
  <c r="H204" i="13"/>
  <c r="D204" i="13"/>
  <c r="E204" i="13"/>
  <c r="T204" i="13"/>
  <c r="U204" i="13"/>
  <c r="X204" i="13"/>
  <c r="Y204" i="13"/>
  <c r="Z204" i="13"/>
  <c r="V204" i="13"/>
  <c r="W204" i="13"/>
  <c r="B205" i="13"/>
  <c r="C205" i="13"/>
  <c r="F205" i="13"/>
  <c r="G205" i="13"/>
  <c r="H205" i="13"/>
  <c r="D205" i="13"/>
  <c r="E205" i="13"/>
  <c r="T205" i="13"/>
  <c r="U205" i="13"/>
  <c r="X205" i="13"/>
  <c r="Y205" i="13"/>
  <c r="Z205" i="13"/>
  <c r="V205" i="13"/>
  <c r="W205" i="13"/>
  <c r="B206" i="13"/>
  <c r="C206" i="13"/>
  <c r="F206" i="13"/>
  <c r="G206" i="13"/>
  <c r="H206" i="13"/>
  <c r="D206" i="13"/>
  <c r="E206" i="13"/>
  <c r="T206" i="13"/>
  <c r="U206" i="13"/>
  <c r="X206" i="13"/>
  <c r="Y206" i="13"/>
  <c r="Z206" i="13"/>
  <c r="V206" i="13"/>
  <c r="W206" i="13"/>
  <c r="B207" i="13"/>
  <c r="C207" i="13"/>
  <c r="F207" i="13"/>
  <c r="G207" i="13"/>
  <c r="H207" i="13"/>
  <c r="D207" i="13"/>
  <c r="E207" i="13"/>
  <c r="T207" i="13"/>
  <c r="U207" i="13"/>
  <c r="X207" i="13"/>
  <c r="Y207" i="13"/>
  <c r="Z207" i="13"/>
  <c r="V207" i="13"/>
  <c r="W207" i="13"/>
  <c r="B208" i="13"/>
  <c r="C208" i="13"/>
  <c r="F208" i="13"/>
  <c r="G208" i="13"/>
  <c r="H208" i="13"/>
  <c r="D208" i="13"/>
  <c r="E208" i="13"/>
  <c r="T208" i="13"/>
  <c r="U208" i="13"/>
  <c r="X208" i="13"/>
  <c r="Y208" i="13"/>
  <c r="Z208" i="13"/>
  <c r="V208" i="13"/>
  <c r="W208" i="13"/>
  <c r="B209" i="13"/>
  <c r="C209" i="13"/>
  <c r="F209" i="13"/>
  <c r="G209" i="13"/>
  <c r="H209" i="13"/>
  <c r="D209" i="13"/>
  <c r="E209" i="13"/>
  <c r="T209" i="13"/>
  <c r="U209" i="13"/>
  <c r="X209" i="13"/>
  <c r="Y209" i="13"/>
  <c r="Z209" i="13"/>
  <c r="V209" i="13"/>
  <c r="W209" i="13"/>
  <c r="B210" i="13"/>
  <c r="C210" i="13"/>
  <c r="F210" i="13"/>
  <c r="G210" i="13"/>
  <c r="H210" i="13"/>
  <c r="D210" i="13"/>
  <c r="E210" i="13"/>
  <c r="T210" i="13"/>
  <c r="U210" i="13"/>
  <c r="X210" i="13"/>
  <c r="Y210" i="13"/>
  <c r="Z210" i="13"/>
  <c r="V210" i="13"/>
  <c r="W210" i="13"/>
  <c r="B211" i="13"/>
  <c r="C211" i="13"/>
  <c r="F211" i="13"/>
  <c r="G211" i="13"/>
  <c r="H211" i="13"/>
  <c r="D211" i="13"/>
  <c r="E211" i="13"/>
  <c r="T211" i="13"/>
  <c r="U211" i="13"/>
  <c r="X211" i="13"/>
  <c r="Y211" i="13"/>
  <c r="Z211" i="13"/>
  <c r="V211" i="13"/>
  <c r="W211" i="13"/>
  <c r="B212" i="13"/>
  <c r="C212" i="13"/>
  <c r="F212" i="13"/>
  <c r="G212" i="13"/>
  <c r="H212" i="13"/>
  <c r="D212" i="13"/>
  <c r="E212" i="13"/>
  <c r="T212" i="13"/>
  <c r="U212" i="13"/>
  <c r="X212" i="13"/>
  <c r="Y212" i="13"/>
  <c r="Z212" i="13"/>
  <c r="V212" i="13"/>
  <c r="W212" i="13"/>
  <c r="B213" i="13"/>
  <c r="C213" i="13"/>
  <c r="F213" i="13"/>
  <c r="G213" i="13"/>
  <c r="H213" i="13"/>
  <c r="D213" i="13"/>
  <c r="E213" i="13"/>
  <c r="T213" i="13"/>
  <c r="U213" i="13"/>
  <c r="X213" i="13"/>
  <c r="Y213" i="13"/>
  <c r="Z213" i="13"/>
  <c r="V213" i="13"/>
  <c r="W213" i="13"/>
  <c r="B214" i="13"/>
  <c r="C214" i="13"/>
  <c r="F214" i="13"/>
  <c r="G214" i="13"/>
  <c r="H214" i="13"/>
  <c r="D214" i="13"/>
  <c r="E214" i="13"/>
  <c r="T214" i="13"/>
  <c r="U214" i="13"/>
  <c r="X214" i="13"/>
  <c r="Y214" i="13"/>
  <c r="Z214" i="13"/>
  <c r="V214" i="13"/>
  <c r="W214" i="13"/>
  <c r="B215" i="13"/>
  <c r="C215" i="13"/>
  <c r="F215" i="13"/>
  <c r="G215" i="13"/>
  <c r="H215" i="13"/>
  <c r="D215" i="13"/>
  <c r="E215" i="13"/>
  <c r="T215" i="13"/>
  <c r="U215" i="13"/>
  <c r="X215" i="13"/>
  <c r="Y215" i="13"/>
  <c r="Z215" i="13"/>
  <c r="V215" i="13"/>
  <c r="W215" i="13"/>
  <c r="B216" i="13"/>
  <c r="C216" i="13"/>
  <c r="F216" i="13"/>
  <c r="G216" i="13"/>
  <c r="H216" i="13"/>
  <c r="D216" i="13"/>
  <c r="E216" i="13"/>
  <c r="T216" i="13"/>
  <c r="U216" i="13"/>
  <c r="X216" i="13"/>
  <c r="Y216" i="13"/>
  <c r="Z216" i="13"/>
  <c r="V216" i="13"/>
  <c r="W216" i="13"/>
  <c r="B217" i="13"/>
  <c r="C217" i="13"/>
  <c r="F217" i="13"/>
  <c r="G217" i="13"/>
  <c r="H217" i="13"/>
  <c r="D217" i="13"/>
  <c r="E217" i="13"/>
  <c r="T217" i="13"/>
  <c r="U217" i="13"/>
  <c r="X217" i="13"/>
  <c r="Y217" i="13"/>
  <c r="Z217" i="13"/>
  <c r="V217" i="13"/>
  <c r="W217" i="13"/>
  <c r="B218" i="13"/>
  <c r="C218" i="13"/>
  <c r="F218" i="13"/>
  <c r="G218" i="13"/>
  <c r="H218" i="13"/>
  <c r="D218" i="13"/>
  <c r="E218" i="13"/>
  <c r="T218" i="13"/>
  <c r="U218" i="13"/>
  <c r="X218" i="13"/>
  <c r="Y218" i="13"/>
  <c r="Z218" i="13"/>
  <c r="V218" i="13"/>
  <c r="W218" i="13"/>
  <c r="B219" i="13"/>
  <c r="C219" i="13"/>
  <c r="F219" i="13"/>
  <c r="G219" i="13"/>
  <c r="H219" i="13"/>
  <c r="D219" i="13"/>
  <c r="E219" i="13"/>
  <c r="T219" i="13"/>
  <c r="U219" i="13"/>
  <c r="X219" i="13"/>
  <c r="Y219" i="13"/>
  <c r="Z219" i="13"/>
  <c r="V219" i="13"/>
  <c r="W219" i="13"/>
  <c r="B220" i="13"/>
  <c r="C220" i="13"/>
  <c r="F220" i="13"/>
  <c r="G220" i="13"/>
  <c r="H220" i="13"/>
  <c r="D220" i="13"/>
  <c r="E220" i="13"/>
  <c r="T220" i="13"/>
  <c r="U220" i="13"/>
  <c r="X220" i="13"/>
  <c r="Y220" i="13"/>
  <c r="Z220" i="13"/>
  <c r="V220" i="13"/>
  <c r="W220" i="13"/>
  <c r="B221" i="13"/>
  <c r="C221" i="13"/>
  <c r="F221" i="13"/>
  <c r="G221" i="13"/>
  <c r="H221" i="13"/>
  <c r="D221" i="13"/>
  <c r="E221" i="13"/>
  <c r="T221" i="13"/>
  <c r="U221" i="13"/>
  <c r="X221" i="13"/>
  <c r="Y221" i="13"/>
  <c r="Z221" i="13"/>
  <c r="V221" i="13"/>
  <c r="W221" i="13"/>
  <c r="B222" i="13"/>
  <c r="C222" i="13"/>
  <c r="F222" i="13"/>
  <c r="G222" i="13"/>
  <c r="H222" i="13"/>
  <c r="D222" i="13"/>
  <c r="E222" i="13"/>
  <c r="T222" i="13"/>
  <c r="U222" i="13"/>
  <c r="X222" i="13"/>
  <c r="Y222" i="13"/>
  <c r="Z222" i="13"/>
  <c r="V222" i="13"/>
  <c r="W222" i="13"/>
  <c r="B223" i="13"/>
  <c r="C223" i="13"/>
  <c r="F223" i="13"/>
  <c r="G223" i="13"/>
  <c r="H223" i="13"/>
  <c r="D223" i="13"/>
  <c r="E223" i="13"/>
  <c r="T223" i="13"/>
  <c r="U223" i="13"/>
  <c r="X223" i="13"/>
  <c r="Y223" i="13"/>
  <c r="Z223" i="13"/>
  <c r="V223" i="13"/>
  <c r="W223" i="13"/>
  <c r="B224" i="13"/>
  <c r="C224" i="13"/>
  <c r="F224" i="13"/>
  <c r="G224" i="13"/>
  <c r="H224" i="13"/>
  <c r="D224" i="13"/>
  <c r="E224" i="13"/>
  <c r="T224" i="13"/>
  <c r="U224" i="13"/>
  <c r="X224" i="13"/>
  <c r="Y224" i="13"/>
  <c r="Z224" i="13"/>
  <c r="V224" i="13"/>
  <c r="W224" i="13"/>
  <c r="B225" i="13"/>
  <c r="C225" i="13"/>
  <c r="F225" i="13"/>
  <c r="G225" i="13"/>
  <c r="H225" i="13"/>
  <c r="D225" i="13"/>
  <c r="E225" i="13"/>
  <c r="T225" i="13"/>
  <c r="U225" i="13"/>
  <c r="X225" i="13"/>
  <c r="Y225" i="13"/>
  <c r="Z225" i="13"/>
  <c r="V225" i="13"/>
  <c r="W225" i="13"/>
  <c r="B226" i="13"/>
  <c r="C226" i="13"/>
  <c r="F226" i="13"/>
  <c r="G226" i="13"/>
  <c r="H226" i="13"/>
  <c r="D226" i="13"/>
  <c r="E226" i="13"/>
  <c r="T226" i="13"/>
  <c r="U226" i="13"/>
  <c r="X226" i="13"/>
  <c r="Y226" i="13"/>
  <c r="Z226" i="13"/>
  <c r="V226" i="13"/>
  <c r="W226" i="13"/>
  <c r="B227" i="13"/>
  <c r="C227" i="13"/>
  <c r="F227" i="13"/>
  <c r="G227" i="13"/>
  <c r="H227" i="13"/>
  <c r="D227" i="13"/>
  <c r="E227" i="13"/>
  <c r="T227" i="13"/>
  <c r="U227" i="13"/>
  <c r="X227" i="13"/>
  <c r="Y227" i="13"/>
  <c r="Z227" i="13"/>
  <c r="V227" i="13"/>
  <c r="W227" i="13"/>
  <c r="B228" i="13"/>
  <c r="C228" i="13"/>
  <c r="F228" i="13"/>
  <c r="G228" i="13"/>
  <c r="H228" i="13"/>
  <c r="D228" i="13"/>
  <c r="E228" i="13"/>
  <c r="T228" i="13"/>
  <c r="U228" i="13"/>
  <c r="X228" i="13"/>
  <c r="Y228" i="13"/>
  <c r="Z228" i="13"/>
  <c r="V228" i="13"/>
  <c r="W228" i="13"/>
  <c r="B229" i="13"/>
  <c r="C229" i="13"/>
  <c r="F229" i="13"/>
  <c r="G229" i="13"/>
  <c r="H229" i="13"/>
  <c r="D229" i="13"/>
  <c r="E229" i="13"/>
  <c r="T229" i="13"/>
  <c r="U229" i="13"/>
  <c r="X229" i="13"/>
  <c r="Y229" i="13"/>
  <c r="Z229" i="13"/>
  <c r="V229" i="13"/>
  <c r="W229" i="13"/>
  <c r="B230" i="13"/>
  <c r="C230" i="13"/>
  <c r="F230" i="13"/>
  <c r="G230" i="13"/>
  <c r="H230" i="13"/>
  <c r="D230" i="13"/>
  <c r="E230" i="13"/>
  <c r="T230" i="13"/>
  <c r="U230" i="13"/>
  <c r="X230" i="13"/>
  <c r="Y230" i="13"/>
  <c r="Z230" i="13"/>
  <c r="V230" i="13"/>
  <c r="W230" i="13"/>
  <c r="B231" i="13"/>
  <c r="C231" i="13"/>
  <c r="F231" i="13"/>
  <c r="G231" i="13"/>
  <c r="H231" i="13"/>
  <c r="D231" i="13"/>
  <c r="E231" i="13"/>
  <c r="T231" i="13"/>
  <c r="U231" i="13"/>
  <c r="X231" i="13"/>
  <c r="Y231" i="13"/>
  <c r="Z231" i="13"/>
  <c r="V231" i="13"/>
  <c r="W231" i="13"/>
  <c r="B232" i="13"/>
  <c r="C232" i="13"/>
  <c r="F232" i="13"/>
  <c r="G232" i="13"/>
  <c r="H232" i="13"/>
  <c r="D232" i="13"/>
  <c r="E232" i="13"/>
  <c r="T232" i="13"/>
  <c r="U232" i="13"/>
  <c r="X232" i="13"/>
  <c r="Y232" i="13"/>
  <c r="Z232" i="13"/>
  <c r="V232" i="13"/>
  <c r="W232" i="13"/>
  <c r="B233" i="13"/>
  <c r="C233" i="13"/>
  <c r="F233" i="13"/>
  <c r="G233" i="13"/>
  <c r="H233" i="13"/>
  <c r="D233" i="13"/>
  <c r="E233" i="13"/>
  <c r="T233" i="13"/>
  <c r="U233" i="13"/>
  <c r="X233" i="13"/>
  <c r="Y233" i="13"/>
  <c r="Z233" i="13"/>
  <c r="V233" i="13"/>
  <c r="W233" i="13"/>
  <c r="B234" i="13"/>
  <c r="C234" i="13"/>
  <c r="F234" i="13"/>
  <c r="G234" i="13"/>
  <c r="H234" i="13"/>
  <c r="D234" i="13"/>
  <c r="E234" i="13"/>
  <c r="T234" i="13"/>
  <c r="U234" i="13"/>
  <c r="X234" i="13"/>
  <c r="Y234" i="13"/>
  <c r="Z234" i="13"/>
  <c r="V234" i="13"/>
  <c r="W234" i="13"/>
  <c r="B235" i="13"/>
  <c r="C235" i="13"/>
  <c r="F235" i="13"/>
  <c r="G235" i="13"/>
  <c r="H235" i="13"/>
  <c r="D235" i="13"/>
  <c r="E235" i="13"/>
  <c r="T235" i="13"/>
  <c r="U235" i="13"/>
  <c r="X235" i="13"/>
  <c r="Y235" i="13"/>
  <c r="Z235" i="13"/>
  <c r="V235" i="13"/>
  <c r="W235" i="13"/>
  <c r="B236" i="13"/>
  <c r="C236" i="13"/>
  <c r="F236" i="13"/>
  <c r="G236" i="13"/>
  <c r="H236" i="13"/>
  <c r="D236" i="13"/>
  <c r="E236" i="13"/>
  <c r="T236" i="13"/>
  <c r="U236" i="13"/>
  <c r="X236" i="13"/>
  <c r="Y236" i="13"/>
  <c r="Z236" i="13"/>
  <c r="V236" i="13"/>
  <c r="W236" i="13"/>
  <c r="B237" i="13"/>
  <c r="C237" i="13"/>
  <c r="F237" i="13"/>
  <c r="G237" i="13"/>
  <c r="H237" i="13"/>
  <c r="D237" i="13"/>
  <c r="E237" i="13"/>
  <c r="T237" i="13"/>
  <c r="U237" i="13"/>
  <c r="X237" i="13"/>
  <c r="Y237" i="13"/>
  <c r="Z237" i="13"/>
  <c r="V237" i="13"/>
  <c r="W237" i="13"/>
  <c r="B238" i="13"/>
  <c r="C238" i="13"/>
  <c r="F238" i="13"/>
  <c r="G238" i="13"/>
  <c r="H238" i="13"/>
  <c r="D238" i="13"/>
  <c r="E238" i="13"/>
  <c r="T238" i="13"/>
  <c r="U238" i="13"/>
  <c r="X238" i="13"/>
  <c r="Y238" i="13"/>
  <c r="Z238" i="13"/>
  <c r="V238" i="13"/>
  <c r="W238" i="13"/>
  <c r="B239" i="13"/>
  <c r="C239" i="13"/>
  <c r="F239" i="13"/>
  <c r="G239" i="13"/>
  <c r="H239" i="13"/>
  <c r="D239" i="13"/>
  <c r="E239" i="13"/>
  <c r="T239" i="13"/>
  <c r="U239" i="13"/>
  <c r="X239" i="13"/>
  <c r="Y239" i="13"/>
  <c r="Z239" i="13"/>
  <c r="V239" i="13"/>
  <c r="W239" i="13"/>
  <c r="B240" i="13"/>
  <c r="C240" i="13"/>
  <c r="F240" i="13"/>
  <c r="G240" i="13"/>
  <c r="H240" i="13"/>
  <c r="D240" i="13"/>
  <c r="E240" i="13"/>
  <c r="T240" i="13"/>
  <c r="U240" i="13"/>
  <c r="X240" i="13"/>
  <c r="Y240" i="13"/>
  <c r="Z240" i="13"/>
  <c r="V240" i="13"/>
  <c r="W240" i="13"/>
  <c r="B241" i="13"/>
  <c r="C241" i="13"/>
  <c r="F241" i="13"/>
  <c r="G241" i="13"/>
  <c r="H241" i="13"/>
  <c r="D241" i="13"/>
  <c r="E241" i="13"/>
  <c r="T241" i="13"/>
  <c r="U241" i="13"/>
  <c r="X241" i="13"/>
  <c r="Y241" i="13"/>
  <c r="Z241" i="13"/>
  <c r="V241" i="13"/>
  <c r="W241" i="13"/>
  <c r="B242" i="13"/>
  <c r="C242" i="13"/>
  <c r="F242" i="13"/>
  <c r="G242" i="13"/>
  <c r="H242" i="13"/>
  <c r="D242" i="13"/>
  <c r="E242" i="13"/>
  <c r="T242" i="13"/>
  <c r="U242" i="13"/>
  <c r="X242" i="13"/>
  <c r="Y242" i="13"/>
  <c r="Z242" i="13"/>
  <c r="V242" i="13"/>
  <c r="W242" i="13"/>
  <c r="B243" i="13"/>
  <c r="C243" i="13"/>
  <c r="F243" i="13"/>
  <c r="G243" i="13"/>
  <c r="H243" i="13"/>
  <c r="D243" i="13"/>
  <c r="E243" i="13"/>
  <c r="T243" i="13"/>
  <c r="U243" i="13"/>
  <c r="X243" i="13"/>
  <c r="Y243" i="13"/>
  <c r="Z243" i="13"/>
  <c r="V243" i="13"/>
  <c r="W243" i="13"/>
  <c r="B244" i="13"/>
  <c r="C244" i="13"/>
  <c r="F244" i="13"/>
  <c r="G244" i="13"/>
  <c r="H244" i="13"/>
  <c r="D244" i="13"/>
  <c r="E244" i="13"/>
  <c r="T244" i="13"/>
  <c r="U244" i="13"/>
  <c r="X244" i="13"/>
  <c r="Y244" i="13"/>
  <c r="Z244" i="13"/>
  <c r="V244" i="13"/>
  <c r="W244" i="13"/>
  <c r="B245" i="13"/>
  <c r="C245" i="13"/>
  <c r="F245" i="13"/>
  <c r="G245" i="13"/>
  <c r="H245" i="13"/>
  <c r="D245" i="13"/>
  <c r="E245" i="13"/>
  <c r="T245" i="13"/>
  <c r="U245" i="13"/>
  <c r="X245" i="13"/>
  <c r="Y245" i="13"/>
  <c r="Z245" i="13"/>
  <c r="V245" i="13"/>
  <c r="W245" i="13"/>
  <c r="B246" i="13"/>
  <c r="C246" i="13"/>
  <c r="F246" i="13"/>
  <c r="G246" i="13"/>
  <c r="H246" i="13"/>
  <c r="D246" i="13"/>
  <c r="E246" i="13"/>
  <c r="T246" i="13"/>
  <c r="U246" i="13"/>
  <c r="X246" i="13"/>
  <c r="Y246" i="13"/>
  <c r="Z246" i="13"/>
  <c r="V246" i="13"/>
  <c r="W246" i="13"/>
  <c r="B247" i="13"/>
  <c r="C247" i="13"/>
  <c r="F247" i="13"/>
  <c r="G247" i="13"/>
  <c r="H247" i="13"/>
  <c r="D247" i="13"/>
  <c r="E247" i="13"/>
  <c r="T247" i="13"/>
  <c r="U247" i="13"/>
  <c r="X247" i="13"/>
  <c r="Y247" i="13"/>
  <c r="Z247" i="13"/>
  <c r="V247" i="13"/>
  <c r="W247" i="13"/>
  <c r="B248" i="13"/>
  <c r="C248" i="13"/>
  <c r="F248" i="13"/>
  <c r="G248" i="13"/>
  <c r="H248" i="13"/>
  <c r="D248" i="13"/>
  <c r="E248" i="13"/>
  <c r="T248" i="13"/>
  <c r="U248" i="13"/>
  <c r="X248" i="13"/>
  <c r="Y248" i="13"/>
  <c r="Z248" i="13"/>
  <c r="V248" i="13"/>
  <c r="W248" i="13"/>
  <c r="B249" i="13"/>
  <c r="C249" i="13"/>
  <c r="F249" i="13"/>
  <c r="G249" i="13"/>
  <c r="H249" i="13"/>
  <c r="D249" i="13"/>
  <c r="E249" i="13"/>
  <c r="T249" i="13"/>
  <c r="U249" i="13"/>
  <c r="X249" i="13"/>
  <c r="Y249" i="13"/>
  <c r="Z249" i="13"/>
  <c r="V249" i="13"/>
  <c r="W249" i="13"/>
  <c r="B250" i="13"/>
  <c r="C250" i="13"/>
  <c r="F250" i="13"/>
  <c r="G250" i="13"/>
  <c r="H250" i="13"/>
  <c r="D250" i="13"/>
  <c r="E250" i="13"/>
  <c r="T250" i="13"/>
  <c r="U250" i="13"/>
  <c r="X250" i="13"/>
  <c r="Y250" i="13"/>
  <c r="Z250" i="13"/>
  <c r="V250" i="13"/>
  <c r="W250" i="13"/>
  <c r="B251" i="13"/>
  <c r="C251" i="13"/>
  <c r="F251" i="13"/>
  <c r="G251" i="13"/>
  <c r="H251" i="13"/>
  <c r="D251" i="13"/>
  <c r="E251" i="13"/>
  <c r="T251" i="13"/>
  <c r="U251" i="13"/>
  <c r="X251" i="13"/>
  <c r="Y251" i="13"/>
  <c r="Z251" i="13"/>
  <c r="V251" i="13"/>
  <c r="W251" i="13"/>
  <c r="B252" i="13"/>
  <c r="C252" i="13"/>
  <c r="F252" i="13"/>
  <c r="G252" i="13"/>
  <c r="H252" i="13"/>
  <c r="D252" i="13"/>
  <c r="E252" i="13"/>
  <c r="T252" i="13"/>
  <c r="U252" i="13"/>
  <c r="X252" i="13"/>
  <c r="Y252" i="13"/>
  <c r="Z252" i="13"/>
  <c r="V252" i="13"/>
  <c r="W252" i="13"/>
  <c r="B253" i="13"/>
  <c r="C253" i="13"/>
  <c r="F253" i="13"/>
  <c r="G253" i="13"/>
  <c r="H253" i="13"/>
  <c r="D253" i="13"/>
  <c r="E253" i="13"/>
  <c r="T253" i="13"/>
  <c r="U253" i="13"/>
  <c r="X253" i="13"/>
  <c r="Y253" i="13"/>
  <c r="Z253" i="13"/>
  <c r="V253" i="13"/>
  <c r="W253" i="13"/>
  <c r="B254" i="13"/>
  <c r="C254" i="13"/>
  <c r="F254" i="13"/>
  <c r="G254" i="13"/>
  <c r="H254" i="13"/>
  <c r="D254" i="13"/>
  <c r="E254" i="13"/>
  <c r="T254" i="13"/>
  <c r="U254" i="13"/>
  <c r="X254" i="13"/>
  <c r="Y254" i="13"/>
  <c r="Z254" i="13"/>
  <c r="V254" i="13"/>
  <c r="W254" i="13"/>
  <c r="B255" i="13"/>
  <c r="C255" i="13"/>
  <c r="F255" i="13"/>
  <c r="G255" i="13"/>
  <c r="H255" i="13"/>
  <c r="D255" i="13"/>
  <c r="E255" i="13"/>
  <c r="T255" i="13"/>
  <c r="U255" i="13"/>
  <c r="X255" i="13"/>
  <c r="Y255" i="13"/>
  <c r="Z255" i="13"/>
  <c r="V255" i="13"/>
  <c r="W255" i="13"/>
  <c r="B256" i="13"/>
  <c r="C256" i="13"/>
  <c r="F256" i="13"/>
  <c r="G256" i="13"/>
  <c r="H256" i="13"/>
  <c r="D256" i="13"/>
  <c r="E256" i="13"/>
  <c r="T256" i="13"/>
  <c r="U256" i="13"/>
  <c r="X256" i="13"/>
  <c r="Y256" i="13"/>
  <c r="Z256" i="13"/>
  <c r="V256" i="13"/>
  <c r="W256" i="13"/>
  <c r="B257" i="13"/>
  <c r="C257" i="13"/>
  <c r="F257" i="13"/>
  <c r="G257" i="13"/>
  <c r="H257" i="13"/>
  <c r="D257" i="13"/>
  <c r="E257" i="13"/>
  <c r="T257" i="13"/>
  <c r="U257" i="13"/>
  <c r="X257" i="13"/>
  <c r="Y257" i="13"/>
  <c r="Z257" i="13"/>
  <c r="V257" i="13"/>
  <c r="W257" i="13"/>
  <c r="B258" i="13"/>
  <c r="C258" i="13"/>
  <c r="F258" i="13"/>
  <c r="G258" i="13"/>
  <c r="H258" i="13"/>
  <c r="D258" i="13"/>
  <c r="E258" i="13"/>
  <c r="T258" i="13"/>
  <c r="U258" i="13"/>
  <c r="X258" i="13"/>
  <c r="Y258" i="13"/>
  <c r="Z258" i="13"/>
  <c r="V258" i="13"/>
  <c r="W258" i="13"/>
  <c r="B259" i="13"/>
  <c r="C259" i="13"/>
  <c r="F259" i="13"/>
  <c r="G259" i="13"/>
  <c r="H259" i="13"/>
  <c r="D259" i="13"/>
  <c r="E259" i="13"/>
  <c r="T259" i="13"/>
  <c r="U259" i="13"/>
  <c r="X259" i="13"/>
  <c r="Y259" i="13"/>
  <c r="Z259" i="13"/>
  <c r="V259" i="13"/>
  <c r="W259" i="13"/>
  <c r="B260" i="13"/>
  <c r="C260" i="13"/>
  <c r="F260" i="13"/>
  <c r="G260" i="13"/>
  <c r="H260" i="13"/>
  <c r="D260" i="13"/>
  <c r="E260" i="13"/>
  <c r="T260" i="13"/>
  <c r="U260" i="13"/>
  <c r="X260" i="13"/>
  <c r="Y260" i="13"/>
  <c r="Z260" i="13"/>
  <c r="V260" i="13"/>
  <c r="W260" i="13"/>
  <c r="B261" i="13"/>
  <c r="C261" i="13"/>
  <c r="F261" i="13"/>
  <c r="G261" i="13"/>
  <c r="H261" i="13"/>
  <c r="D261" i="13"/>
  <c r="E261" i="13"/>
  <c r="T261" i="13"/>
  <c r="U261" i="13"/>
  <c r="X261" i="13"/>
  <c r="Y261" i="13"/>
  <c r="Z261" i="13"/>
  <c r="V261" i="13"/>
  <c r="W261" i="13"/>
  <c r="B262" i="13"/>
  <c r="C262" i="13"/>
  <c r="F262" i="13"/>
  <c r="G262" i="13"/>
  <c r="H262" i="13"/>
  <c r="D262" i="13"/>
  <c r="E262" i="13"/>
  <c r="T262" i="13"/>
  <c r="U262" i="13"/>
  <c r="X262" i="13"/>
  <c r="Y262" i="13"/>
  <c r="Z262" i="13"/>
  <c r="V262" i="13"/>
  <c r="W262" i="13"/>
  <c r="B263" i="13"/>
  <c r="C263" i="13"/>
  <c r="F263" i="13"/>
  <c r="G263" i="13"/>
  <c r="H263" i="13"/>
  <c r="D263" i="13"/>
  <c r="E263" i="13"/>
  <c r="T263" i="13"/>
  <c r="U263" i="13"/>
  <c r="X263" i="13"/>
  <c r="Y263" i="13"/>
  <c r="Z263" i="13"/>
  <c r="V263" i="13"/>
  <c r="W263" i="13"/>
  <c r="B264" i="13"/>
  <c r="C264" i="13"/>
  <c r="F264" i="13"/>
  <c r="G264" i="13"/>
  <c r="H264" i="13"/>
  <c r="D264" i="13"/>
  <c r="E264" i="13"/>
  <c r="T264" i="13"/>
  <c r="U264" i="13"/>
  <c r="X264" i="13"/>
  <c r="Y264" i="13"/>
  <c r="Z264" i="13"/>
  <c r="V264" i="13"/>
  <c r="W264" i="13"/>
  <c r="B265" i="13"/>
  <c r="C265" i="13"/>
  <c r="F265" i="13"/>
  <c r="G265" i="13"/>
  <c r="H265" i="13"/>
  <c r="D265" i="13"/>
  <c r="E265" i="13"/>
  <c r="T265" i="13"/>
  <c r="U265" i="13"/>
  <c r="X265" i="13"/>
  <c r="Y265" i="13"/>
  <c r="Z265" i="13"/>
  <c r="V265" i="13"/>
  <c r="W265" i="13"/>
  <c r="B266" i="13"/>
  <c r="C266" i="13"/>
  <c r="F266" i="13"/>
  <c r="G266" i="13"/>
  <c r="H266" i="13"/>
  <c r="D266" i="13"/>
  <c r="E266" i="13"/>
  <c r="T266" i="13"/>
  <c r="U266" i="13"/>
  <c r="X266" i="13"/>
  <c r="Y266" i="13"/>
  <c r="Z266" i="13"/>
  <c r="V266" i="13"/>
  <c r="W266" i="13"/>
  <c r="B267" i="13"/>
  <c r="C267" i="13"/>
  <c r="F267" i="13"/>
  <c r="G267" i="13"/>
  <c r="H267" i="13"/>
  <c r="D267" i="13"/>
  <c r="E267" i="13"/>
  <c r="T267" i="13"/>
  <c r="U267" i="13"/>
  <c r="X267" i="13"/>
  <c r="Y267" i="13"/>
  <c r="Z267" i="13"/>
  <c r="V267" i="13"/>
  <c r="W267" i="13"/>
  <c r="B268" i="13"/>
  <c r="C268" i="13"/>
  <c r="F268" i="13"/>
  <c r="G268" i="13"/>
  <c r="H268" i="13"/>
  <c r="D268" i="13"/>
  <c r="E268" i="13"/>
  <c r="T268" i="13"/>
  <c r="U268" i="13"/>
  <c r="X268" i="13"/>
  <c r="Y268" i="13"/>
  <c r="Z268" i="13"/>
  <c r="V268" i="13"/>
  <c r="W268" i="13"/>
  <c r="B269" i="13"/>
  <c r="C269" i="13"/>
  <c r="F269" i="13"/>
  <c r="G269" i="13"/>
  <c r="H269" i="13"/>
  <c r="D269" i="13"/>
  <c r="E269" i="13"/>
  <c r="T269" i="13"/>
  <c r="U269" i="13"/>
  <c r="X269" i="13"/>
  <c r="Y269" i="13"/>
  <c r="Z269" i="13"/>
  <c r="V269" i="13"/>
  <c r="W269" i="13"/>
  <c r="B270" i="13"/>
  <c r="C270" i="13"/>
  <c r="F270" i="13"/>
  <c r="G270" i="13"/>
  <c r="H270" i="13"/>
  <c r="D270" i="13"/>
  <c r="E270" i="13"/>
  <c r="T270" i="13"/>
  <c r="U270" i="13"/>
  <c r="X270" i="13"/>
  <c r="Y270" i="13"/>
  <c r="Z270" i="13"/>
  <c r="V270" i="13"/>
  <c r="W270" i="13"/>
  <c r="B271" i="13"/>
  <c r="C271" i="13"/>
  <c r="F271" i="13"/>
  <c r="G271" i="13"/>
  <c r="H271" i="13"/>
  <c r="D271" i="13"/>
  <c r="E271" i="13"/>
  <c r="T271" i="13"/>
  <c r="U271" i="13"/>
  <c r="X271" i="13"/>
  <c r="Y271" i="13"/>
  <c r="Z271" i="13"/>
  <c r="V271" i="13"/>
  <c r="W271" i="13"/>
  <c r="B272" i="13"/>
  <c r="C272" i="13"/>
  <c r="F272" i="13"/>
  <c r="G272" i="13"/>
  <c r="H272" i="13"/>
  <c r="D272" i="13"/>
  <c r="E272" i="13"/>
  <c r="T272" i="13"/>
  <c r="U272" i="13"/>
  <c r="X272" i="13"/>
  <c r="Y272" i="13"/>
  <c r="Z272" i="13"/>
  <c r="V272" i="13"/>
  <c r="W272" i="13"/>
  <c r="B273" i="13"/>
  <c r="C273" i="13"/>
  <c r="F273" i="13"/>
  <c r="G273" i="13"/>
  <c r="H273" i="13"/>
  <c r="D273" i="13"/>
  <c r="E273" i="13"/>
  <c r="T273" i="13"/>
  <c r="U273" i="13"/>
  <c r="X273" i="13"/>
  <c r="Y273" i="13"/>
  <c r="Z273" i="13"/>
  <c r="V273" i="13"/>
  <c r="W273" i="13"/>
  <c r="B274" i="13"/>
  <c r="C274" i="13"/>
  <c r="F274" i="13"/>
  <c r="G274" i="13"/>
  <c r="H274" i="13"/>
  <c r="D274" i="13"/>
  <c r="E274" i="13"/>
  <c r="T274" i="13"/>
  <c r="U274" i="13"/>
  <c r="X274" i="13"/>
  <c r="Y274" i="13"/>
  <c r="Z274" i="13"/>
  <c r="V274" i="13"/>
  <c r="W274" i="13"/>
  <c r="B275" i="13"/>
  <c r="C275" i="13"/>
  <c r="F275" i="13"/>
  <c r="G275" i="13"/>
  <c r="H275" i="13"/>
  <c r="D275" i="13"/>
  <c r="E275" i="13"/>
  <c r="T275" i="13"/>
  <c r="U275" i="13"/>
  <c r="X275" i="13"/>
  <c r="Y275" i="13"/>
  <c r="Z275" i="13"/>
  <c r="V275" i="13"/>
  <c r="W275" i="13"/>
  <c r="B276" i="13"/>
  <c r="C276" i="13"/>
  <c r="F276" i="13"/>
  <c r="G276" i="13"/>
  <c r="H276" i="13"/>
  <c r="D276" i="13"/>
  <c r="E276" i="13"/>
  <c r="T276" i="13"/>
  <c r="U276" i="13"/>
  <c r="X276" i="13"/>
  <c r="Y276" i="13"/>
  <c r="Z276" i="13"/>
  <c r="V276" i="13"/>
  <c r="W276" i="13"/>
  <c r="B277" i="13"/>
  <c r="C277" i="13"/>
  <c r="F277" i="13"/>
  <c r="G277" i="13"/>
  <c r="H277" i="13"/>
  <c r="D277" i="13"/>
  <c r="E277" i="13"/>
  <c r="T277" i="13"/>
  <c r="U277" i="13"/>
  <c r="X277" i="13"/>
  <c r="Y277" i="13"/>
  <c r="Z277" i="13"/>
  <c r="V277" i="13"/>
  <c r="W277" i="13"/>
  <c r="B278" i="13"/>
  <c r="C278" i="13"/>
  <c r="F278" i="13"/>
  <c r="G278" i="13"/>
  <c r="H278" i="13"/>
  <c r="D278" i="13"/>
  <c r="E278" i="13"/>
  <c r="T278" i="13"/>
  <c r="U278" i="13"/>
  <c r="X278" i="13"/>
  <c r="Y278" i="13"/>
  <c r="Z278" i="13"/>
  <c r="V278" i="13"/>
  <c r="W278" i="13"/>
  <c r="B279" i="13"/>
  <c r="C279" i="13"/>
  <c r="F279" i="13"/>
  <c r="G279" i="13"/>
  <c r="H279" i="13"/>
  <c r="D279" i="13"/>
  <c r="E279" i="13"/>
  <c r="T279" i="13"/>
  <c r="U279" i="13"/>
  <c r="X279" i="13"/>
  <c r="Y279" i="13"/>
  <c r="Z279" i="13"/>
  <c r="V279" i="13"/>
  <c r="W279" i="13"/>
  <c r="B280" i="13"/>
  <c r="C280" i="13"/>
  <c r="F280" i="13"/>
  <c r="G280" i="13"/>
  <c r="H280" i="13"/>
  <c r="D280" i="13"/>
  <c r="E280" i="13"/>
  <c r="T280" i="13"/>
  <c r="U280" i="13"/>
  <c r="X280" i="13"/>
  <c r="Y280" i="13"/>
  <c r="Z280" i="13"/>
  <c r="V280" i="13"/>
  <c r="W280" i="13"/>
  <c r="B281" i="13"/>
  <c r="C281" i="13"/>
  <c r="F281" i="13"/>
  <c r="G281" i="13"/>
  <c r="H281" i="13"/>
  <c r="D281" i="13"/>
  <c r="E281" i="13"/>
  <c r="T281" i="13"/>
  <c r="U281" i="13"/>
  <c r="X281" i="13"/>
  <c r="Y281" i="13"/>
  <c r="Z281" i="13"/>
  <c r="V281" i="13"/>
  <c r="W281" i="13"/>
  <c r="B282" i="13"/>
  <c r="C282" i="13"/>
  <c r="F282" i="13"/>
  <c r="G282" i="13"/>
  <c r="H282" i="13"/>
  <c r="D282" i="13"/>
  <c r="E282" i="13"/>
  <c r="T282" i="13"/>
  <c r="U282" i="13"/>
  <c r="X282" i="13"/>
  <c r="Y282" i="13"/>
  <c r="Z282" i="13"/>
  <c r="V282" i="13"/>
  <c r="W282" i="13"/>
  <c r="B283" i="13"/>
  <c r="C283" i="13"/>
  <c r="F283" i="13"/>
  <c r="G283" i="13"/>
  <c r="H283" i="13"/>
  <c r="D283" i="13"/>
  <c r="E283" i="13"/>
  <c r="T283" i="13"/>
  <c r="U283" i="13"/>
  <c r="X283" i="13"/>
  <c r="Y283" i="13"/>
  <c r="Z283" i="13"/>
  <c r="V283" i="13"/>
  <c r="W283" i="13"/>
  <c r="B284" i="13"/>
  <c r="C284" i="13"/>
  <c r="F284" i="13"/>
  <c r="G284" i="13"/>
  <c r="H284" i="13"/>
  <c r="D284" i="13"/>
  <c r="E284" i="13"/>
  <c r="T284" i="13"/>
  <c r="U284" i="13"/>
  <c r="X284" i="13"/>
  <c r="Y284" i="13"/>
  <c r="Z284" i="13"/>
  <c r="V284" i="13"/>
  <c r="W284" i="13"/>
  <c r="B285" i="13"/>
  <c r="C285" i="13"/>
  <c r="F285" i="13"/>
  <c r="G285" i="13"/>
  <c r="H285" i="13"/>
  <c r="D285" i="13"/>
  <c r="E285" i="13"/>
  <c r="T285" i="13"/>
  <c r="U285" i="13"/>
  <c r="X285" i="13"/>
  <c r="Y285" i="13"/>
  <c r="Z285" i="13"/>
  <c r="V285" i="13"/>
  <c r="W285" i="13"/>
  <c r="B286" i="13"/>
  <c r="C286" i="13"/>
  <c r="F286" i="13"/>
  <c r="G286" i="13"/>
  <c r="H286" i="13"/>
  <c r="D286" i="13"/>
  <c r="E286" i="13"/>
  <c r="T286" i="13"/>
  <c r="U286" i="13"/>
  <c r="X286" i="13"/>
  <c r="Y286" i="13"/>
  <c r="Z286" i="13"/>
  <c r="V286" i="13"/>
  <c r="W286" i="13"/>
  <c r="B287" i="13"/>
  <c r="C287" i="13"/>
  <c r="F287" i="13"/>
  <c r="G287" i="13"/>
  <c r="H287" i="13"/>
  <c r="D287" i="13"/>
  <c r="E287" i="13"/>
  <c r="T287" i="13"/>
  <c r="U287" i="13"/>
  <c r="X287" i="13"/>
  <c r="Y287" i="13"/>
  <c r="Z287" i="13"/>
  <c r="V287" i="13"/>
  <c r="W287" i="13"/>
  <c r="B288" i="13"/>
  <c r="C288" i="13"/>
  <c r="F288" i="13"/>
  <c r="G288" i="13"/>
  <c r="H288" i="13"/>
  <c r="D288" i="13"/>
  <c r="E288" i="13"/>
  <c r="T288" i="13"/>
  <c r="U288" i="13"/>
  <c r="X288" i="13"/>
  <c r="Y288" i="13"/>
  <c r="Z288" i="13"/>
  <c r="V288" i="13"/>
  <c r="W288" i="13"/>
  <c r="B289" i="13"/>
  <c r="C289" i="13"/>
  <c r="F289" i="13"/>
  <c r="G289" i="13"/>
  <c r="H289" i="13"/>
  <c r="D289" i="13"/>
  <c r="E289" i="13"/>
  <c r="T289" i="13"/>
  <c r="U289" i="13"/>
  <c r="X289" i="13"/>
  <c r="Y289" i="13"/>
  <c r="Z289" i="13"/>
  <c r="V289" i="13"/>
  <c r="W289" i="13"/>
  <c r="B290" i="13"/>
  <c r="C290" i="13"/>
  <c r="F290" i="13"/>
  <c r="G290" i="13"/>
  <c r="H290" i="13"/>
  <c r="D290" i="13"/>
  <c r="E290" i="13"/>
  <c r="T290" i="13"/>
  <c r="U290" i="13"/>
  <c r="X290" i="13"/>
  <c r="Y290" i="13"/>
  <c r="Z290" i="13"/>
  <c r="V290" i="13"/>
  <c r="W290" i="13"/>
  <c r="B291" i="13"/>
  <c r="C291" i="13"/>
  <c r="F291" i="13"/>
  <c r="G291" i="13"/>
  <c r="H291" i="13"/>
  <c r="D291" i="13"/>
  <c r="E291" i="13"/>
  <c r="T291" i="13"/>
  <c r="U291" i="13"/>
  <c r="X291" i="13"/>
  <c r="Y291" i="13"/>
  <c r="Z291" i="13"/>
  <c r="V291" i="13"/>
  <c r="W291" i="13"/>
  <c r="B292" i="13"/>
  <c r="C292" i="13"/>
  <c r="F292" i="13"/>
  <c r="G292" i="13"/>
  <c r="H292" i="13"/>
  <c r="D292" i="13"/>
  <c r="E292" i="13"/>
  <c r="T292" i="13"/>
  <c r="U292" i="13"/>
  <c r="X292" i="13"/>
  <c r="Y292" i="13"/>
  <c r="Z292" i="13"/>
  <c r="V292" i="13"/>
  <c r="W292" i="13"/>
  <c r="B293" i="13"/>
  <c r="C293" i="13"/>
  <c r="F293" i="13"/>
  <c r="G293" i="13"/>
  <c r="H293" i="13"/>
  <c r="D293" i="13"/>
  <c r="E293" i="13"/>
  <c r="T293" i="13"/>
  <c r="U293" i="13"/>
  <c r="X293" i="13"/>
  <c r="Y293" i="13"/>
  <c r="Z293" i="13"/>
  <c r="V293" i="13"/>
  <c r="W293" i="13"/>
  <c r="B294" i="13"/>
  <c r="C294" i="13"/>
  <c r="F294" i="13"/>
  <c r="G294" i="13"/>
  <c r="H294" i="13"/>
  <c r="D294" i="13"/>
  <c r="E294" i="13"/>
  <c r="T294" i="13"/>
  <c r="U294" i="13"/>
  <c r="X294" i="13"/>
  <c r="Y294" i="13"/>
  <c r="Z294" i="13"/>
  <c r="V294" i="13"/>
  <c r="W294" i="13"/>
  <c r="B295" i="13"/>
  <c r="C295" i="13"/>
  <c r="F295" i="13"/>
  <c r="G295" i="13"/>
  <c r="H295" i="13"/>
  <c r="D295" i="13"/>
  <c r="E295" i="13"/>
  <c r="T295" i="13"/>
  <c r="U295" i="13"/>
  <c r="X295" i="13"/>
  <c r="Y295" i="13"/>
  <c r="Z295" i="13"/>
  <c r="V295" i="13"/>
  <c r="W295" i="13"/>
  <c r="B296" i="13"/>
  <c r="C296" i="13"/>
  <c r="F296" i="13"/>
  <c r="G296" i="13"/>
  <c r="H296" i="13"/>
  <c r="D296" i="13"/>
  <c r="E296" i="13"/>
  <c r="T296" i="13"/>
  <c r="U296" i="13"/>
  <c r="X296" i="13"/>
  <c r="Y296" i="13"/>
  <c r="Z296" i="13"/>
  <c r="V296" i="13"/>
  <c r="W296" i="13"/>
  <c r="B297" i="13"/>
  <c r="C297" i="13"/>
  <c r="F297" i="13"/>
  <c r="G297" i="13"/>
  <c r="H297" i="13"/>
  <c r="D297" i="13"/>
  <c r="E297" i="13"/>
  <c r="T297" i="13"/>
  <c r="U297" i="13"/>
  <c r="X297" i="13"/>
  <c r="Y297" i="13"/>
  <c r="Z297" i="13"/>
  <c r="V297" i="13"/>
  <c r="W297" i="13"/>
  <c r="B298" i="13"/>
  <c r="C298" i="13"/>
  <c r="F298" i="13"/>
  <c r="G298" i="13"/>
  <c r="H298" i="13"/>
  <c r="D298" i="13"/>
  <c r="E298" i="13"/>
  <c r="T298" i="13"/>
  <c r="U298" i="13"/>
  <c r="X298" i="13"/>
  <c r="Y298" i="13"/>
  <c r="Z298" i="13"/>
  <c r="V298" i="13"/>
  <c r="W298" i="13"/>
  <c r="B299" i="13"/>
  <c r="C299" i="13"/>
  <c r="F299" i="13"/>
  <c r="G299" i="13"/>
  <c r="H299" i="13"/>
  <c r="D299" i="13"/>
  <c r="E299" i="13"/>
  <c r="T299" i="13"/>
  <c r="U299" i="13"/>
  <c r="X299" i="13"/>
  <c r="Y299" i="13"/>
  <c r="Z299" i="13"/>
  <c r="V299" i="13"/>
  <c r="W299" i="13"/>
  <c r="B300" i="13"/>
  <c r="C300" i="13"/>
  <c r="F300" i="13"/>
  <c r="G300" i="13"/>
  <c r="H300" i="13"/>
  <c r="D300" i="13"/>
  <c r="E300" i="13"/>
  <c r="T300" i="13"/>
  <c r="U300" i="13"/>
  <c r="X300" i="13"/>
  <c r="Y300" i="13"/>
  <c r="Z300" i="13"/>
  <c r="V300" i="13"/>
  <c r="W300" i="13"/>
  <c r="B301" i="13"/>
  <c r="C301" i="13"/>
  <c r="F301" i="13"/>
  <c r="G301" i="13"/>
  <c r="H301" i="13"/>
  <c r="D301" i="13"/>
  <c r="E301" i="13"/>
  <c r="T301" i="13"/>
  <c r="U301" i="13"/>
  <c r="X301" i="13"/>
  <c r="Y301" i="13"/>
  <c r="Z301" i="13"/>
  <c r="V301" i="13"/>
  <c r="W301" i="13"/>
  <c r="B302" i="13"/>
  <c r="C302" i="13"/>
  <c r="F302" i="13"/>
  <c r="G302" i="13"/>
  <c r="H302" i="13"/>
  <c r="D302" i="13"/>
  <c r="E302" i="13"/>
  <c r="T302" i="13"/>
  <c r="U302" i="13"/>
  <c r="X302" i="13"/>
  <c r="Y302" i="13"/>
  <c r="Z302" i="13"/>
  <c r="V302" i="13"/>
  <c r="W302" i="13"/>
  <c r="B303" i="13"/>
  <c r="C303" i="13"/>
  <c r="F303" i="13"/>
  <c r="G303" i="13"/>
  <c r="H303" i="13"/>
  <c r="D303" i="13"/>
  <c r="E303" i="13"/>
  <c r="T303" i="13"/>
  <c r="U303" i="13"/>
  <c r="X303" i="13"/>
  <c r="Y303" i="13"/>
  <c r="Z303" i="13"/>
  <c r="V303" i="13"/>
  <c r="W303" i="13"/>
  <c r="B304" i="13"/>
  <c r="C304" i="13"/>
  <c r="F304" i="13"/>
  <c r="G304" i="13"/>
  <c r="H304" i="13"/>
  <c r="D304" i="13"/>
  <c r="E304" i="13"/>
  <c r="T304" i="13"/>
  <c r="U304" i="13"/>
  <c r="X304" i="13"/>
  <c r="Y304" i="13"/>
  <c r="Z304" i="13"/>
  <c r="V304" i="13"/>
  <c r="W304" i="13"/>
  <c r="B305" i="13"/>
  <c r="C305" i="13"/>
  <c r="F305" i="13"/>
  <c r="G305" i="13"/>
  <c r="H305" i="13"/>
  <c r="D305" i="13"/>
  <c r="E305" i="13"/>
  <c r="T305" i="13"/>
  <c r="U305" i="13"/>
  <c r="X305" i="13"/>
  <c r="Y305" i="13"/>
  <c r="Z305" i="13"/>
  <c r="V305" i="13"/>
  <c r="W305" i="13"/>
  <c r="B306" i="13"/>
  <c r="C306" i="13"/>
  <c r="F306" i="13"/>
  <c r="G306" i="13"/>
  <c r="H306" i="13"/>
  <c r="D306" i="13"/>
  <c r="E306" i="13"/>
  <c r="T306" i="13"/>
  <c r="U306" i="13"/>
  <c r="X306" i="13"/>
  <c r="Y306" i="13"/>
  <c r="Z306" i="13"/>
  <c r="V306" i="13"/>
  <c r="W306" i="13"/>
  <c r="B307" i="13"/>
  <c r="C307" i="13"/>
  <c r="F307" i="13"/>
  <c r="G307" i="13"/>
  <c r="H307" i="13"/>
  <c r="D307" i="13"/>
  <c r="E307" i="13"/>
  <c r="T307" i="13"/>
  <c r="U307" i="13"/>
  <c r="X307" i="13"/>
  <c r="Y307" i="13"/>
  <c r="Z307" i="13"/>
  <c r="V307" i="13"/>
  <c r="W307" i="13"/>
  <c r="B308" i="13"/>
  <c r="C308" i="13"/>
  <c r="F308" i="13"/>
  <c r="G308" i="13"/>
  <c r="H308" i="13"/>
  <c r="D308" i="13"/>
  <c r="E308" i="13"/>
  <c r="T308" i="13"/>
  <c r="U308" i="13"/>
  <c r="X308" i="13"/>
  <c r="Y308" i="13"/>
  <c r="Z308" i="13"/>
  <c r="V308" i="13"/>
  <c r="W308" i="13"/>
  <c r="B309" i="13"/>
  <c r="C309" i="13"/>
  <c r="F309" i="13"/>
  <c r="G309" i="13"/>
  <c r="H309" i="13"/>
  <c r="D309" i="13"/>
  <c r="E309" i="13"/>
  <c r="T309" i="13"/>
  <c r="U309" i="13"/>
  <c r="X309" i="13"/>
  <c r="Y309" i="13"/>
  <c r="Z309" i="13"/>
  <c r="V309" i="13"/>
  <c r="W309" i="13"/>
  <c r="B310" i="13"/>
  <c r="C310" i="13"/>
  <c r="F310" i="13"/>
  <c r="G310" i="13"/>
  <c r="H310" i="13"/>
  <c r="D310" i="13"/>
  <c r="E310" i="13"/>
  <c r="T310" i="13"/>
  <c r="U310" i="13"/>
  <c r="X310" i="13"/>
  <c r="Y310" i="13"/>
  <c r="Z310" i="13"/>
  <c r="V310" i="13"/>
  <c r="W310" i="13"/>
  <c r="B311" i="13"/>
  <c r="C311" i="13"/>
  <c r="F311" i="13"/>
  <c r="G311" i="13"/>
  <c r="H311" i="13"/>
  <c r="D311" i="13"/>
  <c r="E311" i="13"/>
  <c r="T311" i="13"/>
  <c r="U311" i="13"/>
  <c r="X311" i="13"/>
  <c r="Y311" i="13"/>
  <c r="Z311" i="13"/>
  <c r="V311" i="13"/>
  <c r="W311" i="13"/>
  <c r="B312" i="13"/>
  <c r="C312" i="13"/>
  <c r="F312" i="13"/>
  <c r="G312" i="13"/>
  <c r="H312" i="13"/>
  <c r="D312" i="13"/>
  <c r="E312" i="13"/>
  <c r="T312" i="13"/>
  <c r="U312" i="13"/>
  <c r="X312" i="13"/>
  <c r="Y312" i="13"/>
  <c r="Z312" i="13"/>
  <c r="V312" i="13"/>
  <c r="W312" i="13"/>
  <c r="B313" i="13"/>
  <c r="C313" i="13"/>
  <c r="F313" i="13"/>
  <c r="G313" i="13"/>
  <c r="H313" i="13"/>
  <c r="D313" i="13"/>
  <c r="E313" i="13"/>
  <c r="T313" i="13"/>
  <c r="U313" i="13"/>
  <c r="X313" i="13"/>
  <c r="Y313" i="13"/>
  <c r="Z313" i="13"/>
  <c r="V313" i="13"/>
  <c r="W313" i="13"/>
  <c r="B314" i="13"/>
  <c r="C314" i="13"/>
  <c r="F314" i="13"/>
  <c r="G314" i="13"/>
  <c r="H314" i="13"/>
  <c r="D314" i="13"/>
  <c r="E314" i="13"/>
  <c r="T314" i="13"/>
  <c r="U314" i="13"/>
  <c r="X314" i="13"/>
  <c r="Y314" i="13"/>
  <c r="Z314" i="13"/>
  <c r="V314" i="13"/>
  <c r="W314" i="13"/>
  <c r="B315" i="13"/>
  <c r="C315" i="13"/>
  <c r="F315" i="13"/>
  <c r="G315" i="13"/>
  <c r="H315" i="13"/>
  <c r="D315" i="13"/>
  <c r="E315" i="13"/>
  <c r="T315" i="13"/>
  <c r="U315" i="13"/>
  <c r="X315" i="13"/>
  <c r="Y315" i="13"/>
  <c r="Z315" i="13"/>
  <c r="V315" i="13"/>
  <c r="W315" i="13"/>
  <c r="B316" i="13"/>
  <c r="C316" i="13"/>
  <c r="F316" i="13"/>
  <c r="G316" i="13"/>
  <c r="H316" i="13"/>
  <c r="D316" i="13"/>
  <c r="E316" i="13"/>
  <c r="T316" i="13"/>
  <c r="U316" i="13"/>
  <c r="X316" i="13"/>
  <c r="Y316" i="13"/>
  <c r="Z316" i="13"/>
  <c r="V316" i="13"/>
  <c r="W316" i="13"/>
  <c r="B317" i="13"/>
  <c r="C317" i="13"/>
  <c r="F317" i="13"/>
  <c r="G317" i="13"/>
  <c r="H317" i="13"/>
  <c r="D317" i="13"/>
  <c r="E317" i="13"/>
  <c r="T317" i="13"/>
  <c r="U317" i="13"/>
  <c r="X317" i="13"/>
  <c r="Y317" i="13"/>
  <c r="Z317" i="13"/>
  <c r="V317" i="13"/>
  <c r="W317" i="13"/>
  <c r="B318" i="13"/>
  <c r="C318" i="13"/>
  <c r="F318" i="13"/>
  <c r="G318" i="13"/>
  <c r="H318" i="13"/>
  <c r="D318" i="13"/>
  <c r="E318" i="13"/>
  <c r="T318" i="13"/>
  <c r="U318" i="13"/>
  <c r="X318" i="13"/>
  <c r="Y318" i="13"/>
  <c r="Z318" i="13"/>
  <c r="V318" i="13"/>
  <c r="W318" i="13"/>
  <c r="B319" i="13"/>
  <c r="C319" i="13"/>
  <c r="F319" i="13"/>
  <c r="G319" i="13"/>
  <c r="H319" i="13"/>
  <c r="D319" i="13"/>
  <c r="E319" i="13"/>
  <c r="T319" i="13"/>
  <c r="U319" i="13"/>
  <c r="X319" i="13"/>
  <c r="Y319" i="13"/>
  <c r="Z319" i="13"/>
  <c r="V319" i="13"/>
  <c r="W319" i="13"/>
  <c r="B320" i="13"/>
  <c r="C320" i="13"/>
  <c r="F320" i="13"/>
  <c r="G320" i="13"/>
  <c r="H320" i="13"/>
  <c r="D320" i="13"/>
  <c r="E320" i="13"/>
  <c r="T320" i="13"/>
  <c r="U320" i="13"/>
  <c r="X320" i="13"/>
  <c r="Y320" i="13"/>
  <c r="Z320" i="13"/>
  <c r="V320" i="13"/>
  <c r="W320" i="13"/>
  <c r="B321" i="13"/>
  <c r="C321" i="13"/>
  <c r="F321" i="13"/>
  <c r="G321" i="13"/>
  <c r="H321" i="13"/>
  <c r="D321" i="13"/>
  <c r="E321" i="13"/>
  <c r="T321" i="13"/>
  <c r="U321" i="13"/>
  <c r="X321" i="13"/>
  <c r="Y321" i="13"/>
  <c r="Z321" i="13"/>
  <c r="V321" i="13"/>
  <c r="W321" i="13"/>
  <c r="B322" i="13"/>
  <c r="C322" i="13"/>
  <c r="F322" i="13"/>
  <c r="G322" i="13"/>
  <c r="H322" i="13"/>
  <c r="D322" i="13"/>
  <c r="E322" i="13"/>
  <c r="T322" i="13"/>
  <c r="U322" i="13"/>
  <c r="X322" i="13"/>
  <c r="Y322" i="13"/>
  <c r="Z322" i="13"/>
  <c r="V322" i="13"/>
  <c r="W322" i="13"/>
  <c r="B323" i="13"/>
  <c r="C323" i="13"/>
  <c r="F323" i="13"/>
  <c r="G323" i="13"/>
  <c r="H323" i="13"/>
  <c r="D323" i="13"/>
  <c r="E323" i="13"/>
  <c r="T323" i="13"/>
  <c r="U323" i="13"/>
  <c r="X323" i="13"/>
  <c r="Y323" i="13"/>
  <c r="Z323" i="13"/>
  <c r="V323" i="13"/>
  <c r="W323" i="13"/>
  <c r="B324" i="13"/>
  <c r="C324" i="13"/>
  <c r="F324" i="13"/>
  <c r="G324" i="13"/>
  <c r="H324" i="13"/>
  <c r="D324" i="13"/>
  <c r="E324" i="13"/>
  <c r="T324" i="13"/>
  <c r="U324" i="13"/>
  <c r="X324" i="13"/>
  <c r="Y324" i="13"/>
  <c r="Z324" i="13"/>
  <c r="V324" i="13"/>
  <c r="W324" i="13"/>
  <c r="B325" i="13"/>
  <c r="C325" i="13"/>
  <c r="F325" i="13"/>
  <c r="G325" i="13"/>
  <c r="H325" i="13"/>
  <c r="D325" i="13"/>
  <c r="E325" i="13"/>
  <c r="T325" i="13"/>
  <c r="U325" i="13"/>
  <c r="X325" i="13"/>
  <c r="Y325" i="13"/>
  <c r="Z325" i="13"/>
  <c r="V325" i="13"/>
  <c r="W325" i="13"/>
  <c r="B326" i="13"/>
  <c r="C326" i="13"/>
  <c r="F326" i="13"/>
  <c r="G326" i="13"/>
  <c r="H326" i="13"/>
  <c r="D326" i="13"/>
  <c r="E326" i="13"/>
  <c r="T326" i="13"/>
  <c r="U326" i="13"/>
  <c r="X326" i="13"/>
  <c r="Y326" i="13"/>
  <c r="Z326" i="13"/>
  <c r="V326" i="13"/>
  <c r="W326" i="13"/>
  <c r="B327" i="13"/>
  <c r="C327" i="13"/>
  <c r="F327" i="13"/>
  <c r="G327" i="13"/>
  <c r="H327" i="13"/>
  <c r="D327" i="13"/>
  <c r="E327" i="13"/>
  <c r="T327" i="13"/>
  <c r="U327" i="13"/>
  <c r="X327" i="13"/>
  <c r="Y327" i="13"/>
  <c r="Z327" i="13"/>
  <c r="V327" i="13"/>
  <c r="W327" i="13"/>
  <c r="B328" i="13"/>
  <c r="C328" i="13"/>
  <c r="F328" i="13"/>
  <c r="G328" i="13"/>
  <c r="H328" i="13"/>
  <c r="D328" i="13"/>
  <c r="E328" i="13"/>
  <c r="T328" i="13"/>
  <c r="U328" i="13"/>
  <c r="X328" i="13"/>
  <c r="Y328" i="13"/>
  <c r="Z328" i="13"/>
  <c r="V328" i="13"/>
  <c r="W328" i="13"/>
  <c r="B329" i="13"/>
  <c r="C329" i="13"/>
  <c r="F329" i="13"/>
  <c r="G329" i="13"/>
  <c r="H329" i="13"/>
  <c r="D329" i="13"/>
  <c r="E329" i="13"/>
  <c r="T329" i="13"/>
  <c r="U329" i="13"/>
  <c r="X329" i="13"/>
  <c r="Y329" i="13"/>
  <c r="Z329" i="13"/>
  <c r="V329" i="13"/>
  <c r="W329" i="13"/>
  <c r="B330" i="13"/>
  <c r="C330" i="13"/>
  <c r="F330" i="13"/>
  <c r="G330" i="13"/>
  <c r="H330" i="13"/>
  <c r="D330" i="13"/>
  <c r="E330" i="13"/>
  <c r="T330" i="13"/>
  <c r="U330" i="13"/>
  <c r="X330" i="13"/>
  <c r="Y330" i="13"/>
  <c r="Z330" i="13"/>
  <c r="V330" i="13"/>
  <c r="W330" i="13"/>
  <c r="B331" i="13"/>
  <c r="C331" i="13"/>
  <c r="F331" i="13"/>
  <c r="G331" i="13"/>
  <c r="H331" i="13"/>
  <c r="D331" i="13"/>
  <c r="E331" i="13"/>
  <c r="T331" i="13"/>
  <c r="U331" i="13"/>
  <c r="X331" i="13"/>
  <c r="Y331" i="13"/>
  <c r="Z331" i="13"/>
  <c r="V331" i="13"/>
  <c r="W331" i="13"/>
  <c r="B332" i="13"/>
  <c r="C332" i="13"/>
  <c r="F332" i="13"/>
  <c r="G332" i="13"/>
  <c r="H332" i="13"/>
  <c r="D332" i="13"/>
  <c r="E332" i="13"/>
  <c r="T332" i="13"/>
  <c r="U332" i="13"/>
  <c r="X332" i="13"/>
  <c r="Y332" i="13"/>
  <c r="Z332" i="13"/>
  <c r="V332" i="13"/>
  <c r="W332" i="13"/>
  <c r="B333" i="13"/>
  <c r="C333" i="13"/>
  <c r="F333" i="13"/>
  <c r="G333" i="13"/>
  <c r="H333" i="13"/>
  <c r="D333" i="13"/>
  <c r="E333" i="13"/>
  <c r="T333" i="13"/>
  <c r="U333" i="13"/>
  <c r="X333" i="13"/>
  <c r="Y333" i="13"/>
  <c r="Z333" i="13"/>
  <c r="V333" i="13"/>
  <c r="W333" i="13"/>
  <c r="B334" i="13"/>
  <c r="C334" i="13"/>
  <c r="F334" i="13"/>
  <c r="G334" i="13"/>
  <c r="H334" i="13"/>
  <c r="D334" i="13"/>
  <c r="E334" i="13"/>
  <c r="T334" i="13"/>
  <c r="U334" i="13"/>
  <c r="X334" i="13"/>
  <c r="Y334" i="13"/>
  <c r="Z334" i="13"/>
  <c r="V334" i="13"/>
  <c r="W334" i="13"/>
  <c r="B335" i="13"/>
  <c r="C335" i="13"/>
  <c r="F335" i="13"/>
  <c r="G335" i="13"/>
  <c r="H335" i="13"/>
  <c r="D335" i="13"/>
  <c r="E335" i="13"/>
  <c r="T335" i="13"/>
  <c r="U335" i="13"/>
  <c r="X335" i="13"/>
  <c r="Y335" i="13"/>
  <c r="Z335" i="13"/>
  <c r="V335" i="13"/>
  <c r="W335" i="13"/>
  <c r="B336" i="13"/>
  <c r="C336" i="13"/>
  <c r="F336" i="13"/>
  <c r="G336" i="13"/>
  <c r="H336" i="13"/>
  <c r="D336" i="13"/>
  <c r="E336" i="13"/>
  <c r="T336" i="13"/>
  <c r="U336" i="13"/>
  <c r="X336" i="13"/>
  <c r="Y336" i="13"/>
  <c r="Z336" i="13"/>
  <c r="V336" i="13"/>
  <c r="W336" i="13"/>
  <c r="B337" i="13"/>
  <c r="C337" i="13"/>
  <c r="F337" i="13"/>
  <c r="G337" i="13"/>
  <c r="H337" i="13"/>
  <c r="D337" i="13"/>
  <c r="E337" i="13"/>
  <c r="T337" i="13"/>
  <c r="U337" i="13"/>
  <c r="X337" i="13"/>
  <c r="Y337" i="13"/>
  <c r="Z337" i="13"/>
  <c r="V337" i="13"/>
  <c r="W337" i="13"/>
  <c r="B338" i="13"/>
  <c r="C338" i="13"/>
  <c r="F338" i="13"/>
  <c r="G338" i="13"/>
  <c r="H338" i="13"/>
  <c r="D338" i="13"/>
  <c r="E338" i="13"/>
  <c r="T338" i="13"/>
  <c r="U338" i="13"/>
  <c r="X338" i="13"/>
  <c r="Y338" i="13"/>
  <c r="Z338" i="13"/>
  <c r="V338" i="13"/>
  <c r="W338" i="13"/>
  <c r="B339" i="13"/>
  <c r="C339" i="13"/>
  <c r="F339" i="13"/>
  <c r="G339" i="13"/>
  <c r="H339" i="13"/>
  <c r="D339" i="13"/>
  <c r="E339" i="13"/>
  <c r="T339" i="13"/>
  <c r="U339" i="13"/>
  <c r="X339" i="13"/>
  <c r="Y339" i="13"/>
  <c r="Z339" i="13"/>
  <c r="V339" i="13"/>
  <c r="W339" i="13"/>
  <c r="B340" i="13"/>
  <c r="C340" i="13"/>
  <c r="F340" i="13"/>
  <c r="G340" i="13"/>
  <c r="H340" i="13"/>
  <c r="D340" i="13"/>
  <c r="E340" i="13"/>
  <c r="T340" i="13"/>
  <c r="U340" i="13"/>
  <c r="X340" i="13"/>
  <c r="Y340" i="13"/>
  <c r="Z340" i="13"/>
  <c r="V340" i="13"/>
  <c r="W340" i="13"/>
  <c r="B341" i="13"/>
  <c r="C341" i="13"/>
  <c r="F341" i="13"/>
  <c r="G341" i="13"/>
  <c r="H341" i="13"/>
  <c r="D341" i="13"/>
  <c r="E341" i="13"/>
  <c r="T341" i="13"/>
  <c r="U341" i="13"/>
  <c r="X341" i="13"/>
  <c r="Y341" i="13"/>
  <c r="Z341" i="13"/>
  <c r="V341" i="13"/>
  <c r="W341" i="13"/>
  <c r="B342" i="13"/>
  <c r="C342" i="13"/>
  <c r="F342" i="13"/>
  <c r="G342" i="13"/>
  <c r="H342" i="13"/>
  <c r="D342" i="13"/>
  <c r="E342" i="13"/>
  <c r="T342" i="13"/>
  <c r="U342" i="13"/>
  <c r="X342" i="13"/>
  <c r="Y342" i="13"/>
  <c r="Z342" i="13"/>
  <c r="V342" i="13"/>
  <c r="W342" i="13"/>
  <c r="B343" i="13"/>
  <c r="C343" i="13"/>
  <c r="F343" i="13"/>
  <c r="G343" i="13"/>
  <c r="H343" i="13"/>
  <c r="D343" i="13"/>
  <c r="E343" i="13"/>
  <c r="T343" i="13"/>
  <c r="U343" i="13"/>
  <c r="X343" i="13"/>
  <c r="Y343" i="13"/>
  <c r="Z343" i="13"/>
  <c r="V343" i="13"/>
  <c r="W343" i="13"/>
  <c r="B344" i="13"/>
  <c r="C344" i="13"/>
  <c r="F344" i="13"/>
  <c r="G344" i="13"/>
  <c r="H344" i="13"/>
  <c r="D344" i="13"/>
  <c r="E344" i="13"/>
  <c r="T344" i="13"/>
  <c r="U344" i="13"/>
  <c r="X344" i="13"/>
  <c r="Y344" i="13"/>
  <c r="Z344" i="13"/>
  <c r="V344" i="13"/>
  <c r="W344" i="13"/>
  <c r="B345" i="13"/>
  <c r="C345" i="13"/>
  <c r="F345" i="13"/>
  <c r="G345" i="13"/>
  <c r="H345" i="13"/>
  <c r="D345" i="13"/>
  <c r="E345" i="13"/>
  <c r="T345" i="13"/>
  <c r="U345" i="13"/>
  <c r="X345" i="13"/>
  <c r="Y345" i="13"/>
  <c r="Z345" i="13"/>
  <c r="V345" i="13"/>
  <c r="W345" i="13"/>
  <c r="B346" i="13"/>
  <c r="C346" i="13"/>
  <c r="F346" i="13"/>
  <c r="G346" i="13"/>
  <c r="H346" i="13"/>
  <c r="D346" i="13"/>
  <c r="E346" i="13"/>
  <c r="T346" i="13"/>
  <c r="U346" i="13"/>
  <c r="X346" i="13"/>
  <c r="Y346" i="13"/>
  <c r="Z346" i="13"/>
  <c r="V346" i="13"/>
  <c r="W346" i="13"/>
  <c r="B347" i="13"/>
  <c r="C347" i="13"/>
  <c r="F347" i="13"/>
  <c r="G347" i="13"/>
  <c r="H347" i="13"/>
  <c r="D347" i="13"/>
  <c r="E347" i="13"/>
  <c r="T347" i="13"/>
  <c r="U347" i="13"/>
  <c r="X347" i="13"/>
  <c r="Y347" i="13"/>
  <c r="Z347" i="13"/>
  <c r="V347" i="13"/>
  <c r="W347" i="13"/>
  <c r="B348" i="13"/>
  <c r="C348" i="13"/>
  <c r="F348" i="13"/>
  <c r="G348" i="13"/>
  <c r="H348" i="13"/>
  <c r="D348" i="13"/>
  <c r="E348" i="13"/>
  <c r="T348" i="13"/>
  <c r="U348" i="13"/>
  <c r="X348" i="13"/>
  <c r="Y348" i="13"/>
  <c r="Z348" i="13"/>
  <c r="V348" i="13"/>
  <c r="W348" i="13"/>
  <c r="B349" i="13"/>
  <c r="C349" i="13"/>
  <c r="F349" i="13"/>
  <c r="G349" i="13"/>
  <c r="H349" i="13"/>
  <c r="D349" i="13"/>
  <c r="E349" i="13"/>
  <c r="T349" i="13"/>
  <c r="U349" i="13"/>
  <c r="X349" i="13"/>
  <c r="Y349" i="13"/>
  <c r="Z349" i="13"/>
  <c r="V349" i="13"/>
  <c r="W349" i="13"/>
  <c r="B350" i="13"/>
  <c r="C350" i="13"/>
  <c r="F350" i="13"/>
  <c r="G350" i="13"/>
  <c r="H350" i="13"/>
  <c r="D350" i="13"/>
  <c r="E350" i="13"/>
  <c r="T350" i="13"/>
  <c r="U350" i="13"/>
  <c r="X350" i="13"/>
  <c r="Y350" i="13"/>
  <c r="Z350" i="13"/>
  <c r="V350" i="13"/>
  <c r="W350" i="13"/>
  <c r="B351" i="13"/>
  <c r="C351" i="13"/>
  <c r="F351" i="13"/>
  <c r="G351" i="13"/>
  <c r="H351" i="13"/>
  <c r="D351" i="13"/>
  <c r="E351" i="13"/>
  <c r="T351" i="13"/>
  <c r="U351" i="13"/>
  <c r="X351" i="13"/>
  <c r="Y351" i="13"/>
  <c r="Z351" i="13"/>
  <c r="V351" i="13"/>
  <c r="W351" i="13"/>
  <c r="B352" i="13"/>
  <c r="C352" i="13"/>
  <c r="F352" i="13"/>
  <c r="G352" i="13"/>
  <c r="H352" i="13"/>
  <c r="D352" i="13"/>
  <c r="E352" i="13"/>
  <c r="T352" i="13"/>
  <c r="U352" i="13"/>
  <c r="X352" i="13"/>
  <c r="Y352" i="13"/>
  <c r="Z352" i="13"/>
  <c r="V352" i="13"/>
  <c r="W352" i="13"/>
  <c r="B353" i="13"/>
  <c r="C353" i="13"/>
  <c r="F353" i="13"/>
  <c r="G353" i="13"/>
  <c r="H353" i="13"/>
  <c r="D353" i="13"/>
  <c r="E353" i="13"/>
  <c r="T353" i="13"/>
  <c r="U353" i="13"/>
  <c r="X353" i="13"/>
  <c r="Y353" i="13"/>
  <c r="Z353" i="13"/>
  <c r="V353" i="13"/>
  <c r="W353" i="13"/>
  <c r="B354" i="13"/>
  <c r="C354" i="13"/>
  <c r="F354" i="13"/>
  <c r="G354" i="13"/>
  <c r="H354" i="13"/>
  <c r="D354" i="13"/>
  <c r="E354" i="13"/>
  <c r="T354" i="13"/>
  <c r="U354" i="13"/>
  <c r="X354" i="13"/>
  <c r="Y354" i="13"/>
  <c r="Z354" i="13"/>
  <c r="V354" i="13"/>
  <c r="W354" i="13"/>
  <c r="B355" i="13"/>
  <c r="C355" i="13"/>
  <c r="F355" i="13"/>
  <c r="G355" i="13"/>
  <c r="H355" i="13"/>
  <c r="D355" i="13"/>
  <c r="E355" i="13"/>
  <c r="T355" i="13"/>
  <c r="U355" i="13"/>
  <c r="X355" i="13"/>
  <c r="Y355" i="13"/>
  <c r="Z355" i="13"/>
  <c r="V355" i="13"/>
  <c r="W355" i="13"/>
  <c r="B356" i="13"/>
  <c r="C356" i="13"/>
  <c r="F356" i="13"/>
  <c r="G356" i="13"/>
  <c r="H356" i="13"/>
  <c r="D356" i="13"/>
  <c r="E356" i="13"/>
  <c r="T356" i="13"/>
  <c r="U356" i="13"/>
  <c r="X356" i="13"/>
  <c r="Y356" i="13"/>
  <c r="Z356" i="13"/>
  <c r="V356" i="13"/>
  <c r="W356" i="13"/>
  <c r="B357" i="13"/>
  <c r="C357" i="13"/>
  <c r="F357" i="13"/>
  <c r="G357" i="13"/>
  <c r="H357" i="13"/>
  <c r="D357" i="13"/>
  <c r="E357" i="13"/>
  <c r="T357" i="13"/>
  <c r="U357" i="13"/>
  <c r="X357" i="13"/>
  <c r="Y357" i="13"/>
  <c r="Z357" i="13"/>
  <c r="V357" i="13"/>
  <c r="W357" i="13"/>
  <c r="B358" i="13"/>
  <c r="C358" i="13"/>
  <c r="F358" i="13"/>
  <c r="G358" i="13"/>
  <c r="H358" i="13"/>
  <c r="D358" i="13"/>
  <c r="E358" i="13"/>
  <c r="T358" i="13"/>
  <c r="U358" i="13"/>
  <c r="X358" i="13"/>
  <c r="Y358" i="13"/>
  <c r="Z358" i="13"/>
  <c r="V358" i="13"/>
  <c r="W358" i="13"/>
  <c r="B359" i="13"/>
  <c r="C359" i="13"/>
  <c r="F359" i="13"/>
  <c r="G359" i="13"/>
  <c r="H359" i="13"/>
  <c r="D359" i="13"/>
  <c r="E359" i="13"/>
  <c r="T359" i="13"/>
  <c r="U359" i="13"/>
  <c r="X359" i="13"/>
  <c r="Y359" i="13"/>
  <c r="Z359" i="13"/>
  <c r="V359" i="13"/>
  <c r="W359" i="13"/>
  <c r="B360" i="13"/>
  <c r="C360" i="13"/>
  <c r="F360" i="13"/>
  <c r="G360" i="13"/>
  <c r="H360" i="13"/>
  <c r="D360" i="13"/>
  <c r="E360" i="13"/>
  <c r="T360" i="13"/>
  <c r="U360" i="13"/>
  <c r="X360" i="13"/>
  <c r="Y360" i="13"/>
  <c r="Z360" i="13"/>
  <c r="V360" i="13"/>
  <c r="W360" i="13"/>
  <c r="B361" i="13"/>
  <c r="C361" i="13"/>
  <c r="F361" i="13"/>
  <c r="G361" i="13"/>
  <c r="H361" i="13"/>
  <c r="D361" i="13"/>
  <c r="E361" i="13"/>
  <c r="T361" i="13"/>
  <c r="U361" i="13"/>
  <c r="X361" i="13"/>
  <c r="Y361" i="13"/>
  <c r="Z361" i="13"/>
  <c r="V361" i="13"/>
  <c r="W361" i="13"/>
  <c r="B362" i="13"/>
  <c r="C362" i="13"/>
  <c r="F362" i="13"/>
  <c r="G362" i="13"/>
  <c r="H362" i="13"/>
  <c r="D362" i="13"/>
  <c r="E362" i="13"/>
  <c r="T362" i="13"/>
  <c r="U362" i="13"/>
  <c r="X362" i="13"/>
  <c r="Y362" i="13"/>
  <c r="Z362" i="13"/>
  <c r="V362" i="13"/>
  <c r="W362" i="13"/>
  <c r="B363" i="13"/>
  <c r="C363" i="13"/>
  <c r="F363" i="13"/>
  <c r="G363" i="13"/>
  <c r="H363" i="13"/>
  <c r="D363" i="13"/>
  <c r="E363" i="13"/>
  <c r="T363" i="13"/>
  <c r="U363" i="13"/>
  <c r="X363" i="13"/>
  <c r="Y363" i="13"/>
  <c r="Z363" i="13"/>
  <c r="V363" i="13"/>
  <c r="W363" i="13"/>
  <c r="B364" i="13"/>
  <c r="C364" i="13"/>
  <c r="F364" i="13"/>
  <c r="G364" i="13"/>
  <c r="H364" i="13"/>
  <c r="D364" i="13"/>
  <c r="E364" i="13"/>
  <c r="T364" i="13"/>
  <c r="U364" i="13"/>
  <c r="X364" i="13"/>
  <c r="Y364" i="13"/>
  <c r="Z364" i="13"/>
  <c r="V364" i="13"/>
  <c r="W364" i="13"/>
  <c r="B365" i="13"/>
  <c r="C365" i="13"/>
  <c r="F365" i="13"/>
  <c r="G365" i="13"/>
  <c r="H365" i="13"/>
  <c r="D365" i="13"/>
  <c r="E365" i="13"/>
  <c r="T365" i="13"/>
  <c r="U365" i="13"/>
  <c r="X365" i="13"/>
  <c r="Y365" i="13"/>
  <c r="Z365" i="13"/>
  <c r="V365" i="13"/>
  <c r="W365" i="13"/>
  <c r="B366" i="13"/>
  <c r="C366" i="13"/>
  <c r="F366" i="13"/>
  <c r="G366" i="13"/>
  <c r="H366" i="13"/>
  <c r="D366" i="13"/>
  <c r="E366" i="13"/>
  <c r="T366" i="13"/>
  <c r="U366" i="13"/>
  <c r="X366" i="13"/>
  <c r="Y366" i="13"/>
  <c r="Z366" i="13"/>
  <c r="V366" i="13"/>
  <c r="W366" i="13"/>
  <c r="B367" i="13"/>
  <c r="C367" i="13"/>
  <c r="F367" i="13"/>
  <c r="G367" i="13"/>
  <c r="H367" i="13"/>
  <c r="D367" i="13"/>
  <c r="E367" i="13"/>
  <c r="T367" i="13"/>
  <c r="U367" i="13"/>
  <c r="X367" i="13"/>
  <c r="Y367" i="13"/>
  <c r="Z367" i="13"/>
  <c r="V367" i="13"/>
  <c r="W367" i="13"/>
  <c r="B368" i="13"/>
  <c r="C368" i="13"/>
  <c r="F368" i="13"/>
  <c r="G368" i="13"/>
  <c r="H368" i="13"/>
  <c r="D368" i="13"/>
  <c r="E368" i="13"/>
  <c r="T368" i="13"/>
  <c r="U368" i="13"/>
  <c r="X368" i="13"/>
  <c r="Y368" i="13"/>
  <c r="Z368" i="13"/>
  <c r="V368" i="13"/>
  <c r="W368" i="13"/>
  <c r="B369" i="13"/>
  <c r="C369" i="13"/>
  <c r="F369" i="13"/>
  <c r="G369" i="13"/>
  <c r="H369" i="13"/>
  <c r="D369" i="13"/>
  <c r="E369" i="13"/>
  <c r="T369" i="13"/>
  <c r="U369" i="13"/>
  <c r="X369" i="13"/>
  <c r="Y369" i="13"/>
  <c r="Z369" i="13"/>
  <c r="V369" i="13"/>
  <c r="W369" i="13"/>
  <c r="B370" i="13"/>
  <c r="C370" i="13"/>
  <c r="F370" i="13"/>
  <c r="G370" i="13"/>
  <c r="H370" i="13"/>
  <c r="D370" i="13"/>
  <c r="E370" i="13"/>
  <c r="T370" i="13"/>
  <c r="U370" i="13"/>
  <c r="X370" i="13"/>
  <c r="Y370" i="13"/>
  <c r="Z370" i="13"/>
  <c r="V370" i="13"/>
  <c r="W370" i="13"/>
  <c r="B371" i="13"/>
  <c r="C371" i="13"/>
  <c r="F371" i="13"/>
  <c r="G371" i="13"/>
  <c r="H371" i="13"/>
  <c r="D371" i="13"/>
  <c r="E371" i="13"/>
  <c r="T371" i="13"/>
  <c r="U371" i="13"/>
  <c r="X371" i="13"/>
  <c r="Y371" i="13"/>
  <c r="Z371" i="13"/>
  <c r="V371" i="13"/>
  <c r="W371" i="13"/>
  <c r="B372" i="13"/>
  <c r="C372" i="13"/>
  <c r="F372" i="13"/>
  <c r="G372" i="13"/>
  <c r="H372" i="13"/>
  <c r="D372" i="13"/>
  <c r="E372" i="13"/>
  <c r="T372" i="13"/>
  <c r="U372" i="13"/>
  <c r="X372" i="13"/>
  <c r="Y372" i="13"/>
  <c r="Z372" i="13"/>
  <c r="V372" i="13"/>
  <c r="W372" i="13"/>
  <c r="B373" i="13"/>
  <c r="C373" i="13"/>
  <c r="F373" i="13"/>
  <c r="G373" i="13"/>
  <c r="H373" i="13"/>
  <c r="D373" i="13"/>
  <c r="E373" i="13"/>
  <c r="T373" i="13"/>
  <c r="U373" i="13"/>
  <c r="X373" i="13"/>
  <c r="Y373" i="13"/>
  <c r="Z373" i="13"/>
  <c r="V373" i="13"/>
  <c r="W373" i="13"/>
  <c r="B374" i="13"/>
  <c r="C374" i="13"/>
  <c r="F374" i="13"/>
  <c r="G374" i="13"/>
  <c r="H374" i="13"/>
  <c r="D374" i="13"/>
  <c r="E374" i="13"/>
  <c r="T374" i="13"/>
  <c r="U374" i="13"/>
  <c r="X374" i="13"/>
  <c r="Y374" i="13"/>
  <c r="Z374" i="13"/>
  <c r="V374" i="13"/>
  <c r="W374" i="13"/>
  <c r="B375" i="13"/>
  <c r="C375" i="13"/>
  <c r="F375" i="13"/>
  <c r="G375" i="13"/>
  <c r="H375" i="13"/>
  <c r="D375" i="13"/>
  <c r="E375" i="13"/>
  <c r="T375" i="13"/>
  <c r="U375" i="13"/>
  <c r="X375" i="13"/>
  <c r="Y375" i="13"/>
  <c r="Z375" i="13"/>
  <c r="V375" i="13"/>
  <c r="W375" i="13"/>
  <c r="B376" i="13"/>
  <c r="C376" i="13"/>
  <c r="F376" i="13"/>
  <c r="G376" i="13"/>
  <c r="H376" i="13"/>
  <c r="D376" i="13"/>
  <c r="E376" i="13"/>
  <c r="T376" i="13"/>
  <c r="U376" i="13"/>
  <c r="X376" i="13"/>
  <c r="Y376" i="13"/>
  <c r="Z376" i="13"/>
  <c r="V376" i="13"/>
  <c r="W376" i="13"/>
  <c r="B377" i="13"/>
  <c r="C377" i="13"/>
  <c r="F377" i="13"/>
  <c r="G377" i="13"/>
  <c r="H377" i="13"/>
  <c r="D377" i="13"/>
  <c r="E377" i="13"/>
  <c r="T377" i="13"/>
  <c r="U377" i="13"/>
  <c r="X377" i="13"/>
  <c r="Y377" i="13"/>
  <c r="Z377" i="13"/>
  <c r="V377" i="13"/>
  <c r="W377" i="13"/>
  <c r="B378" i="13"/>
  <c r="C378" i="13"/>
  <c r="F378" i="13"/>
  <c r="G378" i="13"/>
  <c r="H378" i="13"/>
  <c r="D378" i="13"/>
  <c r="E378" i="13"/>
  <c r="T378" i="13"/>
  <c r="U378" i="13"/>
  <c r="X378" i="13"/>
  <c r="Y378" i="13"/>
  <c r="Z378" i="13"/>
  <c r="V378" i="13"/>
  <c r="W378" i="13"/>
  <c r="B379" i="13"/>
  <c r="C379" i="13"/>
  <c r="F379" i="13"/>
  <c r="G379" i="13"/>
  <c r="H379" i="13"/>
  <c r="D379" i="13"/>
  <c r="E379" i="13"/>
  <c r="T379" i="13"/>
  <c r="U379" i="13"/>
  <c r="X379" i="13"/>
  <c r="Y379" i="13"/>
  <c r="Z379" i="13"/>
  <c r="V379" i="13"/>
  <c r="W379" i="13"/>
  <c r="B380" i="13"/>
  <c r="C380" i="13"/>
  <c r="F380" i="13"/>
  <c r="G380" i="13"/>
  <c r="H380" i="13"/>
  <c r="D380" i="13"/>
  <c r="E380" i="13"/>
  <c r="T380" i="13"/>
  <c r="U380" i="13"/>
  <c r="X380" i="13"/>
  <c r="Y380" i="13"/>
  <c r="Z380" i="13"/>
  <c r="V380" i="13"/>
  <c r="W380" i="13"/>
  <c r="B381" i="13"/>
  <c r="C381" i="13"/>
  <c r="F381" i="13"/>
  <c r="G381" i="13"/>
  <c r="H381" i="13"/>
  <c r="D381" i="13"/>
  <c r="E381" i="13"/>
  <c r="T381" i="13"/>
  <c r="U381" i="13"/>
  <c r="X381" i="13"/>
  <c r="Y381" i="13"/>
  <c r="Z381" i="13"/>
  <c r="V381" i="13"/>
  <c r="W381" i="13"/>
  <c r="B382" i="13"/>
  <c r="C382" i="13"/>
  <c r="F382" i="13"/>
  <c r="G382" i="13"/>
  <c r="H382" i="13"/>
  <c r="D382" i="13"/>
  <c r="E382" i="13"/>
  <c r="T382" i="13"/>
  <c r="U382" i="13"/>
  <c r="X382" i="13"/>
  <c r="Y382" i="13"/>
  <c r="Z382" i="13"/>
  <c r="V382" i="13"/>
  <c r="W382" i="13"/>
  <c r="B383" i="13"/>
  <c r="C383" i="13"/>
  <c r="F383" i="13"/>
  <c r="G383" i="13"/>
  <c r="H383" i="13"/>
  <c r="D383" i="13"/>
  <c r="E383" i="13"/>
  <c r="T383" i="13"/>
  <c r="U383" i="13"/>
  <c r="X383" i="13"/>
  <c r="Y383" i="13"/>
  <c r="Z383" i="13"/>
  <c r="V383" i="13"/>
  <c r="W383" i="13"/>
  <c r="B384" i="13"/>
  <c r="C384" i="13"/>
  <c r="F384" i="13"/>
  <c r="G384" i="13"/>
  <c r="H384" i="13"/>
  <c r="D384" i="13"/>
  <c r="E384" i="13"/>
  <c r="T384" i="13"/>
  <c r="U384" i="13"/>
  <c r="X384" i="13"/>
  <c r="Y384" i="13"/>
  <c r="Z384" i="13"/>
  <c r="V384" i="13"/>
  <c r="W384" i="13"/>
  <c r="B385" i="13"/>
  <c r="C385" i="13"/>
  <c r="F385" i="13"/>
  <c r="G385" i="13"/>
  <c r="H385" i="13"/>
  <c r="D385" i="13"/>
  <c r="E385" i="13"/>
  <c r="T385" i="13"/>
  <c r="U385" i="13"/>
  <c r="X385" i="13"/>
  <c r="Y385" i="13"/>
  <c r="Z385" i="13"/>
  <c r="V385" i="13"/>
  <c r="W385" i="13"/>
  <c r="B386" i="13"/>
  <c r="C386" i="13"/>
  <c r="F386" i="13"/>
  <c r="G386" i="13"/>
  <c r="H386" i="13"/>
  <c r="D386" i="13"/>
  <c r="E386" i="13"/>
  <c r="T386" i="13"/>
  <c r="U386" i="13"/>
  <c r="X386" i="13"/>
  <c r="Y386" i="13"/>
  <c r="Z386" i="13"/>
  <c r="V386" i="13"/>
  <c r="W386" i="13"/>
  <c r="B387" i="13"/>
  <c r="C387" i="13"/>
  <c r="F387" i="13"/>
  <c r="G387" i="13"/>
  <c r="H387" i="13"/>
  <c r="D387" i="13"/>
  <c r="E387" i="13"/>
  <c r="T387" i="13"/>
  <c r="U387" i="13"/>
  <c r="X387" i="13"/>
  <c r="Y387" i="13"/>
  <c r="Z387" i="13"/>
  <c r="V387" i="13"/>
  <c r="W387" i="13"/>
  <c r="B388" i="13"/>
  <c r="C388" i="13"/>
  <c r="F388" i="13"/>
  <c r="G388" i="13"/>
  <c r="H388" i="13"/>
  <c r="D388" i="13"/>
  <c r="E388" i="13"/>
  <c r="T388" i="13"/>
  <c r="U388" i="13"/>
  <c r="X388" i="13"/>
  <c r="Y388" i="13"/>
  <c r="Z388" i="13"/>
  <c r="V388" i="13"/>
  <c r="W388" i="13"/>
  <c r="B389" i="13"/>
  <c r="C389" i="13"/>
  <c r="F389" i="13"/>
  <c r="G389" i="13"/>
  <c r="H389" i="13"/>
  <c r="D389" i="13"/>
  <c r="E389" i="13"/>
  <c r="T389" i="13"/>
  <c r="U389" i="13"/>
  <c r="X389" i="13"/>
  <c r="Y389" i="13"/>
  <c r="Z389" i="13"/>
  <c r="V389" i="13"/>
  <c r="W389" i="13"/>
  <c r="B390" i="13"/>
  <c r="C390" i="13"/>
  <c r="F390" i="13"/>
  <c r="G390" i="13"/>
  <c r="H390" i="13"/>
  <c r="D390" i="13"/>
  <c r="E390" i="13"/>
  <c r="T390" i="13"/>
  <c r="U390" i="13"/>
  <c r="X390" i="13"/>
  <c r="Y390" i="13"/>
  <c r="Z390" i="13"/>
  <c r="V390" i="13"/>
  <c r="W390" i="13"/>
  <c r="B391" i="13"/>
  <c r="C391" i="13"/>
  <c r="F391" i="13"/>
  <c r="G391" i="13"/>
  <c r="H391" i="13"/>
  <c r="D391" i="13"/>
  <c r="E391" i="13"/>
  <c r="T391" i="13"/>
  <c r="U391" i="13"/>
  <c r="X391" i="13"/>
  <c r="Y391" i="13"/>
  <c r="Z391" i="13"/>
  <c r="V391" i="13"/>
  <c r="W391" i="13"/>
  <c r="B392" i="13"/>
  <c r="C392" i="13"/>
  <c r="F392" i="13"/>
  <c r="G392" i="13"/>
  <c r="H392" i="13"/>
  <c r="D392" i="13"/>
  <c r="E392" i="13"/>
  <c r="T392" i="13"/>
  <c r="U392" i="13"/>
  <c r="X392" i="13"/>
  <c r="Y392" i="13"/>
  <c r="Z392" i="13"/>
  <c r="V392" i="13"/>
  <c r="W392" i="13"/>
  <c r="B393" i="13"/>
  <c r="C393" i="13"/>
  <c r="F393" i="13"/>
  <c r="G393" i="13"/>
  <c r="H393" i="13"/>
  <c r="D393" i="13"/>
  <c r="E393" i="13"/>
  <c r="T393" i="13"/>
  <c r="U393" i="13"/>
  <c r="X393" i="13"/>
  <c r="Y393" i="13"/>
  <c r="Z393" i="13"/>
  <c r="V393" i="13"/>
  <c r="W393" i="13"/>
  <c r="B394" i="13"/>
  <c r="C394" i="13"/>
  <c r="F394" i="13"/>
  <c r="G394" i="13"/>
  <c r="H394" i="13"/>
  <c r="D394" i="13"/>
  <c r="E394" i="13"/>
  <c r="T394" i="13"/>
  <c r="U394" i="13"/>
  <c r="X394" i="13"/>
  <c r="Y394" i="13"/>
  <c r="Z394" i="13"/>
  <c r="V394" i="13"/>
  <c r="W394" i="13"/>
  <c r="B395" i="13"/>
  <c r="C395" i="13"/>
  <c r="F395" i="13"/>
  <c r="G395" i="13"/>
  <c r="H395" i="13"/>
  <c r="D395" i="13"/>
  <c r="E395" i="13"/>
  <c r="T395" i="13"/>
  <c r="U395" i="13"/>
  <c r="X395" i="13"/>
  <c r="Y395" i="13"/>
  <c r="Z395" i="13"/>
  <c r="V395" i="13"/>
  <c r="W395" i="13"/>
  <c r="B396" i="13"/>
  <c r="C396" i="13"/>
  <c r="F396" i="13"/>
  <c r="G396" i="13"/>
  <c r="H396" i="13"/>
  <c r="D396" i="13"/>
  <c r="E396" i="13"/>
  <c r="T396" i="13"/>
  <c r="U396" i="13"/>
  <c r="X396" i="13"/>
  <c r="Y396" i="13"/>
  <c r="Z396" i="13"/>
  <c r="V396" i="13"/>
  <c r="W396" i="13"/>
  <c r="B397" i="13"/>
  <c r="C397" i="13"/>
  <c r="F397" i="13"/>
  <c r="G397" i="13"/>
  <c r="H397" i="13"/>
  <c r="D397" i="13"/>
  <c r="E397" i="13"/>
  <c r="T397" i="13"/>
  <c r="U397" i="13"/>
  <c r="X397" i="13"/>
  <c r="Y397" i="13"/>
  <c r="Z397" i="13"/>
  <c r="V397" i="13"/>
  <c r="W397" i="13"/>
  <c r="B398" i="13"/>
  <c r="C398" i="13"/>
  <c r="F398" i="13"/>
  <c r="G398" i="13"/>
  <c r="H398" i="13"/>
  <c r="D398" i="13"/>
  <c r="E398" i="13"/>
  <c r="T398" i="13"/>
  <c r="U398" i="13"/>
  <c r="X398" i="13"/>
  <c r="Y398" i="13"/>
  <c r="Z398" i="13"/>
  <c r="V398" i="13"/>
  <c r="W398" i="13"/>
  <c r="B399" i="13"/>
  <c r="C399" i="13"/>
  <c r="F399" i="13"/>
  <c r="G399" i="13"/>
  <c r="H399" i="13"/>
  <c r="D399" i="13"/>
  <c r="E399" i="13"/>
  <c r="T399" i="13"/>
  <c r="U399" i="13"/>
  <c r="X399" i="13"/>
  <c r="Y399" i="13"/>
  <c r="Z399" i="13"/>
  <c r="V399" i="13"/>
  <c r="W399" i="13"/>
  <c r="B400" i="13"/>
  <c r="C400" i="13"/>
  <c r="F400" i="13"/>
  <c r="G400" i="13"/>
  <c r="H400" i="13"/>
  <c r="D400" i="13"/>
  <c r="E400" i="13"/>
  <c r="T400" i="13"/>
  <c r="U400" i="13"/>
  <c r="X400" i="13"/>
  <c r="Y400" i="13"/>
  <c r="Z400" i="13"/>
  <c r="V400" i="13"/>
  <c r="W400" i="13"/>
  <c r="B401" i="13"/>
  <c r="C401" i="13"/>
  <c r="F401" i="13"/>
  <c r="G401" i="13"/>
  <c r="H401" i="13"/>
  <c r="D401" i="13"/>
  <c r="E401" i="13"/>
  <c r="T401" i="13"/>
  <c r="U401" i="13"/>
  <c r="X401" i="13"/>
  <c r="Y401" i="13"/>
  <c r="Z401" i="13"/>
  <c r="V401" i="13"/>
  <c r="W401" i="13"/>
  <c r="B402" i="13"/>
  <c r="C402" i="13"/>
  <c r="F402" i="13"/>
  <c r="G402" i="13"/>
  <c r="H402" i="13"/>
  <c r="D402" i="13"/>
  <c r="E402" i="13"/>
  <c r="T402" i="13"/>
  <c r="U402" i="13"/>
  <c r="X402" i="13"/>
  <c r="Y402" i="13"/>
  <c r="Z402" i="13"/>
  <c r="V402" i="13"/>
  <c r="W402" i="13"/>
  <c r="B403" i="13"/>
  <c r="C403" i="13"/>
  <c r="F403" i="13"/>
  <c r="G403" i="13"/>
  <c r="H403" i="13"/>
  <c r="D403" i="13"/>
  <c r="E403" i="13"/>
  <c r="T403" i="13"/>
  <c r="U403" i="13"/>
  <c r="X403" i="13"/>
  <c r="Y403" i="13"/>
  <c r="Z403" i="13"/>
  <c r="V403" i="13"/>
  <c r="W403" i="13"/>
  <c r="B404" i="13"/>
  <c r="C404" i="13"/>
  <c r="F404" i="13"/>
  <c r="G404" i="13"/>
  <c r="H404" i="13"/>
  <c r="D404" i="13"/>
  <c r="E404" i="13"/>
  <c r="T404" i="13"/>
  <c r="U404" i="13"/>
  <c r="X404" i="13"/>
  <c r="Y404" i="13"/>
  <c r="Z404" i="13"/>
  <c r="V404" i="13"/>
  <c r="W404" i="13"/>
  <c r="B405" i="13"/>
  <c r="C405" i="13"/>
  <c r="F405" i="13"/>
  <c r="G405" i="13"/>
  <c r="H405" i="13"/>
  <c r="D405" i="13"/>
  <c r="E405" i="13"/>
  <c r="T405" i="13"/>
  <c r="U405" i="13"/>
  <c r="X405" i="13"/>
  <c r="Y405" i="13"/>
  <c r="Z405" i="13"/>
  <c r="V405" i="13"/>
  <c r="W405" i="13"/>
  <c r="B406" i="13"/>
  <c r="C406" i="13"/>
  <c r="F406" i="13"/>
  <c r="G406" i="13"/>
  <c r="H406" i="13"/>
  <c r="D406" i="13"/>
  <c r="E406" i="13"/>
  <c r="T406" i="13"/>
  <c r="U406" i="13"/>
  <c r="X406" i="13"/>
  <c r="Y406" i="13"/>
  <c r="Z406" i="13"/>
  <c r="V406" i="13"/>
  <c r="W406" i="13"/>
  <c r="B407" i="13"/>
  <c r="C407" i="13"/>
  <c r="F407" i="13"/>
  <c r="G407" i="13"/>
  <c r="H407" i="13"/>
  <c r="D407" i="13"/>
  <c r="E407" i="13"/>
  <c r="T407" i="13"/>
  <c r="U407" i="13"/>
  <c r="X407" i="13"/>
  <c r="Y407" i="13"/>
  <c r="Z407" i="13"/>
  <c r="V407" i="13"/>
  <c r="W407" i="13"/>
  <c r="B408" i="13"/>
  <c r="C408" i="13"/>
  <c r="F408" i="13"/>
  <c r="G408" i="13"/>
  <c r="H408" i="13"/>
  <c r="D408" i="13"/>
  <c r="E408" i="13"/>
  <c r="T408" i="13"/>
  <c r="U408" i="13"/>
  <c r="X408" i="13"/>
  <c r="Y408" i="13"/>
  <c r="Z408" i="13"/>
  <c r="V408" i="13"/>
  <c r="W408" i="13"/>
  <c r="B409" i="13"/>
  <c r="C409" i="13"/>
  <c r="F409" i="13"/>
  <c r="G409" i="13"/>
  <c r="H409" i="13"/>
  <c r="D409" i="13"/>
  <c r="E409" i="13"/>
  <c r="T409" i="13"/>
  <c r="U409" i="13"/>
  <c r="X409" i="13"/>
  <c r="Y409" i="13"/>
  <c r="Z409" i="13"/>
  <c r="V409" i="13"/>
  <c r="W409" i="13"/>
  <c r="B410" i="13"/>
  <c r="C410" i="13"/>
  <c r="F410" i="13"/>
  <c r="G410" i="13"/>
  <c r="H410" i="13"/>
  <c r="D410" i="13"/>
  <c r="E410" i="13"/>
  <c r="T410" i="13"/>
  <c r="U410" i="13"/>
  <c r="X410" i="13"/>
  <c r="Y410" i="13"/>
  <c r="Z410" i="13"/>
  <c r="V410" i="13"/>
  <c r="W410" i="13"/>
  <c r="B411" i="13"/>
  <c r="C411" i="13"/>
  <c r="F411" i="13"/>
  <c r="G411" i="13"/>
  <c r="H411" i="13"/>
  <c r="D411" i="13"/>
  <c r="E411" i="13"/>
  <c r="T411" i="13"/>
  <c r="U411" i="13"/>
  <c r="X411" i="13"/>
  <c r="Y411" i="13"/>
  <c r="Z411" i="13"/>
  <c r="V411" i="13"/>
  <c r="W411" i="13"/>
  <c r="B412" i="13"/>
  <c r="C412" i="13"/>
  <c r="F412" i="13"/>
  <c r="G412" i="13"/>
  <c r="H412" i="13"/>
  <c r="D412" i="13"/>
  <c r="E412" i="13"/>
  <c r="T412" i="13"/>
  <c r="U412" i="13"/>
  <c r="X412" i="13"/>
  <c r="Y412" i="13"/>
  <c r="Z412" i="13"/>
  <c r="V412" i="13"/>
  <c r="W412" i="13"/>
  <c r="B413" i="13"/>
  <c r="C413" i="13"/>
  <c r="F413" i="13"/>
  <c r="G413" i="13"/>
  <c r="H413" i="13"/>
  <c r="D413" i="13"/>
  <c r="E413" i="13"/>
  <c r="T413" i="13"/>
  <c r="U413" i="13"/>
  <c r="X413" i="13"/>
  <c r="Y413" i="13"/>
  <c r="Z413" i="13"/>
  <c r="V413" i="13"/>
  <c r="W413" i="13"/>
  <c r="B414" i="13"/>
  <c r="C414" i="13"/>
  <c r="F414" i="13"/>
  <c r="G414" i="13"/>
  <c r="H414" i="13"/>
  <c r="D414" i="13"/>
  <c r="E414" i="13"/>
  <c r="T414" i="13"/>
  <c r="U414" i="13"/>
  <c r="X414" i="13"/>
  <c r="Y414" i="13"/>
  <c r="Z414" i="13"/>
  <c r="V414" i="13"/>
  <c r="W414" i="13"/>
  <c r="B415" i="13"/>
  <c r="C415" i="13"/>
  <c r="F415" i="13"/>
  <c r="G415" i="13"/>
  <c r="H415" i="13"/>
  <c r="D415" i="13"/>
  <c r="E415" i="13"/>
  <c r="T415" i="13"/>
  <c r="U415" i="13"/>
  <c r="X415" i="13"/>
  <c r="Y415" i="13"/>
  <c r="Z415" i="13"/>
  <c r="V415" i="13"/>
  <c r="W415" i="13"/>
  <c r="B416" i="13"/>
  <c r="C416" i="13"/>
  <c r="F416" i="13"/>
  <c r="G416" i="13"/>
  <c r="H416" i="13"/>
  <c r="D416" i="13"/>
  <c r="E416" i="13"/>
  <c r="T416" i="13"/>
  <c r="U416" i="13"/>
  <c r="X416" i="13"/>
  <c r="Y416" i="13"/>
  <c r="Z416" i="13"/>
  <c r="V416" i="13"/>
  <c r="W416" i="13"/>
  <c r="B417" i="13"/>
  <c r="C417" i="13"/>
  <c r="F417" i="13"/>
  <c r="G417" i="13"/>
  <c r="H417" i="13"/>
  <c r="D417" i="13"/>
  <c r="E417" i="13"/>
  <c r="T417" i="13"/>
  <c r="U417" i="13"/>
  <c r="X417" i="13"/>
  <c r="Y417" i="13"/>
  <c r="Z417" i="13"/>
  <c r="V417" i="13"/>
  <c r="W417" i="13"/>
  <c r="B418" i="13"/>
  <c r="C418" i="13"/>
  <c r="F418" i="13"/>
  <c r="G418" i="13"/>
  <c r="H418" i="13"/>
  <c r="D418" i="13"/>
  <c r="E418" i="13"/>
  <c r="T418" i="13"/>
  <c r="U418" i="13"/>
  <c r="X418" i="13"/>
  <c r="Y418" i="13"/>
  <c r="Z418" i="13"/>
  <c r="V418" i="13"/>
  <c r="W418" i="13"/>
  <c r="B419" i="13"/>
  <c r="C419" i="13"/>
  <c r="F419" i="13"/>
  <c r="G419" i="13"/>
  <c r="H419" i="13"/>
  <c r="D419" i="13"/>
  <c r="E419" i="13"/>
  <c r="T419" i="13"/>
  <c r="U419" i="13"/>
  <c r="X419" i="13"/>
  <c r="Y419" i="13"/>
  <c r="Z419" i="13"/>
  <c r="V419" i="13"/>
  <c r="W419" i="13"/>
  <c r="B420" i="13"/>
  <c r="C420" i="13"/>
  <c r="F420" i="13"/>
  <c r="G420" i="13"/>
  <c r="H420" i="13"/>
  <c r="D420" i="13"/>
  <c r="E420" i="13"/>
  <c r="T420" i="13"/>
  <c r="U420" i="13"/>
  <c r="X420" i="13"/>
  <c r="Y420" i="13"/>
  <c r="Z420" i="13"/>
  <c r="V420" i="13"/>
  <c r="W420" i="13"/>
  <c r="B421" i="13"/>
  <c r="C421" i="13"/>
  <c r="F421" i="13"/>
  <c r="G421" i="13"/>
  <c r="H421" i="13"/>
  <c r="D421" i="13"/>
  <c r="E421" i="13"/>
  <c r="T421" i="13"/>
  <c r="U421" i="13"/>
  <c r="X421" i="13"/>
  <c r="Y421" i="13"/>
  <c r="Z421" i="13"/>
  <c r="V421" i="13"/>
  <c r="W421" i="13"/>
  <c r="B422" i="13"/>
  <c r="C422" i="13"/>
  <c r="F422" i="13"/>
  <c r="G422" i="13"/>
  <c r="H422" i="13"/>
  <c r="D422" i="13"/>
  <c r="E422" i="13"/>
  <c r="T422" i="13"/>
  <c r="U422" i="13"/>
  <c r="X422" i="13"/>
  <c r="Y422" i="13"/>
  <c r="Z422" i="13"/>
  <c r="V422" i="13"/>
  <c r="W422" i="13"/>
  <c r="B423" i="13"/>
  <c r="C423" i="13"/>
  <c r="F423" i="13"/>
  <c r="G423" i="13"/>
  <c r="H423" i="13"/>
  <c r="D423" i="13"/>
  <c r="E423" i="13"/>
  <c r="T423" i="13"/>
  <c r="U423" i="13"/>
  <c r="X423" i="13"/>
  <c r="Y423" i="13"/>
  <c r="Z423" i="13"/>
  <c r="V423" i="13"/>
  <c r="W423" i="13"/>
  <c r="B424" i="13"/>
  <c r="C424" i="13"/>
  <c r="F424" i="13"/>
  <c r="G424" i="13"/>
  <c r="H424" i="13"/>
  <c r="D424" i="13"/>
  <c r="E424" i="13"/>
  <c r="T424" i="13"/>
  <c r="U424" i="13"/>
  <c r="X424" i="13"/>
  <c r="Y424" i="13"/>
  <c r="Z424" i="13"/>
  <c r="V424" i="13"/>
  <c r="W424" i="13"/>
  <c r="B425" i="13"/>
  <c r="C425" i="13"/>
  <c r="F425" i="13"/>
  <c r="G425" i="13"/>
  <c r="H425" i="13"/>
  <c r="D425" i="13"/>
  <c r="E425" i="13"/>
  <c r="T425" i="13"/>
  <c r="U425" i="13"/>
  <c r="X425" i="13"/>
  <c r="Y425" i="13"/>
  <c r="Z425" i="13"/>
  <c r="V425" i="13"/>
  <c r="W425" i="13"/>
  <c r="B426" i="13"/>
  <c r="C426" i="13"/>
  <c r="F426" i="13"/>
  <c r="G426" i="13"/>
  <c r="H426" i="13"/>
  <c r="D426" i="13"/>
  <c r="E426" i="13"/>
  <c r="T426" i="13"/>
  <c r="U426" i="13"/>
  <c r="X426" i="13"/>
  <c r="Y426" i="13"/>
  <c r="Z426" i="13"/>
  <c r="V426" i="13"/>
  <c r="W426" i="13"/>
  <c r="B427" i="13"/>
  <c r="C427" i="13"/>
  <c r="F427" i="13"/>
  <c r="G427" i="13"/>
  <c r="H427" i="13"/>
  <c r="D427" i="13"/>
  <c r="E427" i="13"/>
  <c r="T427" i="13"/>
  <c r="U427" i="13"/>
  <c r="X427" i="13"/>
  <c r="Y427" i="13"/>
  <c r="Z427" i="13"/>
  <c r="V427" i="13"/>
  <c r="W427" i="13"/>
  <c r="B428" i="13"/>
  <c r="C428" i="13"/>
  <c r="F428" i="13"/>
  <c r="G428" i="13"/>
  <c r="H428" i="13"/>
  <c r="D428" i="13"/>
  <c r="E428" i="13"/>
  <c r="T428" i="13"/>
  <c r="U428" i="13"/>
  <c r="X428" i="13"/>
  <c r="Y428" i="13"/>
  <c r="Z428" i="13"/>
  <c r="V428" i="13"/>
  <c r="W428" i="13"/>
  <c r="B429" i="13"/>
  <c r="C429" i="13"/>
  <c r="F429" i="13"/>
  <c r="G429" i="13"/>
  <c r="H429" i="13"/>
  <c r="D429" i="13"/>
  <c r="E429" i="13"/>
  <c r="T429" i="13"/>
  <c r="U429" i="13"/>
  <c r="X429" i="13"/>
  <c r="Y429" i="13"/>
  <c r="Z429" i="13"/>
  <c r="V429" i="13"/>
  <c r="W429" i="13"/>
  <c r="B430" i="13"/>
  <c r="C430" i="13"/>
  <c r="F430" i="13"/>
  <c r="G430" i="13"/>
  <c r="H430" i="13"/>
  <c r="D430" i="13"/>
  <c r="E430" i="13"/>
  <c r="T430" i="13"/>
  <c r="U430" i="13"/>
  <c r="X430" i="13"/>
  <c r="Y430" i="13"/>
  <c r="Z430" i="13"/>
  <c r="V430" i="13"/>
  <c r="W430" i="13"/>
  <c r="B431" i="13"/>
  <c r="C431" i="13"/>
  <c r="F431" i="13"/>
  <c r="G431" i="13"/>
  <c r="H431" i="13"/>
  <c r="D431" i="13"/>
  <c r="E431" i="13"/>
  <c r="T431" i="13"/>
  <c r="U431" i="13"/>
  <c r="X431" i="13"/>
  <c r="Y431" i="13"/>
  <c r="Z431" i="13"/>
  <c r="V431" i="13"/>
  <c r="W431" i="13"/>
  <c r="B432" i="13"/>
  <c r="C432" i="13"/>
  <c r="F432" i="13"/>
  <c r="G432" i="13"/>
  <c r="H432" i="13"/>
  <c r="D432" i="13"/>
  <c r="E432" i="13"/>
  <c r="T432" i="13"/>
  <c r="U432" i="13"/>
  <c r="X432" i="13"/>
  <c r="Y432" i="13"/>
  <c r="Z432" i="13"/>
  <c r="V432" i="13"/>
  <c r="W432" i="13"/>
  <c r="B433" i="13"/>
  <c r="C433" i="13"/>
  <c r="F433" i="13"/>
  <c r="G433" i="13"/>
  <c r="H433" i="13"/>
  <c r="D433" i="13"/>
  <c r="E433" i="13"/>
  <c r="T433" i="13"/>
  <c r="U433" i="13"/>
  <c r="X433" i="13"/>
  <c r="Y433" i="13"/>
  <c r="Z433" i="13"/>
  <c r="V433" i="13"/>
  <c r="W433" i="13"/>
  <c r="B434" i="13"/>
  <c r="C434" i="13"/>
  <c r="F434" i="13"/>
  <c r="G434" i="13"/>
  <c r="H434" i="13"/>
  <c r="D434" i="13"/>
  <c r="E434" i="13"/>
  <c r="T434" i="13"/>
  <c r="U434" i="13"/>
  <c r="X434" i="13"/>
  <c r="Y434" i="13"/>
  <c r="Z434" i="13"/>
  <c r="V434" i="13"/>
  <c r="W434" i="13"/>
  <c r="B435" i="13"/>
  <c r="C435" i="13"/>
  <c r="F435" i="13"/>
  <c r="G435" i="13"/>
  <c r="H435" i="13"/>
  <c r="D435" i="13"/>
  <c r="E435" i="13"/>
  <c r="T435" i="13"/>
  <c r="U435" i="13"/>
  <c r="X435" i="13"/>
  <c r="Y435" i="13"/>
  <c r="Z435" i="13"/>
  <c r="V435" i="13"/>
  <c r="W435" i="13"/>
  <c r="B436" i="13"/>
  <c r="C436" i="13"/>
  <c r="F436" i="13"/>
  <c r="G436" i="13"/>
  <c r="H436" i="13"/>
  <c r="D436" i="13"/>
  <c r="E436" i="13"/>
  <c r="T436" i="13"/>
  <c r="U436" i="13"/>
  <c r="X436" i="13"/>
  <c r="Y436" i="13"/>
  <c r="Z436" i="13"/>
  <c r="V436" i="13"/>
  <c r="W436" i="13"/>
  <c r="B437" i="13"/>
  <c r="C437" i="13"/>
  <c r="F437" i="13"/>
  <c r="G437" i="13"/>
  <c r="H437" i="13"/>
  <c r="D437" i="13"/>
  <c r="E437" i="13"/>
  <c r="T437" i="13"/>
  <c r="U437" i="13"/>
  <c r="X437" i="13"/>
  <c r="Y437" i="13"/>
  <c r="Z437" i="13"/>
  <c r="V437" i="13"/>
  <c r="W437" i="13"/>
  <c r="B438" i="13"/>
  <c r="C438" i="13"/>
  <c r="F438" i="13"/>
  <c r="G438" i="13"/>
  <c r="H438" i="13"/>
  <c r="D438" i="13"/>
  <c r="E438" i="13"/>
  <c r="T438" i="13"/>
  <c r="U438" i="13"/>
  <c r="X438" i="13"/>
  <c r="Y438" i="13"/>
  <c r="Z438" i="13"/>
  <c r="V438" i="13"/>
  <c r="W438" i="13"/>
  <c r="B439" i="13"/>
  <c r="C439" i="13"/>
  <c r="F439" i="13"/>
  <c r="G439" i="13"/>
  <c r="H439" i="13"/>
  <c r="D439" i="13"/>
  <c r="E439" i="13"/>
  <c r="T439" i="13"/>
  <c r="U439" i="13"/>
  <c r="X439" i="13"/>
  <c r="Y439" i="13"/>
  <c r="Z439" i="13"/>
  <c r="V439" i="13"/>
  <c r="W439" i="13"/>
  <c r="B440" i="13"/>
  <c r="C440" i="13"/>
  <c r="F440" i="13"/>
  <c r="G440" i="13"/>
  <c r="H440" i="13"/>
  <c r="D440" i="13"/>
  <c r="E440" i="13"/>
  <c r="T440" i="13"/>
  <c r="U440" i="13"/>
  <c r="X440" i="13"/>
  <c r="Y440" i="13"/>
  <c r="Z440" i="13"/>
  <c r="V440" i="13"/>
  <c r="W440" i="13"/>
  <c r="B441" i="13"/>
  <c r="C441" i="13"/>
  <c r="F441" i="13"/>
  <c r="G441" i="13"/>
  <c r="H441" i="13"/>
  <c r="D441" i="13"/>
  <c r="E441" i="13"/>
  <c r="T441" i="13"/>
  <c r="U441" i="13"/>
  <c r="X441" i="13"/>
  <c r="Y441" i="13"/>
  <c r="Z441" i="13"/>
  <c r="V441" i="13"/>
  <c r="W441" i="13"/>
  <c r="B442" i="13"/>
  <c r="C442" i="13"/>
  <c r="F442" i="13"/>
  <c r="G442" i="13"/>
  <c r="H442" i="13"/>
  <c r="D442" i="13"/>
  <c r="E442" i="13"/>
  <c r="T442" i="13"/>
  <c r="U442" i="13"/>
  <c r="X442" i="13"/>
  <c r="Y442" i="13"/>
  <c r="Z442" i="13"/>
  <c r="V442" i="13"/>
  <c r="W442" i="13"/>
  <c r="B443" i="13"/>
  <c r="C443" i="13"/>
  <c r="F443" i="13"/>
  <c r="G443" i="13"/>
  <c r="H443" i="13"/>
  <c r="D443" i="13"/>
  <c r="E443" i="13"/>
  <c r="T443" i="13"/>
  <c r="U443" i="13"/>
  <c r="X443" i="13"/>
  <c r="Y443" i="13"/>
  <c r="Z443" i="13"/>
  <c r="V443" i="13"/>
  <c r="W443" i="13"/>
  <c r="B444" i="13"/>
  <c r="C444" i="13"/>
  <c r="F444" i="13"/>
  <c r="G444" i="13"/>
  <c r="H444" i="13"/>
  <c r="D444" i="13"/>
  <c r="E444" i="13"/>
  <c r="T444" i="13"/>
  <c r="U444" i="13"/>
  <c r="X444" i="13"/>
  <c r="Y444" i="13"/>
  <c r="Z444" i="13"/>
  <c r="V444" i="13"/>
  <c r="W444" i="13"/>
  <c r="B445" i="13"/>
  <c r="C445" i="13"/>
  <c r="F445" i="13"/>
  <c r="G445" i="13"/>
  <c r="H445" i="13"/>
  <c r="D445" i="13"/>
  <c r="E445" i="13"/>
  <c r="T445" i="13"/>
  <c r="U445" i="13"/>
  <c r="X445" i="13"/>
  <c r="Y445" i="13"/>
  <c r="Z445" i="13"/>
  <c r="V445" i="13"/>
  <c r="W445" i="13"/>
  <c r="B446" i="13"/>
  <c r="C446" i="13"/>
  <c r="F446" i="13"/>
  <c r="G446" i="13"/>
  <c r="H446" i="13"/>
  <c r="D446" i="13"/>
  <c r="E446" i="13"/>
  <c r="T446" i="13"/>
  <c r="U446" i="13"/>
  <c r="X446" i="13"/>
  <c r="Y446" i="13"/>
  <c r="Z446" i="13"/>
  <c r="V446" i="13"/>
  <c r="W446" i="13"/>
  <c r="B447" i="13"/>
  <c r="C447" i="13"/>
  <c r="F447" i="13"/>
  <c r="G447" i="13"/>
  <c r="H447" i="13"/>
  <c r="D447" i="13"/>
  <c r="E447" i="13"/>
  <c r="T447" i="13"/>
  <c r="U447" i="13"/>
  <c r="X447" i="13"/>
  <c r="Y447" i="13"/>
  <c r="Z447" i="13"/>
  <c r="V447" i="13"/>
  <c r="W447" i="13"/>
  <c r="B448" i="13"/>
  <c r="C448" i="13"/>
  <c r="F448" i="13"/>
  <c r="G448" i="13"/>
  <c r="H448" i="13"/>
  <c r="D448" i="13"/>
  <c r="E448" i="13"/>
  <c r="T448" i="13"/>
  <c r="U448" i="13"/>
  <c r="X448" i="13"/>
  <c r="Y448" i="13"/>
  <c r="Z448" i="13"/>
  <c r="V448" i="13"/>
  <c r="W448" i="13"/>
  <c r="B449" i="13"/>
  <c r="C449" i="13"/>
  <c r="F449" i="13"/>
  <c r="G449" i="13"/>
  <c r="H449" i="13"/>
  <c r="D449" i="13"/>
  <c r="E449" i="13"/>
  <c r="T449" i="13"/>
  <c r="U449" i="13"/>
  <c r="X449" i="13"/>
  <c r="Y449" i="13"/>
  <c r="Z449" i="13"/>
  <c r="V449" i="13"/>
  <c r="W449" i="13"/>
  <c r="B450" i="13"/>
  <c r="C450" i="13"/>
  <c r="F450" i="13"/>
  <c r="G450" i="13"/>
  <c r="H450" i="13"/>
  <c r="D450" i="13"/>
  <c r="E450" i="13"/>
  <c r="T450" i="13"/>
  <c r="U450" i="13"/>
  <c r="X450" i="13"/>
  <c r="Y450" i="13"/>
  <c r="Z450" i="13"/>
  <c r="V450" i="13"/>
  <c r="W450" i="13"/>
  <c r="B451" i="13"/>
  <c r="C451" i="13"/>
  <c r="F451" i="13"/>
  <c r="G451" i="13"/>
  <c r="H451" i="13"/>
  <c r="D451" i="13"/>
  <c r="E451" i="13"/>
  <c r="T451" i="13"/>
  <c r="U451" i="13"/>
  <c r="X451" i="13"/>
  <c r="Y451" i="13"/>
  <c r="Z451" i="13"/>
  <c r="V451" i="13"/>
  <c r="W451" i="13"/>
  <c r="B452" i="13"/>
  <c r="C452" i="13"/>
  <c r="F452" i="13"/>
  <c r="G452" i="13"/>
  <c r="H452" i="13"/>
  <c r="D452" i="13"/>
  <c r="E452" i="13"/>
  <c r="T452" i="13"/>
  <c r="U452" i="13"/>
  <c r="X452" i="13"/>
  <c r="Y452" i="13"/>
  <c r="Z452" i="13"/>
  <c r="V452" i="13"/>
  <c r="W452" i="13"/>
  <c r="B453" i="13"/>
  <c r="C453" i="13"/>
  <c r="F453" i="13"/>
  <c r="G453" i="13"/>
  <c r="H453" i="13"/>
  <c r="D453" i="13"/>
  <c r="E453" i="13"/>
  <c r="T453" i="13"/>
  <c r="U453" i="13"/>
  <c r="X453" i="13"/>
  <c r="Y453" i="13"/>
  <c r="Z453" i="13"/>
  <c r="V453" i="13"/>
  <c r="W453" i="13"/>
  <c r="B454" i="13"/>
  <c r="C454" i="13"/>
  <c r="F454" i="13"/>
  <c r="G454" i="13"/>
  <c r="H454" i="13"/>
  <c r="D454" i="13"/>
  <c r="E454" i="13"/>
  <c r="T454" i="13"/>
  <c r="U454" i="13"/>
  <c r="X454" i="13"/>
  <c r="Y454" i="13"/>
  <c r="Z454" i="13"/>
  <c r="V454" i="13"/>
  <c r="W454" i="13"/>
  <c r="B455" i="13"/>
  <c r="C455" i="13"/>
  <c r="F455" i="13"/>
  <c r="G455" i="13"/>
  <c r="H455" i="13"/>
  <c r="D455" i="13"/>
  <c r="E455" i="13"/>
  <c r="T455" i="13"/>
  <c r="U455" i="13"/>
  <c r="X455" i="13"/>
  <c r="Y455" i="13"/>
  <c r="Z455" i="13"/>
  <c r="V455" i="13"/>
  <c r="W455" i="13"/>
  <c r="B456" i="13"/>
  <c r="C456" i="13"/>
  <c r="F456" i="13"/>
  <c r="G456" i="13"/>
  <c r="H456" i="13"/>
  <c r="D456" i="13"/>
  <c r="E456" i="13"/>
  <c r="T456" i="13"/>
  <c r="U456" i="13"/>
  <c r="X456" i="13"/>
  <c r="Y456" i="13"/>
  <c r="Z456" i="13"/>
  <c r="V456" i="13"/>
  <c r="W456" i="13"/>
  <c r="B457" i="13"/>
  <c r="C457" i="13"/>
  <c r="F457" i="13"/>
  <c r="G457" i="13"/>
  <c r="H457" i="13"/>
  <c r="D457" i="13"/>
  <c r="E457" i="13"/>
  <c r="T457" i="13"/>
  <c r="U457" i="13"/>
  <c r="X457" i="13"/>
  <c r="Y457" i="13"/>
  <c r="Z457" i="13"/>
  <c r="V457" i="13"/>
  <c r="W457" i="13"/>
  <c r="B458" i="13"/>
  <c r="C458" i="13"/>
  <c r="F458" i="13"/>
  <c r="G458" i="13"/>
  <c r="H458" i="13"/>
  <c r="D458" i="13"/>
  <c r="E458" i="13"/>
  <c r="T458" i="13"/>
  <c r="U458" i="13"/>
  <c r="X458" i="13"/>
  <c r="Y458" i="13"/>
  <c r="Z458" i="13"/>
  <c r="V458" i="13"/>
  <c r="W458" i="13"/>
  <c r="B459" i="13"/>
  <c r="C459" i="13"/>
  <c r="F459" i="13"/>
  <c r="G459" i="13"/>
  <c r="H459" i="13"/>
  <c r="D459" i="13"/>
  <c r="E459" i="13"/>
  <c r="T459" i="13"/>
  <c r="U459" i="13"/>
  <c r="X459" i="13"/>
  <c r="Y459" i="13"/>
  <c r="Z459" i="13"/>
  <c r="V459" i="13"/>
  <c r="W459" i="13"/>
  <c r="B460" i="13"/>
  <c r="C460" i="13"/>
  <c r="F460" i="13"/>
  <c r="G460" i="13"/>
  <c r="H460" i="13"/>
  <c r="D460" i="13"/>
  <c r="E460" i="13"/>
  <c r="T460" i="13"/>
  <c r="U460" i="13"/>
  <c r="X460" i="13"/>
  <c r="Y460" i="13"/>
  <c r="Z460" i="13"/>
  <c r="V460" i="13"/>
  <c r="W460" i="13"/>
  <c r="B461" i="13"/>
  <c r="C461" i="13"/>
  <c r="F461" i="13"/>
  <c r="G461" i="13"/>
  <c r="H461" i="13"/>
  <c r="D461" i="13"/>
  <c r="E461" i="13"/>
  <c r="T461" i="13"/>
  <c r="U461" i="13"/>
  <c r="X461" i="13"/>
  <c r="Y461" i="13"/>
  <c r="Z461" i="13"/>
  <c r="V461" i="13"/>
  <c r="W461" i="13"/>
  <c r="B462" i="13"/>
  <c r="C462" i="13"/>
  <c r="F462" i="13"/>
  <c r="G462" i="13"/>
  <c r="H462" i="13"/>
  <c r="D462" i="13"/>
  <c r="E462" i="13"/>
  <c r="T462" i="13"/>
  <c r="U462" i="13"/>
  <c r="X462" i="13"/>
  <c r="Y462" i="13"/>
  <c r="Z462" i="13"/>
  <c r="V462" i="13"/>
  <c r="W462" i="13"/>
  <c r="B463" i="13"/>
  <c r="C463" i="13"/>
  <c r="F463" i="13"/>
  <c r="G463" i="13"/>
  <c r="H463" i="13"/>
  <c r="D463" i="13"/>
  <c r="E463" i="13"/>
  <c r="T463" i="13"/>
  <c r="U463" i="13"/>
  <c r="X463" i="13"/>
  <c r="Y463" i="13"/>
  <c r="Z463" i="13"/>
  <c r="V463" i="13"/>
  <c r="W463" i="13"/>
  <c r="B464" i="13"/>
  <c r="C464" i="13"/>
  <c r="F464" i="13"/>
  <c r="G464" i="13"/>
  <c r="H464" i="13"/>
  <c r="D464" i="13"/>
  <c r="E464" i="13"/>
  <c r="T464" i="13"/>
  <c r="U464" i="13"/>
  <c r="X464" i="13"/>
  <c r="Y464" i="13"/>
  <c r="Z464" i="13"/>
  <c r="V464" i="13"/>
  <c r="W464" i="13"/>
  <c r="B465" i="13"/>
  <c r="C465" i="13"/>
  <c r="F465" i="13"/>
  <c r="G465" i="13"/>
  <c r="H465" i="13"/>
  <c r="D465" i="13"/>
  <c r="E465" i="13"/>
  <c r="T465" i="13"/>
  <c r="U465" i="13"/>
  <c r="X465" i="13"/>
  <c r="Y465" i="13"/>
  <c r="Z465" i="13"/>
  <c r="V465" i="13"/>
  <c r="W465" i="13"/>
  <c r="B466" i="13"/>
  <c r="C466" i="13"/>
  <c r="F466" i="13"/>
  <c r="G466" i="13"/>
  <c r="H466" i="13"/>
  <c r="D466" i="13"/>
  <c r="E466" i="13"/>
  <c r="T466" i="13"/>
  <c r="U466" i="13"/>
  <c r="X466" i="13"/>
  <c r="Y466" i="13"/>
  <c r="Z466" i="13"/>
  <c r="V466" i="13"/>
  <c r="W466" i="13"/>
  <c r="B467" i="13"/>
  <c r="C467" i="13"/>
  <c r="F467" i="13"/>
  <c r="G467" i="13"/>
  <c r="H467" i="13"/>
  <c r="D467" i="13"/>
  <c r="E467" i="13"/>
  <c r="T467" i="13"/>
  <c r="U467" i="13"/>
  <c r="X467" i="13"/>
  <c r="Y467" i="13"/>
  <c r="Z467" i="13"/>
  <c r="V467" i="13"/>
  <c r="W467" i="13"/>
  <c r="B468" i="13"/>
  <c r="C468" i="13"/>
  <c r="F468" i="13"/>
  <c r="G468" i="13"/>
  <c r="H468" i="13"/>
  <c r="D468" i="13"/>
  <c r="E468" i="13"/>
  <c r="T468" i="13"/>
  <c r="U468" i="13"/>
  <c r="X468" i="13"/>
  <c r="Y468" i="13"/>
  <c r="Z468" i="13"/>
  <c r="V468" i="13"/>
  <c r="W468" i="13"/>
  <c r="B469" i="13"/>
  <c r="C469" i="13"/>
  <c r="F469" i="13"/>
  <c r="G469" i="13"/>
  <c r="H469" i="13"/>
  <c r="D469" i="13"/>
  <c r="E469" i="13"/>
  <c r="T469" i="13"/>
  <c r="U469" i="13"/>
  <c r="X469" i="13"/>
  <c r="Y469" i="13"/>
  <c r="Z469" i="13"/>
  <c r="V469" i="13"/>
  <c r="W469" i="13"/>
  <c r="B470" i="13"/>
  <c r="C470" i="13"/>
  <c r="F470" i="13"/>
  <c r="G470" i="13"/>
  <c r="H470" i="13"/>
  <c r="D470" i="13"/>
  <c r="E470" i="13"/>
  <c r="T470" i="13"/>
  <c r="U470" i="13"/>
  <c r="X470" i="13"/>
  <c r="Y470" i="13"/>
  <c r="Z470" i="13"/>
  <c r="V470" i="13"/>
  <c r="W470" i="13"/>
  <c r="B471" i="13"/>
  <c r="C471" i="13"/>
  <c r="F471" i="13"/>
  <c r="G471" i="13"/>
  <c r="H471" i="13"/>
  <c r="D471" i="13"/>
  <c r="E471" i="13"/>
  <c r="T471" i="13"/>
  <c r="U471" i="13"/>
  <c r="X471" i="13"/>
  <c r="Y471" i="13"/>
  <c r="Z471" i="13"/>
  <c r="V471" i="13"/>
  <c r="W471" i="13"/>
  <c r="B472" i="13"/>
  <c r="C472" i="13"/>
  <c r="F472" i="13"/>
  <c r="G472" i="13"/>
  <c r="H472" i="13"/>
  <c r="D472" i="13"/>
  <c r="E472" i="13"/>
  <c r="T472" i="13"/>
  <c r="U472" i="13"/>
  <c r="X472" i="13"/>
  <c r="Y472" i="13"/>
  <c r="Z472" i="13"/>
  <c r="V472" i="13"/>
  <c r="W472" i="13"/>
  <c r="B473" i="13"/>
  <c r="C473" i="13"/>
  <c r="F473" i="13"/>
  <c r="G473" i="13"/>
  <c r="H473" i="13"/>
  <c r="D473" i="13"/>
  <c r="E473" i="13"/>
  <c r="T473" i="13"/>
  <c r="U473" i="13"/>
  <c r="X473" i="13"/>
  <c r="Y473" i="13"/>
  <c r="Z473" i="13"/>
  <c r="V473" i="13"/>
  <c r="W473" i="13"/>
  <c r="B474" i="13"/>
  <c r="C474" i="13"/>
  <c r="F474" i="13"/>
  <c r="G474" i="13"/>
  <c r="H474" i="13"/>
  <c r="D474" i="13"/>
  <c r="E474" i="13"/>
  <c r="T474" i="13"/>
  <c r="U474" i="13"/>
  <c r="X474" i="13"/>
  <c r="Y474" i="13"/>
  <c r="Z474" i="13"/>
  <c r="V474" i="13"/>
  <c r="W474" i="13"/>
  <c r="B475" i="13"/>
  <c r="C475" i="13"/>
  <c r="F475" i="13"/>
  <c r="G475" i="13"/>
  <c r="H475" i="13"/>
  <c r="D475" i="13"/>
  <c r="E475" i="13"/>
  <c r="T475" i="13"/>
  <c r="U475" i="13"/>
  <c r="X475" i="13"/>
  <c r="Y475" i="13"/>
  <c r="Z475" i="13"/>
  <c r="V475" i="13"/>
  <c r="W475" i="13"/>
  <c r="B476" i="13"/>
  <c r="C476" i="13"/>
  <c r="F476" i="13"/>
  <c r="G476" i="13"/>
  <c r="H476" i="13"/>
  <c r="D476" i="13"/>
  <c r="E476" i="13"/>
  <c r="T476" i="13"/>
  <c r="U476" i="13"/>
  <c r="X476" i="13"/>
  <c r="Y476" i="13"/>
  <c r="Z476" i="13"/>
  <c r="V476" i="13"/>
  <c r="W476" i="13"/>
  <c r="B477" i="13"/>
  <c r="C477" i="13"/>
  <c r="F477" i="13"/>
  <c r="G477" i="13"/>
  <c r="H477" i="13"/>
  <c r="D477" i="13"/>
  <c r="E477" i="13"/>
  <c r="T477" i="13"/>
  <c r="U477" i="13"/>
  <c r="X477" i="13"/>
  <c r="Y477" i="13"/>
  <c r="Z477" i="13"/>
  <c r="V477" i="13"/>
  <c r="W477" i="13"/>
  <c r="B478" i="13"/>
  <c r="C478" i="13"/>
  <c r="F478" i="13"/>
  <c r="G478" i="13"/>
  <c r="H478" i="13"/>
  <c r="D478" i="13"/>
  <c r="E478" i="13"/>
  <c r="T478" i="13"/>
  <c r="U478" i="13"/>
  <c r="X478" i="13"/>
  <c r="Y478" i="13"/>
  <c r="Z478" i="13"/>
  <c r="V478" i="13"/>
  <c r="W478" i="13"/>
  <c r="B479" i="13"/>
  <c r="C479" i="13"/>
  <c r="F479" i="13"/>
  <c r="G479" i="13"/>
  <c r="H479" i="13"/>
  <c r="D479" i="13"/>
  <c r="E479" i="13"/>
  <c r="T479" i="13"/>
  <c r="U479" i="13"/>
  <c r="X479" i="13"/>
  <c r="Y479" i="13"/>
  <c r="Z479" i="13"/>
  <c r="V479" i="13"/>
  <c r="W479" i="13"/>
  <c r="B480" i="13"/>
  <c r="C480" i="13"/>
  <c r="F480" i="13"/>
  <c r="G480" i="13"/>
  <c r="H480" i="13"/>
  <c r="D480" i="13"/>
  <c r="E480" i="13"/>
  <c r="T480" i="13"/>
  <c r="U480" i="13"/>
  <c r="X480" i="13"/>
  <c r="Y480" i="13"/>
  <c r="Z480" i="13"/>
  <c r="V480" i="13"/>
  <c r="W480" i="13"/>
  <c r="B481" i="13"/>
  <c r="C481" i="13"/>
  <c r="F481" i="13"/>
  <c r="G481" i="13"/>
  <c r="H481" i="13"/>
  <c r="D481" i="13"/>
  <c r="E481" i="13"/>
  <c r="T481" i="13"/>
  <c r="U481" i="13"/>
  <c r="X481" i="13"/>
  <c r="Y481" i="13"/>
  <c r="Z481" i="13"/>
  <c r="V481" i="13"/>
  <c r="W481" i="13"/>
  <c r="B482" i="13"/>
  <c r="C482" i="13"/>
  <c r="F482" i="13"/>
  <c r="G482" i="13"/>
  <c r="H482" i="13"/>
  <c r="D482" i="13"/>
  <c r="E482" i="13"/>
  <c r="T482" i="13"/>
  <c r="U482" i="13"/>
  <c r="X482" i="13"/>
  <c r="Y482" i="13"/>
  <c r="Z482" i="13"/>
  <c r="V482" i="13"/>
  <c r="W482" i="13"/>
  <c r="B483" i="13"/>
  <c r="C483" i="13"/>
  <c r="F483" i="13"/>
  <c r="G483" i="13"/>
  <c r="H483" i="13"/>
  <c r="D483" i="13"/>
  <c r="E483" i="13"/>
  <c r="T483" i="13"/>
  <c r="U483" i="13"/>
  <c r="X483" i="13"/>
  <c r="Y483" i="13"/>
  <c r="Z483" i="13"/>
  <c r="V483" i="13"/>
  <c r="W483" i="13"/>
  <c r="B484" i="13"/>
  <c r="C484" i="13"/>
  <c r="F484" i="13"/>
  <c r="G484" i="13"/>
  <c r="H484" i="13"/>
  <c r="D484" i="13"/>
  <c r="E484" i="13"/>
  <c r="T484" i="13"/>
  <c r="U484" i="13"/>
  <c r="X484" i="13"/>
  <c r="Y484" i="13"/>
  <c r="Z484" i="13"/>
  <c r="V484" i="13"/>
  <c r="W484" i="13"/>
  <c r="B485" i="13"/>
  <c r="C485" i="13"/>
  <c r="F485" i="13"/>
  <c r="G485" i="13"/>
  <c r="H485" i="13"/>
  <c r="D485" i="13"/>
  <c r="E485" i="13"/>
  <c r="T485" i="13"/>
  <c r="U485" i="13"/>
  <c r="X485" i="13"/>
  <c r="Y485" i="13"/>
  <c r="Z485" i="13"/>
  <c r="V485" i="13"/>
  <c r="W485" i="13"/>
  <c r="B486" i="13"/>
  <c r="C486" i="13"/>
  <c r="F486" i="13"/>
  <c r="G486" i="13"/>
  <c r="H486" i="13"/>
  <c r="D486" i="13"/>
  <c r="E486" i="13"/>
  <c r="T486" i="13"/>
  <c r="U486" i="13"/>
  <c r="X486" i="13"/>
  <c r="Y486" i="13"/>
  <c r="Z486" i="13"/>
  <c r="V486" i="13"/>
  <c r="W486" i="13"/>
  <c r="B487" i="13"/>
  <c r="C487" i="13"/>
  <c r="F487" i="13"/>
  <c r="G487" i="13"/>
  <c r="H487" i="13"/>
  <c r="D487" i="13"/>
  <c r="E487" i="13"/>
  <c r="T487" i="13"/>
  <c r="U487" i="13"/>
  <c r="X487" i="13"/>
  <c r="Y487" i="13"/>
  <c r="Z487" i="13"/>
  <c r="V487" i="13"/>
  <c r="W487" i="13"/>
  <c r="B488" i="13"/>
  <c r="C488" i="13"/>
  <c r="F488" i="13"/>
  <c r="G488" i="13"/>
  <c r="H488" i="13"/>
  <c r="D488" i="13"/>
  <c r="E488" i="13"/>
  <c r="T488" i="13"/>
  <c r="U488" i="13"/>
  <c r="X488" i="13"/>
  <c r="Y488" i="13"/>
  <c r="Z488" i="13"/>
  <c r="V488" i="13"/>
  <c r="W488" i="13"/>
  <c r="B489" i="13"/>
  <c r="C489" i="13"/>
  <c r="F489" i="13"/>
  <c r="G489" i="13"/>
  <c r="H489" i="13"/>
  <c r="D489" i="13"/>
  <c r="E489" i="13"/>
  <c r="T489" i="13"/>
  <c r="U489" i="13"/>
  <c r="X489" i="13"/>
  <c r="Y489" i="13"/>
  <c r="Z489" i="13"/>
  <c r="V489" i="13"/>
  <c r="W489" i="13"/>
  <c r="B490" i="13"/>
  <c r="C490" i="13"/>
  <c r="F490" i="13"/>
  <c r="G490" i="13"/>
  <c r="H490" i="13"/>
  <c r="D490" i="13"/>
  <c r="E490" i="13"/>
  <c r="T490" i="13"/>
  <c r="U490" i="13"/>
  <c r="X490" i="13"/>
  <c r="Y490" i="13"/>
  <c r="Z490" i="13"/>
  <c r="V490" i="13"/>
  <c r="W490" i="13"/>
  <c r="B491" i="13"/>
  <c r="C491" i="13"/>
  <c r="F491" i="13"/>
  <c r="G491" i="13"/>
  <c r="H491" i="13"/>
  <c r="D491" i="13"/>
  <c r="E491" i="13"/>
  <c r="T491" i="13"/>
  <c r="U491" i="13"/>
  <c r="X491" i="13"/>
  <c r="Y491" i="13"/>
  <c r="Z491" i="13"/>
  <c r="V491" i="13"/>
  <c r="W491" i="13"/>
  <c r="B492" i="13"/>
  <c r="C492" i="13"/>
  <c r="F492" i="13"/>
  <c r="G492" i="13"/>
  <c r="H492" i="13"/>
  <c r="D492" i="13"/>
  <c r="E492" i="13"/>
  <c r="T492" i="13"/>
  <c r="U492" i="13"/>
  <c r="X492" i="13"/>
  <c r="Y492" i="13"/>
  <c r="Z492" i="13"/>
  <c r="V492" i="13"/>
  <c r="W492" i="13"/>
  <c r="B493" i="13"/>
  <c r="C493" i="13"/>
  <c r="F493" i="13"/>
  <c r="G493" i="13"/>
  <c r="H493" i="13"/>
  <c r="D493" i="13"/>
  <c r="E493" i="13"/>
  <c r="T493" i="13"/>
  <c r="U493" i="13"/>
  <c r="X493" i="13"/>
  <c r="Y493" i="13"/>
  <c r="Z493" i="13"/>
  <c r="V493" i="13"/>
  <c r="W493" i="13"/>
  <c r="B494" i="13"/>
  <c r="C494" i="13"/>
  <c r="F494" i="13"/>
  <c r="G494" i="13"/>
  <c r="H494" i="13"/>
  <c r="D494" i="13"/>
  <c r="E494" i="13"/>
  <c r="T494" i="13"/>
  <c r="U494" i="13"/>
  <c r="X494" i="13"/>
  <c r="Y494" i="13"/>
  <c r="Z494" i="13"/>
  <c r="V494" i="13"/>
  <c r="W494" i="13"/>
  <c r="B495" i="13"/>
  <c r="C495" i="13"/>
  <c r="F495" i="13"/>
  <c r="G495" i="13"/>
  <c r="H495" i="13"/>
  <c r="D495" i="13"/>
  <c r="E495" i="13"/>
  <c r="T495" i="13"/>
  <c r="U495" i="13"/>
  <c r="X495" i="13"/>
  <c r="Y495" i="13"/>
  <c r="Z495" i="13"/>
  <c r="V495" i="13"/>
  <c r="W495" i="13"/>
  <c r="B496" i="13"/>
  <c r="C496" i="13"/>
  <c r="F496" i="13"/>
  <c r="G496" i="13"/>
  <c r="H496" i="13"/>
  <c r="D496" i="13"/>
  <c r="E496" i="13"/>
  <c r="T496" i="13"/>
  <c r="U496" i="13"/>
  <c r="X496" i="13"/>
  <c r="Y496" i="13"/>
  <c r="Z496" i="13"/>
  <c r="V496" i="13"/>
  <c r="W496" i="13"/>
  <c r="B497" i="13"/>
  <c r="C497" i="13"/>
  <c r="F497" i="13"/>
  <c r="G497" i="13"/>
  <c r="H497" i="13"/>
  <c r="D497" i="13"/>
  <c r="E497" i="13"/>
  <c r="T497" i="13"/>
  <c r="U497" i="13"/>
  <c r="X497" i="13"/>
  <c r="Y497" i="13"/>
  <c r="Z497" i="13"/>
  <c r="V497" i="13"/>
  <c r="W497" i="13"/>
  <c r="B498" i="13"/>
  <c r="C498" i="13"/>
  <c r="F498" i="13"/>
  <c r="G498" i="13"/>
  <c r="H498" i="13"/>
  <c r="D498" i="13"/>
  <c r="E498" i="13"/>
  <c r="T498" i="13"/>
  <c r="U498" i="13"/>
  <c r="X498" i="13"/>
  <c r="Y498" i="13"/>
  <c r="Z498" i="13"/>
  <c r="V498" i="13"/>
  <c r="W498" i="13"/>
  <c r="B499" i="13"/>
  <c r="C499" i="13"/>
  <c r="F499" i="13"/>
  <c r="G499" i="13"/>
  <c r="H499" i="13"/>
  <c r="D499" i="13"/>
  <c r="E499" i="13"/>
  <c r="T499" i="13"/>
  <c r="U499" i="13"/>
  <c r="X499" i="13"/>
  <c r="Y499" i="13"/>
  <c r="Z499" i="13"/>
  <c r="V499" i="13"/>
  <c r="W499" i="13"/>
  <c r="B500" i="13"/>
  <c r="C500" i="13"/>
  <c r="F500" i="13"/>
  <c r="G500" i="13"/>
  <c r="H500" i="13"/>
  <c r="D500" i="13"/>
  <c r="E500" i="13"/>
  <c r="T500" i="13"/>
  <c r="U500" i="13"/>
  <c r="X500" i="13"/>
  <c r="Y500" i="13"/>
  <c r="Z500" i="13"/>
  <c r="V500" i="13"/>
  <c r="W500" i="13"/>
  <c r="B501" i="13"/>
  <c r="C501" i="13"/>
  <c r="F501" i="13"/>
  <c r="G501" i="13"/>
  <c r="H501" i="13"/>
  <c r="D501" i="13"/>
  <c r="E501" i="13"/>
  <c r="T501" i="13"/>
  <c r="U501" i="13"/>
  <c r="X501" i="13"/>
  <c r="Y501" i="13"/>
  <c r="Z501" i="13"/>
  <c r="V501" i="13"/>
  <c r="W501" i="13"/>
  <c r="B502" i="13"/>
  <c r="C502" i="13"/>
  <c r="F502" i="13"/>
  <c r="G502" i="13"/>
  <c r="H502" i="13"/>
  <c r="D502" i="13"/>
  <c r="E502" i="13"/>
  <c r="T502" i="13"/>
  <c r="U502" i="13"/>
  <c r="X502" i="13"/>
  <c r="Y502" i="13"/>
  <c r="Z502" i="13"/>
  <c r="V502" i="13"/>
  <c r="W502" i="13"/>
  <c r="B503" i="13"/>
  <c r="C503" i="13"/>
  <c r="F503" i="13"/>
  <c r="G503" i="13"/>
  <c r="H503" i="13"/>
  <c r="D503" i="13"/>
  <c r="E503" i="13"/>
  <c r="T503" i="13"/>
  <c r="U503" i="13"/>
  <c r="X503" i="13"/>
  <c r="Y503" i="13"/>
  <c r="Z503" i="13"/>
  <c r="V503" i="13"/>
  <c r="W503" i="13"/>
  <c r="B504" i="13"/>
  <c r="C504" i="13"/>
  <c r="F504" i="13"/>
  <c r="G504" i="13"/>
  <c r="H504" i="13"/>
  <c r="D504" i="13"/>
  <c r="E504" i="13"/>
  <c r="T504" i="13"/>
  <c r="U504" i="13"/>
  <c r="X504" i="13"/>
  <c r="Y504" i="13"/>
  <c r="Z504" i="13"/>
  <c r="V504" i="13"/>
  <c r="W504" i="13"/>
  <c r="B505" i="13"/>
  <c r="C505" i="13"/>
  <c r="F505" i="13"/>
  <c r="G505" i="13"/>
  <c r="H505" i="13"/>
  <c r="D505" i="13"/>
  <c r="E505" i="13"/>
  <c r="T505" i="13"/>
  <c r="U505" i="13"/>
  <c r="X505" i="13"/>
  <c r="Y505" i="13"/>
  <c r="Z505" i="13"/>
  <c r="V505" i="13"/>
  <c r="W505" i="13"/>
  <c r="B506" i="13"/>
  <c r="C506" i="13"/>
  <c r="F506" i="13"/>
  <c r="G506" i="13"/>
  <c r="H506" i="13"/>
  <c r="D506" i="13"/>
  <c r="E506" i="13"/>
  <c r="T506" i="13"/>
  <c r="U506" i="13"/>
  <c r="X506" i="13"/>
  <c r="Y506" i="13"/>
  <c r="Z506" i="13"/>
  <c r="V506" i="13"/>
  <c r="W506" i="13"/>
  <c r="B507" i="13"/>
  <c r="C507" i="13"/>
  <c r="F507" i="13"/>
  <c r="G507" i="13"/>
  <c r="H507" i="13"/>
  <c r="D507" i="13"/>
  <c r="E507" i="13"/>
  <c r="T507" i="13"/>
  <c r="U507" i="13"/>
  <c r="X507" i="13"/>
  <c r="Y507" i="13"/>
  <c r="Z507" i="13"/>
  <c r="V507" i="13"/>
  <c r="W507" i="13"/>
  <c r="B508" i="13"/>
  <c r="C508" i="13"/>
  <c r="F508" i="13"/>
  <c r="G508" i="13"/>
  <c r="H508" i="13"/>
  <c r="D508" i="13"/>
  <c r="E508" i="13"/>
  <c r="T508" i="13"/>
  <c r="U508" i="13"/>
  <c r="X508" i="13"/>
  <c r="Y508" i="13"/>
  <c r="Z508" i="13"/>
  <c r="V508" i="13"/>
  <c r="W508" i="13"/>
  <c r="B509" i="13"/>
  <c r="C509" i="13"/>
  <c r="F509" i="13"/>
  <c r="G509" i="13"/>
  <c r="H509" i="13"/>
  <c r="D509" i="13"/>
  <c r="E509" i="13"/>
  <c r="T509" i="13"/>
  <c r="U509" i="13"/>
  <c r="X509" i="13"/>
  <c r="Y509" i="13"/>
  <c r="Z509" i="13"/>
  <c r="V509" i="13"/>
  <c r="W509" i="13"/>
  <c r="B510" i="13"/>
  <c r="C510" i="13"/>
  <c r="F510" i="13"/>
  <c r="G510" i="13"/>
  <c r="H510" i="13"/>
  <c r="D510" i="13"/>
  <c r="E510" i="13"/>
  <c r="T510" i="13"/>
  <c r="U510" i="13"/>
  <c r="X510" i="13"/>
  <c r="Y510" i="13"/>
  <c r="Z510" i="13"/>
  <c r="V510" i="13"/>
  <c r="W510" i="13"/>
  <c r="B511" i="13"/>
  <c r="C511" i="13"/>
  <c r="F511" i="13"/>
  <c r="G511" i="13"/>
  <c r="H511" i="13"/>
  <c r="D511" i="13"/>
  <c r="E511" i="13"/>
  <c r="T511" i="13"/>
  <c r="U511" i="13"/>
  <c r="X511" i="13"/>
  <c r="Y511" i="13"/>
  <c r="Z511" i="13"/>
  <c r="V511" i="13"/>
  <c r="W511" i="13"/>
  <c r="B512" i="13"/>
  <c r="C512" i="13"/>
  <c r="F512" i="13"/>
  <c r="G512" i="13"/>
  <c r="H512" i="13"/>
  <c r="D512" i="13"/>
  <c r="E512" i="13"/>
  <c r="T512" i="13"/>
  <c r="U512" i="13"/>
  <c r="X512" i="13"/>
  <c r="Y512" i="13"/>
  <c r="Z512" i="13"/>
  <c r="V512" i="13"/>
  <c r="W512" i="13"/>
  <c r="B513" i="13"/>
  <c r="C513" i="13"/>
  <c r="F513" i="13"/>
  <c r="G513" i="13"/>
  <c r="H513" i="13"/>
  <c r="D513" i="13"/>
  <c r="E513" i="13"/>
  <c r="T513" i="13"/>
  <c r="U513" i="13"/>
  <c r="X513" i="13"/>
  <c r="Y513" i="13"/>
  <c r="Z513" i="13"/>
  <c r="V513" i="13"/>
  <c r="W513" i="13"/>
  <c r="B514" i="13"/>
  <c r="C514" i="13"/>
  <c r="F514" i="13"/>
  <c r="G514" i="13"/>
  <c r="H514" i="13"/>
  <c r="D514" i="13"/>
  <c r="E514" i="13"/>
  <c r="T514" i="13"/>
  <c r="U514" i="13"/>
  <c r="X514" i="13"/>
  <c r="Y514" i="13"/>
  <c r="Z514" i="13"/>
  <c r="V514" i="13"/>
  <c r="W514" i="13"/>
  <c r="B515" i="13"/>
  <c r="C515" i="13"/>
  <c r="F515" i="13"/>
  <c r="G515" i="13"/>
  <c r="H515" i="13"/>
  <c r="D515" i="13"/>
  <c r="E515" i="13"/>
  <c r="T515" i="13"/>
  <c r="U515" i="13"/>
  <c r="X515" i="13"/>
  <c r="Y515" i="13"/>
  <c r="Z515" i="13"/>
  <c r="V515" i="13"/>
  <c r="W515" i="13"/>
  <c r="B516" i="13"/>
  <c r="C516" i="13"/>
  <c r="F516" i="13"/>
  <c r="G516" i="13"/>
  <c r="H516" i="13"/>
  <c r="D516" i="13"/>
  <c r="E516" i="13"/>
  <c r="T516" i="13"/>
  <c r="U516" i="13"/>
  <c r="X516" i="13"/>
  <c r="Y516" i="13"/>
  <c r="Z516" i="13"/>
  <c r="V516" i="13"/>
  <c r="W516" i="13"/>
  <c r="B517" i="13"/>
  <c r="C517" i="13"/>
  <c r="F517" i="13"/>
  <c r="G517" i="13"/>
  <c r="H517" i="13"/>
  <c r="D517" i="13"/>
  <c r="E517" i="13"/>
  <c r="T517" i="13"/>
  <c r="U517" i="13"/>
  <c r="X517" i="13"/>
  <c r="Y517" i="13"/>
  <c r="Z517" i="13"/>
  <c r="V517" i="13"/>
  <c r="W517" i="13"/>
  <c r="B518" i="13"/>
  <c r="C518" i="13"/>
  <c r="F518" i="13"/>
  <c r="G518" i="13"/>
  <c r="H518" i="13"/>
  <c r="D518" i="13"/>
  <c r="E518" i="13"/>
  <c r="T518" i="13"/>
  <c r="U518" i="13"/>
  <c r="X518" i="13"/>
  <c r="Y518" i="13"/>
  <c r="Z518" i="13"/>
  <c r="V518" i="13"/>
  <c r="W518" i="13"/>
  <c r="B519" i="13"/>
  <c r="C519" i="13"/>
  <c r="F519" i="13"/>
  <c r="G519" i="13"/>
  <c r="H519" i="13"/>
  <c r="D519" i="13"/>
  <c r="E519" i="13"/>
  <c r="T519" i="13"/>
  <c r="U519" i="13"/>
  <c r="X519" i="13"/>
  <c r="Y519" i="13"/>
  <c r="Z519" i="13"/>
  <c r="V519" i="13"/>
  <c r="W519" i="13"/>
  <c r="B520" i="13"/>
  <c r="C520" i="13"/>
  <c r="F520" i="13"/>
  <c r="G520" i="13"/>
  <c r="H520" i="13"/>
  <c r="D520" i="13"/>
  <c r="E520" i="13"/>
  <c r="T520" i="13"/>
  <c r="U520" i="13"/>
  <c r="X520" i="13"/>
  <c r="Y520" i="13"/>
  <c r="Z520" i="13"/>
  <c r="V520" i="13"/>
  <c r="W520" i="13"/>
  <c r="B521" i="13"/>
  <c r="C521" i="13"/>
  <c r="F521" i="13"/>
  <c r="G521" i="13"/>
  <c r="H521" i="13"/>
  <c r="D521" i="13"/>
  <c r="E521" i="13"/>
  <c r="T521" i="13"/>
  <c r="U521" i="13"/>
  <c r="X521" i="13"/>
  <c r="Y521" i="13"/>
  <c r="Z521" i="13"/>
  <c r="V521" i="13"/>
  <c r="W521" i="13"/>
  <c r="B522" i="13"/>
  <c r="C522" i="13"/>
  <c r="F522" i="13"/>
  <c r="G522" i="13"/>
  <c r="H522" i="13"/>
  <c r="D522" i="13"/>
  <c r="E522" i="13"/>
  <c r="T522" i="13"/>
  <c r="U522" i="13"/>
  <c r="X522" i="13"/>
  <c r="Y522" i="13"/>
  <c r="Z522" i="13"/>
  <c r="V522" i="13"/>
  <c r="W522" i="13"/>
  <c r="B523" i="13"/>
  <c r="C523" i="13"/>
  <c r="F523" i="13"/>
  <c r="G523" i="13"/>
  <c r="H523" i="13"/>
  <c r="D523" i="13"/>
  <c r="E523" i="13"/>
  <c r="T523" i="13"/>
  <c r="U523" i="13"/>
  <c r="X523" i="13"/>
  <c r="Y523" i="13"/>
  <c r="Z523" i="13"/>
  <c r="V523" i="13"/>
  <c r="W523" i="13"/>
  <c r="B524" i="13"/>
  <c r="C524" i="13"/>
  <c r="F524" i="13"/>
  <c r="G524" i="13"/>
  <c r="H524" i="13"/>
  <c r="D524" i="13"/>
  <c r="E524" i="13"/>
  <c r="T524" i="13"/>
  <c r="U524" i="13"/>
  <c r="X524" i="13"/>
  <c r="Y524" i="13"/>
  <c r="Z524" i="13"/>
  <c r="V524" i="13"/>
  <c r="W524" i="13"/>
  <c r="B525" i="13"/>
  <c r="C525" i="13"/>
  <c r="F525" i="13"/>
  <c r="G525" i="13"/>
  <c r="H525" i="13"/>
  <c r="D525" i="13"/>
  <c r="E525" i="13"/>
  <c r="T525" i="13"/>
  <c r="U525" i="13"/>
  <c r="X525" i="13"/>
  <c r="Y525" i="13"/>
  <c r="Z525" i="13"/>
  <c r="V525" i="13"/>
  <c r="W525" i="13"/>
  <c r="B526" i="13"/>
  <c r="C526" i="13"/>
  <c r="F526" i="13"/>
  <c r="G526" i="13"/>
  <c r="H526" i="13"/>
  <c r="D526" i="13"/>
  <c r="E526" i="13"/>
  <c r="T526" i="13"/>
  <c r="U526" i="13"/>
  <c r="X526" i="13"/>
  <c r="Y526" i="13"/>
  <c r="Z526" i="13"/>
  <c r="V526" i="13"/>
  <c r="W526" i="13"/>
  <c r="B527" i="13"/>
  <c r="C527" i="13"/>
  <c r="F527" i="13"/>
  <c r="G527" i="13"/>
  <c r="H527" i="13"/>
  <c r="D527" i="13"/>
  <c r="E527" i="13"/>
  <c r="T527" i="13"/>
  <c r="U527" i="13"/>
  <c r="X527" i="13"/>
  <c r="Y527" i="13"/>
  <c r="Z527" i="13"/>
  <c r="V527" i="13"/>
  <c r="W527" i="13"/>
  <c r="B528" i="13"/>
  <c r="C528" i="13"/>
  <c r="F528" i="13"/>
  <c r="G528" i="13"/>
  <c r="H528" i="13"/>
  <c r="D528" i="13"/>
  <c r="E528" i="13"/>
  <c r="T528" i="13"/>
  <c r="U528" i="13"/>
  <c r="X528" i="13"/>
  <c r="Y528" i="13"/>
  <c r="Z528" i="13"/>
  <c r="V528" i="13"/>
  <c r="W528" i="13"/>
  <c r="B529" i="13"/>
  <c r="C529" i="13"/>
  <c r="F529" i="13"/>
  <c r="G529" i="13"/>
  <c r="H529" i="13"/>
  <c r="D529" i="13"/>
  <c r="E529" i="13"/>
  <c r="T529" i="13"/>
  <c r="U529" i="13"/>
  <c r="X529" i="13"/>
  <c r="Y529" i="13"/>
  <c r="Z529" i="13"/>
  <c r="V529" i="13"/>
  <c r="W529" i="13"/>
  <c r="B530" i="13"/>
  <c r="C530" i="13"/>
  <c r="F530" i="13"/>
  <c r="G530" i="13"/>
  <c r="H530" i="13"/>
  <c r="D530" i="13"/>
  <c r="E530" i="13"/>
  <c r="T530" i="13"/>
  <c r="U530" i="13"/>
  <c r="X530" i="13"/>
  <c r="Y530" i="13"/>
  <c r="Z530" i="13"/>
  <c r="V530" i="13"/>
  <c r="W530" i="13"/>
  <c r="B531" i="13"/>
  <c r="C531" i="13"/>
  <c r="F531" i="13"/>
  <c r="G531" i="13"/>
  <c r="H531" i="13"/>
  <c r="D531" i="13"/>
  <c r="E531" i="13"/>
  <c r="T531" i="13"/>
  <c r="U531" i="13"/>
  <c r="X531" i="13"/>
  <c r="Y531" i="13"/>
  <c r="Z531" i="13"/>
  <c r="V531" i="13"/>
  <c r="W531" i="13"/>
  <c r="B532" i="13"/>
  <c r="C532" i="13"/>
  <c r="F532" i="13"/>
  <c r="G532" i="13"/>
  <c r="H532" i="13"/>
  <c r="D532" i="13"/>
  <c r="E532" i="13"/>
  <c r="T532" i="13"/>
  <c r="U532" i="13"/>
  <c r="X532" i="13"/>
  <c r="Y532" i="13"/>
  <c r="Z532" i="13"/>
  <c r="V532" i="13"/>
  <c r="W532" i="13"/>
  <c r="B533" i="13"/>
  <c r="C533" i="13"/>
  <c r="F533" i="13"/>
  <c r="G533" i="13"/>
  <c r="H533" i="13"/>
  <c r="D533" i="13"/>
  <c r="E533" i="13"/>
  <c r="T533" i="13"/>
  <c r="U533" i="13"/>
  <c r="X533" i="13"/>
  <c r="Y533" i="13"/>
  <c r="Z533" i="13"/>
  <c r="V533" i="13"/>
  <c r="W533" i="13"/>
  <c r="B534" i="13"/>
  <c r="C534" i="13"/>
  <c r="F534" i="13"/>
  <c r="G534" i="13"/>
  <c r="H534" i="13"/>
  <c r="D534" i="13"/>
  <c r="E534" i="13"/>
  <c r="T534" i="13"/>
  <c r="U534" i="13"/>
  <c r="X534" i="13"/>
  <c r="Y534" i="13"/>
  <c r="Z534" i="13"/>
  <c r="V534" i="13"/>
  <c r="W534" i="13"/>
  <c r="B535" i="13"/>
  <c r="C535" i="13"/>
  <c r="F535" i="13"/>
  <c r="G535" i="13"/>
  <c r="H535" i="13"/>
  <c r="D535" i="13"/>
  <c r="E535" i="13"/>
  <c r="T535" i="13"/>
  <c r="U535" i="13"/>
  <c r="X535" i="13"/>
  <c r="Y535" i="13"/>
  <c r="Z535" i="13"/>
  <c r="V535" i="13"/>
  <c r="W535" i="13"/>
  <c r="B536" i="13"/>
  <c r="C536" i="13"/>
  <c r="F536" i="13"/>
  <c r="G536" i="13"/>
  <c r="H536" i="13"/>
  <c r="D536" i="13"/>
  <c r="E536" i="13"/>
  <c r="T536" i="13"/>
  <c r="U536" i="13"/>
  <c r="X536" i="13"/>
  <c r="Y536" i="13"/>
  <c r="Z536" i="13"/>
  <c r="V536" i="13"/>
  <c r="W536" i="13"/>
  <c r="B537" i="13"/>
  <c r="C537" i="13"/>
  <c r="F537" i="13"/>
  <c r="G537" i="13"/>
  <c r="H537" i="13"/>
  <c r="D537" i="13"/>
  <c r="E537" i="13"/>
  <c r="T537" i="13"/>
  <c r="U537" i="13"/>
  <c r="X537" i="13"/>
  <c r="Y537" i="13"/>
  <c r="Z537" i="13"/>
  <c r="V537" i="13"/>
  <c r="W537" i="13"/>
  <c r="B538" i="13"/>
  <c r="C538" i="13"/>
  <c r="F538" i="13"/>
  <c r="G538" i="13"/>
  <c r="H538" i="13"/>
  <c r="D538" i="13"/>
  <c r="E538" i="13"/>
  <c r="T538" i="13"/>
  <c r="U538" i="13"/>
  <c r="X538" i="13"/>
  <c r="Y538" i="13"/>
  <c r="Z538" i="13"/>
  <c r="V538" i="13"/>
  <c r="W538" i="13"/>
  <c r="B539" i="13"/>
  <c r="C539" i="13"/>
  <c r="F539" i="13"/>
  <c r="G539" i="13"/>
  <c r="H539" i="13"/>
  <c r="D539" i="13"/>
  <c r="E539" i="13"/>
  <c r="T539" i="13"/>
  <c r="U539" i="13"/>
  <c r="X539" i="13"/>
  <c r="Y539" i="13"/>
  <c r="Z539" i="13"/>
  <c r="V539" i="13"/>
  <c r="W539" i="13"/>
  <c r="B540" i="13"/>
  <c r="C540" i="13"/>
  <c r="F540" i="13"/>
  <c r="G540" i="13"/>
  <c r="H540" i="13"/>
  <c r="D540" i="13"/>
  <c r="E540" i="13"/>
  <c r="T540" i="13"/>
  <c r="U540" i="13"/>
  <c r="X540" i="13"/>
  <c r="Y540" i="13"/>
  <c r="Z540" i="13"/>
  <c r="V540" i="13"/>
  <c r="W540" i="13"/>
  <c r="B541" i="13"/>
  <c r="C541" i="13"/>
  <c r="F541" i="13"/>
  <c r="G541" i="13"/>
  <c r="H541" i="13"/>
  <c r="D541" i="13"/>
  <c r="E541" i="13"/>
  <c r="T541" i="13"/>
  <c r="U541" i="13"/>
  <c r="X541" i="13"/>
  <c r="Y541" i="13"/>
  <c r="Z541" i="13"/>
  <c r="V541" i="13"/>
  <c r="W541" i="13"/>
  <c r="B542" i="13"/>
  <c r="C542" i="13"/>
  <c r="F542" i="13"/>
  <c r="G542" i="13"/>
  <c r="H542" i="13"/>
  <c r="D542" i="13"/>
  <c r="E542" i="13"/>
  <c r="T542" i="13"/>
  <c r="U542" i="13"/>
  <c r="X542" i="13"/>
  <c r="Y542" i="13"/>
  <c r="Z542" i="13"/>
  <c r="V542" i="13"/>
  <c r="W542" i="13"/>
  <c r="B543" i="13"/>
  <c r="C543" i="13"/>
  <c r="F543" i="13"/>
  <c r="G543" i="13"/>
  <c r="H543" i="13"/>
  <c r="D543" i="13"/>
  <c r="E543" i="13"/>
  <c r="T543" i="13"/>
  <c r="U543" i="13"/>
  <c r="X543" i="13"/>
  <c r="Y543" i="13"/>
  <c r="Z543" i="13"/>
  <c r="V543" i="13"/>
  <c r="W543" i="13"/>
  <c r="B544" i="13"/>
  <c r="C544" i="13"/>
  <c r="F544" i="13"/>
  <c r="G544" i="13"/>
  <c r="H544" i="13"/>
  <c r="D544" i="13"/>
  <c r="E544" i="13"/>
  <c r="T544" i="13"/>
  <c r="U544" i="13"/>
  <c r="X544" i="13"/>
  <c r="Y544" i="13"/>
  <c r="Z544" i="13"/>
  <c r="V544" i="13"/>
  <c r="W544" i="13"/>
  <c r="B545" i="13"/>
  <c r="C545" i="13"/>
  <c r="F545" i="13"/>
  <c r="G545" i="13"/>
  <c r="H545" i="13"/>
  <c r="D545" i="13"/>
  <c r="E545" i="13"/>
  <c r="T545" i="13"/>
  <c r="U545" i="13"/>
  <c r="X545" i="13"/>
  <c r="Y545" i="13"/>
  <c r="Z545" i="13"/>
  <c r="V545" i="13"/>
  <c r="W545" i="13"/>
  <c r="B546" i="13"/>
  <c r="C546" i="13"/>
  <c r="F546" i="13"/>
  <c r="G546" i="13"/>
  <c r="H546" i="13"/>
  <c r="D546" i="13"/>
  <c r="E546" i="13"/>
  <c r="T546" i="13"/>
  <c r="U546" i="13"/>
  <c r="X546" i="13"/>
  <c r="Y546" i="13"/>
  <c r="Z546" i="13"/>
  <c r="V546" i="13"/>
  <c r="W546" i="13"/>
  <c r="B547" i="13"/>
  <c r="C547" i="13"/>
  <c r="F547" i="13"/>
  <c r="G547" i="13"/>
  <c r="H547" i="13"/>
  <c r="D547" i="13"/>
  <c r="E547" i="13"/>
  <c r="T547" i="13"/>
  <c r="U547" i="13"/>
  <c r="X547" i="13"/>
  <c r="Y547" i="13"/>
  <c r="Z547" i="13"/>
  <c r="V547" i="13"/>
  <c r="W547" i="13"/>
  <c r="B548" i="13"/>
  <c r="C548" i="13"/>
  <c r="F548" i="13"/>
  <c r="G548" i="13"/>
  <c r="H548" i="13"/>
  <c r="D548" i="13"/>
  <c r="E548" i="13"/>
  <c r="T548" i="13"/>
  <c r="U548" i="13"/>
  <c r="X548" i="13"/>
  <c r="Y548" i="13"/>
  <c r="Z548" i="13"/>
  <c r="V548" i="13"/>
  <c r="W548" i="13"/>
  <c r="B549" i="13"/>
  <c r="C549" i="13"/>
  <c r="F549" i="13"/>
  <c r="G549" i="13"/>
  <c r="H549" i="13"/>
  <c r="D549" i="13"/>
  <c r="E549" i="13"/>
  <c r="T549" i="13"/>
  <c r="U549" i="13"/>
  <c r="X549" i="13"/>
  <c r="Y549" i="13"/>
  <c r="Z549" i="13"/>
  <c r="V549" i="13"/>
  <c r="W549" i="13"/>
  <c r="B550" i="13"/>
  <c r="C550" i="13"/>
  <c r="F550" i="13"/>
  <c r="G550" i="13"/>
  <c r="H550" i="13"/>
  <c r="D550" i="13"/>
  <c r="E550" i="13"/>
  <c r="T550" i="13"/>
  <c r="U550" i="13"/>
  <c r="X550" i="13"/>
  <c r="Y550" i="13"/>
  <c r="Z550" i="13"/>
  <c r="V550" i="13"/>
  <c r="W550" i="13"/>
  <c r="B551" i="13"/>
  <c r="C551" i="13"/>
  <c r="F551" i="13"/>
  <c r="G551" i="13"/>
  <c r="H551" i="13"/>
  <c r="D551" i="13"/>
  <c r="E551" i="13"/>
  <c r="T551" i="13"/>
  <c r="U551" i="13"/>
  <c r="X551" i="13"/>
  <c r="Y551" i="13"/>
  <c r="Z551" i="13"/>
  <c r="V551" i="13"/>
  <c r="W551" i="13"/>
  <c r="B552" i="13"/>
  <c r="C552" i="13"/>
  <c r="F552" i="13"/>
  <c r="G552" i="13"/>
  <c r="H552" i="13"/>
  <c r="D552" i="13"/>
  <c r="E552" i="13"/>
  <c r="T552" i="13"/>
  <c r="U552" i="13"/>
  <c r="X552" i="13"/>
  <c r="Y552" i="13"/>
  <c r="Z552" i="13"/>
  <c r="V552" i="13"/>
  <c r="W552" i="13"/>
  <c r="B553" i="13"/>
  <c r="C553" i="13"/>
  <c r="F553" i="13"/>
  <c r="G553" i="13"/>
  <c r="H553" i="13"/>
  <c r="D553" i="13"/>
  <c r="E553" i="13"/>
  <c r="T553" i="13"/>
  <c r="U553" i="13"/>
  <c r="X553" i="13"/>
  <c r="Y553" i="13"/>
  <c r="Z553" i="13"/>
  <c r="V553" i="13"/>
  <c r="W553" i="13"/>
  <c r="B554" i="13"/>
  <c r="C554" i="13"/>
  <c r="F554" i="13"/>
  <c r="G554" i="13"/>
  <c r="H554" i="13"/>
  <c r="D554" i="13"/>
  <c r="E554" i="13"/>
  <c r="T554" i="13"/>
  <c r="U554" i="13"/>
  <c r="X554" i="13"/>
  <c r="Y554" i="13"/>
  <c r="Z554" i="13"/>
  <c r="V554" i="13"/>
  <c r="W554" i="13"/>
  <c r="B555" i="13"/>
  <c r="C555" i="13"/>
  <c r="F555" i="13"/>
  <c r="G555" i="13"/>
  <c r="H555" i="13"/>
  <c r="D555" i="13"/>
  <c r="E555" i="13"/>
  <c r="T555" i="13"/>
  <c r="U555" i="13"/>
  <c r="X555" i="13"/>
  <c r="Y555" i="13"/>
  <c r="Z555" i="13"/>
  <c r="V555" i="13"/>
  <c r="W555" i="13"/>
  <c r="B556" i="13"/>
  <c r="C556" i="13"/>
  <c r="F556" i="13"/>
  <c r="G556" i="13"/>
  <c r="H556" i="13"/>
  <c r="D556" i="13"/>
  <c r="E556" i="13"/>
  <c r="T556" i="13"/>
  <c r="U556" i="13"/>
  <c r="X556" i="13"/>
  <c r="Y556" i="13"/>
  <c r="Z556" i="13"/>
  <c r="V556" i="13"/>
  <c r="W556" i="13"/>
  <c r="B557" i="13"/>
  <c r="C557" i="13"/>
  <c r="F557" i="13"/>
  <c r="G557" i="13"/>
  <c r="H557" i="13"/>
  <c r="D557" i="13"/>
  <c r="E557" i="13"/>
  <c r="T557" i="13"/>
  <c r="U557" i="13"/>
  <c r="X557" i="13"/>
  <c r="Y557" i="13"/>
  <c r="Z557" i="13"/>
  <c r="V557" i="13"/>
  <c r="W557" i="13"/>
  <c r="B558" i="13"/>
  <c r="C558" i="13"/>
  <c r="F558" i="13"/>
  <c r="G558" i="13"/>
  <c r="H558" i="13"/>
  <c r="D558" i="13"/>
  <c r="E558" i="13"/>
  <c r="T558" i="13"/>
  <c r="U558" i="13"/>
  <c r="X558" i="13"/>
  <c r="Y558" i="13"/>
  <c r="Z558" i="13"/>
  <c r="V558" i="13"/>
  <c r="W558" i="13"/>
  <c r="B559" i="13"/>
  <c r="C559" i="13"/>
  <c r="F559" i="13"/>
  <c r="G559" i="13"/>
  <c r="H559" i="13"/>
  <c r="D559" i="13"/>
  <c r="E559" i="13"/>
  <c r="T559" i="13"/>
  <c r="U559" i="13"/>
  <c r="X559" i="13"/>
  <c r="Y559" i="13"/>
  <c r="Z559" i="13"/>
  <c r="V559" i="13"/>
  <c r="W559" i="13"/>
  <c r="B560" i="13"/>
  <c r="C560" i="13"/>
  <c r="F560" i="13"/>
  <c r="G560" i="13"/>
  <c r="H560" i="13"/>
  <c r="D560" i="13"/>
  <c r="E560" i="13"/>
  <c r="T560" i="13"/>
  <c r="U560" i="13"/>
  <c r="X560" i="13"/>
  <c r="Y560" i="13"/>
  <c r="Z560" i="13"/>
  <c r="V560" i="13"/>
  <c r="W560" i="13"/>
  <c r="B561" i="13"/>
  <c r="C561" i="13"/>
  <c r="F561" i="13"/>
  <c r="G561" i="13"/>
  <c r="H561" i="13"/>
  <c r="D561" i="13"/>
  <c r="E561" i="13"/>
  <c r="T561" i="13"/>
  <c r="U561" i="13"/>
  <c r="X561" i="13"/>
  <c r="Y561" i="13"/>
  <c r="Z561" i="13"/>
  <c r="V561" i="13"/>
  <c r="W561" i="13"/>
  <c r="B562" i="13"/>
  <c r="C562" i="13"/>
  <c r="F562" i="13"/>
  <c r="G562" i="13"/>
  <c r="H562" i="13"/>
  <c r="D562" i="13"/>
  <c r="E562" i="13"/>
  <c r="T562" i="13"/>
  <c r="U562" i="13"/>
  <c r="X562" i="13"/>
  <c r="Y562" i="13"/>
  <c r="Z562" i="13"/>
  <c r="V562" i="13"/>
  <c r="W562" i="13"/>
  <c r="B563" i="13"/>
  <c r="C563" i="13"/>
  <c r="F563" i="13"/>
  <c r="G563" i="13"/>
  <c r="H563" i="13"/>
  <c r="D563" i="13"/>
  <c r="E563" i="13"/>
  <c r="T563" i="13"/>
  <c r="U563" i="13"/>
  <c r="X563" i="13"/>
  <c r="Y563" i="13"/>
  <c r="Z563" i="13"/>
  <c r="V563" i="13"/>
  <c r="W563" i="13"/>
  <c r="B564" i="13"/>
  <c r="C564" i="13"/>
  <c r="F564" i="13"/>
  <c r="G564" i="13"/>
  <c r="H564" i="13"/>
  <c r="D564" i="13"/>
  <c r="E564" i="13"/>
  <c r="T564" i="13"/>
  <c r="U564" i="13"/>
  <c r="X564" i="13"/>
  <c r="Y564" i="13"/>
  <c r="Z564" i="13"/>
  <c r="V564" i="13"/>
  <c r="W564" i="13"/>
  <c r="B565" i="13"/>
  <c r="C565" i="13"/>
  <c r="F565" i="13"/>
  <c r="G565" i="13"/>
  <c r="H565" i="13"/>
  <c r="D565" i="13"/>
  <c r="E565" i="13"/>
  <c r="T565" i="13"/>
  <c r="U565" i="13"/>
  <c r="X565" i="13"/>
  <c r="Y565" i="13"/>
  <c r="Z565" i="13"/>
  <c r="V565" i="13"/>
  <c r="W565" i="13"/>
  <c r="B566" i="13"/>
  <c r="C566" i="13"/>
  <c r="F566" i="13"/>
  <c r="G566" i="13"/>
  <c r="H566" i="13"/>
  <c r="D566" i="13"/>
  <c r="E566" i="13"/>
  <c r="T566" i="13"/>
  <c r="U566" i="13"/>
  <c r="X566" i="13"/>
  <c r="Y566" i="13"/>
  <c r="Z566" i="13"/>
  <c r="V566" i="13"/>
  <c r="W566" i="13"/>
  <c r="B567" i="13"/>
  <c r="C567" i="13"/>
  <c r="F567" i="13"/>
  <c r="G567" i="13"/>
  <c r="H567" i="13"/>
  <c r="D567" i="13"/>
  <c r="E567" i="13"/>
  <c r="T567" i="13"/>
  <c r="U567" i="13"/>
  <c r="X567" i="13"/>
  <c r="Y567" i="13"/>
  <c r="Z567" i="13"/>
  <c r="V567" i="13"/>
  <c r="W567" i="13"/>
  <c r="B568" i="13"/>
  <c r="C568" i="13"/>
  <c r="F568" i="13"/>
  <c r="G568" i="13"/>
  <c r="H568" i="13"/>
  <c r="D568" i="13"/>
  <c r="E568" i="13"/>
  <c r="T568" i="13"/>
  <c r="U568" i="13"/>
  <c r="X568" i="13"/>
  <c r="Y568" i="13"/>
  <c r="Z568" i="13"/>
  <c r="V568" i="13"/>
  <c r="W568" i="13"/>
  <c r="B569" i="13"/>
  <c r="C569" i="13"/>
  <c r="F569" i="13"/>
  <c r="G569" i="13"/>
  <c r="H569" i="13"/>
  <c r="D569" i="13"/>
  <c r="E569" i="13"/>
  <c r="T569" i="13"/>
  <c r="U569" i="13"/>
  <c r="X569" i="13"/>
  <c r="Y569" i="13"/>
  <c r="Z569" i="13"/>
  <c r="V569" i="13"/>
  <c r="W569" i="13"/>
  <c r="B570" i="13"/>
  <c r="C570" i="13"/>
  <c r="F570" i="13"/>
  <c r="G570" i="13"/>
  <c r="H570" i="13"/>
  <c r="D570" i="13"/>
  <c r="E570" i="13"/>
  <c r="T570" i="13"/>
  <c r="U570" i="13"/>
  <c r="X570" i="13"/>
  <c r="Y570" i="13"/>
  <c r="Z570" i="13"/>
  <c r="V570" i="13"/>
  <c r="W570" i="13"/>
  <c r="B571" i="13"/>
  <c r="C571" i="13"/>
  <c r="F571" i="13"/>
  <c r="G571" i="13"/>
  <c r="H571" i="13"/>
  <c r="D571" i="13"/>
  <c r="E571" i="13"/>
  <c r="T571" i="13"/>
  <c r="U571" i="13"/>
  <c r="X571" i="13"/>
  <c r="Y571" i="13"/>
  <c r="Z571" i="13"/>
  <c r="V571" i="13"/>
  <c r="W571" i="13"/>
  <c r="B572" i="13"/>
  <c r="C572" i="13"/>
  <c r="F572" i="13"/>
  <c r="G572" i="13"/>
  <c r="H572" i="13"/>
  <c r="D572" i="13"/>
  <c r="E572" i="13"/>
  <c r="T572" i="13"/>
  <c r="U572" i="13"/>
  <c r="X572" i="13"/>
  <c r="Y572" i="13"/>
  <c r="Z572" i="13"/>
  <c r="V572" i="13"/>
  <c r="W572" i="13"/>
  <c r="B573" i="13"/>
  <c r="C573" i="13"/>
  <c r="F573" i="13"/>
  <c r="G573" i="13"/>
  <c r="H573" i="13"/>
  <c r="D573" i="13"/>
  <c r="E573" i="13"/>
  <c r="T573" i="13"/>
  <c r="U573" i="13"/>
  <c r="X573" i="13"/>
  <c r="Y573" i="13"/>
  <c r="Z573" i="13"/>
  <c r="V573" i="13"/>
  <c r="W573" i="13"/>
  <c r="B574" i="13"/>
  <c r="C574" i="13"/>
  <c r="F574" i="13"/>
  <c r="G574" i="13"/>
  <c r="H574" i="13"/>
  <c r="D574" i="13"/>
  <c r="E574" i="13"/>
  <c r="T574" i="13"/>
  <c r="U574" i="13"/>
  <c r="X574" i="13"/>
  <c r="Y574" i="13"/>
  <c r="Z574" i="13"/>
  <c r="V574" i="13"/>
  <c r="W574" i="13"/>
  <c r="B575" i="13"/>
  <c r="C575" i="13"/>
  <c r="F575" i="13"/>
  <c r="G575" i="13"/>
  <c r="H575" i="13"/>
  <c r="D575" i="13"/>
  <c r="E575" i="13"/>
  <c r="T575" i="13"/>
  <c r="U575" i="13"/>
  <c r="X575" i="13"/>
  <c r="Y575" i="13"/>
  <c r="Z575" i="13"/>
  <c r="V575" i="13"/>
  <c r="W575" i="13"/>
  <c r="B576" i="13"/>
  <c r="C576" i="13"/>
  <c r="F576" i="13"/>
  <c r="G576" i="13"/>
  <c r="H576" i="13"/>
  <c r="D576" i="13"/>
  <c r="E576" i="13"/>
  <c r="T576" i="13"/>
  <c r="U576" i="13"/>
  <c r="X576" i="13"/>
  <c r="Y576" i="13"/>
  <c r="Z576" i="13"/>
  <c r="V576" i="13"/>
  <c r="W576" i="13"/>
  <c r="B577" i="13"/>
  <c r="C577" i="13"/>
  <c r="F577" i="13"/>
  <c r="G577" i="13"/>
  <c r="H577" i="13"/>
  <c r="D577" i="13"/>
  <c r="E577" i="13"/>
  <c r="T577" i="13"/>
  <c r="U577" i="13"/>
  <c r="X577" i="13"/>
  <c r="Y577" i="13"/>
  <c r="Z577" i="13"/>
  <c r="V577" i="13"/>
  <c r="W577" i="13"/>
  <c r="B578" i="13"/>
  <c r="C578" i="13"/>
  <c r="F578" i="13"/>
  <c r="G578" i="13"/>
  <c r="H578" i="13"/>
  <c r="D578" i="13"/>
  <c r="E578" i="13"/>
  <c r="T578" i="13"/>
  <c r="U578" i="13"/>
  <c r="X578" i="13"/>
  <c r="Y578" i="13"/>
  <c r="Z578" i="13"/>
  <c r="V578" i="13"/>
  <c r="W578" i="13"/>
  <c r="B579" i="13"/>
  <c r="C579" i="13"/>
  <c r="F579" i="13"/>
  <c r="G579" i="13"/>
  <c r="H579" i="13"/>
  <c r="D579" i="13"/>
  <c r="E579" i="13"/>
  <c r="T579" i="13"/>
  <c r="U579" i="13"/>
  <c r="X579" i="13"/>
  <c r="Y579" i="13"/>
  <c r="Z579" i="13"/>
  <c r="V579" i="13"/>
  <c r="W579" i="13"/>
  <c r="B580" i="13"/>
  <c r="C580" i="13"/>
  <c r="F580" i="13"/>
  <c r="G580" i="13"/>
  <c r="H580" i="13"/>
  <c r="D580" i="13"/>
  <c r="E580" i="13"/>
  <c r="T580" i="13"/>
  <c r="U580" i="13"/>
  <c r="X580" i="13"/>
  <c r="Y580" i="13"/>
  <c r="Z580" i="13"/>
  <c r="V580" i="13"/>
  <c r="W580" i="13"/>
  <c r="B581" i="13"/>
  <c r="C581" i="13"/>
  <c r="F581" i="13"/>
  <c r="G581" i="13"/>
  <c r="H581" i="13"/>
  <c r="D581" i="13"/>
  <c r="E581" i="13"/>
  <c r="T581" i="13"/>
  <c r="U581" i="13"/>
  <c r="X581" i="13"/>
  <c r="Y581" i="13"/>
  <c r="Z581" i="13"/>
  <c r="V581" i="13"/>
  <c r="W581" i="13"/>
  <c r="B582" i="13"/>
  <c r="C582" i="13"/>
  <c r="F582" i="13"/>
  <c r="G582" i="13"/>
  <c r="H582" i="13"/>
  <c r="D582" i="13"/>
  <c r="E582" i="13"/>
  <c r="T582" i="13"/>
  <c r="U582" i="13"/>
  <c r="X582" i="13"/>
  <c r="Y582" i="13"/>
  <c r="Z582" i="13"/>
  <c r="V582" i="13"/>
  <c r="W582" i="13"/>
  <c r="B583" i="13"/>
  <c r="C583" i="13"/>
  <c r="F583" i="13"/>
  <c r="G583" i="13"/>
  <c r="H583" i="13"/>
  <c r="D583" i="13"/>
  <c r="E583" i="13"/>
  <c r="T583" i="13"/>
  <c r="U583" i="13"/>
  <c r="X583" i="13"/>
  <c r="Y583" i="13"/>
  <c r="Z583" i="13"/>
  <c r="V583" i="13"/>
  <c r="W583" i="13"/>
  <c r="B584" i="13"/>
  <c r="C584" i="13"/>
  <c r="F584" i="13"/>
  <c r="G584" i="13"/>
  <c r="H584" i="13"/>
  <c r="D584" i="13"/>
  <c r="E584" i="13"/>
  <c r="T584" i="13"/>
  <c r="U584" i="13"/>
  <c r="X584" i="13"/>
  <c r="Y584" i="13"/>
  <c r="Z584" i="13"/>
  <c r="V584" i="13"/>
  <c r="W584" i="13"/>
  <c r="B585" i="13"/>
  <c r="C585" i="13"/>
  <c r="F585" i="13"/>
  <c r="G585" i="13"/>
  <c r="H585" i="13"/>
  <c r="D585" i="13"/>
  <c r="E585" i="13"/>
  <c r="T585" i="13"/>
  <c r="U585" i="13"/>
  <c r="X585" i="13"/>
  <c r="Y585" i="13"/>
  <c r="Z585" i="13"/>
  <c r="V585" i="13"/>
  <c r="W585" i="13"/>
  <c r="B586" i="13"/>
  <c r="C586" i="13"/>
  <c r="F586" i="13"/>
  <c r="G586" i="13"/>
  <c r="H586" i="13"/>
  <c r="D586" i="13"/>
  <c r="E586" i="13"/>
  <c r="T586" i="13"/>
  <c r="U586" i="13"/>
  <c r="X586" i="13"/>
  <c r="Y586" i="13"/>
  <c r="Z586" i="13"/>
  <c r="V586" i="13"/>
  <c r="W586" i="13"/>
  <c r="B587" i="13"/>
  <c r="C587" i="13"/>
  <c r="F587" i="13"/>
  <c r="G587" i="13"/>
  <c r="H587" i="13"/>
  <c r="D587" i="13"/>
  <c r="E587" i="13"/>
  <c r="T587" i="13"/>
  <c r="U587" i="13"/>
  <c r="X587" i="13"/>
  <c r="Y587" i="13"/>
  <c r="Z587" i="13"/>
  <c r="V587" i="13"/>
  <c r="W587" i="13"/>
  <c r="B588" i="13"/>
  <c r="C588" i="13"/>
  <c r="F588" i="13"/>
  <c r="G588" i="13"/>
  <c r="H588" i="13"/>
  <c r="D588" i="13"/>
  <c r="E588" i="13"/>
  <c r="T588" i="13"/>
  <c r="U588" i="13"/>
  <c r="X588" i="13"/>
  <c r="Y588" i="13"/>
  <c r="Z588" i="13"/>
  <c r="V588" i="13"/>
  <c r="W588" i="13"/>
  <c r="B589" i="13"/>
  <c r="C589" i="13"/>
  <c r="F589" i="13"/>
  <c r="G589" i="13"/>
  <c r="H589" i="13"/>
  <c r="D589" i="13"/>
  <c r="E589" i="13"/>
  <c r="T589" i="13"/>
  <c r="U589" i="13"/>
  <c r="X589" i="13"/>
  <c r="Y589" i="13"/>
  <c r="Z589" i="13"/>
  <c r="V589" i="13"/>
  <c r="W589" i="13"/>
  <c r="B590" i="13"/>
  <c r="C590" i="13"/>
  <c r="F590" i="13"/>
  <c r="G590" i="13"/>
  <c r="H590" i="13"/>
  <c r="D590" i="13"/>
  <c r="E590" i="13"/>
  <c r="T590" i="13"/>
  <c r="U590" i="13"/>
  <c r="X590" i="13"/>
  <c r="Y590" i="13"/>
  <c r="Z590" i="13"/>
  <c r="V590" i="13"/>
  <c r="W590" i="13"/>
  <c r="B591" i="13"/>
  <c r="C591" i="13"/>
  <c r="F591" i="13"/>
  <c r="G591" i="13"/>
  <c r="H591" i="13"/>
  <c r="D591" i="13"/>
  <c r="E591" i="13"/>
  <c r="T591" i="13"/>
  <c r="U591" i="13"/>
  <c r="X591" i="13"/>
  <c r="Y591" i="13"/>
  <c r="Z591" i="13"/>
  <c r="V591" i="13"/>
  <c r="W591" i="13"/>
  <c r="B592" i="13"/>
  <c r="C592" i="13"/>
  <c r="F592" i="13"/>
  <c r="G592" i="13"/>
  <c r="H592" i="13"/>
  <c r="D592" i="13"/>
  <c r="E592" i="13"/>
  <c r="T592" i="13"/>
  <c r="U592" i="13"/>
  <c r="X592" i="13"/>
  <c r="Y592" i="13"/>
  <c r="Z592" i="13"/>
  <c r="V592" i="13"/>
  <c r="W592" i="13"/>
  <c r="B593" i="13"/>
  <c r="C593" i="13"/>
  <c r="F593" i="13"/>
  <c r="G593" i="13"/>
  <c r="H593" i="13"/>
  <c r="D593" i="13"/>
  <c r="E593" i="13"/>
  <c r="T593" i="13"/>
  <c r="U593" i="13"/>
  <c r="X593" i="13"/>
  <c r="Y593" i="13"/>
  <c r="Z593" i="13"/>
  <c r="V593" i="13"/>
  <c r="W593" i="13"/>
  <c r="B594" i="13"/>
  <c r="C594" i="13"/>
  <c r="F594" i="13"/>
  <c r="G594" i="13"/>
  <c r="H594" i="13"/>
  <c r="D594" i="13"/>
  <c r="E594" i="13"/>
  <c r="T594" i="13"/>
  <c r="U594" i="13"/>
  <c r="X594" i="13"/>
  <c r="Y594" i="13"/>
  <c r="Z594" i="13"/>
  <c r="V594" i="13"/>
  <c r="W594" i="13"/>
  <c r="B595" i="13"/>
  <c r="C595" i="13"/>
  <c r="F595" i="13"/>
  <c r="G595" i="13"/>
  <c r="H595" i="13"/>
  <c r="D595" i="13"/>
  <c r="E595" i="13"/>
  <c r="T595" i="13"/>
  <c r="U595" i="13"/>
  <c r="X595" i="13"/>
  <c r="Y595" i="13"/>
  <c r="Z595" i="13"/>
  <c r="V595" i="13"/>
  <c r="W595" i="13"/>
  <c r="B596" i="13"/>
  <c r="C596" i="13"/>
  <c r="F596" i="13"/>
  <c r="G596" i="13"/>
  <c r="H596" i="13"/>
  <c r="D596" i="13"/>
  <c r="E596" i="13"/>
  <c r="T596" i="13"/>
  <c r="U596" i="13"/>
  <c r="X596" i="13"/>
  <c r="Y596" i="13"/>
  <c r="Z596" i="13"/>
  <c r="V596" i="13"/>
  <c r="W596" i="13"/>
  <c r="B597" i="13"/>
  <c r="C597" i="13"/>
  <c r="F597" i="13"/>
  <c r="G597" i="13"/>
  <c r="H597" i="13"/>
  <c r="D597" i="13"/>
  <c r="E597" i="13"/>
  <c r="T597" i="13"/>
  <c r="U597" i="13"/>
  <c r="X597" i="13"/>
  <c r="Y597" i="13"/>
  <c r="Z597" i="13"/>
  <c r="V597" i="13"/>
  <c r="W597" i="13"/>
  <c r="B598" i="13"/>
  <c r="C598" i="13"/>
  <c r="F598" i="13"/>
  <c r="G598" i="13"/>
  <c r="H598" i="13"/>
  <c r="D598" i="13"/>
  <c r="E598" i="13"/>
  <c r="T598" i="13"/>
  <c r="U598" i="13"/>
  <c r="X598" i="13"/>
  <c r="Y598" i="13"/>
  <c r="Z598" i="13"/>
  <c r="V598" i="13"/>
  <c r="W598" i="13"/>
  <c r="B599" i="13"/>
  <c r="C599" i="13"/>
  <c r="F599" i="13"/>
  <c r="G599" i="13"/>
  <c r="H599" i="13"/>
  <c r="D599" i="13"/>
  <c r="E599" i="13"/>
  <c r="T599" i="13"/>
  <c r="U599" i="13"/>
  <c r="X599" i="13"/>
  <c r="Y599" i="13"/>
  <c r="Z599" i="13"/>
  <c r="V599" i="13"/>
  <c r="W599" i="13"/>
  <c r="B600" i="13"/>
  <c r="C600" i="13"/>
  <c r="F600" i="13"/>
  <c r="G600" i="13"/>
  <c r="H600" i="13"/>
  <c r="D600" i="13"/>
  <c r="E600" i="13"/>
  <c r="T600" i="13"/>
  <c r="U600" i="13"/>
  <c r="X600" i="13"/>
  <c r="Y600" i="13"/>
  <c r="Z600" i="13"/>
  <c r="V600" i="13"/>
  <c r="W600" i="13"/>
  <c r="B601" i="13"/>
  <c r="C601" i="13"/>
  <c r="F601" i="13"/>
  <c r="G601" i="13"/>
  <c r="H601" i="13"/>
  <c r="D601" i="13"/>
  <c r="E601" i="13"/>
  <c r="T601" i="13"/>
  <c r="U601" i="13"/>
  <c r="X601" i="13"/>
  <c r="Y601" i="13"/>
  <c r="Z601" i="13"/>
  <c r="V601" i="13"/>
  <c r="W601" i="13"/>
  <c r="B602" i="13"/>
  <c r="C602" i="13"/>
  <c r="F602" i="13"/>
  <c r="G602" i="13"/>
  <c r="H602" i="13"/>
  <c r="D602" i="13"/>
  <c r="E602" i="13"/>
  <c r="T602" i="13"/>
  <c r="U602" i="13"/>
  <c r="X602" i="13"/>
  <c r="Y602" i="13"/>
  <c r="Z602" i="13"/>
  <c r="V602" i="13"/>
  <c r="W602" i="13"/>
  <c r="B603" i="13"/>
  <c r="C603" i="13"/>
  <c r="F603" i="13"/>
  <c r="G603" i="13"/>
  <c r="H603" i="13"/>
  <c r="D603" i="13"/>
  <c r="E603" i="13"/>
  <c r="T603" i="13"/>
  <c r="U603" i="13"/>
  <c r="X603" i="13"/>
  <c r="Y603" i="13"/>
  <c r="Z603" i="13"/>
  <c r="V603" i="13"/>
  <c r="W603" i="13"/>
  <c r="B604" i="13"/>
  <c r="C604" i="13"/>
  <c r="F604" i="13"/>
  <c r="G604" i="13"/>
  <c r="H604" i="13"/>
  <c r="D604" i="13"/>
  <c r="E604" i="13"/>
  <c r="T604" i="13"/>
  <c r="U604" i="13"/>
  <c r="X604" i="13"/>
  <c r="Y604" i="13"/>
  <c r="Z604" i="13"/>
  <c r="V604" i="13"/>
  <c r="W604" i="13"/>
  <c r="B605" i="13"/>
  <c r="C605" i="13"/>
  <c r="F605" i="13"/>
  <c r="G605" i="13"/>
  <c r="H605" i="13"/>
  <c r="D605" i="13"/>
  <c r="E605" i="13"/>
  <c r="T605" i="13"/>
  <c r="U605" i="13"/>
  <c r="X605" i="13"/>
  <c r="Y605" i="13"/>
  <c r="Z605" i="13"/>
  <c r="V605" i="13"/>
  <c r="W605" i="13"/>
  <c r="B606" i="13"/>
  <c r="C606" i="13"/>
  <c r="F606" i="13"/>
  <c r="G606" i="13"/>
  <c r="H606" i="13"/>
  <c r="D606" i="13"/>
  <c r="E606" i="13"/>
  <c r="T606" i="13"/>
  <c r="U606" i="13"/>
  <c r="X606" i="13"/>
  <c r="Y606" i="13"/>
  <c r="Z606" i="13"/>
  <c r="V606" i="13"/>
  <c r="W606" i="13"/>
  <c r="B607" i="13"/>
  <c r="C607" i="13"/>
  <c r="F607" i="13"/>
  <c r="G607" i="13"/>
  <c r="H607" i="13"/>
  <c r="D607" i="13"/>
  <c r="E607" i="13"/>
  <c r="T607" i="13"/>
  <c r="U607" i="13"/>
  <c r="X607" i="13"/>
  <c r="Y607" i="13"/>
  <c r="Z607" i="13"/>
  <c r="V607" i="13"/>
  <c r="W607" i="13"/>
  <c r="B608" i="13"/>
  <c r="C608" i="13"/>
  <c r="F608" i="13"/>
  <c r="G608" i="13"/>
  <c r="H608" i="13"/>
  <c r="D608" i="13"/>
  <c r="E608" i="13"/>
  <c r="T608" i="13"/>
  <c r="U608" i="13"/>
  <c r="X608" i="13"/>
  <c r="Y608" i="13"/>
  <c r="Z608" i="13"/>
  <c r="V608" i="13"/>
  <c r="W608" i="13"/>
  <c r="B609" i="13"/>
  <c r="C609" i="13"/>
  <c r="F609" i="13"/>
  <c r="G609" i="13"/>
  <c r="H609" i="13"/>
  <c r="D609" i="13"/>
  <c r="E609" i="13"/>
  <c r="T609" i="13"/>
  <c r="U609" i="13"/>
  <c r="X609" i="13"/>
  <c r="Y609" i="13"/>
  <c r="Z609" i="13"/>
  <c r="V609" i="13"/>
  <c r="W609" i="13"/>
  <c r="B610" i="13"/>
  <c r="C610" i="13"/>
  <c r="F610" i="13"/>
  <c r="G610" i="13"/>
  <c r="H610" i="13"/>
  <c r="D610" i="13"/>
  <c r="E610" i="13"/>
  <c r="T610" i="13"/>
  <c r="U610" i="13"/>
  <c r="X610" i="13"/>
  <c r="Y610" i="13"/>
  <c r="Z610" i="13"/>
  <c r="V610" i="13"/>
  <c r="W610" i="13"/>
  <c r="B611" i="13"/>
  <c r="C611" i="13"/>
  <c r="F611" i="13"/>
  <c r="G611" i="13"/>
  <c r="H611" i="13"/>
  <c r="D611" i="13"/>
  <c r="E611" i="13"/>
  <c r="T611" i="13"/>
  <c r="U611" i="13"/>
  <c r="X611" i="13"/>
  <c r="Y611" i="13"/>
  <c r="Z611" i="13"/>
  <c r="V611" i="13"/>
  <c r="W611" i="13"/>
  <c r="B612" i="13"/>
  <c r="C612" i="13"/>
  <c r="F612" i="13"/>
  <c r="G612" i="13"/>
  <c r="H612" i="13"/>
  <c r="D612" i="13"/>
  <c r="E612" i="13"/>
  <c r="T612" i="13"/>
  <c r="U612" i="13"/>
  <c r="X612" i="13"/>
  <c r="Y612" i="13"/>
  <c r="Z612" i="13"/>
  <c r="V612" i="13"/>
  <c r="W612" i="13"/>
  <c r="B613" i="13"/>
  <c r="C613" i="13"/>
  <c r="F613" i="13"/>
  <c r="G613" i="13"/>
  <c r="H613" i="13"/>
  <c r="D613" i="13"/>
  <c r="E613" i="13"/>
  <c r="T613" i="13"/>
  <c r="U613" i="13"/>
  <c r="X613" i="13"/>
  <c r="Y613" i="13"/>
  <c r="Z613" i="13"/>
  <c r="V613" i="13"/>
  <c r="W613" i="13"/>
  <c r="B614" i="13"/>
  <c r="C614" i="13"/>
  <c r="F614" i="13"/>
  <c r="G614" i="13"/>
  <c r="H614" i="13"/>
  <c r="D614" i="13"/>
  <c r="E614" i="13"/>
  <c r="T614" i="13"/>
  <c r="U614" i="13"/>
  <c r="X614" i="13"/>
  <c r="Y614" i="13"/>
  <c r="Z614" i="13"/>
  <c r="V614" i="13"/>
  <c r="W614" i="13"/>
  <c r="B615" i="13"/>
  <c r="C615" i="13"/>
  <c r="F615" i="13"/>
  <c r="G615" i="13"/>
  <c r="H615" i="13"/>
  <c r="D615" i="13"/>
  <c r="E615" i="13"/>
  <c r="T615" i="13"/>
  <c r="U615" i="13"/>
  <c r="X615" i="13"/>
  <c r="Y615" i="13"/>
  <c r="Z615" i="13"/>
  <c r="V615" i="13"/>
  <c r="W615" i="13"/>
  <c r="B616" i="13"/>
  <c r="C616" i="13"/>
  <c r="F616" i="13"/>
  <c r="G616" i="13"/>
  <c r="H616" i="13"/>
  <c r="D616" i="13"/>
  <c r="E616" i="13"/>
  <c r="T616" i="13"/>
  <c r="U616" i="13"/>
  <c r="X616" i="13"/>
  <c r="Y616" i="13"/>
  <c r="Z616" i="13"/>
  <c r="V616" i="13"/>
  <c r="W616" i="13"/>
  <c r="B617" i="13"/>
  <c r="C617" i="13"/>
  <c r="F617" i="13"/>
  <c r="G617" i="13"/>
  <c r="H617" i="13"/>
  <c r="D617" i="13"/>
  <c r="E617" i="13"/>
  <c r="T617" i="13"/>
  <c r="U617" i="13"/>
  <c r="X617" i="13"/>
  <c r="Y617" i="13"/>
  <c r="Z617" i="13"/>
  <c r="V617" i="13"/>
  <c r="W617" i="13"/>
  <c r="B618" i="13"/>
  <c r="C618" i="13"/>
  <c r="F618" i="13"/>
  <c r="G618" i="13"/>
  <c r="H618" i="13"/>
  <c r="D618" i="13"/>
  <c r="E618" i="13"/>
  <c r="T618" i="13"/>
  <c r="U618" i="13"/>
  <c r="X618" i="13"/>
  <c r="Y618" i="13"/>
  <c r="Z618" i="13"/>
  <c r="V618" i="13"/>
  <c r="W618" i="13"/>
  <c r="B619" i="13"/>
  <c r="C619" i="13"/>
  <c r="F619" i="13"/>
  <c r="G619" i="13"/>
  <c r="H619" i="13"/>
  <c r="D619" i="13"/>
  <c r="E619" i="13"/>
  <c r="T619" i="13"/>
  <c r="U619" i="13"/>
  <c r="X619" i="13"/>
  <c r="Y619" i="13"/>
  <c r="Z619" i="13"/>
  <c r="V619" i="13"/>
  <c r="W619" i="13"/>
  <c r="B620" i="13"/>
  <c r="C620" i="13"/>
  <c r="F620" i="13"/>
  <c r="G620" i="13"/>
  <c r="H620" i="13"/>
  <c r="D620" i="13"/>
  <c r="E620" i="13"/>
  <c r="T620" i="13"/>
  <c r="U620" i="13"/>
  <c r="X620" i="13"/>
  <c r="Y620" i="13"/>
  <c r="Z620" i="13"/>
  <c r="V620" i="13"/>
  <c r="W620" i="13"/>
  <c r="B621" i="13"/>
  <c r="C621" i="13"/>
  <c r="F621" i="13"/>
  <c r="G621" i="13"/>
  <c r="H621" i="13"/>
  <c r="D621" i="13"/>
  <c r="E621" i="13"/>
  <c r="T621" i="13"/>
  <c r="U621" i="13"/>
  <c r="X621" i="13"/>
  <c r="Y621" i="13"/>
  <c r="Z621" i="13"/>
  <c r="V621" i="13"/>
  <c r="W621" i="13"/>
  <c r="B622" i="13"/>
  <c r="C622" i="13"/>
  <c r="F622" i="13"/>
  <c r="G622" i="13"/>
  <c r="H622" i="13"/>
  <c r="D622" i="13"/>
  <c r="E622" i="13"/>
  <c r="T622" i="13"/>
  <c r="U622" i="13"/>
  <c r="X622" i="13"/>
  <c r="Y622" i="13"/>
  <c r="Z622" i="13"/>
  <c r="V622" i="13"/>
  <c r="W622" i="13"/>
  <c r="B623" i="13"/>
  <c r="C623" i="13"/>
  <c r="F623" i="13"/>
  <c r="G623" i="13"/>
  <c r="H623" i="13"/>
  <c r="D623" i="13"/>
  <c r="E623" i="13"/>
  <c r="T623" i="13"/>
  <c r="U623" i="13"/>
  <c r="X623" i="13"/>
  <c r="Y623" i="13"/>
  <c r="Z623" i="13"/>
  <c r="V623" i="13"/>
  <c r="W623" i="13"/>
  <c r="B624" i="13"/>
  <c r="C624" i="13"/>
  <c r="F624" i="13"/>
  <c r="G624" i="13"/>
  <c r="H624" i="13"/>
  <c r="D624" i="13"/>
  <c r="E624" i="13"/>
  <c r="T624" i="13"/>
  <c r="U624" i="13"/>
  <c r="X624" i="13"/>
  <c r="Y624" i="13"/>
  <c r="Z624" i="13"/>
  <c r="V624" i="13"/>
  <c r="W624" i="13"/>
  <c r="B625" i="13"/>
  <c r="C625" i="13"/>
  <c r="F625" i="13"/>
  <c r="G625" i="13"/>
  <c r="H625" i="13"/>
  <c r="D625" i="13"/>
  <c r="E625" i="13"/>
  <c r="T625" i="13"/>
  <c r="U625" i="13"/>
  <c r="X625" i="13"/>
  <c r="Y625" i="13"/>
  <c r="Z625" i="13"/>
  <c r="V625" i="13"/>
  <c r="W625" i="13"/>
  <c r="B626" i="13"/>
  <c r="C626" i="13"/>
  <c r="F626" i="13"/>
  <c r="G626" i="13"/>
  <c r="H626" i="13"/>
  <c r="D626" i="13"/>
  <c r="E626" i="13"/>
  <c r="T626" i="13"/>
  <c r="U626" i="13"/>
  <c r="X626" i="13"/>
  <c r="Y626" i="13"/>
  <c r="Z626" i="13"/>
  <c r="V626" i="13"/>
  <c r="W626" i="13"/>
  <c r="B627" i="13"/>
  <c r="C627" i="13"/>
  <c r="F627" i="13"/>
  <c r="G627" i="13"/>
  <c r="H627" i="13"/>
  <c r="D627" i="13"/>
  <c r="E627" i="13"/>
  <c r="T627" i="13"/>
  <c r="U627" i="13"/>
  <c r="X627" i="13"/>
  <c r="Y627" i="13"/>
  <c r="Z627" i="13"/>
  <c r="V627" i="13"/>
  <c r="W627" i="13"/>
  <c r="B628" i="13"/>
  <c r="C628" i="13"/>
  <c r="F628" i="13"/>
  <c r="G628" i="13"/>
  <c r="H628" i="13"/>
  <c r="D628" i="13"/>
  <c r="E628" i="13"/>
  <c r="T628" i="13"/>
  <c r="U628" i="13"/>
  <c r="X628" i="13"/>
  <c r="Y628" i="13"/>
  <c r="Z628" i="13"/>
  <c r="V628" i="13"/>
  <c r="W628" i="13"/>
  <c r="B629" i="13"/>
  <c r="C629" i="13"/>
  <c r="F629" i="13"/>
  <c r="G629" i="13"/>
  <c r="H629" i="13"/>
  <c r="D629" i="13"/>
  <c r="E629" i="13"/>
  <c r="T629" i="13"/>
  <c r="U629" i="13"/>
  <c r="X629" i="13"/>
  <c r="Y629" i="13"/>
  <c r="Z629" i="13"/>
  <c r="V629" i="13"/>
  <c r="W629" i="13"/>
  <c r="B630" i="13"/>
  <c r="C630" i="13"/>
  <c r="F630" i="13"/>
  <c r="G630" i="13"/>
  <c r="H630" i="13"/>
  <c r="D630" i="13"/>
  <c r="E630" i="13"/>
  <c r="T630" i="13"/>
  <c r="U630" i="13"/>
  <c r="X630" i="13"/>
  <c r="Y630" i="13"/>
  <c r="Z630" i="13"/>
  <c r="V630" i="13"/>
  <c r="W630" i="13"/>
  <c r="B631" i="13"/>
  <c r="C631" i="13"/>
  <c r="F631" i="13"/>
  <c r="G631" i="13"/>
  <c r="H631" i="13"/>
  <c r="D631" i="13"/>
  <c r="E631" i="13"/>
  <c r="T631" i="13"/>
  <c r="U631" i="13"/>
  <c r="X631" i="13"/>
  <c r="Y631" i="13"/>
  <c r="Z631" i="13"/>
  <c r="V631" i="13"/>
  <c r="W631" i="13"/>
  <c r="B632" i="13"/>
  <c r="C632" i="13"/>
  <c r="F632" i="13"/>
  <c r="G632" i="13"/>
  <c r="H632" i="13"/>
  <c r="D632" i="13"/>
  <c r="E632" i="13"/>
  <c r="T632" i="13"/>
  <c r="U632" i="13"/>
  <c r="X632" i="13"/>
  <c r="Y632" i="13"/>
  <c r="Z632" i="13"/>
  <c r="V632" i="13"/>
  <c r="W632" i="13"/>
  <c r="B633" i="13"/>
  <c r="C633" i="13"/>
  <c r="F633" i="13"/>
  <c r="G633" i="13"/>
  <c r="H633" i="13"/>
  <c r="D633" i="13"/>
  <c r="E633" i="13"/>
  <c r="T633" i="13"/>
  <c r="U633" i="13"/>
  <c r="X633" i="13"/>
  <c r="Y633" i="13"/>
  <c r="Z633" i="13"/>
  <c r="V633" i="13"/>
  <c r="W633" i="13"/>
  <c r="B634" i="13"/>
  <c r="C634" i="13"/>
  <c r="F634" i="13"/>
  <c r="G634" i="13"/>
  <c r="H634" i="13"/>
  <c r="D634" i="13"/>
  <c r="E634" i="13"/>
  <c r="T634" i="13"/>
  <c r="U634" i="13"/>
  <c r="X634" i="13"/>
  <c r="Y634" i="13"/>
  <c r="Z634" i="13"/>
  <c r="V634" i="13"/>
  <c r="W634" i="13"/>
  <c r="B635" i="13"/>
  <c r="C635" i="13"/>
  <c r="F635" i="13"/>
  <c r="G635" i="13"/>
  <c r="H635" i="13"/>
  <c r="D635" i="13"/>
  <c r="E635" i="13"/>
  <c r="T635" i="13"/>
  <c r="U635" i="13"/>
  <c r="X635" i="13"/>
  <c r="Y635" i="13"/>
  <c r="Z635" i="13"/>
  <c r="V635" i="13"/>
  <c r="W635" i="13"/>
  <c r="B636" i="13"/>
  <c r="C636" i="13"/>
  <c r="F636" i="13"/>
  <c r="G636" i="13"/>
  <c r="H636" i="13"/>
  <c r="D636" i="13"/>
  <c r="E636" i="13"/>
  <c r="T636" i="13"/>
  <c r="U636" i="13"/>
  <c r="X636" i="13"/>
  <c r="Y636" i="13"/>
  <c r="Z636" i="13"/>
  <c r="V636" i="13"/>
  <c r="W636" i="13"/>
  <c r="B637" i="13"/>
  <c r="C637" i="13"/>
  <c r="F637" i="13"/>
  <c r="G637" i="13"/>
  <c r="H637" i="13"/>
  <c r="D637" i="13"/>
  <c r="E637" i="13"/>
  <c r="T637" i="13"/>
  <c r="U637" i="13"/>
  <c r="X637" i="13"/>
  <c r="Y637" i="13"/>
  <c r="Z637" i="13"/>
  <c r="V637" i="13"/>
  <c r="W637" i="13"/>
  <c r="B638" i="13"/>
  <c r="C638" i="13"/>
  <c r="F638" i="13"/>
  <c r="G638" i="13"/>
  <c r="H638" i="13"/>
  <c r="D638" i="13"/>
  <c r="E638" i="13"/>
  <c r="T638" i="13"/>
  <c r="U638" i="13"/>
  <c r="X638" i="13"/>
  <c r="Y638" i="13"/>
  <c r="Z638" i="13"/>
  <c r="V638" i="13"/>
  <c r="W638" i="13"/>
  <c r="B639" i="13"/>
  <c r="C639" i="13"/>
  <c r="F639" i="13"/>
  <c r="G639" i="13"/>
  <c r="H639" i="13"/>
  <c r="D639" i="13"/>
  <c r="E639" i="13"/>
  <c r="T639" i="13"/>
  <c r="U639" i="13"/>
  <c r="X639" i="13"/>
  <c r="Y639" i="13"/>
  <c r="Z639" i="13"/>
  <c r="V639" i="13"/>
  <c r="W639" i="13"/>
  <c r="B640" i="13"/>
  <c r="C640" i="13"/>
  <c r="F640" i="13"/>
  <c r="G640" i="13"/>
  <c r="H640" i="13"/>
  <c r="D640" i="13"/>
  <c r="E640" i="13"/>
  <c r="T640" i="13"/>
  <c r="U640" i="13"/>
  <c r="X640" i="13"/>
  <c r="Y640" i="13"/>
  <c r="Z640" i="13"/>
  <c r="V640" i="13"/>
  <c r="W640" i="13"/>
  <c r="B641" i="13"/>
  <c r="C641" i="13"/>
  <c r="F641" i="13"/>
  <c r="G641" i="13"/>
  <c r="H641" i="13"/>
  <c r="D641" i="13"/>
  <c r="E641" i="13"/>
  <c r="T641" i="13"/>
  <c r="U641" i="13"/>
  <c r="X641" i="13"/>
  <c r="Y641" i="13"/>
  <c r="Z641" i="13"/>
  <c r="V641" i="13"/>
  <c r="W641" i="13"/>
  <c r="B642" i="13"/>
  <c r="C642" i="13"/>
  <c r="F642" i="13"/>
  <c r="G642" i="13"/>
  <c r="H642" i="13"/>
  <c r="D642" i="13"/>
  <c r="E642" i="13"/>
  <c r="T642" i="13"/>
  <c r="U642" i="13"/>
  <c r="X642" i="13"/>
  <c r="Y642" i="13"/>
  <c r="Z642" i="13"/>
  <c r="V642" i="13"/>
  <c r="W642" i="13"/>
  <c r="B643" i="13"/>
  <c r="C643" i="13"/>
  <c r="F643" i="13"/>
  <c r="G643" i="13"/>
  <c r="H643" i="13"/>
  <c r="D643" i="13"/>
  <c r="E643" i="13"/>
  <c r="T643" i="13"/>
  <c r="U643" i="13"/>
  <c r="X643" i="13"/>
  <c r="Y643" i="13"/>
  <c r="Z643" i="13"/>
  <c r="V643" i="13"/>
  <c r="W643" i="13"/>
  <c r="B644" i="13"/>
  <c r="C644" i="13"/>
  <c r="F644" i="13"/>
  <c r="G644" i="13"/>
  <c r="H644" i="13"/>
  <c r="D644" i="13"/>
  <c r="E644" i="13"/>
  <c r="T644" i="13"/>
  <c r="U644" i="13"/>
  <c r="X644" i="13"/>
  <c r="Y644" i="13"/>
  <c r="Z644" i="13"/>
  <c r="V644" i="13"/>
  <c r="W644" i="13"/>
  <c r="B645" i="13"/>
  <c r="C645" i="13"/>
  <c r="F645" i="13"/>
  <c r="G645" i="13"/>
  <c r="H645" i="13"/>
  <c r="D645" i="13"/>
  <c r="E645" i="13"/>
  <c r="T645" i="13"/>
  <c r="U645" i="13"/>
  <c r="X645" i="13"/>
  <c r="Y645" i="13"/>
  <c r="Z645" i="13"/>
  <c r="V645" i="13"/>
  <c r="W645" i="13"/>
  <c r="B646" i="13"/>
  <c r="C646" i="13"/>
  <c r="F646" i="13"/>
  <c r="G646" i="13"/>
  <c r="H646" i="13"/>
  <c r="D646" i="13"/>
  <c r="E646" i="13"/>
  <c r="T646" i="13"/>
  <c r="U646" i="13"/>
  <c r="X646" i="13"/>
  <c r="Y646" i="13"/>
  <c r="Z646" i="13"/>
  <c r="V646" i="13"/>
  <c r="W646" i="13"/>
  <c r="B647" i="13"/>
  <c r="C647" i="13"/>
  <c r="F647" i="13"/>
  <c r="G647" i="13"/>
  <c r="H647" i="13"/>
  <c r="D647" i="13"/>
  <c r="E647" i="13"/>
  <c r="T647" i="13"/>
  <c r="U647" i="13"/>
  <c r="X647" i="13"/>
  <c r="Y647" i="13"/>
  <c r="Z647" i="13"/>
  <c r="V647" i="13"/>
  <c r="W647" i="13"/>
  <c r="B648" i="13"/>
  <c r="C648" i="13"/>
  <c r="F648" i="13"/>
  <c r="G648" i="13"/>
  <c r="H648" i="13"/>
  <c r="D648" i="13"/>
  <c r="E648" i="13"/>
  <c r="T648" i="13"/>
  <c r="U648" i="13"/>
  <c r="X648" i="13"/>
  <c r="Y648" i="13"/>
  <c r="Z648" i="13"/>
  <c r="V648" i="13"/>
  <c r="W648" i="13"/>
  <c r="B649" i="13"/>
  <c r="C649" i="13"/>
  <c r="F649" i="13"/>
  <c r="G649" i="13"/>
  <c r="H649" i="13"/>
  <c r="D649" i="13"/>
  <c r="E649" i="13"/>
  <c r="T649" i="13"/>
  <c r="U649" i="13"/>
  <c r="X649" i="13"/>
  <c r="Y649" i="13"/>
  <c r="Z649" i="13"/>
  <c r="V649" i="13"/>
  <c r="W649" i="13"/>
  <c r="B650" i="13"/>
  <c r="C650" i="13"/>
  <c r="F650" i="13"/>
  <c r="G650" i="13"/>
  <c r="H650" i="13"/>
  <c r="D650" i="13"/>
  <c r="E650" i="13"/>
  <c r="T650" i="13"/>
  <c r="U650" i="13"/>
  <c r="X650" i="13"/>
  <c r="Y650" i="13"/>
  <c r="Z650" i="13"/>
  <c r="V650" i="13"/>
  <c r="W650" i="13"/>
  <c r="B651" i="13"/>
  <c r="C651" i="13"/>
  <c r="F651" i="13"/>
  <c r="G651" i="13"/>
  <c r="H651" i="13"/>
  <c r="D651" i="13"/>
  <c r="E651" i="13"/>
  <c r="T651" i="13"/>
  <c r="U651" i="13"/>
  <c r="X651" i="13"/>
  <c r="Y651" i="13"/>
  <c r="Z651" i="13"/>
  <c r="V651" i="13"/>
  <c r="W651" i="13"/>
  <c r="B652" i="13"/>
  <c r="C652" i="13"/>
  <c r="F652" i="13"/>
  <c r="G652" i="13"/>
  <c r="H652" i="13"/>
  <c r="D652" i="13"/>
  <c r="E652" i="13"/>
  <c r="T652" i="13"/>
  <c r="U652" i="13"/>
  <c r="X652" i="13"/>
  <c r="Y652" i="13"/>
  <c r="Z652" i="13"/>
  <c r="V652" i="13"/>
  <c r="W652" i="13"/>
  <c r="B653" i="13"/>
  <c r="C653" i="13"/>
  <c r="F653" i="13"/>
  <c r="G653" i="13"/>
  <c r="H653" i="13"/>
  <c r="D653" i="13"/>
  <c r="E653" i="13"/>
  <c r="T653" i="13"/>
  <c r="U653" i="13"/>
  <c r="X653" i="13"/>
  <c r="Y653" i="13"/>
  <c r="Z653" i="13"/>
  <c r="V653" i="13"/>
  <c r="W653" i="13"/>
  <c r="B654" i="13"/>
  <c r="C654" i="13"/>
  <c r="F654" i="13"/>
  <c r="G654" i="13"/>
  <c r="H654" i="13"/>
  <c r="D654" i="13"/>
  <c r="E654" i="13"/>
  <c r="T654" i="13"/>
  <c r="U654" i="13"/>
  <c r="X654" i="13"/>
  <c r="Y654" i="13"/>
  <c r="Z654" i="13"/>
  <c r="V654" i="13"/>
  <c r="W654" i="13"/>
  <c r="B655" i="13"/>
  <c r="C655" i="13"/>
  <c r="F655" i="13"/>
  <c r="G655" i="13"/>
  <c r="H655" i="13"/>
  <c r="D655" i="13"/>
  <c r="E655" i="13"/>
  <c r="T655" i="13"/>
  <c r="U655" i="13"/>
  <c r="X655" i="13"/>
  <c r="Y655" i="13"/>
  <c r="Z655" i="13"/>
  <c r="V655" i="13"/>
  <c r="W655" i="13"/>
  <c r="B656" i="13"/>
  <c r="C656" i="13"/>
  <c r="F656" i="13"/>
  <c r="G656" i="13"/>
  <c r="H656" i="13"/>
  <c r="D656" i="13"/>
  <c r="E656" i="13"/>
  <c r="T656" i="13"/>
  <c r="U656" i="13"/>
  <c r="X656" i="13"/>
  <c r="Y656" i="13"/>
  <c r="Z656" i="13"/>
  <c r="V656" i="13"/>
  <c r="W656" i="13"/>
  <c r="B657" i="13"/>
  <c r="C657" i="13"/>
  <c r="F657" i="13"/>
  <c r="G657" i="13"/>
  <c r="H657" i="13"/>
  <c r="D657" i="13"/>
  <c r="E657" i="13"/>
  <c r="T657" i="13"/>
  <c r="U657" i="13"/>
  <c r="X657" i="13"/>
  <c r="Y657" i="13"/>
  <c r="Z657" i="13"/>
  <c r="V657" i="13"/>
  <c r="W657" i="13"/>
  <c r="B658" i="13"/>
  <c r="C658" i="13"/>
  <c r="F658" i="13"/>
  <c r="G658" i="13"/>
  <c r="H658" i="13"/>
  <c r="D658" i="13"/>
  <c r="E658" i="13"/>
  <c r="T658" i="13"/>
  <c r="U658" i="13"/>
  <c r="X658" i="13"/>
  <c r="Y658" i="13"/>
  <c r="Z658" i="13"/>
  <c r="V658" i="13"/>
  <c r="W658" i="13"/>
  <c r="B659" i="13"/>
  <c r="C659" i="13"/>
  <c r="F659" i="13"/>
  <c r="G659" i="13"/>
  <c r="H659" i="13"/>
  <c r="D659" i="13"/>
  <c r="E659" i="13"/>
  <c r="T659" i="13"/>
  <c r="U659" i="13"/>
  <c r="X659" i="13"/>
  <c r="Y659" i="13"/>
  <c r="Z659" i="13"/>
  <c r="V659" i="13"/>
  <c r="W659" i="13"/>
  <c r="B660" i="13"/>
  <c r="C660" i="13"/>
  <c r="F660" i="13"/>
  <c r="G660" i="13"/>
  <c r="H660" i="13"/>
  <c r="D660" i="13"/>
  <c r="E660" i="13"/>
  <c r="T660" i="13"/>
  <c r="U660" i="13"/>
  <c r="X660" i="13"/>
  <c r="Y660" i="13"/>
  <c r="Z660" i="13"/>
  <c r="V660" i="13"/>
  <c r="W660" i="13"/>
  <c r="B661" i="13"/>
  <c r="C661" i="13"/>
  <c r="F661" i="13"/>
  <c r="G661" i="13"/>
  <c r="H661" i="13"/>
  <c r="D661" i="13"/>
  <c r="E661" i="13"/>
  <c r="T661" i="13"/>
  <c r="U661" i="13"/>
  <c r="X661" i="13"/>
  <c r="Y661" i="13"/>
  <c r="Z661" i="13"/>
  <c r="V661" i="13"/>
  <c r="W661" i="13"/>
  <c r="B662" i="13"/>
  <c r="C662" i="13"/>
  <c r="F662" i="13"/>
  <c r="G662" i="13"/>
  <c r="H662" i="13"/>
  <c r="D662" i="13"/>
  <c r="E662" i="13"/>
  <c r="T662" i="13"/>
  <c r="U662" i="13"/>
  <c r="X662" i="13"/>
  <c r="Y662" i="13"/>
  <c r="Z662" i="13"/>
  <c r="V662" i="13"/>
  <c r="W662" i="13"/>
  <c r="B663" i="13"/>
  <c r="C663" i="13"/>
  <c r="F663" i="13"/>
  <c r="G663" i="13"/>
  <c r="H663" i="13"/>
  <c r="D663" i="13"/>
  <c r="E663" i="13"/>
  <c r="T663" i="13"/>
  <c r="U663" i="13"/>
  <c r="X663" i="13"/>
  <c r="Y663" i="13"/>
  <c r="Z663" i="13"/>
  <c r="V663" i="13"/>
  <c r="W663" i="13"/>
  <c r="B664" i="13"/>
  <c r="C664" i="13"/>
  <c r="F664" i="13"/>
  <c r="G664" i="13"/>
  <c r="H664" i="13"/>
  <c r="D664" i="13"/>
  <c r="E664" i="13"/>
  <c r="T664" i="13"/>
  <c r="U664" i="13"/>
  <c r="X664" i="13"/>
  <c r="Y664" i="13"/>
  <c r="Z664" i="13"/>
  <c r="V664" i="13"/>
  <c r="W664" i="13"/>
  <c r="B665" i="13"/>
  <c r="C665" i="13"/>
  <c r="F665" i="13"/>
  <c r="G665" i="13"/>
  <c r="H665" i="13"/>
  <c r="D665" i="13"/>
  <c r="E665" i="13"/>
  <c r="T665" i="13"/>
  <c r="U665" i="13"/>
  <c r="X665" i="13"/>
  <c r="Y665" i="13"/>
  <c r="Z665" i="13"/>
  <c r="V665" i="13"/>
  <c r="W665" i="13"/>
  <c r="B666" i="13"/>
  <c r="C666" i="13"/>
  <c r="F666" i="13"/>
  <c r="G666" i="13"/>
  <c r="H666" i="13"/>
  <c r="D666" i="13"/>
  <c r="E666" i="13"/>
  <c r="T666" i="13"/>
  <c r="U666" i="13"/>
  <c r="X666" i="13"/>
  <c r="Y666" i="13"/>
  <c r="Z666" i="13"/>
  <c r="V666" i="13"/>
  <c r="W666" i="13"/>
  <c r="B667" i="13"/>
  <c r="C667" i="13"/>
  <c r="F667" i="13"/>
  <c r="G667" i="13"/>
  <c r="H667" i="13"/>
  <c r="D667" i="13"/>
  <c r="E667" i="13"/>
  <c r="T667" i="13"/>
  <c r="U667" i="13"/>
  <c r="X667" i="13"/>
  <c r="Y667" i="13"/>
  <c r="Z667" i="13"/>
  <c r="V667" i="13"/>
  <c r="W667" i="13"/>
  <c r="B668" i="13"/>
  <c r="C668" i="13"/>
  <c r="F668" i="13"/>
  <c r="G668" i="13"/>
  <c r="H668" i="13"/>
  <c r="D668" i="13"/>
  <c r="E668" i="13"/>
  <c r="T668" i="13"/>
  <c r="U668" i="13"/>
  <c r="X668" i="13"/>
  <c r="Y668" i="13"/>
  <c r="Z668" i="13"/>
  <c r="V668" i="13"/>
  <c r="W668" i="13"/>
  <c r="B669" i="13"/>
  <c r="C669" i="13"/>
  <c r="F669" i="13"/>
  <c r="G669" i="13"/>
  <c r="H669" i="13"/>
  <c r="D669" i="13"/>
  <c r="E669" i="13"/>
  <c r="T669" i="13"/>
  <c r="U669" i="13"/>
  <c r="X669" i="13"/>
  <c r="Y669" i="13"/>
  <c r="Z669" i="13"/>
  <c r="V669" i="13"/>
  <c r="W669" i="13"/>
  <c r="B670" i="13"/>
  <c r="C670" i="13"/>
  <c r="F670" i="13"/>
  <c r="G670" i="13"/>
  <c r="H670" i="13"/>
  <c r="D670" i="13"/>
  <c r="E670" i="13"/>
  <c r="T670" i="13"/>
  <c r="U670" i="13"/>
  <c r="X670" i="13"/>
  <c r="Y670" i="13"/>
  <c r="Z670" i="13"/>
  <c r="V670" i="13"/>
  <c r="W670" i="13"/>
  <c r="B671" i="13"/>
  <c r="C671" i="13"/>
  <c r="F671" i="13"/>
  <c r="G671" i="13"/>
  <c r="H671" i="13"/>
  <c r="D671" i="13"/>
  <c r="E671" i="13"/>
  <c r="T671" i="13"/>
  <c r="U671" i="13"/>
  <c r="X671" i="13"/>
  <c r="Y671" i="13"/>
  <c r="Z671" i="13"/>
  <c r="V671" i="13"/>
  <c r="W671" i="13"/>
  <c r="B672" i="13"/>
  <c r="C672" i="13"/>
  <c r="F672" i="13"/>
  <c r="G672" i="13"/>
  <c r="H672" i="13"/>
  <c r="D672" i="13"/>
  <c r="E672" i="13"/>
  <c r="T672" i="13"/>
  <c r="U672" i="13"/>
  <c r="X672" i="13"/>
  <c r="Y672" i="13"/>
  <c r="Z672" i="13"/>
  <c r="V672" i="13"/>
  <c r="W672" i="13"/>
  <c r="B673" i="13"/>
  <c r="C673" i="13"/>
  <c r="F673" i="13"/>
  <c r="G673" i="13"/>
  <c r="H673" i="13"/>
  <c r="D673" i="13"/>
  <c r="E673" i="13"/>
  <c r="T673" i="13"/>
  <c r="U673" i="13"/>
  <c r="X673" i="13"/>
  <c r="Y673" i="13"/>
  <c r="Z673" i="13"/>
  <c r="V673" i="13"/>
  <c r="W673" i="13"/>
  <c r="B674" i="13"/>
  <c r="C674" i="13"/>
  <c r="F674" i="13"/>
  <c r="G674" i="13"/>
  <c r="H674" i="13"/>
  <c r="D674" i="13"/>
  <c r="E674" i="13"/>
  <c r="T674" i="13"/>
  <c r="U674" i="13"/>
  <c r="X674" i="13"/>
  <c r="Y674" i="13"/>
  <c r="Z674" i="13"/>
  <c r="V674" i="13"/>
  <c r="W674" i="13"/>
  <c r="B675" i="13"/>
  <c r="C675" i="13"/>
  <c r="F675" i="13"/>
  <c r="G675" i="13"/>
  <c r="H675" i="13"/>
  <c r="D675" i="13"/>
  <c r="E675" i="13"/>
  <c r="T675" i="13"/>
  <c r="U675" i="13"/>
  <c r="X675" i="13"/>
  <c r="Y675" i="13"/>
  <c r="Z675" i="13"/>
  <c r="V675" i="13"/>
  <c r="W675" i="13"/>
  <c r="B676" i="13"/>
  <c r="C676" i="13"/>
  <c r="F676" i="13"/>
  <c r="G676" i="13"/>
  <c r="H676" i="13"/>
  <c r="D676" i="13"/>
  <c r="E676" i="13"/>
  <c r="T676" i="13"/>
  <c r="U676" i="13"/>
  <c r="X676" i="13"/>
  <c r="Y676" i="13"/>
  <c r="Z676" i="13"/>
  <c r="V676" i="13"/>
  <c r="W676" i="13"/>
  <c r="B677" i="13"/>
  <c r="C677" i="13"/>
  <c r="F677" i="13"/>
  <c r="G677" i="13"/>
  <c r="H677" i="13"/>
  <c r="D677" i="13"/>
  <c r="E677" i="13"/>
  <c r="T677" i="13"/>
  <c r="U677" i="13"/>
  <c r="X677" i="13"/>
  <c r="Y677" i="13"/>
  <c r="Z677" i="13"/>
  <c r="V677" i="13"/>
  <c r="W677" i="13"/>
  <c r="B678" i="13"/>
  <c r="C678" i="13"/>
  <c r="F678" i="13"/>
  <c r="G678" i="13"/>
  <c r="H678" i="13"/>
  <c r="D678" i="13"/>
  <c r="E678" i="13"/>
  <c r="T678" i="13"/>
  <c r="U678" i="13"/>
  <c r="X678" i="13"/>
  <c r="Y678" i="13"/>
  <c r="Z678" i="13"/>
  <c r="V678" i="13"/>
  <c r="W678" i="13"/>
  <c r="B679" i="13"/>
  <c r="C679" i="13"/>
  <c r="F679" i="13"/>
  <c r="G679" i="13"/>
  <c r="H679" i="13"/>
  <c r="D679" i="13"/>
  <c r="E679" i="13"/>
  <c r="T679" i="13"/>
  <c r="U679" i="13"/>
  <c r="X679" i="13"/>
  <c r="Y679" i="13"/>
  <c r="Z679" i="13"/>
  <c r="V679" i="13"/>
  <c r="W679" i="13"/>
  <c r="B680" i="13"/>
  <c r="C680" i="13"/>
  <c r="F680" i="13"/>
  <c r="G680" i="13"/>
  <c r="H680" i="13"/>
  <c r="D680" i="13"/>
  <c r="E680" i="13"/>
  <c r="T680" i="13"/>
  <c r="U680" i="13"/>
  <c r="X680" i="13"/>
  <c r="Y680" i="13"/>
  <c r="Z680" i="13"/>
  <c r="V680" i="13"/>
  <c r="W680" i="13"/>
  <c r="B681" i="13"/>
  <c r="C681" i="13"/>
  <c r="F681" i="13"/>
  <c r="G681" i="13"/>
  <c r="H681" i="13"/>
  <c r="D681" i="13"/>
  <c r="E681" i="13"/>
  <c r="T681" i="13"/>
  <c r="U681" i="13"/>
  <c r="X681" i="13"/>
  <c r="Y681" i="13"/>
  <c r="Z681" i="13"/>
  <c r="V681" i="13"/>
  <c r="W681" i="13"/>
  <c r="B682" i="13"/>
  <c r="C682" i="13"/>
  <c r="F682" i="13"/>
  <c r="G682" i="13"/>
  <c r="H682" i="13"/>
  <c r="D682" i="13"/>
  <c r="E682" i="13"/>
  <c r="T682" i="13"/>
  <c r="U682" i="13"/>
  <c r="X682" i="13"/>
  <c r="Y682" i="13"/>
  <c r="Z682" i="13"/>
  <c r="V682" i="13"/>
  <c r="W682" i="13"/>
  <c r="B683" i="13"/>
  <c r="C683" i="13"/>
  <c r="F683" i="13"/>
  <c r="G683" i="13"/>
  <c r="H683" i="13"/>
  <c r="D683" i="13"/>
  <c r="E683" i="13"/>
  <c r="T683" i="13"/>
  <c r="U683" i="13"/>
  <c r="X683" i="13"/>
  <c r="Y683" i="13"/>
  <c r="Z683" i="13"/>
  <c r="V683" i="13"/>
  <c r="W683" i="13"/>
  <c r="B684" i="13"/>
  <c r="C684" i="13"/>
  <c r="F684" i="13"/>
  <c r="G684" i="13"/>
  <c r="H684" i="13"/>
  <c r="D684" i="13"/>
  <c r="E684" i="13"/>
  <c r="T684" i="13"/>
  <c r="U684" i="13"/>
  <c r="X684" i="13"/>
  <c r="Y684" i="13"/>
  <c r="Z684" i="13"/>
  <c r="V684" i="13"/>
  <c r="W684" i="13"/>
  <c r="B685" i="13"/>
  <c r="C685" i="13"/>
  <c r="F685" i="13"/>
  <c r="G685" i="13"/>
  <c r="H685" i="13"/>
  <c r="D685" i="13"/>
  <c r="E685" i="13"/>
  <c r="T685" i="13"/>
  <c r="U685" i="13"/>
  <c r="X685" i="13"/>
  <c r="Y685" i="13"/>
  <c r="Z685" i="13"/>
  <c r="V685" i="13"/>
  <c r="W685" i="13"/>
  <c r="B686" i="13"/>
  <c r="C686" i="13"/>
  <c r="F686" i="13"/>
  <c r="G686" i="13"/>
  <c r="H686" i="13"/>
  <c r="D686" i="13"/>
  <c r="E686" i="13"/>
  <c r="T686" i="13"/>
  <c r="U686" i="13"/>
  <c r="X686" i="13"/>
  <c r="Y686" i="13"/>
  <c r="Z686" i="13"/>
  <c r="V686" i="13"/>
  <c r="W686" i="13"/>
  <c r="B687" i="13"/>
  <c r="C687" i="13"/>
  <c r="F687" i="13"/>
  <c r="G687" i="13"/>
  <c r="H687" i="13"/>
  <c r="D687" i="13"/>
  <c r="E687" i="13"/>
  <c r="T687" i="13"/>
  <c r="U687" i="13"/>
  <c r="X687" i="13"/>
  <c r="Y687" i="13"/>
  <c r="Z687" i="13"/>
  <c r="V687" i="13"/>
  <c r="W687" i="13"/>
  <c r="B688" i="13"/>
  <c r="C688" i="13"/>
  <c r="F688" i="13"/>
  <c r="G688" i="13"/>
  <c r="H688" i="13"/>
  <c r="D688" i="13"/>
  <c r="E688" i="13"/>
  <c r="T688" i="13"/>
  <c r="U688" i="13"/>
  <c r="X688" i="13"/>
  <c r="Y688" i="13"/>
  <c r="Z688" i="13"/>
  <c r="V688" i="13"/>
  <c r="W688" i="13"/>
  <c r="B689" i="13"/>
  <c r="C689" i="13"/>
  <c r="F689" i="13"/>
  <c r="G689" i="13"/>
  <c r="H689" i="13"/>
  <c r="D689" i="13"/>
  <c r="E689" i="13"/>
  <c r="T689" i="13"/>
  <c r="U689" i="13"/>
  <c r="X689" i="13"/>
  <c r="Y689" i="13"/>
  <c r="Z689" i="13"/>
  <c r="V689" i="13"/>
  <c r="W689" i="13"/>
  <c r="B690" i="13"/>
  <c r="C690" i="13"/>
  <c r="F690" i="13"/>
  <c r="G690" i="13"/>
  <c r="H690" i="13"/>
  <c r="D690" i="13"/>
  <c r="E690" i="13"/>
  <c r="T690" i="13"/>
  <c r="U690" i="13"/>
  <c r="X690" i="13"/>
  <c r="Y690" i="13"/>
  <c r="Z690" i="13"/>
  <c r="V690" i="13"/>
  <c r="W690" i="13"/>
  <c r="B691" i="13"/>
  <c r="C691" i="13"/>
  <c r="F691" i="13"/>
  <c r="G691" i="13"/>
  <c r="H691" i="13"/>
  <c r="D691" i="13"/>
  <c r="E691" i="13"/>
  <c r="T691" i="13"/>
  <c r="U691" i="13"/>
  <c r="X691" i="13"/>
  <c r="Y691" i="13"/>
  <c r="Z691" i="13"/>
  <c r="V691" i="13"/>
  <c r="W691" i="13"/>
  <c r="B692" i="13"/>
  <c r="C692" i="13"/>
  <c r="F692" i="13"/>
  <c r="G692" i="13"/>
  <c r="H692" i="13"/>
  <c r="D692" i="13"/>
  <c r="E692" i="13"/>
  <c r="T692" i="13"/>
  <c r="U692" i="13"/>
  <c r="X692" i="13"/>
  <c r="Y692" i="13"/>
  <c r="Z692" i="13"/>
  <c r="V692" i="13"/>
  <c r="W692" i="13"/>
  <c r="B693" i="13"/>
  <c r="C693" i="13"/>
  <c r="F693" i="13"/>
  <c r="G693" i="13"/>
  <c r="H693" i="13"/>
  <c r="D693" i="13"/>
  <c r="E693" i="13"/>
  <c r="T693" i="13"/>
  <c r="U693" i="13"/>
  <c r="X693" i="13"/>
  <c r="Y693" i="13"/>
  <c r="Z693" i="13"/>
  <c r="V693" i="13"/>
  <c r="W693" i="13"/>
  <c r="B694" i="13"/>
  <c r="C694" i="13"/>
  <c r="F694" i="13"/>
  <c r="G694" i="13"/>
  <c r="H694" i="13"/>
  <c r="D694" i="13"/>
  <c r="E694" i="13"/>
  <c r="T694" i="13"/>
  <c r="U694" i="13"/>
  <c r="X694" i="13"/>
  <c r="Y694" i="13"/>
  <c r="Z694" i="13"/>
  <c r="V694" i="13"/>
  <c r="W694" i="13"/>
  <c r="B695" i="13"/>
  <c r="C695" i="13"/>
  <c r="F695" i="13"/>
  <c r="G695" i="13"/>
  <c r="H695" i="13"/>
  <c r="D695" i="13"/>
  <c r="E695" i="13"/>
  <c r="T695" i="13"/>
  <c r="U695" i="13"/>
  <c r="X695" i="13"/>
  <c r="Y695" i="13"/>
  <c r="Z695" i="13"/>
  <c r="V695" i="13"/>
  <c r="W695" i="13"/>
  <c r="B696" i="13"/>
  <c r="C696" i="13"/>
  <c r="F696" i="13"/>
  <c r="G696" i="13"/>
  <c r="H696" i="13"/>
  <c r="D696" i="13"/>
  <c r="E696" i="13"/>
  <c r="T696" i="13"/>
  <c r="U696" i="13"/>
  <c r="X696" i="13"/>
  <c r="Y696" i="13"/>
  <c r="Z696" i="13"/>
  <c r="V696" i="13"/>
  <c r="W696" i="13"/>
  <c r="B697" i="13"/>
  <c r="C697" i="13"/>
  <c r="F697" i="13"/>
  <c r="G697" i="13"/>
  <c r="H697" i="13"/>
  <c r="D697" i="13"/>
  <c r="E697" i="13"/>
  <c r="T697" i="13"/>
  <c r="U697" i="13"/>
  <c r="X697" i="13"/>
  <c r="Y697" i="13"/>
  <c r="Z697" i="13"/>
  <c r="V697" i="13"/>
  <c r="W697" i="13"/>
  <c r="B698" i="13"/>
  <c r="C698" i="13"/>
  <c r="F698" i="13"/>
  <c r="G698" i="13"/>
  <c r="H698" i="13"/>
  <c r="D698" i="13"/>
  <c r="E698" i="13"/>
  <c r="T698" i="13"/>
  <c r="U698" i="13"/>
  <c r="X698" i="13"/>
  <c r="Y698" i="13"/>
  <c r="Z698" i="13"/>
  <c r="V698" i="13"/>
  <c r="W698" i="13"/>
  <c r="B699" i="13"/>
  <c r="C699" i="13"/>
  <c r="F699" i="13"/>
  <c r="G699" i="13"/>
  <c r="H699" i="13"/>
  <c r="D699" i="13"/>
  <c r="E699" i="13"/>
  <c r="T699" i="13"/>
  <c r="U699" i="13"/>
  <c r="X699" i="13"/>
  <c r="Y699" i="13"/>
  <c r="Z699" i="13"/>
  <c r="V699" i="13"/>
  <c r="W699" i="13"/>
  <c r="B700" i="13"/>
  <c r="C700" i="13"/>
  <c r="F700" i="13"/>
  <c r="G700" i="13"/>
  <c r="H700" i="13"/>
  <c r="D700" i="13"/>
  <c r="E700" i="13"/>
  <c r="T700" i="13"/>
  <c r="U700" i="13"/>
  <c r="X700" i="13"/>
  <c r="Y700" i="13"/>
  <c r="Z700" i="13"/>
  <c r="V700" i="13"/>
  <c r="W700" i="13"/>
  <c r="B701" i="13"/>
  <c r="C701" i="13"/>
  <c r="F701" i="13"/>
  <c r="G701" i="13"/>
  <c r="H701" i="13"/>
  <c r="D701" i="13"/>
  <c r="E701" i="13"/>
  <c r="T701" i="13"/>
  <c r="U701" i="13"/>
  <c r="X701" i="13"/>
  <c r="Y701" i="13"/>
  <c r="Z701" i="13"/>
  <c r="V701" i="13"/>
  <c r="W701" i="13"/>
  <c r="B702" i="13"/>
  <c r="C702" i="13"/>
  <c r="F702" i="13"/>
  <c r="G702" i="13"/>
  <c r="H702" i="13"/>
  <c r="D702" i="13"/>
  <c r="E702" i="13"/>
  <c r="T702" i="13"/>
  <c r="U702" i="13"/>
  <c r="X702" i="13"/>
  <c r="Y702" i="13"/>
  <c r="Z702" i="13"/>
  <c r="V702" i="13"/>
  <c r="W702" i="13"/>
  <c r="B703" i="13"/>
  <c r="C703" i="13"/>
  <c r="F703" i="13"/>
  <c r="G703" i="13"/>
  <c r="H703" i="13"/>
  <c r="D703" i="13"/>
  <c r="E703" i="13"/>
  <c r="T703" i="13"/>
  <c r="U703" i="13"/>
  <c r="X703" i="13"/>
  <c r="Y703" i="13"/>
  <c r="Z703" i="13"/>
  <c r="V703" i="13"/>
  <c r="W703" i="13"/>
  <c r="B704" i="13"/>
  <c r="C704" i="13"/>
  <c r="F704" i="13"/>
  <c r="G704" i="13"/>
  <c r="H704" i="13"/>
  <c r="D704" i="13"/>
  <c r="E704" i="13"/>
  <c r="T704" i="13"/>
  <c r="U704" i="13"/>
  <c r="X704" i="13"/>
  <c r="Y704" i="13"/>
  <c r="Z704" i="13"/>
  <c r="V704" i="13"/>
  <c r="W704" i="13"/>
  <c r="B705" i="13"/>
  <c r="C705" i="13"/>
  <c r="F705" i="13"/>
  <c r="G705" i="13"/>
  <c r="H705" i="13"/>
  <c r="D705" i="13"/>
  <c r="E705" i="13"/>
  <c r="T705" i="13"/>
  <c r="U705" i="13"/>
  <c r="X705" i="13"/>
  <c r="Y705" i="13"/>
  <c r="Z705" i="13"/>
  <c r="V705" i="13"/>
  <c r="W705" i="13"/>
  <c r="B706" i="13"/>
  <c r="C706" i="13"/>
  <c r="F706" i="13"/>
  <c r="G706" i="13"/>
  <c r="H706" i="13"/>
  <c r="D706" i="13"/>
  <c r="E706" i="13"/>
  <c r="T706" i="13"/>
  <c r="U706" i="13"/>
  <c r="X706" i="13"/>
  <c r="Y706" i="13"/>
  <c r="Z706" i="13"/>
  <c r="V706" i="13"/>
  <c r="W706" i="13"/>
  <c r="B707" i="13"/>
  <c r="C707" i="13"/>
  <c r="F707" i="13"/>
  <c r="G707" i="13"/>
  <c r="H707" i="13"/>
  <c r="D707" i="13"/>
  <c r="E707" i="13"/>
  <c r="T707" i="13"/>
  <c r="U707" i="13"/>
  <c r="X707" i="13"/>
  <c r="Y707" i="13"/>
  <c r="Z707" i="13"/>
  <c r="V707" i="13"/>
  <c r="W707" i="13"/>
  <c r="B708" i="13"/>
  <c r="C708" i="13"/>
  <c r="F708" i="13"/>
  <c r="G708" i="13"/>
  <c r="H708" i="13"/>
  <c r="D708" i="13"/>
  <c r="E708" i="13"/>
  <c r="T708" i="13"/>
  <c r="U708" i="13"/>
  <c r="X708" i="13"/>
  <c r="Y708" i="13"/>
  <c r="Z708" i="13"/>
  <c r="V708" i="13"/>
  <c r="W708" i="13"/>
  <c r="B709" i="13"/>
  <c r="C709" i="13"/>
  <c r="F709" i="13"/>
  <c r="G709" i="13"/>
  <c r="H709" i="13"/>
  <c r="D709" i="13"/>
  <c r="E709" i="13"/>
  <c r="T709" i="13"/>
  <c r="U709" i="13"/>
  <c r="X709" i="13"/>
  <c r="Y709" i="13"/>
  <c r="Z709" i="13"/>
  <c r="V709" i="13"/>
  <c r="W709" i="13"/>
  <c r="B710" i="13"/>
  <c r="C710" i="13"/>
  <c r="F710" i="13"/>
  <c r="G710" i="13"/>
  <c r="H710" i="13"/>
  <c r="D710" i="13"/>
  <c r="E710" i="13"/>
  <c r="T710" i="13"/>
  <c r="U710" i="13"/>
  <c r="X710" i="13"/>
  <c r="Y710" i="13"/>
  <c r="Z710" i="13"/>
  <c r="V710" i="13"/>
  <c r="W710" i="13"/>
  <c r="B711" i="13"/>
  <c r="C711" i="13"/>
  <c r="F711" i="13"/>
  <c r="G711" i="13"/>
  <c r="H711" i="13"/>
  <c r="D711" i="13"/>
  <c r="E711" i="13"/>
  <c r="T711" i="13"/>
  <c r="U711" i="13"/>
  <c r="X711" i="13"/>
  <c r="Y711" i="13"/>
  <c r="Z711" i="13"/>
  <c r="V711" i="13"/>
  <c r="W711" i="13"/>
  <c r="B712" i="13"/>
  <c r="C712" i="13"/>
  <c r="F712" i="13"/>
  <c r="G712" i="13"/>
  <c r="H712" i="13"/>
  <c r="D712" i="13"/>
  <c r="E712" i="13"/>
  <c r="T712" i="13"/>
  <c r="U712" i="13"/>
  <c r="X712" i="13"/>
  <c r="Y712" i="13"/>
  <c r="Z712" i="13"/>
  <c r="V712" i="13"/>
  <c r="W712" i="13"/>
  <c r="B713" i="13"/>
  <c r="C713" i="13"/>
  <c r="F713" i="13"/>
  <c r="G713" i="13"/>
  <c r="H713" i="13"/>
  <c r="D713" i="13"/>
  <c r="E713" i="13"/>
  <c r="T713" i="13"/>
  <c r="U713" i="13"/>
  <c r="X713" i="13"/>
  <c r="Y713" i="13"/>
  <c r="Z713" i="13"/>
  <c r="V713" i="13"/>
  <c r="W713" i="13"/>
  <c r="B714" i="13"/>
  <c r="C714" i="13"/>
  <c r="F714" i="13"/>
  <c r="G714" i="13"/>
  <c r="H714" i="13"/>
  <c r="D714" i="13"/>
  <c r="E714" i="13"/>
  <c r="T714" i="13"/>
  <c r="U714" i="13"/>
  <c r="X714" i="13"/>
  <c r="Y714" i="13"/>
  <c r="Z714" i="13"/>
  <c r="V714" i="13"/>
  <c r="W714" i="13"/>
  <c r="B715" i="13"/>
  <c r="C715" i="13"/>
  <c r="F715" i="13"/>
  <c r="G715" i="13"/>
  <c r="H715" i="13"/>
  <c r="D715" i="13"/>
  <c r="E715" i="13"/>
  <c r="T715" i="13"/>
  <c r="U715" i="13"/>
  <c r="X715" i="13"/>
  <c r="Y715" i="13"/>
  <c r="Z715" i="13"/>
  <c r="V715" i="13"/>
  <c r="W715" i="13"/>
  <c r="B716" i="13"/>
  <c r="C716" i="13"/>
  <c r="F716" i="13"/>
  <c r="G716" i="13"/>
  <c r="H716" i="13"/>
  <c r="D716" i="13"/>
  <c r="E716" i="13"/>
  <c r="T716" i="13"/>
  <c r="U716" i="13"/>
  <c r="X716" i="13"/>
  <c r="Y716" i="13"/>
  <c r="Z716" i="13"/>
  <c r="V716" i="13"/>
  <c r="W716" i="13"/>
  <c r="B717" i="13"/>
  <c r="C717" i="13"/>
  <c r="F717" i="13"/>
  <c r="G717" i="13"/>
  <c r="H717" i="13"/>
  <c r="D717" i="13"/>
  <c r="E717" i="13"/>
  <c r="T717" i="13"/>
  <c r="U717" i="13"/>
  <c r="X717" i="13"/>
  <c r="Y717" i="13"/>
  <c r="Z717" i="13"/>
  <c r="V717" i="13"/>
  <c r="W717" i="13"/>
  <c r="B718" i="13"/>
  <c r="C718" i="13"/>
  <c r="F718" i="13"/>
  <c r="G718" i="13"/>
  <c r="H718" i="13"/>
  <c r="D718" i="13"/>
  <c r="E718" i="13"/>
  <c r="T718" i="13"/>
  <c r="U718" i="13"/>
  <c r="X718" i="13"/>
  <c r="Y718" i="13"/>
  <c r="Z718" i="13"/>
  <c r="V718" i="13"/>
  <c r="W718" i="13"/>
  <c r="B719" i="13"/>
  <c r="C719" i="13"/>
  <c r="F719" i="13"/>
  <c r="G719" i="13"/>
  <c r="H719" i="13"/>
  <c r="D719" i="13"/>
  <c r="E719" i="13"/>
  <c r="T719" i="13"/>
  <c r="U719" i="13"/>
  <c r="X719" i="13"/>
  <c r="Y719" i="13"/>
  <c r="Z719" i="13"/>
  <c r="V719" i="13"/>
  <c r="W719" i="13"/>
  <c r="B720" i="13"/>
  <c r="C720" i="13"/>
  <c r="F720" i="13"/>
  <c r="G720" i="13"/>
  <c r="H720" i="13"/>
  <c r="D720" i="13"/>
  <c r="E720" i="13"/>
  <c r="T720" i="13"/>
  <c r="U720" i="13"/>
  <c r="X720" i="13"/>
  <c r="Y720" i="13"/>
  <c r="Z720" i="13"/>
  <c r="V720" i="13"/>
  <c r="W720" i="13"/>
  <c r="B721" i="13"/>
  <c r="C721" i="13"/>
  <c r="F721" i="13"/>
  <c r="G721" i="13"/>
  <c r="H721" i="13"/>
  <c r="D721" i="13"/>
  <c r="E721" i="13"/>
  <c r="T721" i="13"/>
  <c r="U721" i="13"/>
  <c r="X721" i="13"/>
  <c r="Y721" i="13"/>
  <c r="Z721" i="13"/>
  <c r="V721" i="13"/>
  <c r="W721" i="13"/>
  <c r="B722" i="13"/>
  <c r="C722" i="13"/>
  <c r="F722" i="13"/>
  <c r="G722" i="13"/>
  <c r="H722" i="13"/>
  <c r="D722" i="13"/>
  <c r="E722" i="13"/>
  <c r="T722" i="13"/>
  <c r="U722" i="13"/>
  <c r="X722" i="13"/>
  <c r="Y722" i="13"/>
  <c r="Z722" i="13"/>
  <c r="V722" i="13"/>
  <c r="W722" i="13"/>
  <c r="B723" i="13"/>
  <c r="C723" i="13"/>
  <c r="F723" i="13"/>
  <c r="G723" i="13"/>
  <c r="H723" i="13"/>
  <c r="D723" i="13"/>
  <c r="E723" i="13"/>
  <c r="T723" i="13"/>
  <c r="U723" i="13"/>
  <c r="X723" i="13"/>
  <c r="Y723" i="13"/>
  <c r="Z723" i="13"/>
  <c r="V723" i="13"/>
  <c r="W723" i="13"/>
  <c r="B724" i="13"/>
  <c r="C724" i="13"/>
  <c r="F724" i="13"/>
  <c r="G724" i="13"/>
  <c r="H724" i="13"/>
  <c r="D724" i="13"/>
  <c r="E724" i="13"/>
  <c r="T724" i="13"/>
  <c r="U724" i="13"/>
  <c r="X724" i="13"/>
  <c r="Y724" i="13"/>
  <c r="Z724" i="13"/>
  <c r="V724" i="13"/>
  <c r="W724" i="13"/>
  <c r="B725" i="13"/>
  <c r="C725" i="13"/>
  <c r="F725" i="13"/>
  <c r="G725" i="13"/>
  <c r="H725" i="13"/>
  <c r="D725" i="13"/>
  <c r="E725" i="13"/>
  <c r="T725" i="13"/>
  <c r="U725" i="13"/>
  <c r="X725" i="13"/>
  <c r="Y725" i="13"/>
  <c r="Z725" i="13"/>
  <c r="V725" i="13"/>
  <c r="W725" i="13"/>
  <c r="B726" i="13"/>
  <c r="C726" i="13"/>
  <c r="F726" i="13"/>
  <c r="G726" i="13"/>
  <c r="H726" i="13"/>
  <c r="D726" i="13"/>
  <c r="E726" i="13"/>
  <c r="T726" i="13"/>
  <c r="U726" i="13"/>
  <c r="X726" i="13"/>
  <c r="Y726" i="13"/>
  <c r="Z726" i="13"/>
  <c r="V726" i="13"/>
  <c r="W726" i="13"/>
  <c r="B727" i="13"/>
  <c r="C727" i="13"/>
  <c r="F727" i="13"/>
  <c r="G727" i="13"/>
  <c r="H727" i="13"/>
  <c r="D727" i="13"/>
  <c r="E727" i="13"/>
  <c r="T727" i="13"/>
  <c r="U727" i="13"/>
  <c r="X727" i="13"/>
  <c r="Y727" i="13"/>
  <c r="Z727" i="13"/>
  <c r="V727" i="13"/>
  <c r="W727" i="13"/>
  <c r="B728" i="13"/>
  <c r="C728" i="13"/>
  <c r="F728" i="13"/>
  <c r="G728" i="13"/>
  <c r="H728" i="13"/>
  <c r="D728" i="13"/>
  <c r="E728" i="13"/>
  <c r="T728" i="13"/>
  <c r="U728" i="13"/>
  <c r="X728" i="13"/>
  <c r="Y728" i="13"/>
  <c r="Z728" i="13"/>
  <c r="V728" i="13"/>
  <c r="W728" i="13"/>
  <c r="B729" i="13"/>
  <c r="C729" i="13"/>
  <c r="F729" i="13"/>
  <c r="G729" i="13"/>
  <c r="H729" i="13"/>
  <c r="D729" i="13"/>
  <c r="E729" i="13"/>
  <c r="T729" i="13"/>
  <c r="U729" i="13"/>
  <c r="X729" i="13"/>
  <c r="Y729" i="13"/>
  <c r="Z729" i="13"/>
  <c r="V729" i="13"/>
  <c r="W729" i="13"/>
  <c r="B730" i="13"/>
  <c r="C730" i="13"/>
  <c r="F730" i="13"/>
  <c r="G730" i="13"/>
  <c r="H730" i="13"/>
  <c r="D730" i="13"/>
  <c r="E730" i="13"/>
  <c r="T730" i="13"/>
  <c r="U730" i="13"/>
  <c r="X730" i="13"/>
  <c r="Y730" i="13"/>
  <c r="Z730" i="13"/>
  <c r="V730" i="13"/>
  <c r="W730" i="13"/>
  <c r="B731" i="13"/>
  <c r="C731" i="13"/>
  <c r="F731" i="13"/>
  <c r="G731" i="13"/>
  <c r="H731" i="13"/>
  <c r="D731" i="13"/>
  <c r="E731" i="13"/>
  <c r="T731" i="13"/>
  <c r="U731" i="13"/>
  <c r="X731" i="13"/>
  <c r="Y731" i="13"/>
  <c r="Z731" i="13"/>
  <c r="V731" i="13"/>
  <c r="W731" i="13"/>
  <c r="B732" i="13"/>
  <c r="C732" i="13"/>
  <c r="F732" i="13"/>
  <c r="G732" i="13"/>
  <c r="H732" i="13"/>
  <c r="D732" i="13"/>
  <c r="E732" i="13"/>
  <c r="T732" i="13"/>
  <c r="U732" i="13"/>
  <c r="X732" i="13"/>
  <c r="Y732" i="13"/>
  <c r="Z732" i="13"/>
  <c r="V732" i="13"/>
  <c r="W732" i="13"/>
  <c r="B733" i="13"/>
  <c r="C733" i="13"/>
  <c r="F733" i="13"/>
  <c r="G733" i="13"/>
  <c r="H733" i="13"/>
  <c r="D733" i="13"/>
  <c r="E733" i="13"/>
  <c r="T733" i="13"/>
  <c r="U733" i="13"/>
  <c r="X733" i="13"/>
  <c r="Y733" i="13"/>
  <c r="Z733" i="13"/>
  <c r="V733" i="13"/>
  <c r="W733" i="13"/>
  <c r="B734" i="13"/>
  <c r="C734" i="13"/>
  <c r="F734" i="13"/>
  <c r="G734" i="13"/>
  <c r="H734" i="13"/>
  <c r="D734" i="13"/>
  <c r="E734" i="13"/>
  <c r="T734" i="13"/>
  <c r="U734" i="13"/>
  <c r="X734" i="13"/>
  <c r="Y734" i="13"/>
  <c r="Z734" i="13"/>
  <c r="V734" i="13"/>
  <c r="W734" i="13"/>
  <c r="B735" i="13"/>
  <c r="C735" i="13"/>
  <c r="F735" i="13"/>
  <c r="G735" i="13"/>
  <c r="H735" i="13"/>
  <c r="D735" i="13"/>
  <c r="E735" i="13"/>
  <c r="T735" i="13"/>
  <c r="U735" i="13"/>
  <c r="X735" i="13"/>
  <c r="Y735" i="13"/>
  <c r="Z735" i="13"/>
  <c r="V735" i="13"/>
  <c r="W735" i="13"/>
  <c r="B736" i="13"/>
  <c r="C736" i="13"/>
  <c r="F736" i="13"/>
  <c r="G736" i="13"/>
  <c r="H736" i="13"/>
  <c r="D736" i="13"/>
  <c r="E736" i="13"/>
  <c r="T736" i="13"/>
  <c r="U736" i="13"/>
  <c r="X736" i="13"/>
  <c r="Y736" i="13"/>
  <c r="Z736" i="13"/>
  <c r="V736" i="13"/>
  <c r="W736" i="13"/>
  <c r="B737" i="13"/>
  <c r="C737" i="13"/>
  <c r="F737" i="13"/>
  <c r="G737" i="13"/>
  <c r="H737" i="13"/>
  <c r="D737" i="13"/>
  <c r="E737" i="13"/>
  <c r="T737" i="13"/>
  <c r="U737" i="13"/>
  <c r="X737" i="13"/>
  <c r="Y737" i="13"/>
  <c r="Z737" i="13"/>
  <c r="V737" i="13"/>
  <c r="W737" i="13"/>
  <c r="B738" i="13"/>
  <c r="C738" i="13"/>
  <c r="F738" i="13"/>
  <c r="G738" i="13"/>
  <c r="H738" i="13"/>
  <c r="D738" i="13"/>
  <c r="E738" i="13"/>
  <c r="T738" i="13"/>
  <c r="U738" i="13"/>
  <c r="X738" i="13"/>
  <c r="Y738" i="13"/>
  <c r="Z738" i="13"/>
  <c r="V738" i="13"/>
  <c r="W738" i="13"/>
  <c r="B739" i="13"/>
  <c r="C739" i="13"/>
  <c r="F739" i="13"/>
  <c r="G739" i="13"/>
  <c r="H739" i="13"/>
  <c r="D739" i="13"/>
  <c r="E739" i="13"/>
  <c r="T739" i="13"/>
  <c r="U739" i="13"/>
  <c r="X739" i="13"/>
  <c r="Y739" i="13"/>
  <c r="Z739" i="13"/>
  <c r="V739" i="13"/>
  <c r="W739" i="13"/>
  <c r="B740" i="13"/>
  <c r="C740" i="13"/>
  <c r="F740" i="13"/>
  <c r="G740" i="13"/>
  <c r="H740" i="13"/>
  <c r="D740" i="13"/>
  <c r="E740" i="13"/>
  <c r="T740" i="13"/>
  <c r="U740" i="13"/>
  <c r="X740" i="13"/>
  <c r="Y740" i="13"/>
  <c r="Z740" i="13"/>
  <c r="V740" i="13"/>
  <c r="W740" i="13"/>
  <c r="B741" i="13"/>
  <c r="C741" i="13"/>
  <c r="F741" i="13"/>
  <c r="G741" i="13"/>
  <c r="H741" i="13"/>
  <c r="D741" i="13"/>
  <c r="E741" i="13"/>
  <c r="T741" i="13"/>
  <c r="U741" i="13"/>
  <c r="X741" i="13"/>
  <c r="Y741" i="13"/>
  <c r="Z741" i="13"/>
  <c r="V741" i="13"/>
  <c r="W741" i="13"/>
  <c r="B742" i="13"/>
  <c r="C742" i="13"/>
  <c r="F742" i="13"/>
  <c r="G742" i="13"/>
  <c r="H742" i="13"/>
  <c r="D742" i="13"/>
  <c r="E742" i="13"/>
  <c r="T742" i="13"/>
  <c r="U742" i="13"/>
  <c r="X742" i="13"/>
  <c r="Y742" i="13"/>
  <c r="Z742" i="13"/>
  <c r="V742" i="13"/>
  <c r="W742" i="13"/>
  <c r="B743" i="13"/>
  <c r="C743" i="13"/>
  <c r="F743" i="13"/>
  <c r="G743" i="13"/>
  <c r="H743" i="13"/>
  <c r="D743" i="13"/>
  <c r="E743" i="13"/>
  <c r="T743" i="13"/>
  <c r="U743" i="13"/>
  <c r="X743" i="13"/>
  <c r="Y743" i="13"/>
  <c r="Z743" i="13"/>
  <c r="V743" i="13"/>
  <c r="W743" i="13"/>
  <c r="B744" i="13"/>
  <c r="C744" i="13"/>
  <c r="F744" i="13"/>
  <c r="G744" i="13"/>
  <c r="H744" i="13"/>
  <c r="D744" i="13"/>
  <c r="E744" i="13"/>
  <c r="T744" i="13"/>
  <c r="U744" i="13"/>
  <c r="X744" i="13"/>
  <c r="Y744" i="13"/>
  <c r="Z744" i="13"/>
  <c r="V744" i="13"/>
  <c r="W744" i="13"/>
  <c r="B745" i="13"/>
  <c r="C745" i="13"/>
  <c r="F745" i="13"/>
  <c r="G745" i="13"/>
  <c r="H745" i="13"/>
  <c r="D745" i="13"/>
  <c r="E745" i="13"/>
  <c r="T745" i="13"/>
  <c r="U745" i="13"/>
  <c r="X745" i="13"/>
  <c r="Y745" i="13"/>
  <c r="Z745" i="13"/>
  <c r="V745" i="13"/>
  <c r="W745" i="13"/>
  <c r="B746" i="13"/>
  <c r="C746" i="13"/>
  <c r="F746" i="13"/>
  <c r="G746" i="13"/>
  <c r="H746" i="13"/>
  <c r="D746" i="13"/>
  <c r="E746" i="13"/>
  <c r="T746" i="13"/>
  <c r="U746" i="13"/>
  <c r="X746" i="13"/>
  <c r="Y746" i="13"/>
  <c r="Z746" i="13"/>
  <c r="V746" i="13"/>
  <c r="W746" i="13"/>
  <c r="B747" i="13"/>
  <c r="C747" i="13"/>
  <c r="F747" i="13"/>
  <c r="G747" i="13"/>
  <c r="H747" i="13"/>
  <c r="D747" i="13"/>
  <c r="E747" i="13"/>
  <c r="T747" i="13"/>
  <c r="U747" i="13"/>
  <c r="X747" i="13"/>
  <c r="Y747" i="13"/>
  <c r="Z747" i="13"/>
  <c r="V747" i="13"/>
  <c r="W747" i="13"/>
  <c r="B748" i="13"/>
  <c r="C748" i="13"/>
  <c r="F748" i="13"/>
  <c r="G748" i="13"/>
  <c r="H748" i="13"/>
  <c r="D748" i="13"/>
  <c r="E748" i="13"/>
  <c r="T748" i="13"/>
  <c r="U748" i="13"/>
  <c r="X748" i="13"/>
  <c r="Y748" i="13"/>
  <c r="Z748" i="13"/>
  <c r="V748" i="13"/>
  <c r="W748" i="13"/>
  <c r="B749" i="13"/>
  <c r="C749" i="13"/>
  <c r="F749" i="13"/>
  <c r="G749" i="13"/>
  <c r="H749" i="13"/>
  <c r="D749" i="13"/>
  <c r="E749" i="13"/>
  <c r="T749" i="13"/>
  <c r="U749" i="13"/>
  <c r="X749" i="13"/>
  <c r="Y749" i="13"/>
  <c r="Z749" i="13"/>
  <c r="V749" i="13"/>
  <c r="W749" i="13"/>
  <c r="B750" i="13"/>
  <c r="C750" i="13"/>
  <c r="F750" i="13"/>
  <c r="G750" i="13"/>
  <c r="H750" i="13"/>
  <c r="D750" i="13"/>
  <c r="E750" i="13"/>
  <c r="T750" i="13"/>
  <c r="U750" i="13"/>
  <c r="X750" i="13"/>
  <c r="Y750" i="13"/>
  <c r="Z750" i="13"/>
  <c r="V750" i="13"/>
  <c r="W750" i="13"/>
  <c r="B751" i="13"/>
  <c r="C751" i="13"/>
  <c r="F751" i="13"/>
  <c r="G751" i="13"/>
  <c r="H751" i="13"/>
  <c r="D751" i="13"/>
  <c r="E751" i="13"/>
  <c r="T751" i="13"/>
  <c r="U751" i="13"/>
  <c r="X751" i="13"/>
  <c r="Y751" i="13"/>
  <c r="Z751" i="13"/>
  <c r="V751" i="13"/>
  <c r="W751" i="13"/>
  <c r="B752" i="13"/>
  <c r="C752" i="13"/>
  <c r="F752" i="13"/>
  <c r="G752" i="13"/>
  <c r="H752" i="13"/>
  <c r="D752" i="13"/>
  <c r="E752" i="13"/>
  <c r="T752" i="13"/>
  <c r="U752" i="13"/>
  <c r="X752" i="13"/>
  <c r="Y752" i="13"/>
  <c r="Z752" i="13"/>
  <c r="V752" i="13"/>
  <c r="W752" i="13"/>
  <c r="B753" i="13"/>
  <c r="C753" i="13"/>
  <c r="F753" i="13"/>
  <c r="G753" i="13"/>
  <c r="H753" i="13"/>
  <c r="D753" i="13"/>
  <c r="E753" i="13"/>
  <c r="T753" i="13"/>
  <c r="U753" i="13"/>
  <c r="X753" i="13"/>
  <c r="Y753" i="13"/>
  <c r="Z753" i="13"/>
  <c r="V753" i="13"/>
  <c r="W753" i="13"/>
  <c r="B754" i="13"/>
  <c r="C754" i="13"/>
  <c r="F754" i="13"/>
  <c r="G754" i="13"/>
  <c r="H754" i="13"/>
  <c r="D754" i="13"/>
  <c r="E754" i="13"/>
  <c r="T754" i="13"/>
  <c r="U754" i="13"/>
  <c r="X754" i="13"/>
  <c r="Y754" i="13"/>
  <c r="Z754" i="13"/>
  <c r="V754" i="13"/>
  <c r="W754" i="13"/>
  <c r="B755" i="13"/>
  <c r="C755" i="13"/>
  <c r="F755" i="13"/>
  <c r="G755" i="13"/>
  <c r="H755" i="13"/>
  <c r="D755" i="13"/>
  <c r="E755" i="13"/>
  <c r="T755" i="13"/>
  <c r="U755" i="13"/>
  <c r="X755" i="13"/>
  <c r="Y755" i="13"/>
  <c r="Z755" i="13"/>
  <c r="V755" i="13"/>
  <c r="W755" i="13"/>
  <c r="B756" i="13"/>
  <c r="C756" i="13"/>
  <c r="F756" i="13"/>
  <c r="G756" i="13"/>
  <c r="H756" i="13"/>
  <c r="D756" i="13"/>
  <c r="E756" i="13"/>
  <c r="T756" i="13"/>
  <c r="U756" i="13"/>
  <c r="X756" i="13"/>
  <c r="Y756" i="13"/>
  <c r="Z756" i="13"/>
  <c r="V756" i="13"/>
  <c r="W756" i="13"/>
  <c r="B757" i="13"/>
  <c r="C757" i="13"/>
  <c r="F757" i="13"/>
  <c r="G757" i="13"/>
  <c r="H757" i="13"/>
  <c r="D757" i="13"/>
  <c r="E757" i="13"/>
  <c r="T757" i="13"/>
  <c r="U757" i="13"/>
  <c r="X757" i="13"/>
  <c r="Y757" i="13"/>
  <c r="Z757" i="13"/>
  <c r="V757" i="13"/>
  <c r="W757" i="13"/>
  <c r="B758" i="13"/>
  <c r="C758" i="13"/>
  <c r="F758" i="13"/>
  <c r="G758" i="13"/>
  <c r="H758" i="13"/>
  <c r="D758" i="13"/>
  <c r="E758" i="13"/>
  <c r="T758" i="13"/>
  <c r="U758" i="13"/>
  <c r="X758" i="13"/>
  <c r="Y758" i="13"/>
  <c r="Z758" i="13"/>
  <c r="V758" i="13"/>
  <c r="W758" i="13"/>
  <c r="B759" i="13"/>
  <c r="C759" i="13"/>
  <c r="F759" i="13"/>
  <c r="G759" i="13"/>
  <c r="H759" i="13"/>
  <c r="D759" i="13"/>
  <c r="E759" i="13"/>
  <c r="T759" i="13"/>
  <c r="U759" i="13"/>
  <c r="X759" i="13"/>
  <c r="Y759" i="13"/>
  <c r="Z759" i="13"/>
  <c r="V759" i="13"/>
  <c r="W759" i="13"/>
  <c r="B760" i="13"/>
  <c r="C760" i="13"/>
  <c r="F760" i="13"/>
  <c r="G760" i="13"/>
  <c r="H760" i="13"/>
  <c r="D760" i="13"/>
  <c r="E760" i="13"/>
  <c r="T760" i="13"/>
  <c r="U760" i="13"/>
  <c r="X760" i="13"/>
  <c r="Y760" i="13"/>
  <c r="Z760" i="13"/>
  <c r="V760" i="13"/>
  <c r="W760" i="13"/>
  <c r="B761" i="13"/>
  <c r="C761" i="13"/>
  <c r="F761" i="13"/>
  <c r="G761" i="13"/>
  <c r="H761" i="13"/>
  <c r="D761" i="13"/>
  <c r="E761" i="13"/>
  <c r="T761" i="13"/>
  <c r="U761" i="13"/>
  <c r="X761" i="13"/>
  <c r="Y761" i="13"/>
  <c r="Z761" i="13"/>
  <c r="V761" i="13"/>
  <c r="W761" i="13"/>
  <c r="B762" i="13"/>
  <c r="C762" i="13"/>
  <c r="F762" i="13"/>
  <c r="G762" i="13"/>
  <c r="H762" i="13"/>
  <c r="D762" i="13"/>
  <c r="E762" i="13"/>
  <c r="T762" i="13"/>
  <c r="U762" i="13"/>
  <c r="X762" i="13"/>
  <c r="Y762" i="13"/>
  <c r="Z762" i="13"/>
  <c r="V762" i="13"/>
  <c r="W762" i="13"/>
  <c r="B763" i="13"/>
  <c r="C763" i="13"/>
  <c r="F763" i="13"/>
  <c r="G763" i="13"/>
  <c r="H763" i="13"/>
  <c r="D763" i="13"/>
  <c r="E763" i="13"/>
  <c r="T763" i="13"/>
  <c r="U763" i="13"/>
  <c r="X763" i="13"/>
  <c r="Y763" i="13"/>
  <c r="Z763" i="13"/>
  <c r="V763" i="13"/>
  <c r="W763" i="13"/>
  <c r="B764" i="13"/>
  <c r="C764" i="13"/>
  <c r="F764" i="13"/>
  <c r="G764" i="13"/>
  <c r="H764" i="13"/>
  <c r="D764" i="13"/>
  <c r="E764" i="13"/>
  <c r="T764" i="13"/>
  <c r="U764" i="13"/>
  <c r="X764" i="13"/>
  <c r="Y764" i="13"/>
  <c r="Z764" i="13"/>
  <c r="V764" i="13"/>
  <c r="W764" i="13"/>
  <c r="B765" i="13"/>
  <c r="C765" i="13"/>
  <c r="F765" i="13"/>
  <c r="G765" i="13"/>
  <c r="H765" i="13"/>
  <c r="D765" i="13"/>
  <c r="E765" i="13"/>
  <c r="T765" i="13"/>
  <c r="U765" i="13"/>
  <c r="X765" i="13"/>
  <c r="Y765" i="13"/>
  <c r="Z765" i="13"/>
  <c r="V765" i="13"/>
  <c r="W765" i="13"/>
  <c r="B766" i="13"/>
  <c r="C766" i="13"/>
  <c r="F766" i="13"/>
  <c r="G766" i="13"/>
  <c r="H766" i="13"/>
  <c r="D766" i="13"/>
  <c r="E766" i="13"/>
  <c r="T766" i="13"/>
  <c r="U766" i="13"/>
  <c r="X766" i="13"/>
  <c r="Y766" i="13"/>
  <c r="Z766" i="13"/>
  <c r="V766" i="13"/>
  <c r="W766" i="13"/>
  <c r="B767" i="13"/>
  <c r="C767" i="13"/>
  <c r="F767" i="13"/>
  <c r="G767" i="13"/>
  <c r="H767" i="13"/>
  <c r="D767" i="13"/>
  <c r="E767" i="13"/>
  <c r="T767" i="13"/>
  <c r="U767" i="13"/>
  <c r="X767" i="13"/>
  <c r="Y767" i="13"/>
  <c r="Z767" i="13"/>
  <c r="V767" i="13"/>
  <c r="W767" i="13"/>
  <c r="B768" i="13"/>
  <c r="C768" i="13"/>
  <c r="F768" i="13"/>
  <c r="G768" i="13"/>
  <c r="H768" i="13"/>
  <c r="D768" i="13"/>
  <c r="E768" i="13"/>
  <c r="T768" i="13"/>
  <c r="U768" i="13"/>
  <c r="X768" i="13"/>
  <c r="Y768" i="13"/>
  <c r="Z768" i="13"/>
  <c r="V768" i="13"/>
  <c r="W768" i="13"/>
  <c r="B769" i="13"/>
  <c r="C769" i="13"/>
  <c r="F769" i="13"/>
  <c r="G769" i="13"/>
  <c r="H769" i="13"/>
  <c r="D769" i="13"/>
  <c r="E769" i="13"/>
  <c r="T769" i="13"/>
  <c r="U769" i="13"/>
  <c r="X769" i="13"/>
  <c r="Y769" i="13"/>
  <c r="Z769" i="13"/>
  <c r="V769" i="13"/>
  <c r="W769" i="13"/>
  <c r="B770" i="13"/>
  <c r="C770" i="13"/>
  <c r="F770" i="13"/>
  <c r="G770" i="13"/>
  <c r="H770" i="13"/>
  <c r="D770" i="13"/>
  <c r="E770" i="13"/>
  <c r="T770" i="13"/>
  <c r="U770" i="13"/>
  <c r="X770" i="13"/>
  <c r="Y770" i="13"/>
  <c r="Z770" i="13"/>
  <c r="V770" i="13"/>
  <c r="W770" i="13"/>
  <c r="B771" i="13"/>
  <c r="C771" i="13"/>
  <c r="F771" i="13"/>
  <c r="G771" i="13"/>
  <c r="H771" i="13"/>
  <c r="D771" i="13"/>
  <c r="E771" i="13"/>
  <c r="T771" i="13"/>
  <c r="U771" i="13"/>
  <c r="X771" i="13"/>
  <c r="Y771" i="13"/>
  <c r="Z771" i="13"/>
  <c r="V771" i="13"/>
  <c r="W771" i="13"/>
  <c r="B772" i="13"/>
  <c r="C772" i="13"/>
  <c r="F772" i="13"/>
  <c r="G772" i="13"/>
  <c r="H772" i="13"/>
  <c r="D772" i="13"/>
  <c r="E772" i="13"/>
  <c r="T772" i="13"/>
  <c r="U772" i="13"/>
  <c r="X772" i="13"/>
  <c r="Y772" i="13"/>
  <c r="Z772" i="13"/>
  <c r="V772" i="13"/>
  <c r="W772" i="13"/>
  <c r="B773" i="13"/>
  <c r="C773" i="13"/>
  <c r="F773" i="13"/>
  <c r="G773" i="13"/>
  <c r="H773" i="13"/>
  <c r="D773" i="13"/>
  <c r="E773" i="13"/>
  <c r="T773" i="13"/>
  <c r="U773" i="13"/>
  <c r="X773" i="13"/>
  <c r="Y773" i="13"/>
  <c r="Z773" i="13"/>
  <c r="V773" i="13"/>
  <c r="W773" i="13"/>
  <c r="B774" i="13"/>
  <c r="C774" i="13"/>
  <c r="F774" i="13"/>
  <c r="G774" i="13"/>
  <c r="H774" i="13"/>
  <c r="D774" i="13"/>
  <c r="E774" i="13"/>
  <c r="T774" i="13"/>
  <c r="U774" i="13"/>
  <c r="X774" i="13"/>
  <c r="Y774" i="13"/>
  <c r="Z774" i="13"/>
  <c r="V774" i="13"/>
  <c r="W774" i="13"/>
  <c r="B775" i="13"/>
  <c r="C775" i="13"/>
  <c r="F775" i="13"/>
  <c r="G775" i="13"/>
  <c r="H775" i="13"/>
  <c r="D775" i="13"/>
  <c r="E775" i="13"/>
  <c r="T775" i="13"/>
  <c r="U775" i="13"/>
  <c r="X775" i="13"/>
  <c r="Y775" i="13"/>
  <c r="Z775" i="13"/>
  <c r="V775" i="13"/>
  <c r="W775" i="13"/>
  <c r="B776" i="13"/>
  <c r="C776" i="13"/>
  <c r="F776" i="13"/>
  <c r="G776" i="13"/>
  <c r="H776" i="13"/>
  <c r="D776" i="13"/>
  <c r="E776" i="13"/>
  <c r="T776" i="13"/>
  <c r="U776" i="13"/>
  <c r="X776" i="13"/>
  <c r="Y776" i="13"/>
  <c r="Z776" i="13"/>
  <c r="V776" i="13"/>
  <c r="W776" i="13"/>
  <c r="B777" i="13"/>
  <c r="C777" i="13"/>
  <c r="F777" i="13"/>
  <c r="G777" i="13"/>
  <c r="H777" i="13"/>
  <c r="D777" i="13"/>
  <c r="E777" i="13"/>
  <c r="T777" i="13"/>
  <c r="U777" i="13"/>
  <c r="X777" i="13"/>
  <c r="Y777" i="13"/>
  <c r="Z777" i="13"/>
  <c r="V777" i="13"/>
  <c r="W777" i="13"/>
  <c r="B778" i="13"/>
  <c r="C778" i="13"/>
  <c r="F778" i="13"/>
  <c r="G778" i="13"/>
  <c r="H778" i="13"/>
  <c r="D778" i="13"/>
  <c r="E778" i="13"/>
  <c r="T778" i="13"/>
  <c r="U778" i="13"/>
  <c r="X778" i="13"/>
  <c r="Y778" i="13"/>
  <c r="Z778" i="13"/>
  <c r="V778" i="13"/>
  <c r="W778" i="13"/>
  <c r="B779" i="13"/>
  <c r="C779" i="13"/>
  <c r="F779" i="13"/>
  <c r="G779" i="13"/>
  <c r="H779" i="13"/>
  <c r="D779" i="13"/>
  <c r="E779" i="13"/>
  <c r="T779" i="13"/>
  <c r="U779" i="13"/>
  <c r="X779" i="13"/>
  <c r="Y779" i="13"/>
  <c r="Z779" i="13"/>
  <c r="V779" i="13"/>
  <c r="W779" i="13"/>
  <c r="B780" i="13"/>
  <c r="C780" i="13"/>
  <c r="F780" i="13"/>
  <c r="G780" i="13"/>
  <c r="H780" i="13"/>
  <c r="D780" i="13"/>
  <c r="E780" i="13"/>
  <c r="T780" i="13"/>
  <c r="U780" i="13"/>
  <c r="X780" i="13"/>
  <c r="Y780" i="13"/>
  <c r="Z780" i="13"/>
  <c r="V780" i="13"/>
  <c r="W780" i="13"/>
  <c r="B781" i="13"/>
  <c r="C781" i="13"/>
  <c r="F781" i="13"/>
  <c r="G781" i="13"/>
  <c r="H781" i="13"/>
  <c r="D781" i="13"/>
  <c r="E781" i="13"/>
  <c r="T781" i="13"/>
  <c r="U781" i="13"/>
  <c r="X781" i="13"/>
  <c r="Y781" i="13"/>
  <c r="Z781" i="13"/>
  <c r="V781" i="13"/>
  <c r="W781" i="13"/>
  <c r="B782" i="13"/>
  <c r="C782" i="13"/>
  <c r="F782" i="13"/>
  <c r="G782" i="13"/>
  <c r="H782" i="13"/>
  <c r="D782" i="13"/>
  <c r="E782" i="13"/>
  <c r="T782" i="13"/>
  <c r="U782" i="13"/>
  <c r="X782" i="13"/>
  <c r="Y782" i="13"/>
  <c r="Z782" i="13"/>
  <c r="V782" i="13"/>
  <c r="W782" i="13"/>
  <c r="B783" i="13"/>
  <c r="C783" i="13"/>
  <c r="F783" i="13"/>
  <c r="G783" i="13"/>
  <c r="H783" i="13"/>
  <c r="D783" i="13"/>
  <c r="E783" i="13"/>
  <c r="T783" i="13"/>
  <c r="U783" i="13"/>
  <c r="X783" i="13"/>
  <c r="Y783" i="13"/>
  <c r="Z783" i="13"/>
  <c r="V783" i="13"/>
  <c r="W783" i="13"/>
  <c r="B784" i="13"/>
  <c r="C784" i="13"/>
  <c r="F784" i="13"/>
  <c r="G784" i="13"/>
  <c r="H784" i="13"/>
  <c r="D784" i="13"/>
  <c r="E784" i="13"/>
  <c r="T784" i="13"/>
  <c r="U784" i="13"/>
  <c r="X784" i="13"/>
  <c r="Y784" i="13"/>
  <c r="Z784" i="13"/>
  <c r="V784" i="13"/>
  <c r="W784" i="13"/>
  <c r="B785" i="13"/>
  <c r="C785" i="13"/>
  <c r="F785" i="13"/>
  <c r="G785" i="13"/>
  <c r="H785" i="13"/>
  <c r="D785" i="13"/>
  <c r="E785" i="13"/>
  <c r="T785" i="13"/>
  <c r="U785" i="13"/>
  <c r="X785" i="13"/>
  <c r="Y785" i="13"/>
  <c r="Z785" i="13"/>
  <c r="V785" i="13"/>
  <c r="W785" i="13"/>
  <c r="B786" i="13"/>
  <c r="C786" i="13"/>
  <c r="F786" i="13"/>
  <c r="G786" i="13"/>
  <c r="H786" i="13"/>
  <c r="D786" i="13"/>
  <c r="E786" i="13"/>
  <c r="T786" i="13"/>
  <c r="U786" i="13"/>
  <c r="X786" i="13"/>
  <c r="Y786" i="13"/>
  <c r="Z786" i="13"/>
  <c r="V786" i="13"/>
  <c r="W786" i="13"/>
  <c r="B787" i="13"/>
  <c r="C787" i="13"/>
  <c r="F787" i="13"/>
  <c r="G787" i="13"/>
  <c r="H787" i="13"/>
  <c r="D787" i="13"/>
  <c r="E787" i="13"/>
  <c r="T787" i="13"/>
  <c r="U787" i="13"/>
  <c r="X787" i="13"/>
  <c r="Y787" i="13"/>
  <c r="Z787" i="13"/>
  <c r="V787" i="13"/>
  <c r="W787" i="13"/>
  <c r="B788" i="13"/>
  <c r="C788" i="13"/>
  <c r="F788" i="13"/>
  <c r="G788" i="13"/>
  <c r="H788" i="13"/>
  <c r="D788" i="13"/>
  <c r="E788" i="13"/>
  <c r="T788" i="13"/>
  <c r="U788" i="13"/>
  <c r="X788" i="13"/>
  <c r="Y788" i="13"/>
  <c r="Z788" i="13"/>
  <c r="V788" i="13"/>
  <c r="W788" i="13"/>
  <c r="B789" i="13"/>
  <c r="C789" i="13"/>
  <c r="F789" i="13"/>
  <c r="G789" i="13"/>
  <c r="H789" i="13"/>
  <c r="D789" i="13"/>
  <c r="E789" i="13"/>
  <c r="T789" i="13"/>
  <c r="U789" i="13"/>
  <c r="X789" i="13"/>
  <c r="Y789" i="13"/>
  <c r="Z789" i="13"/>
  <c r="V789" i="13"/>
  <c r="W789" i="13"/>
  <c r="B790" i="13"/>
  <c r="C790" i="13"/>
  <c r="F790" i="13"/>
  <c r="G790" i="13"/>
  <c r="H790" i="13"/>
  <c r="D790" i="13"/>
  <c r="E790" i="13"/>
  <c r="T790" i="13"/>
  <c r="U790" i="13"/>
  <c r="X790" i="13"/>
  <c r="Y790" i="13"/>
  <c r="Z790" i="13"/>
  <c r="V790" i="13"/>
  <c r="W790" i="13"/>
  <c r="B791" i="13"/>
  <c r="C791" i="13"/>
  <c r="F791" i="13"/>
  <c r="G791" i="13"/>
  <c r="H791" i="13"/>
  <c r="D791" i="13"/>
  <c r="E791" i="13"/>
  <c r="T791" i="13"/>
  <c r="U791" i="13"/>
  <c r="X791" i="13"/>
  <c r="Y791" i="13"/>
  <c r="Z791" i="13"/>
  <c r="V791" i="13"/>
  <c r="W791" i="13"/>
  <c r="B792" i="13"/>
  <c r="C792" i="13"/>
  <c r="F792" i="13"/>
  <c r="G792" i="13"/>
  <c r="H792" i="13"/>
  <c r="D792" i="13"/>
  <c r="E792" i="13"/>
  <c r="T792" i="13"/>
  <c r="U792" i="13"/>
  <c r="X792" i="13"/>
  <c r="Y792" i="13"/>
  <c r="Z792" i="13"/>
  <c r="V792" i="13"/>
  <c r="W792" i="13"/>
  <c r="B793" i="13"/>
  <c r="C793" i="13"/>
  <c r="F793" i="13"/>
  <c r="G793" i="13"/>
  <c r="H793" i="13"/>
  <c r="D793" i="13"/>
  <c r="E793" i="13"/>
  <c r="T793" i="13"/>
  <c r="U793" i="13"/>
  <c r="X793" i="13"/>
  <c r="Y793" i="13"/>
  <c r="Z793" i="13"/>
  <c r="V793" i="13"/>
  <c r="W793" i="13"/>
  <c r="B794" i="13"/>
  <c r="C794" i="13"/>
  <c r="F794" i="13"/>
  <c r="G794" i="13"/>
  <c r="H794" i="13"/>
  <c r="D794" i="13"/>
  <c r="E794" i="13"/>
  <c r="T794" i="13"/>
  <c r="U794" i="13"/>
  <c r="X794" i="13"/>
  <c r="Y794" i="13"/>
  <c r="Z794" i="13"/>
  <c r="V794" i="13"/>
  <c r="W794" i="13"/>
  <c r="B795" i="13"/>
  <c r="C795" i="13"/>
  <c r="F795" i="13"/>
  <c r="G795" i="13"/>
  <c r="H795" i="13"/>
  <c r="D795" i="13"/>
  <c r="E795" i="13"/>
  <c r="T795" i="13"/>
  <c r="U795" i="13"/>
  <c r="X795" i="13"/>
  <c r="Y795" i="13"/>
  <c r="Z795" i="13"/>
  <c r="V795" i="13"/>
  <c r="W795" i="13"/>
  <c r="B796" i="13"/>
  <c r="C796" i="13"/>
  <c r="F796" i="13"/>
  <c r="G796" i="13"/>
  <c r="H796" i="13"/>
  <c r="D796" i="13"/>
  <c r="E796" i="13"/>
  <c r="T796" i="13"/>
  <c r="U796" i="13"/>
  <c r="X796" i="13"/>
  <c r="Y796" i="13"/>
  <c r="Z796" i="13"/>
  <c r="V796" i="13"/>
  <c r="W796" i="13"/>
  <c r="B797" i="13"/>
  <c r="C797" i="13"/>
  <c r="F797" i="13"/>
  <c r="G797" i="13"/>
  <c r="H797" i="13"/>
  <c r="D797" i="13"/>
  <c r="E797" i="13"/>
  <c r="T797" i="13"/>
  <c r="U797" i="13"/>
  <c r="X797" i="13"/>
  <c r="Y797" i="13"/>
  <c r="Z797" i="13"/>
  <c r="V797" i="13"/>
  <c r="W797" i="13"/>
  <c r="B798" i="13"/>
  <c r="C798" i="13"/>
  <c r="F798" i="13"/>
  <c r="G798" i="13"/>
  <c r="H798" i="13"/>
  <c r="D798" i="13"/>
  <c r="E798" i="13"/>
  <c r="T798" i="13"/>
  <c r="U798" i="13"/>
  <c r="X798" i="13"/>
  <c r="Y798" i="13"/>
  <c r="Z798" i="13"/>
  <c r="V798" i="13"/>
  <c r="W798" i="13"/>
  <c r="B799" i="13"/>
  <c r="C799" i="13"/>
  <c r="F799" i="13"/>
  <c r="G799" i="13"/>
  <c r="H799" i="13"/>
  <c r="D799" i="13"/>
  <c r="E799" i="13"/>
  <c r="T799" i="13"/>
  <c r="U799" i="13"/>
  <c r="X799" i="13"/>
  <c r="Y799" i="13"/>
  <c r="Z799" i="13"/>
  <c r="V799" i="13"/>
  <c r="W799" i="13"/>
  <c r="B800" i="13"/>
  <c r="C800" i="13"/>
  <c r="F800" i="13"/>
  <c r="G800" i="13"/>
  <c r="H800" i="13"/>
  <c r="D800" i="13"/>
  <c r="E800" i="13"/>
  <c r="T800" i="13"/>
  <c r="U800" i="13"/>
  <c r="X800" i="13"/>
  <c r="Y800" i="13"/>
  <c r="Z800" i="13"/>
  <c r="V800" i="13"/>
  <c r="W800" i="13"/>
  <c r="B801" i="13"/>
  <c r="C801" i="13"/>
  <c r="F801" i="13"/>
  <c r="G801" i="13"/>
  <c r="H801" i="13"/>
  <c r="D801" i="13"/>
  <c r="E801" i="13"/>
  <c r="T801" i="13"/>
  <c r="U801" i="13"/>
  <c r="X801" i="13"/>
  <c r="Y801" i="13"/>
  <c r="Z801" i="13"/>
  <c r="V801" i="13"/>
  <c r="W801" i="13"/>
  <c r="B802" i="13"/>
  <c r="C802" i="13"/>
  <c r="F802" i="13"/>
  <c r="G802" i="13"/>
  <c r="H802" i="13"/>
  <c r="D802" i="13"/>
  <c r="E802" i="13"/>
  <c r="T802" i="13"/>
  <c r="U802" i="13"/>
  <c r="X802" i="13"/>
  <c r="Y802" i="13"/>
  <c r="Z802" i="13"/>
  <c r="V802" i="13"/>
  <c r="W802" i="13"/>
  <c r="B803" i="13"/>
  <c r="C803" i="13"/>
  <c r="F803" i="13"/>
  <c r="G803" i="13"/>
  <c r="H803" i="13"/>
  <c r="D803" i="13"/>
  <c r="E803" i="13"/>
  <c r="T803" i="13"/>
  <c r="U803" i="13"/>
  <c r="X803" i="13"/>
  <c r="Y803" i="13"/>
  <c r="Z803" i="13"/>
  <c r="V803" i="13"/>
  <c r="W803" i="13"/>
  <c r="B804" i="13"/>
  <c r="C804" i="13"/>
  <c r="F804" i="13"/>
  <c r="G804" i="13"/>
  <c r="H804" i="13"/>
  <c r="D804" i="13"/>
  <c r="E804" i="13"/>
  <c r="T804" i="13"/>
  <c r="U804" i="13"/>
  <c r="X804" i="13"/>
  <c r="Y804" i="13"/>
  <c r="Z804" i="13"/>
  <c r="V804" i="13"/>
  <c r="W804" i="13"/>
  <c r="B805" i="13"/>
  <c r="C805" i="13"/>
  <c r="F805" i="13"/>
  <c r="G805" i="13"/>
  <c r="H805" i="13"/>
  <c r="D805" i="13"/>
  <c r="E805" i="13"/>
  <c r="T805" i="13"/>
  <c r="U805" i="13"/>
  <c r="X805" i="13"/>
  <c r="Y805" i="13"/>
  <c r="Z805" i="13"/>
  <c r="V805" i="13"/>
  <c r="W805" i="13"/>
  <c r="B806" i="13"/>
  <c r="C806" i="13"/>
  <c r="F806" i="13"/>
  <c r="G806" i="13"/>
  <c r="H806" i="13"/>
  <c r="D806" i="13"/>
  <c r="E806" i="13"/>
  <c r="T806" i="13"/>
  <c r="U806" i="13"/>
  <c r="X806" i="13"/>
  <c r="Y806" i="13"/>
  <c r="Z806" i="13"/>
  <c r="V806" i="13"/>
  <c r="W806" i="13"/>
  <c r="B807" i="13"/>
  <c r="C807" i="13"/>
  <c r="F807" i="13"/>
  <c r="G807" i="13"/>
  <c r="H807" i="13"/>
  <c r="D807" i="13"/>
  <c r="E807" i="13"/>
  <c r="T807" i="13"/>
  <c r="U807" i="13"/>
  <c r="X807" i="13"/>
  <c r="Y807" i="13"/>
  <c r="Z807" i="13"/>
  <c r="V807" i="13"/>
  <c r="W807" i="13"/>
  <c r="B808" i="13"/>
  <c r="C808" i="13"/>
  <c r="F808" i="13"/>
  <c r="G808" i="13"/>
  <c r="H808" i="13"/>
  <c r="D808" i="13"/>
  <c r="E808" i="13"/>
  <c r="T808" i="13"/>
  <c r="U808" i="13"/>
  <c r="X808" i="13"/>
  <c r="Y808" i="13"/>
  <c r="Z808" i="13"/>
  <c r="V808" i="13"/>
  <c r="W808" i="13"/>
  <c r="B809" i="13"/>
  <c r="C809" i="13"/>
  <c r="F809" i="13"/>
  <c r="G809" i="13"/>
  <c r="H809" i="13"/>
  <c r="D809" i="13"/>
  <c r="E809" i="13"/>
  <c r="T809" i="13"/>
  <c r="U809" i="13"/>
  <c r="X809" i="13"/>
  <c r="Y809" i="13"/>
  <c r="Z809" i="13"/>
  <c r="V809" i="13"/>
  <c r="W809" i="13"/>
  <c r="B810" i="13"/>
  <c r="C810" i="13"/>
  <c r="F810" i="13"/>
  <c r="G810" i="13"/>
  <c r="H810" i="13"/>
  <c r="D810" i="13"/>
  <c r="E810" i="13"/>
  <c r="T810" i="13"/>
  <c r="U810" i="13"/>
  <c r="X810" i="13"/>
  <c r="Y810" i="13"/>
  <c r="Z810" i="13"/>
  <c r="V810" i="13"/>
  <c r="W810" i="13"/>
  <c r="B811" i="13"/>
  <c r="C811" i="13"/>
  <c r="F811" i="13"/>
  <c r="G811" i="13"/>
  <c r="H811" i="13"/>
  <c r="D811" i="13"/>
  <c r="E811" i="13"/>
  <c r="T811" i="13"/>
  <c r="U811" i="13"/>
  <c r="X811" i="13"/>
  <c r="Y811" i="13"/>
  <c r="Z811" i="13"/>
  <c r="V811" i="13"/>
  <c r="W811" i="13"/>
  <c r="B812" i="13"/>
  <c r="C812" i="13"/>
  <c r="F812" i="13"/>
  <c r="G812" i="13"/>
  <c r="H812" i="13"/>
  <c r="D812" i="13"/>
  <c r="E812" i="13"/>
  <c r="T812" i="13"/>
  <c r="U812" i="13"/>
  <c r="X812" i="13"/>
  <c r="Y812" i="13"/>
  <c r="Z812" i="13"/>
  <c r="V812" i="13"/>
  <c r="W812" i="13"/>
  <c r="B813" i="13"/>
  <c r="C813" i="13"/>
  <c r="F813" i="13"/>
  <c r="G813" i="13"/>
  <c r="H813" i="13"/>
  <c r="D813" i="13"/>
  <c r="E813" i="13"/>
  <c r="T813" i="13"/>
  <c r="U813" i="13"/>
  <c r="X813" i="13"/>
  <c r="Y813" i="13"/>
  <c r="Z813" i="13"/>
  <c r="V813" i="13"/>
  <c r="W813" i="13"/>
  <c r="B814" i="13"/>
  <c r="C814" i="13"/>
  <c r="F814" i="13"/>
  <c r="G814" i="13"/>
  <c r="H814" i="13"/>
  <c r="D814" i="13"/>
  <c r="E814" i="13"/>
  <c r="T814" i="13"/>
  <c r="U814" i="13"/>
  <c r="X814" i="13"/>
  <c r="Y814" i="13"/>
  <c r="Z814" i="13"/>
  <c r="V814" i="13"/>
  <c r="W814" i="13"/>
  <c r="B815" i="13"/>
  <c r="C815" i="13"/>
  <c r="F815" i="13"/>
  <c r="G815" i="13"/>
  <c r="H815" i="13"/>
  <c r="D815" i="13"/>
  <c r="E815" i="13"/>
  <c r="T815" i="13"/>
  <c r="U815" i="13"/>
  <c r="X815" i="13"/>
  <c r="Y815" i="13"/>
  <c r="Z815" i="13"/>
  <c r="V815" i="13"/>
  <c r="W815" i="13"/>
  <c r="B816" i="13"/>
  <c r="C816" i="13"/>
  <c r="F816" i="13"/>
  <c r="G816" i="13"/>
  <c r="H816" i="13"/>
  <c r="D816" i="13"/>
  <c r="E816" i="13"/>
  <c r="T816" i="13"/>
  <c r="U816" i="13"/>
  <c r="X816" i="13"/>
  <c r="Y816" i="13"/>
  <c r="Z816" i="13"/>
  <c r="V816" i="13"/>
  <c r="W816" i="13"/>
  <c r="B817" i="13"/>
  <c r="C817" i="13"/>
  <c r="F817" i="13"/>
  <c r="G817" i="13"/>
  <c r="H817" i="13"/>
  <c r="D817" i="13"/>
  <c r="E817" i="13"/>
  <c r="T817" i="13"/>
  <c r="U817" i="13"/>
  <c r="X817" i="13"/>
  <c r="Y817" i="13"/>
  <c r="Z817" i="13"/>
  <c r="V817" i="13"/>
  <c r="W817" i="13"/>
  <c r="B818" i="13"/>
  <c r="C818" i="13"/>
  <c r="F818" i="13"/>
  <c r="G818" i="13"/>
  <c r="H818" i="13"/>
  <c r="D818" i="13"/>
  <c r="E818" i="13"/>
  <c r="T818" i="13"/>
  <c r="U818" i="13"/>
  <c r="X818" i="13"/>
  <c r="Y818" i="13"/>
  <c r="Z818" i="13"/>
  <c r="V818" i="13"/>
  <c r="W818" i="13"/>
  <c r="B819" i="13"/>
  <c r="C819" i="13"/>
  <c r="F819" i="13"/>
  <c r="G819" i="13"/>
  <c r="H819" i="13"/>
  <c r="D819" i="13"/>
  <c r="E819" i="13"/>
  <c r="T819" i="13"/>
  <c r="U819" i="13"/>
  <c r="X819" i="13"/>
  <c r="Y819" i="13"/>
  <c r="Z819" i="13"/>
  <c r="V819" i="13"/>
  <c r="W819" i="13"/>
  <c r="B820" i="13"/>
  <c r="C820" i="13"/>
  <c r="F820" i="13"/>
  <c r="G820" i="13"/>
  <c r="H820" i="13"/>
  <c r="D820" i="13"/>
  <c r="E820" i="13"/>
  <c r="T820" i="13"/>
  <c r="U820" i="13"/>
  <c r="X820" i="13"/>
  <c r="Y820" i="13"/>
  <c r="Z820" i="13"/>
  <c r="V820" i="13"/>
  <c r="W820" i="13"/>
  <c r="B821" i="13"/>
  <c r="C821" i="13"/>
  <c r="F821" i="13"/>
  <c r="G821" i="13"/>
  <c r="H821" i="13"/>
  <c r="D821" i="13"/>
  <c r="E821" i="13"/>
  <c r="T821" i="13"/>
  <c r="U821" i="13"/>
  <c r="X821" i="13"/>
  <c r="Y821" i="13"/>
  <c r="Z821" i="13"/>
  <c r="V821" i="13"/>
  <c r="W821" i="13"/>
  <c r="B822" i="13"/>
  <c r="C822" i="13"/>
  <c r="F822" i="13"/>
  <c r="G822" i="13"/>
  <c r="H822" i="13"/>
  <c r="D822" i="13"/>
  <c r="E822" i="13"/>
  <c r="T822" i="13"/>
  <c r="U822" i="13"/>
  <c r="X822" i="13"/>
  <c r="Y822" i="13"/>
  <c r="Z822" i="13"/>
  <c r="V822" i="13"/>
  <c r="W822" i="13"/>
  <c r="B823" i="13"/>
  <c r="C823" i="13"/>
  <c r="F823" i="13"/>
  <c r="G823" i="13"/>
  <c r="H823" i="13"/>
  <c r="D823" i="13"/>
  <c r="E823" i="13"/>
  <c r="T823" i="13"/>
  <c r="U823" i="13"/>
  <c r="X823" i="13"/>
  <c r="Y823" i="13"/>
  <c r="Z823" i="13"/>
  <c r="V823" i="13"/>
  <c r="W823" i="13"/>
  <c r="B824" i="13"/>
  <c r="C824" i="13"/>
  <c r="F824" i="13"/>
  <c r="G824" i="13"/>
  <c r="H824" i="13"/>
  <c r="D824" i="13"/>
  <c r="E824" i="13"/>
  <c r="T824" i="13"/>
  <c r="U824" i="13"/>
  <c r="X824" i="13"/>
  <c r="Y824" i="13"/>
  <c r="Z824" i="13"/>
  <c r="V824" i="13"/>
  <c r="W824" i="13"/>
  <c r="B825" i="13"/>
  <c r="C825" i="13"/>
  <c r="F825" i="13"/>
  <c r="G825" i="13"/>
  <c r="H825" i="13"/>
  <c r="D825" i="13"/>
  <c r="E825" i="13"/>
  <c r="T825" i="13"/>
  <c r="U825" i="13"/>
  <c r="X825" i="13"/>
  <c r="Y825" i="13"/>
  <c r="Z825" i="13"/>
  <c r="V825" i="13"/>
  <c r="W825" i="13"/>
  <c r="B826" i="13"/>
  <c r="C826" i="13"/>
  <c r="F826" i="13"/>
  <c r="G826" i="13"/>
  <c r="H826" i="13"/>
  <c r="D826" i="13"/>
  <c r="E826" i="13"/>
  <c r="T826" i="13"/>
  <c r="U826" i="13"/>
  <c r="X826" i="13"/>
  <c r="Y826" i="13"/>
  <c r="Z826" i="13"/>
  <c r="V826" i="13"/>
  <c r="W826" i="13"/>
  <c r="B827" i="13"/>
  <c r="C827" i="13"/>
  <c r="F827" i="13"/>
  <c r="G827" i="13"/>
  <c r="H827" i="13"/>
  <c r="D827" i="13"/>
  <c r="E827" i="13"/>
  <c r="T827" i="13"/>
  <c r="U827" i="13"/>
  <c r="X827" i="13"/>
  <c r="Y827" i="13"/>
  <c r="Z827" i="13"/>
  <c r="V827" i="13"/>
  <c r="W827" i="13"/>
  <c r="B828" i="13"/>
  <c r="C828" i="13"/>
  <c r="F828" i="13"/>
  <c r="G828" i="13"/>
  <c r="H828" i="13"/>
  <c r="D828" i="13"/>
  <c r="E828" i="13"/>
  <c r="T828" i="13"/>
  <c r="U828" i="13"/>
  <c r="X828" i="13"/>
  <c r="Y828" i="13"/>
  <c r="Z828" i="13"/>
  <c r="V828" i="13"/>
  <c r="W828" i="13"/>
  <c r="B829" i="13"/>
  <c r="C829" i="13"/>
  <c r="F829" i="13"/>
  <c r="G829" i="13"/>
  <c r="H829" i="13"/>
  <c r="D829" i="13"/>
  <c r="E829" i="13"/>
  <c r="T829" i="13"/>
  <c r="U829" i="13"/>
  <c r="X829" i="13"/>
  <c r="Y829" i="13"/>
  <c r="Z829" i="13"/>
  <c r="V829" i="13"/>
  <c r="W829" i="13"/>
  <c r="B830" i="13"/>
  <c r="C830" i="13"/>
  <c r="F830" i="13"/>
  <c r="G830" i="13"/>
  <c r="H830" i="13"/>
  <c r="D830" i="13"/>
  <c r="E830" i="13"/>
  <c r="T830" i="13"/>
  <c r="U830" i="13"/>
  <c r="X830" i="13"/>
  <c r="Y830" i="13"/>
  <c r="Z830" i="13"/>
  <c r="V830" i="13"/>
  <c r="W830" i="13"/>
  <c r="B831" i="13"/>
  <c r="C831" i="13"/>
  <c r="F831" i="13"/>
  <c r="G831" i="13"/>
  <c r="H831" i="13"/>
  <c r="D831" i="13"/>
  <c r="E831" i="13"/>
  <c r="T831" i="13"/>
  <c r="U831" i="13"/>
  <c r="X831" i="13"/>
  <c r="Y831" i="13"/>
  <c r="Z831" i="13"/>
  <c r="V831" i="13"/>
  <c r="W831" i="13"/>
  <c r="B832" i="13"/>
  <c r="C832" i="13"/>
  <c r="F832" i="13"/>
  <c r="G832" i="13"/>
  <c r="H832" i="13"/>
  <c r="D832" i="13"/>
  <c r="E832" i="13"/>
  <c r="T832" i="13"/>
  <c r="U832" i="13"/>
  <c r="X832" i="13"/>
  <c r="Y832" i="13"/>
  <c r="Z832" i="13"/>
  <c r="V832" i="13"/>
  <c r="W832" i="13"/>
  <c r="B833" i="13"/>
  <c r="C833" i="13"/>
  <c r="F833" i="13"/>
  <c r="G833" i="13"/>
  <c r="H833" i="13"/>
  <c r="D833" i="13"/>
  <c r="E833" i="13"/>
  <c r="T833" i="13"/>
  <c r="U833" i="13"/>
  <c r="X833" i="13"/>
  <c r="Y833" i="13"/>
  <c r="Z833" i="13"/>
  <c r="V833" i="13"/>
  <c r="W833" i="13"/>
  <c r="B834" i="13"/>
  <c r="C834" i="13"/>
  <c r="F834" i="13"/>
  <c r="G834" i="13"/>
  <c r="H834" i="13"/>
  <c r="D834" i="13"/>
  <c r="E834" i="13"/>
  <c r="T834" i="13"/>
  <c r="U834" i="13"/>
  <c r="X834" i="13"/>
  <c r="Y834" i="13"/>
  <c r="Z834" i="13"/>
  <c r="V834" i="13"/>
  <c r="W834" i="13"/>
  <c r="B835" i="13"/>
  <c r="C835" i="13"/>
  <c r="F835" i="13"/>
  <c r="G835" i="13"/>
  <c r="H835" i="13"/>
  <c r="D835" i="13"/>
  <c r="E835" i="13"/>
  <c r="T835" i="13"/>
  <c r="U835" i="13"/>
  <c r="X835" i="13"/>
  <c r="Y835" i="13"/>
  <c r="Z835" i="13"/>
  <c r="V835" i="13"/>
  <c r="W835" i="13"/>
  <c r="B836" i="13"/>
  <c r="C836" i="13"/>
  <c r="F836" i="13"/>
  <c r="G836" i="13"/>
  <c r="H836" i="13"/>
  <c r="D836" i="13"/>
  <c r="E836" i="13"/>
  <c r="T836" i="13"/>
  <c r="U836" i="13"/>
  <c r="X836" i="13"/>
  <c r="Y836" i="13"/>
  <c r="Z836" i="13"/>
  <c r="V836" i="13"/>
  <c r="W836" i="13"/>
  <c r="B837" i="13"/>
  <c r="C837" i="13"/>
  <c r="F837" i="13"/>
  <c r="G837" i="13"/>
  <c r="H837" i="13"/>
  <c r="D837" i="13"/>
  <c r="E837" i="13"/>
  <c r="T837" i="13"/>
  <c r="U837" i="13"/>
  <c r="X837" i="13"/>
  <c r="Y837" i="13"/>
  <c r="Z837" i="13"/>
  <c r="V837" i="13"/>
  <c r="W837" i="13"/>
  <c r="B838" i="13"/>
  <c r="C838" i="13"/>
  <c r="F838" i="13"/>
  <c r="G838" i="13"/>
  <c r="H838" i="13"/>
  <c r="D838" i="13"/>
  <c r="E838" i="13"/>
  <c r="T838" i="13"/>
  <c r="U838" i="13"/>
  <c r="X838" i="13"/>
  <c r="Y838" i="13"/>
  <c r="Z838" i="13"/>
  <c r="V838" i="13"/>
  <c r="W838" i="13"/>
  <c r="B839" i="13"/>
  <c r="C839" i="13"/>
  <c r="F839" i="13"/>
  <c r="G839" i="13"/>
  <c r="H839" i="13"/>
  <c r="D839" i="13"/>
  <c r="E839" i="13"/>
  <c r="T839" i="13"/>
  <c r="U839" i="13"/>
  <c r="X839" i="13"/>
  <c r="Y839" i="13"/>
  <c r="Z839" i="13"/>
  <c r="V839" i="13"/>
  <c r="W839" i="13"/>
  <c r="B840" i="13"/>
  <c r="C840" i="13"/>
  <c r="F840" i="13"/>
  <c r="G840" i="13"/>
  <c r="H840" i="13"/>
  <c r="D840" i="13"/>
  <c r="E840" i="13"/>
  <c r="T840" i="13"/>
  <c r="U840" i="13"/>
  <c r="X840" i="13"/>
  <c r="Y840" i="13"/>
  <c r="Z840" i="13"/>
  <c r="V840" i="13"/>
  <c r="W840" i="13"/>
  <c r="B841" i="13"/>
  <c r="C841" i="13"/>
  <c r="F841" i="13"/>
  <c r="G841" i="13"/>
  <c r="H841" i="13"/>
  <c r="D841" i="13"/>
  <c r="E841" i="13"/>
  <c r="T841" i="13"/>
  <c r="U841" i="13"/>
  <c r="X841" i="13"/>
  <c r="Y841" i="13"/>
  <c r="Z841" i="13"/>
  <c r="V841" i="13"/>
  <c r="W841" i="13"/>
  <c r="B842" i="13"/>
  <c r="C842" i="13"/>
  <c r="F842" i="13"/>
  <c r="G842" i="13"/>
  <c r="H842" i="13"/>
  <c r="D842" i="13"/>
  <c r="E842" i="13"/>
  <c r="T842" i="13"/>
  <c r="U842" i="13"/>
  <c r="X842" i="13"/>
  <c r="Y842" i="13"/>
  <c r="Z842" i="13"/>
  <c r="V842" i="13"/>
  <c r="W842" i="13"/>
  <c r="B843" i="13"/>
  <c r="C843" i="13"/>
  <c r="F843" i="13"/>
  <c r="G843" i="13"/>
  <c r="H843" i="13"/>
  <c r="D843" i="13"/>
  <c r="E843" i="13"/>
  <c r="T843" i="13"/>
  <c r="U843" i="13"/>
  <c r="X843" i="13"/>
  <c r="Y843" i="13"/>
  <c r="Z843" i="13"/>
  <c r="V843" i="13"/>
  <c r="W843" i="13"/>
  <c r="B844" i="13"/>
  <c r="C844" i="13"/>
  <c r="F844" i="13"/>
  <c r="G844" i="13"/>
  <c r="H844" i="13"/>
  <c r="D844" i="13"/>
  <c r="E844" i="13"/>
  <c r="T844" i="13"/>
  <c r="U844" i="13"/>
  <c r="X844" i="13"/>
  <c r="Y844" i="13"/>
  <c r="Z844" i="13"/>
  <c r="V844" i="13"/>
  <c r="W844" i="13"/>
  <c r="B845" i="13"/>
  <c r="C845" i="13"/>
  <c r="F845" i="13"/>
  <c r="G845" i="13"/>
  <c r="H845" i="13"/>
  <c r="D845" i="13"/>
  <c r="E845" i="13"/>
  <c r="T845" i="13"/>
  <c r="U845" i="13"/>
  <c r="X845" i="13"/>
  <c r="Y845" i="13"/>
  <c r="Z845" i="13"/>
  <c r="V845" i="13"/>
  <c r="W845" i="13"/>
  <c r="B846" i="13"/>
  <c r="C846" i="13"/>
  <c r="F846" i="13"/>
  <c r="G846" i="13"/>
  <c r="H846" i="13"/>
  <c r="D846" i="13"/>
  <c r="E846" i="13"/>
  <c r="T846" i="13"/>
  <c r="U846" i="13"/>
  <c r="X846" i="13"/>
  <c r="Y846" i="13"/>
  <c r="Z846" i="13"/>
  <c r="V846" i="13"/>
  <c r="W846" i="13"/>
  <c r="B847" i="13"/>
  <c r="C847" i="13"/>
  <c r="F847" i="13"/>
  <c r="G847" i="13"/>
  <c r="H847" i="13"/>
  <c r="D847" i="13"/>
  <c r="E847" i="13"/>
  <c r="T847" i="13"/>
  <c r="U847" i="13"/>
  <c r="X847" i="13"/>
  <c r="Y847" i="13"/>
  <c r="Z847" i="13"/>
  <c r="V847" i="13"/>
  <c r="W847" i="13"/>
  <c r="B848" i="13"/>
  <c r="C848" i="13"/>
  <c r="F848" i="13"/>
  <c r="G848" i="13"/>
  <c r="H848" i="13"/>
  <c r="D848" i="13"/>
  <c r="E848" i="13"/>
  <c r="T848" i="13"/>
  <c r="U848" i="13"/>
  <c r="X848" i="13"/>
  <c r="Y848" i="13"/>
  <c r="Z848" i="13"/>
  <c r="V848" i="13"/>
  <c r="W848" i="13"/>
  <c r="B849" i="13"/>
  <c r="C849" i="13"/>
  <c r="F849" i="13"/>
  <c r="G849" i="13"/>
  <c r="H849" i="13"/>
  <c r="D849" i="13"/>
  <c r="E849" i="13"/>
  <c r="T849" i="13"/>
  <c r="U849" i="13"/>
  <c r="X849" i="13"/>
  <c r="Y849" i="13"/>
  <c r="Z849" i="13"/>
  <c r="V849" i="13"/>
  <c r="W849" i="13"/>
  <c r="B850" i="13"/>
  <c r="C850" i="13"/>
  <c r="F850" i="13"/>
  <c r="G850" i="13"/>
  <c r="H850" i="13"/>
  <c r="D850" i="13"/>
  <c r="E850" i="13"/>
  <c r="T850" i="13"/>
  <c r="U850" i="13"/>
  <c r="X850" i="13"/>
  <c r="Y850" i="13"/>
  <c r="Z850" i="13"/>
  <c r="V850" i="13"/>
  <c r="W850" i="13"/>
  <c r="B851" i="13"/>
  <c r="C851" i="13"/>
  <c r="F851" i="13"/>
  <c r="G851" i="13"/>
  <c r="H851" i="13"/>
  <c r="D851" i="13"/>
  <c r="E851" i="13"/>
  <c r="T851" i="13"/>
  <c r="U851" i="13"/>
  <c r="X851" i="13"/>
  <c r="Y851" i="13"/>
  <c r="Z851" i="13"/>
  <c r="V851" i="13"/>
  <c r="W851" i="13"/>
  <c r="B852" i="13"/>
  <c r="C852" i="13"/>
  <c r="F852" i="13"/>
  <c r="G852" i="13"/>
  <c r="H852" i="13"/>
  <c r="D852" i="13"/>
  <c r="E852" i="13"/>
  <c r="T852" i="13"/>
  <c r="U852" i="13"/>
  <c r="X852" i="13"/>
  <c r="Y852" i="13"/>
  <c r="Z852" i="13"/>
  <c r="V852" i="13"/>
  <c r="W852" i="13"/>
  <c r="B853" i="13"/>
  <c r="C853" i="13"/>
  <c r="F853" i="13"/>
  <c r="G853" i="13"/>
  <c r="H853" i="13"/>
  <c r="D853" i="13"/>
  <c r="E853" i="13"/>
  <c r="T853" i="13"/>
  <c r="U853" i="13"/>
  <c r="X853" i="13"/>
  <c r="Y853" i="13"/>
  <c r="Z853" i="13"/>
  <c r="V853" i="13"/>
  <c r="W853" i="13"/>
  <c r="B854" i="13"/>
  <c r="C854" i="13"/>
  <c r="F854" i="13"/>
  <c r="G854" i="13"/>
  <c r="H854" i="13"/>
  <c r="D854" i="13"/>
  <c r="E854" i="13"/>
  <c r="T854" i="13"/>
  <c r="U854" i="13"/>
  <c r="X854" i="13"/>
  <c r="Y854" i="13"/>
  <c r="Z854" i="13"/>
  <c r="V854" i="13"/>
  <c r="W854" i="13"/>
  <c r="B855" i="13"/>
  <c r="C855" i="13"/>
  <c r="F855" i="13"/>
  <c r="G855" i="13"/>
  <c r="H855" i="13"/>
  <c r="D855" i="13"/>
  <c r="E855" i="13"/>
  <c r="T855" i="13"/>
  <c r="U855" i="13"/>
  <c r="X855" i="13"/>
  <c r="Y855" i="13"/>
  <c r="Z855" i="13"/>
  <c r="V855" i="13"/>
  <c r="W855" i="13"/>
  <c r="B856" i="13"/>
  <c r="C856" i="13"/>
  <c r="F856" i="13"/>
  <c r="G856" i="13"/>
  <c r="H856" i="13"/>
  <c r="D856" i="13"/>
  <c r="E856" i="13"/>
  <c r="T856" i="13"/>
  <c r="U856" i="13"/>
  <c r="X856" i="13"/>
  <c r="Y856" i="13"/>
  <c r="Z856" i="13"/>
  <c r="V856" i="13"/>
  <c r="W856" i="13"/>
  <c r="B857" i="13"/>
  <c r="C857" i="13"/>
  <c r="F857" i="13"/>
  <c r="G857" i="13"/>
  <c r="H857" i="13"/>
  <c r="D857" i="13"/>
  <c r="E857" i="13"/>
  <c r="T857" i="13"/>
  <c r="U857" i="13"/>
  <c r="X857" i="13"/>
  <c r="Y857" i="13"/>
  <c r="Z857" i="13"/>
  <c r="V857" i="13"/>
  <c r="W857" i="13"/>
  <c r="B858" i="13"/>
  <c r="C858" i="13"/>
  <c r="F858" i="13"/>
  <c r="G858" i="13"/>
  <c r="H858" i="13"/>
  <c r="D858" i="13"/>
  <c r="E858" i="13"/>
  <c r="T858" i="13"/>
  <c r="U858" i="13"/>
  <c r="X858" i="13"/>
  <c r="Y858" i="13"/>
  <c r="Z858" i="13"/>
  <c r="V858" i="13"/>
  <c r="W858" i="13"/>
  <c r="B859" i="13"/>
  <c r="C859" i="13"/>
  <c r="F859" i="13"/>
  <c r="G859" i="13"/>
  <c r="H859" i="13"/>
  <c r="D859" i="13"/>
  <c r="E859" i="13"/>
  <c r="T859" i="13"/>
  <c r="U859" i="13"/>
  <c r="X859" i="13"/>
  <c r="Y859" i="13"/>
  <c r="Z859" i="13"/>
  <c r="V859" i="13"/>
  <c r="W859" i="13"/>
  <c r="B860" i="13"/>
  <c r="C860" i="13"/>
  <c r="F860" i="13"/>
  <c r="G860" i="13"/>
  <c r="H860" i="13"/>
  <c r="D860" i="13"/>
  <c r="E860" i="13"/>
  <c r="T860" i="13"/>
  <c r="U860" i="13"/>
  <c r="X860" i="13"/>
  <c r="Y860" i="13"/>
  <c r="Z860" i="13"/>
  <c r="V860" i="13"/>
  <c r="W860" i="13"/>
  <c r="B861" i="13"/>
  <c r="C861" i="13"/>
  <c r="F861" i="13"/>
  <c r="G861" i="13"/>
  <c r="H861" i="13"/>
  <c r="D861" i="13"/>
  <c r="E861" i="13"/>
  <c r="T861" i="13"/>
  <c r="U861" i="13"/>
  <c r="X861" i="13"/>
  <c r="Y861" i="13"/>
  <c r="Z861" i="13"/>
  <c r="V861" i="13"/>
  <c r="W861" i="13"/>
  <c r="B862" i="13"/>
  <c r="C862" i="13"/>
  <c r="F862" i="13"/>
  <c r="G862" i="13"/>
  <c r="H862" i="13"/>
  <c r="D862" i="13"/>
  <c r="E862" i="13"/>
  <c r="T862" i="13"/>
  <c r="U862" i="13"/>
  <c r="X862" i="13"/>
  <c r="Y862" i="13"/>
  <c r="Z862" i="13"/>
  <c r="V862" i="13"/>
  <c r="W862" i="13"/>
  <c r="B863" i="13"/>
  <c r="C863" i="13"/>
  <c r="F863" i="13"/>
  <c r="G863" i="13"/>
  <c r="H863" i="13"/>
  <c r="D863" i="13"/>
  <c r="E863" i="13"/>
  <c r="T863" i="13"/>
  <c r="U863" i="13"/>
  <c r="X863" i="13"/>
  <c r="Y863" i="13"/>
  <c r="Z863" i="13"/>
  <c r="V863" i="13"/>
  <c r="W863" i="13"/>
  <c r="B864" i="13"/>
  <c r="C864" i="13"/>
  <c r="F864" i="13"/>
  <c r="G864" i="13"/>
  <c r="H864" i="13"/>
  <c r="D864" i="13"/>
  <c r="E864" i="13"/>
  <c r="T864" i="13"/>
  <c r="U864" i="13"/>
  <c r="X864" i="13"/>
  <c r="Y864" i="13"/>
  <c r="Z864" i="13"/>
  <c r="V864" i="13"/>
  <c r="W864" i="13"/>
  <c r="B865" i="13"/>
  <c r="C865" i="13"/>
  <c r="F865" i="13"/>
  <c r="G865" i="13"/>
  <c r="H865" i="13"/>
  <c r="D865" i="13"/>
  <c r="E865" i="13"/>
  <c r="T865" i="13"/>
  <c r="U865" i="13"/>
  <c r="X865" i="13"/>
  <c r="Y865" i="13"/>
  <c r="Z865" i="13"/>
  <c r="V865" i="13"/>
  <c r="W865" i="13"/>
  <c r="B866" i="13"/>
  <c r="C866" i="13"/>
  <c r="F866" i="13"/>
  <c r="G866" i="13"/>
  <c r="H866" i="13"/>
  <c r="D866" i="13"/>
  <c r="E866" i="13"/>
  <c r="T866" i="13"/>
  <c r="U866" i="13"/>
  <c r="X866" i="13"/>
  <c r="Y866" i="13"/>
  <c r="Z866" i="13"/>
  <c r="V866" i="13"/>
  <c r="W866" i="13"/>
  <c r="B867" i="13"/>
  <c r="C867" i="13"/>
  <c r="F867" i="13"/>
  <c r="G867" i="13"/>
  <c r="H867" i="13"/>
  <c r="D867" i="13"/>
  <c r="E867" i="13"/>
  <c r="T867" i="13"/>
  <c r="U867" i="13"/>
  <c r="X867" i="13"/>
  <c r="Y867" i="13"/>
  <c r="Z867" i="13"/>
  <c r="V867" i="13"/>
  <c r="W867" i="13"/>
  <c r="B868" i="13"/>
  <c r="C868" i="13"/>
  <c r="F868" i="13"/>
  <c r="G868" i="13"/>
  <c r="H868" i="13"/>
  <c r="D868" i="13"/>
  <c r="E868" i="13"/>
  <c r="T868" i="13"/>
  <c r="U868" i="13"/>
  <c r="X868" i="13"/>
  <c r="Y868" i="13"/>
  <c r="Z868" i="13"/>
  <c r="V868" i="13"/>
  <c r="W868" i="13"/>
  <c r="B869" i="13"/>
  <c r="C869" i="13"/>
  <c r="F869" i="13"/>
  <c r="G869" i="13"/>
  <c r="H869" i="13"/>
  <c r="D869" i="13"/>
  <c r="E869" i="13"/>
  <c r="T869" i="13"/>
  <c r="U869" i="13"/>
  <c r="X869" i="13"/>
  <c r="Y869" i="13"/>
  <c r="Z869" i="13"/>
  <c r="V869" i="13"/>
  <c r="W869" i="13"/>
  <c r="B870" i="13"/>
  <c r="C870" i="13"/>
  <c r="F870" i="13"/>
  <c r="G870" i="13"/>
  <c r="H870" i="13"/>
  <c r="D870" i="13"/>
  <c r="E870" i="13"/>
  <c r="T870" i="13"/>
  <c r="U870" i="13"/>
  <c r="X870" i="13"/>
  <c r="Y870" i="13"/>
  <c r="Z870" i="13"/>
  <c r="V870" i="13"/>
  <c r="W870" i="13"/>
  <c r="B871" i="13"/>
  <c r="C871" i="13"/>
  <c r="F871" i="13"/>
  <c r="G871" i="13"/>
  <c r="H871" i="13"/>
  <c r="D871" i="13"/>
  <c r="E871" i="13"/>
  <c r="T871" i="13"/>
  <c r="U871" i="13"/>
  <c r="X871" i="13"/>
  <c r="Y871" i="13"/>
  <c r="Z871" i="13"/>
  <c r="V871" i="13"/>
  <c r="W871" i="13"/>
  <c r="B872" i="13"/>
  <c r="C872" i="13"/>
  <c r="F872" i="13"/>
  <c r="G872" i="13"/>
  <c r="H872" i="13"/>
  <c r="D872" i="13"/>
  <c r="E872" i="13"/>
  <c r="T872" i="13"/>
  <c r="U872" i="13"/>
  <c r="X872" i="13"/>
  <c r="Y872" i="13"/>
  <c r="Z872" i="13"/>
  <c r="V872" i="13"/>
  <c r="W872" i="13"/>
  <c r="B873" i="13"/>
  <c r="C873" i="13"/>
  <c r="F873" i="13"/>
  <c r="G873" i="13"/>
  <c r="H873" i="13"/>
  <c r="D873" i="13"/>
  <c r="E873" i="13"/>
  <c r="T873" i="13"/>
  <c r="U873" i="13"/>
  <c r="X873" i="13"/>
  <c r="Y873" i="13"/>
  <c r="Z873" i="13"/>
  <c r="V873" i="13"/>
  <c r="W873" i="13"/>
  <c r="B874" i="13"/>
  <c r="C874" i="13"/>
  <c r="F874" i="13"/>
  <c r="G874" i="13"/>
  <c r="H874" i="13"/>
  <c r="D874" i="13"/>
  <c r="E874" i="13"/>
  <c r="T874" i="13"/>
  <c r="U874" i="13"/>
  <c r="X874" i="13"/>
  <c r="Y874" i="13"/>
  <c r="Z874" i="13"/>
  <c r="V874" i="13"/>
  <c r="W874" i="13"/>
  <c r="B875" i="13"/>
  <c r="C875" i="13"/>
  <c r="F875" i="13"/>
  <c r="G875" i="13"/>
  <c r="H875" i="13"/>
  <c r="D875" i="13"/>
  <c r="E875" i="13"/>
  <c r="T875" i="13"/>
  <c r="U875" i="13"/>
  <c r="X875" i="13"/>
  <c r="Y875" i="13"/>
  <c r="Z875" i="13"/>
  <c r="V875" i="13"/>
  <c r="W875" i="13"/>
  <c r="B876" i="13"/>
  <c r="C876" i="13"/>
  <c r="F876" i="13"/>
  <c r="G876" i="13"/>
  <c r="H876" i="13"/>
  <c r="D876" i="13"/>
  <c r="E876" i="13"/>
  <c r="T876" i="13"/>
  <c r="U876" i="13"/>
  <c r="X876" i="13"/>
  <c r="Y876" i="13"/>
  <c r="Z876" i="13"/>
  <c r="V876" i="13"/>
  <c r="W876" i="13"/>
  <c r="B877" i="13"/>
  <c r="C877" i="13"/>
  <c r="F877" i="13"/>
  <c r="G877" i="13"/>
  <c r="H877" i="13"/>
  <c r="D877" i="13"/>
  <c r="E877" i="13"/>
  <c r="T877" i="13"/>
  <c r="U877" i="13"/>
  <c r="X877" i="13"/>
  <c r="Y877" i="13"/>
  <c r="Z877" i="13"/>
  <c r="V877" i="13"/>
  <c r="W877" i="13"/>
  <c r="B878" i="13"/>
  <c r="C878" i="13"/>
  <c r="F878" i="13"/>
  <c r="G878" i="13"/>
  <c r="H878" i="13"/>
  <c r="D878" i="13"/>
  <c r="E878" i="13"/>
  <c r="T878" i="13"/>
  <c r="U878" i="13"/>
  <c r="X878" i="13"/>
  <c r="Y878" i="13"/>
  <c r="Z878" i="13"/>
  <c r="V878" i="13"/>
  <c r="W878" i="13"/>
  <c r="B879" i="13"/>
  <c r="C879" i="13"/>
  <c r="F879" i="13"/>
  <c r="G879" i="13"/>
  <c r="H879" i="13"/>
  <c r="D879" i="13"/>
  <c r="E879" i="13"/>
  <c r="T879" i="13"/>
  <c r="U879" i="13"/>
  <c r="X879" i="13"/>
  <c r="Y879" i="13"/>
  <c r="Z879" i="13"/>
  <c r="V879" i="13"/>
  <c r="W879" i="13"/>
  <c r="B880" i="13"/>
  <c r="C880" i="13"/>
  <c r="F880" i="13"/>
  <c r="G880" i="13"/>
  <c r="H880" i="13"/>
  <c r="D880" i="13"/>
  <c r="E880" i="13"/>
  <c r="T880" i="13"/>
  <c r="U880" i="13"/>
  <c r="X880" i="13"/>
  <c r="Y880" i="13"/>
  <c r="Z880" i="13"/>
  <c r="V880" i="13"/>
  <c r="W880" i="13"/>
  <c r="B881" i="13"/>
  <c r="C881" i="13"/>
  <c r="F881" i="13"/>
  <c r="G881" i="13"/>
  <c r="H881" i="13"/>
  <c r="D881" i="13"/>
  <c r="E881" i="13"/>
  <c r="T881" i="13"/>
  <c r="U881" i="13"/>
  <c r="X881" i="13"/>
  <c r="Y881" i="13"/>
  <c r="Z881" i="13"/>
  <c r="V881" i="13"/>
  <c r="W881" i="13"/>
  <c r="B882" i="13"/>
  <c r="C882" i="13"/>
  <c r="F882" i="13"/>
  <c r="G882" i="13"/>
  <c r="H882" i="13"/>
  <c r="D882" i="13"/>
  <c r="E882" i="13"/>
  <c r="T882" i="13"/>
  <c r="U882" i="13"/>
  <c r="X882" i="13"/>
  <c r="Y882" i="13"/>
  <c r="Z882" i="13"/>
  <c r="V882" i="13"/>
  <c r="W882" i="13"/>
  <c r="B883" i="13"/>
  <c r="C883" i="13"/>
  <c r="F883" i="13"/>
  <c r="G883" i="13"/>
  <c r="H883" i="13"/>
  <c r="D883" i="13"/>
  <c r="E883" i="13"/>
  <c r="T883" i="13"/>
  <c r="U883" i="13"/>
  <c r="X883" i="13"/>
  <c r="Y883" i="13"/>
  <c r="Z883" i="13"/>
  <c r="V883" i="13"/>
  <c r="W883" i="13"/>
  <c r="B884" i="13"/>
  <c r="C884" i="13"/>
  <c r="F884" i="13"/>
  <c r="G884" i="13"/>
  <c r="H884" i="13"/>
  <c r="D884" i="13"/>
  <c r="E884" i="13"/>
  <c r="T884" i="13"/>
  <c r="U884" i="13"/>
  <c r="X884" i="13"/>
  <c r="Y884" i="13"/>
  <c r="Z884" i="13"/>
  <c r="V884" i="13"/>
  <c r="W884" i="13"/>
  <c r="B885" i="13"/>
  <c r="C885" i="13"/>
  <c r="F885" i="13"/>
  <c r="G885" i="13"/>
  <c r="H885" i="13"/>
  <c r="D885" i="13"/>
  <c r="E885" i="13"/>
  <c r="T885" i="13"/>
  <c r="U885" i="13"/>
  <c r="X885" i="13"/>
  <c r="Y885" i="13"/>
  <c r="Z885" i="13"/>
  <c r="V885" i="13"/>
  <c r="W885" i="13"/>
  <c r="B886" i="13"/>
  <c r="C886" i="13"/>
  <c r="F886" i="13"/>
  <c r="G886" i="13"/>
  <c r="H886" i="13"/>
  <c r="D886" i="13"/>
  <c r="E886" i="13"/>
  <c r="T886" i="13"/>
  <c r="U886" i="13"/>
  <c r="X886" i="13"/>
  <c r="Y886" i="13"/>
  <c r="Z886" i="13"/>
  <c r="V886" i="13"/>
  <c r="W886" i="13"/>
  <c r="B887" i="13"/>
  <c r="C887" i="13"/>
  <c r="F887" i="13"/>
  <c r="G887" i="13"/>
  <c r="H887" i="13"/>
  <c r="D887" i="13"/>
  <c r="E887" i="13"/>
  <c r="T887" i="13"/>
  <c r="U887" i="13"/>
  <c r="X887" i="13"/>
  <c r="Y887" i="13"/>
  <c r="Z887" i="13"/>
  <c r="V887" i="13"/>
  <c r="W887" i="13"/>
  <c r="B888" i="13"/>
  <c r="C888" i="13"/>
  <c r="F888" i="13"/>
  <c r="G888" i="13"/>
  <c r="H888" i="13"/>
  <c r="D888" i="13"/>
  <c r="E888" i="13"/>
  <c r="T888" i="13"/>
  <c r="U888" i="13"/>
  <c r="X888" i="13"/>
  <c r="Y888" i="13"/>
  <c r="Z888" i="13"/>
  <c r="V888" i="13"/>
  <c r="W888" i="13"/>
  <c r="B889" i="13"/>
  <c r="C889" i="13"/>
  <c r="F889" i="13"/>
  <c r="G889" i="13"/>
  <c r="H889" i="13"/>
  <c r="D889" i="13"/>
  <c r="E889" i="13"/>
  <c r="T889" i="13"/>
  <c r="U889" i="13"/>
  <c r="X889" i="13"/>
  <c r="Y889" i="13"/>
  <c r="Z889" i="13"/>
  <c r="V889" i="13"/>
  <c r="W889" i="13"/>
  <c r="B890" i="13"/>
  <c r="C890" i="13"/>
  <c r="F890" i="13"/>
  <c r="G890" i="13"/>
  <c r="H890" i="13"/>
  <c r="D890" i="13"/>
  <c r="E890" i="13"/>
  <c r="T890" i="13"/>
  <c r="U890" i="13"/>
  <c r="X890" i="13"/>
  <c r="Y890" i="13"/>
  <c r="Z890" i="13"/>
  <c r="V890" i="13"/>
  <c r="W890" i="13"/>
  <c r="B891" i="13"/>
  <c r="C891" i="13"/>
  <c r="F891" i="13"/>
  <c r="G891" i="13"/>
  <c r="H891" i="13"/>
  <c r="D891" i="13"/>
  <c r="E891" i="13"/>
  <c r="T891" i="13"/>
  <c r="U891" i="13"/>
  <c r="X891" i="13"/>
  <c r="Y891" i="13"/>
  <c r="Z891" i="13"/>
  <c r="V891" i="13"/>
  <c r="W891" i="13"/>
  <c r="B892" i="13"/>
  <c r="C892" i="13"/>
  <c r="F892" i="13"/>
  <c r="G892" i="13"/>
  <c r="H892" i="13"/>
  <c r="D892" i="13"/>
  <c r="E892" i="13"/>
  <c r="T892" i="13"/>
  <c r="U892" i="13"/>
  <c r="X892" i="13"/>
  <c r="Y892" i="13"/>
  <c r="Z892" i="13"/>
  <c r="V892" i="13"/>
  <c r="W892" i="13"/>
  <c r="B893" i="13"/>
  <c r="C893" i="13"/>
  <c r="F893" i="13"/>
  <c r="G893" i="13"/>
  <c r="H893" i="13"/>
  <c r="D893" i="13"/>
  <c r="E893" i="13"/>
  <c r="T893" i="13"/>
  <c r="U893" i="13"/>
  <c r="X893" i="13"/>
  <c r="Y893" i="13"/>
  <c r="Z893" i="13"/>
  <c r="V893" i="13"/>
  <c r="W893" i="13"/>
  <c r="B894" i="13"/>
  <c r="C894" i="13"/>
  <c r="F894" i="13"/>
  <c r="G894" i="13"/>
  <c r="H894" i="13"/>
  <c r="D894" i="13"/>
  <c r="E894" i="13"/>
  <c r="T894" i="13"/>
  <c r="U894" i="13"/>
  <c r="X894" i="13"/>
  <c r="Y894" i="13"/>
  <c r="Z894" i="13"/>
  <c r="V894" i="13"/>
  <c r="W894" i="13"/>
  <c r="B895" i="13"/>
  <c r="C895" i="13"/>
  <c r="F895" i="13"/>
  <c r="G895" i="13"/>
  <c r="H895" i="13"/>
  <c r="D895" i="13"/>
  <c r="E895" i="13"/>
  <c r="T895" i="13"/>
  <c r="U895" i="13"/>
  <c r="X895" i="13"/>
  <c r="Y895" i="13"/>
  <c r="Z895" i="13"/>
  <c r="V895" i="13"/>
  <c r="W895" i="13"/>
  <c r="B896" i="13"/>
  <c r="C896" i="13"/>
  <c r="F896" i="13"/>
  <c r="G896" i="13"/>
  <c r="H896" i="13"/>
  <c r="D896" i="13"/>
  <c r="E896" i="13"/>
  <c r="T896" i="13"/>
  <c r="U896" i="13"/>
  <c r="X896" i="13"/>
  <c r="Y896" i="13"/>
  <c r="Z896" i="13"/>
  <c r="V896" i="13"/>
  <c r="W896" i="13"/>
  <c r="B897" i="13"/>
  <c r="C897" i="13"/>
  <c r="F897" i="13"/>
  <c r="G897" i="13"/>
  <c r="H897" i="13"/>
  <c r="D897" i="13"/>
  <c r="E897" i="13"/>
  <c r="T897" i="13"/>
  <c r="U897" i="13"/>
  <c r="X897" i="13"/>
  <c r="Y897" i="13"/>
  <c r="Z897" i="13"/>
  <c r="V897" i="13"/>
  <c r="W897" i="13"/>
  <c r="B898" i="13"/>
  <c r="C898" i="13"/>
  <c r="F898" i="13"/>
  <c r="G898" i="13"/>
  <c r="H898" i="13"/>
  <c r="D898" i="13"/>
  <c r="E898" i="13"/>
  <c r="T898" i="13"/>
  <c r="U898" i="13"/>
  <c r="X898" i="13"/>
  <c r="Y898" i="13"/>
  <c r="Z898" i="13"/>
  <c r="V898" i="13"/>
  <c r="W898" i="13"/>
  <c r="B899" i="13"/>
  <c r="C899" i="13"/>
  <c r="F899" i="13"/>
  <c r="G899" i="13"/>
  <c r="H899" i="13"/>
  <c r="D899" i="13"/>
  <c r="E899" i="13"/>
  <c r="T899" i="13"/>
  <c r="U899" i="13"/>
  <c r="X899" i="13"/>
  <c r="Y899" i="13"/>
  <c r="Z899" i="13"/>
  <c r="V899" i="13"/>
  <c r="W899" i="13"/>
  <c r="B900" i="13"/>
  <c r="C900" i="13"/>
  <c r="F900" i="13"/>
  <c r="G900" i="13"/>
  <c r="H900" i="13"/>
  <c r="D900" i="13"/>
  <c r="E900" i="13"/>
  <c r="T900" i="13"/>
  <c r="U900" i="13"/>
  <c r="X900" i="13"/>
  <c r="Y900" i="13"/>
  <c r="Z900" i="13"/>
  <c r="V900" i="13"/>
  <c r="W900" i="13"/>
  <c r="B901" i="13"/>
  <c r="C901" i="13"/>
  <c r="F901" i="13"/>
  <c r="G901" i="13"/>
  <c r="H901" i="13"/>
  <c r="D901" i="13"/>
  <c r="E901" i="13"/>
  <c r="T901" i="13"/>
  <c r="U901" i="13"/>
  <c r="X901" i="13"/>
  <c r="Y901" i="13"/>
  <c r="Z901" i="13"/>
  <c r="V901" i="13"/>
  <c r="W901" i="13"/>
  <c r="B902" i="13"/>
  <c r="C902" i="13"/>
  <c r="F902" i="13"/>
  <c r="G902" i="13"/>
  <c r="H902" i="13"/>
  <c r="D902" i="13"/>
  <c r="E902" i="13"/>
  <c r="T902" i="13"/>
  <c r="U902" i="13"/>
  <c r="X902" i="13"/>
  <c r="Y902" i="13"/>
  <c r="Z902" i="13"/>
  <c r="V902" i="13"/>
  <c r="W902" i="13"/>
  <c r="B903" i="13"/>
  <c r="C903" i="13"/>
  <c r="F903" i="13"/>
  <c r="G903" i="13"/>
  <c r="H903" i="13"/>
  <c r="D903" i="13"/>
  <c r="E903" i="13"/>
  <c r="T903" i="13"/>
  <c r="U903" i="13"/>
  <c r="X903" i="13"/>
  <c r="Y903" i="13"/>
  <c r="Z903" i="13"/>
  <c r="V903" i="13"/>
  <c r="W903" i="13"/>
  <c r="B904" i="13"/>
  <c r="C904" i="13"/>
  <c r="F904" i="13"/>
  <c r="G904" i="13"/>
  <c r="H904" i="13"/>
  <c r="D904" i="13"/>
  <c r="E904" i="13"/>
  <c r="T904" i="13"/>
  <c r="U904" i="13"/>
  <c r="X904" i="13"/>
  <c r="Y904" i="13"/>
  <c r="Z904" i="13"/>
  <c r="V904" i="13"/>
  <c r="W904" i="13"/>
  <c r="B905" i="13"/>
  <c r="C905" i="13"/>
  <c r="F905" i="13"/>
  <c r="G905" i="13"/>
  <c r="H905" i="13"/>
  <c r="D905" i="13"/>
  <c r="E905" i="13"/>
  <c r="T905" i="13"/>
  <c r="U905" i="13"/>
  <c r="X905" i="13"/>
  <c r="Y905" i="13"/>
  <c r="Z905" i="13"/>
  <c r="V905" i="13"/>
  <c r="W905" i="13"/>
  <c r="B906" i="13"/>
  <c r="C906" i="13"/>
  <c r="F906" i="13"/>
  <c r="G906" i="13"/>
  <c r="H906" i="13"/>
  <c r="D906" i="13"/>
  <c r="E906" i="13"/>
  <c r="T906" i="13"/>
  <c r="U906" i="13"/>
  <c r="X906" i="13"/>
  <c r="Y906" i="13"/>
  <c r="Z906" i="13"/>
  <c r="V906" i="13"/>
  <c r="W906" i="13"/>
  <c r="B907" i="13"/>
  <c r="C907" i="13"/>
  <c r="F907" i="13"/>
  <c r="G907" i="13"/>
  <c r="H907" i="13"/>
  <c r="D907" i="13"/>
  <c r="E907" i="13"/>
  <c r="T907" i="13"/>
  <c r="U907" i="13"/>
  <c r="X907" i="13"/>
  <c r="Y907" i="13"/>
  <c r="Z907" i="13"/>
  <c r="V907" i="13"/>
  <c r="W907" i="13"/>
  <c r="B908" i="13"/>
  <c r="C908" i="13"/>
  <c r="F908" i="13"/>
  <c r="G908" i="13"/>
  <c r="H908" i="13"/>
  <c r="D908" i="13"/>
  <c r="E908" i="13"/>
  <c r="T908" i="13"/>
  <c r="U908" i="13"/>
  <c r="X908" i="13"/>
  <c r="Y908" i="13"/>
  <c r="Z908" i="13"/>
  <c r="V908" i="13"/>
  <c r="W908" i="13"/>
  <c r="B909" i="13"/>
  <c r="C909" i="13"/>
  <c r="F909" i="13"/>
  <c r="G909" i="13"/>
  <c r="H909" i="13"/>
  <c r="D909" i="13"/>
  <c r="E909" i="13"/>
  <c r="T909" i="13"/>
  <c r="U909" i="13"/>
  <c r="X909" i="13"/>
  <c r="Y909" i="13"/>
  <c r="Z909" i="13"/>
  <c r="V909" i="13"/>
  <c r="W909" i="13"/>
  <c r="B910" i="13"/>
  <c r="C910" i="13"/>
  <c r="F910" i="13"/>
  <c r="G910" i="13"/>
  <c r="H910" i="13"/>
  <c r="D910" i="13"/>
  <c r="E910" i="13"/>
  <c r="T910" i="13"/>
  <c r="U910" i="13"/>
  <c r="X910" i="13"/>
  <c r="Y910" i="13"/>
  <c r="Z910" i="13"/>
  <c r="V910" i="13"/>
  <c r="W910" i="13"/>
  <c r="B911" i="13"/>
  <c r="C911" i="13"/>
  <c r="F911" i="13"/>
  <c r="G911" i="13"/>
  <c r="H911" i="13"/>
  <c r="D911" i="13"/>
  <c r="E911" i="13"/>
  <c r="T911" i="13"/>
  <c r="U911" i="13"/>
  <c r="X911" i="13"/>
  <c r="Y911" i="13"/>
  <c r="Z911" i="13"/>
  <c r="V911" i="13"/>
  <c r="W911" i="13"/>
  <c r="B912" i="13"/>
  <c r="C912" i="13"/>
  <c r="F912" i="13"/>
  <c r="G912" i="13"/>
  <c r="H912" i="13"/>
  <c r="D912" i="13"/>
  <c r="E912" i="13"/>
  <c r="T912" i="13"/>
  <c r="U912" i="13"/>
  <c r="X912" i="13"/>
  <c r="Y912" i="13"/>
  <c r="Z912" i="13"/>
  <c r="V912" i="13"/>
  <c r="W912" i="13"/>
  <c r="B913" i="13"/>
  <c r="C913" i="13"/>
  <c r="F913" i="13"/>
  <c r="G913" i="13"/>
  <c r="H913" i="13"/>
  <c r="D913" i="13"/>
  <c r="E913" i="13"/>
  <c r="T913" i="13"/>
  <c r="U913" i="13"/>
  <c r="X913" i="13"/>
  <c r="Y913" i="13"/>
  <c r="Z913" i="13"/>
  <c r="V913" i="13"/>
  <c r="W913" i="13"/>
  <c r="B914" i="13"/>
  <c r="C914" i="13"/>
  <c r="F914" i="13"/>
  <c r="G914" i="13"/>
  <c r="H914" i="13"/>
  <c r="D914" i="13"/>
  <c r="E914" i="13"/>
  <c r="T914" i="13"/>
  <c r="U914" i="13"/>
  <c r="X914" i="13"/>
  <c r="Y914" i="13"/>
  <c r="Z914" i="13"/>
  <c r="V914" i="13"/>
  <c r="W914" i="13"/>
  <c r="B915" i="13"/>
  <c r="C915" i="13"/>
  <c r="F915" i="13"/>
  <c r="G915" i="13"/>
  <c r="H915" i="13"/>
  <c r="D915" i="13"/>
  <c r="E915" i="13"/>
  <c r="T915" i="13"/>
  <c r="U915" i="13"/>
  <c r="X915" i="13"/>
  <c r="Y915" i="13"/>
  <c r="Z915" i="13"/>
  <c r="V915" i="13"/>
  <c r="W915" i="13"/>
  <c r="B916" i="13"/>
  <c r="C916" i="13"/>
  <c r="F916" i="13"/>
  <c r="G916" i="13"/>
  <c r="H916" i="13"/>
  <c r="D916" i="13"/>
  <c r="E916" i="13"/>
  <c r="T916" i="13"/>
  <c r="U916" i="13"/>
  <c r="X916" i="13"/>
  <c r="Y916" i="13"/>
  <c r="Z916" i="13"/>
  <c r="V916" i="13"/>
  <c r="W916" i="13"/>
  <c r="B917" i="13"/>
  <c r="C917" i="13"/>
  <c r="F917" i="13"/>
  <c r="G917" i="13"/>
  <c r="H917" i="13"/>
  <c r="D917" i="13"/>
  <c r="E917" i="13"/>
  <c r="T917" i="13"/>
  <c r="U917" i="13"/>
  <c r="X917" i="13"/>
  <c r="Y917" i="13"/>
  <c r="Z917" i="13"/>
  <c r="V917" i="13"/>
  <c r="W917" i="13"/>
  <c r="B918" i="13"/>
  <c r="C918" i="13"/>
  <c r="F918" i="13"/>
  <c r="G918" i="13"/>
  <c r="H918" i="13"/>
  <c r="D918" i="13"/>
  <c r="E918" i="13"/>
  <c r="T918" i="13"/>
  <c r="U918" i="13"/>
  <c r="X918" i="13"/>
  <c r="Y918" i="13"/>
  <c r="Z918" i="13"/>
  <c r="V918" i="13"/>
  <c r="W918" i="13"/>
  <c r="B919" i="13"/>
  <c r="C919" i="13"/>
  <c r="F919" i="13"/>
  <c r="G919" i="13"/>
  <c r="H919" i="13"/>
  <c r="D919" i="13"/>
  <c r="E919" i="13"/>
  <c r="T919" i="13"/>
  <c r="U919" i="13"/>
  <c r="X919" i="13"/>
  <c r="Y919" i="13"/>
  <c r="Z919" i="13"/>
  <c r="V919" i="13"/>
  <c r="W919" i="13"/>
  <c r="B920" i="13"/>
  <c r="C920" i="13"/>
  <c r="F920" i="13"/>
  <c r="G920" i="13"/>
  <c r="H920" i="13"/>
  <c r="D920" i="13"/>
  <c r="E920" i="13"/>
  <c r="T920" i="13"/>
  <c r="U920" i="13"/>
  <c r="X920" i="13"/>
  <c r="Y920" i="13"/>
  <c r="Z920" i="13"/>
  <c r="V920" i="13"/>
  <c r="W920" i="13"/>
  <c r="B921" i="13"/>
  <c r="C921" i="13"/>
  <c r="F921" i="13"/>
  <c r="G921" i="13"/>
  <c r="H921" i="13"/>
  <c r="D921" i="13"/>
  <c r="E921" i="13"/>
  <c r="T921" i="13"/>
  <c r="U921" i="13"/>
  <c r="X921" i="13"/>
  <c r="Y921" i="13"/>
  <c r="Z921" i="13"/>
  <c r="V921" i="13"/>
  <c r="W921" i="13"/>
  <c r="B922" i="13"/>
  <c r="C922" i="13"/>
  <c r="F922" i="13"/>
  <c r="G922" i="13"/>
  <c r="H922" i="13"/>
  <c r="D922" i="13"/>
  <c r="E922" i="13"/>
  <c r="T922" i="13"/>
  <c r="U922" i="13"/>
  <c r="X922" i="13"/>
  <c r="Y922" i="13"/>
  <c r="Z922" i="13"/>
  <c r="V922" i="13"/>
  <c r="W922" i="13"/>
  <c r="B923" i="13"/>
  <c r="C923" i="13"/>
  <c r="F923" i="13"/>
  <c r="G923" i="13"/>
  <c r="H923" i="13"/>
  <c r="D923" i="13"/>
  <c r="E923" i="13"/>
  <c r="T923" i="13"/>
  <c r="U923" i="13"/>
  <c r="X923" i="13"/>
  <c r="Y923" i="13"/>
  <c r="Z923" i="13"/>
  <c r="V923" i="13"/>
  <c r="W923" i="13"/>
  <c r="B924" i="13"/>
  <c r="C924" i="13"/>
  <c r="F924" i="13"/>
  <c r="G924" i="13"/>
  <c r="H924" i="13"/>
  <c r="D924" i="13"/>
  <c r="E924" i="13"/>
  <c r="T924" i="13"/>
  <c r="U924" i="13"/>
  <c r="X924" i="13"/>
  <c r="Y924" i="13"/>
  <c r="Z924" i="13"/>
  <c r="V924" i="13"/>
  <c r="W924" i="13"/>
  <c r="B925" i="13"/>
  <c r="C925" i="13"/>
  <c r="F925" i="13"/>
  <c r="G925" i="13"/>
  <c r="H925" i="13"/>
  <c r="D925" i="13"/>
  <c r="E925" i="13"/>
  <c r="T925" i="13"/>
  <c r="U925" i="13"/>
  <c r="X925" i="13"/>
  <c r="Y925" i="13"/>
  <c r="Z925" i="13"/>
  <c r="V925" i="13"/>
  <c r="W925" i="13"/>
  <c r="B926" i="13"/>
  <c r="C926" i="13"/>
  <c r="F926" i="13"/>
  <c r="G926" i="13"/>
  <c r="H926" i="13"/>
  <c r="D926" i="13"/>
  <c r="E926" i="13"/>
  <c r="T926" i="13"/>
  <c r="U926" i="13"/>
  <c r="X926" i="13"/>
  <c r="Y926" i="13"/>
  <c r="Z926" i="13"/>
  <c r="V926" i="13"/>
  <c r="W926" i="13"/>
  <c r="B927" i="13"/>
  <c r="C927" i="13"/>
  <c r="F927" i="13"/>
  <c r="G927" i="13"/>
  <c r="H927" i="13"/>
  <c r="D927" i="13"/>
  <c r="E927" i="13"/>
  <c r="T927" i="13"/>
  <c r="U927" i="13"/>
  <c r="X927" i="13"/>
  <c r="Y927" i="13"/>
  <c r="Z927" i="13"/>
  <c r="V927" i="13"/>
  <c r="W927" i="13"/>
  <c r="B928" i="13"/>
  <c r="C928" i="13"/>
  <c r="F928" i="13"/>
  <c r="G928" i="13"/>
  <c r="H928" i="13"/>
  <c r="D928" i="13"/>
  <c r="E928" i="13"/>
  <c r="T928" i="13"/>
  <c r="U928" i="13"/>
  <c r="X928" i="13"/>
  <c r="Y928" i="13"/>
  <c r="Z928" i="13"/>
  <c r="V928" i="13"/>
  <c r="W928" i="13"/>
  <c r="B929" i="13"/>
  <c r="C929" i="13"/>
  <c r="F929" i="13"/>
  <c r="G929" i="13"/>
  <c r="H929" i="13"/>
  <c r="D929" i="13"/>
  <c r="E929" i="13"/>
  <c r="T929" i="13"/>
  <c r="U929" i="13"/>
  <c r="X929" i="13"/>
  <c r="Y929" i="13"/>
  <c r="Z929" i="13"/>
  <c r="V929" i="13"/>
  <c r="W929" i="13"/>
  <c r="B930" i="13"/>
  <c r="C930" i="13"/>
  <c r="F930" i="13"/>
  <c r="G930" i="13"/>
  <c r="H930" i="13"/>
  <c r="D930" i="13"/>
  <c r="E930" i="13"/>
  <c r="T930" i="13"/>
  <c r="U930" i="13"/>
  <c r="X930" i="13"/>
  <c r="Y930" i="13"/>
  <c r="Z930" i="13"/>
  <c r="V930" i="13"/>
  <c r="W930" i="13"/>
  <c r="B931" i="13"/>
  <c r="C931" i="13"/>
  <c r="F931" i="13"/>
  <c r="G931" i="13"/>
  <c r="H931" i="13"/>
  <c r="D931" i="13"/>
  <c r="E931" i="13"/>
  <c r="T931" i="13"/>
  <c r="U931" i="13"/>
  <c r="X931" i="13"/>
  <c r="Y931" i="13"/>
  <c r="Z931" i="13"/>
  <c r="V931" i="13"/>
  <c r="W931" i="13"/>
  <c r="B932" i="13"/>
  <c r="C932" i="13"/>
  <c r="F932" i="13"/>
  <c r="G932" i="13"/>
  <c r="H932" i="13"/>
  <c r="D932" i="13"/>
  <c r="E932" i="13"/>
  <c r="T932" i="13"/>
  <c r="U932" i="13"/>
  <c r="X932" i="13"/>
  <c r="Y932" i="13"/>
  <c r="Z932" i="13"/>
  <c r="V932" i="13"/>
  <c r="W932" i="13"/>
  <c r="B933" i="13"/>
  <c r="C933" i="13"/>
  <c r="F933" i="13"/>
  <c r="G933" i="13"/>
  <c r="H933" i="13"/>
  <c r="D933" i="13"/>
  <c r="E933" i="13"/>
  <c r="T933" i="13"/>
  <c r="U933" i="13"/>
  <c r="X933" i="13"/>
  <c r="Y933" i="13"/>
  <c r="Z933" i="13"/>
  <c r="V933" i="13"/>
  <c r="W933" i="13"/>
  <c r="B934" i="13"/>
  <c r="C934" i="13"/>
  <c r="F934" i="13"/>
  <c r="G934" i="13"/>
  <c r="H934" i="13"/>
  <c r="D934" i="13"/>
  <c r="E934" i="13"/>
  <c r="T934" i="13"/>
  <c r="U934" i="13"/>
  <c r="X934" i="13"/>
  <c r="Y934" i="13"/>
  <c r="Z934" i="13"/>
  <c r="V934" i="13"/>
  <c r="W934" i="13"/>
  <c r="B935" i="13"/>
  <c r="C935" i="13"/>
  <c r="F935" i="13"/>
  <c r="G935" i="13"/>
  <c r="H935" i="13"/>
  <c r="D935" i="13"/>
  <c r="E935" i="13"/>
  <c r="T935" i="13"/>
  <c r="U935" i="13"/>
  <c r="X935" i="13"/>
  <c r="Y935" i="13"/>
  <c r="Z935" i="13"/>
  <c r="V935" i="13"/>
  <c r="W935" i="13"/>
  <c r="B936" i="13"/>
  <c r="C936" i="13"/>
  <c r="F936" i="13"/>
  <c r="G936" i="13"/>
  <c r="H936" i="13"/>
  <c r="D936" i="13"/>
  <c r="E936" i="13"/>
  <c r="T936" i="13"/>
  <c r="U936" i="13"/>
  <c r="X936" i="13"/>
  <c r="Y936" i="13"/>
  <c r="Z936" i="13"/>
  <c r="V936" i="13"/>
  <c r="W936" i="13"/>
  <c r="B937" i="13"/>
  <c r="C937" i="13"/>
  <c r="F937" i="13"/>
  <c r="G937" i="13"/>
  <c r="H937" i="13"/>
  <c r="D937" i="13"/>
  <c r="E937" i="13"/>
  <c r="T937" i="13"/>
  <c r="U937" i="13"/>
  <c r="X937" i="13"/>
  <c r="Y937" i="13"/>
  <c r="Z937" i="13"/>
  <c r="V937" i="13"/>
  <c r="W937" i="13"/>
  <c r="B938" i="13"/>
  <c r="C938" i="13"/>
  <c r="F938" i="13"/>
  <c r="G938" i="13"/>
  <c r="H938" i="13"/>
  <c r="D938" i="13"/>
  <c r="E938" i="13"/>
  <c r="T938" i="13"/>
  <c r="U938" i="13"/>
  <c r="X938" i="13"/>
  <c r="Y938" i="13"/>
  <c r="Z938" i="13"/>
  <c r="V938" i="13"/>
  <c r="W938" i="13"/>
  <c r="B939" i="13"/>
  <c r="C939" i="13"/>
  <c r="F939" i="13"/>
  <c r="G939" i="13"/>
  <c r="H939" i="13"/>
  <c r="D939" i="13"/>
  <c r="E939" i="13"/>
  <c r="T939" i="13"/>
  <c r="U939" i="13"/>
  <c r="X939" i="13"/>
  <c r="Y939" i="13"/>
  <c r="Z939" i="13"/>
  <c r="V939" i="13"/>
  <c r="W939" i="13"/>
  <c r="B940" i="13"/>
  <c r="C940" i="13"/>
  <c r="F940" i="13"/>
  <c r="G940" i="13"/>
  <c r="H940" i="13"/>
  <c r="D940" i="13"/>
  <c r="E940" i="13"/>
  <c r="T940" i="13"/>
  <c r="U940" i="13"/>
  <c r="X940" i="13"/>
  <c r="Y940" i="13"/>
  <c r="Z940" i="13"/>
  <c r="V940" i="13"/>
  <c r="W940" i="13"/>
  <c r="B941" i="13"/>
  <c r="C941" i="13"/>
  <c r="F941" i="13"/>
  <c r="G941" i="13"/>
  <c r="H941" i="13"/>
  <c r="D941" i="13"/>
  <c r="E941" i="13"/>
  <c r="T941" i="13"/>
  <c r="U941" i="13"/>
  <c r="X941" i="13"/>
  <c r="Y941" i="13"/>
  <c r="Z941" i="13"/>
  <c r="V941" i="13"/>
  <c r="W941" i="13"/>
  <c r="B942" i="13"/>
  <c r="C942" i="13"/>
  <c r="F942" i="13"/>
  <c r="G942" i="13"/>
  <c r="H942" i="13"/>
  <c r="D942" i="13"/>
  <c r="E942" i="13"/>
  <c r="T942" i="13"/>
  <c r="U942" i="13"/>
  <c r="X942" i="13"/>
  <c r="Y942" i="13"/>
  <c r="Z942" i="13"/>
  <c r="V942" i="13"/>
  <c r="W942" i="13"/>
  <c r="B943" i="13"/>
  <c r="C943" i="13"/>
  <c r="F943" i="13"/>
  <c r="G943" i="13"/>
  <c r="H943" i="13"/>
  <c r="D943" i="13"/>
  <c r="E943" i="13"/>
  <c r="T943" i="13"/>
  <c r="U943" i="13"/>
  <c r="X943" i="13"/>
  <c r="Y943" i="13"/>
  <c r="Z943" i="13"/>
  <c r="V943" i="13"/>
  <c r="W943" i="13"/>
  <c r="B944" i="13"/>
  <c r="C944" i="13"/>
  <c r="F944" i="13"/>
  <c r="G944" i="13"/>
  <c r="H944" i="13"/>
  <c r="D944" i="13"/>
  <c r="E944" i="13"/>
  <c r="T944" i="13"/>
  <c r="U944" i="13"/>
  <c r="X944" i="13"/>
  <c r="Y944" i="13"/>
  <c r="Z944" i="13"/>
  <c r="V944" i="13"/>
  <c r="W944" i="13"/>
  <c r="B945" i="13"/>
  <c r="C945" i="13"/>
  <c r="F945" i="13"/>
  <c r="G945" i="13"/>
  <c r="H945" i="13"/>
  <c r="D945" i="13"/>
  <c r="E945" i="13"/>
  <c r="T945" i="13"/>
  <c r="U945" i="13"/>
  <c r="X945" i="13"/>
  <c r="Y945" i="13"/>
  <c r="Z945" i="13"/>
  <c r="V945" i="13"/>
  <c r="W945" i="13"/>
  <c r="B946" i="13"/>
  <c r="C946" i="13"/>
  <c r="F946" i="13"/>
  <c r="G946" i="13"/>
  <c r="H946" i="13"/>
  <c r="D946" i="13"/>
  <c r="E946" i="13"/>
  <c r="T946" i="13"/>
  <c r="U946" i="13"/>
  <c r="X946" i="13"/>
  <c r="Y946" i="13"/>
  <c r="Z946" i="13"/>
  <c r="V946" i="13"/>
  <c r="W946" i="13"/>
  <c r="B947" i="13"/>
  <c r="C947" i="13"/>
  <c r="F947" i="13"/>
  <c r="G947" i="13"/>
  <c r="H947" i="13"/>
  <c r="D947" i="13"/>
  <c r="E947" i="13"/>
  <c r="T947" i="13"/>
  <c r="U947" i="13"/>
  <c r="X947" i="13"/>
  <c r="Y947" i="13"/>
  <c r="Z947" i="13"/>
  <c r="V947" i="13"/>
  <c r="W947" i="13"/>
  <c r="B948" i="13"/>
  <c r="C948" i="13"/>
  <c r="F948" i="13"/>
  <c r="G948" i="13"/>
  <c r="H948" i="13"/>
  <c r="D948" i="13"/>
  <c r="E948" i="13"/>
  <c r="T948" i="13"/>
  <c r="U948" i="13"/>
  <c r="X948" i="13"/>
  <c r="Y948" i="13"/>
  <c r="Z948" i="13"/>
  <c r="V948" i="13"/>
  <c r="W948" i="13"/>
  <c r="B949" i="13"/>
  <c r="C949" i="13"/>
  <c r="F949" i="13"/>
  <c r="G949" i="13"/>
  <c r="H949" i="13"/>
  <c r="D949" i="13"/>
  <c r="E949" i="13"/>
  <c r="T949" i="13"/>
  <c r="U949" i="13"/>
  <c r="X949" i="13"/>
  <c r="Y949" i="13"/>
  <c r="Z949" i="13"/>
  <c r="V949" i="13"/>
  <c r="W949" i="13"/>
  <c r="B950" i="13"/>
  <c r="C950" i="13"/>
  <c r="F950" i="13"/>
  <c r="G950" i="13"/>
  <c r="H950" i="13"/>
  <c r="D950" i="13"/>
  <c r="E950" i="13"/>
  <c r="T950" i="13"/>
  <c r="U950" i="13"/>
  <c r="X950" i="13"/>
  <c r="Y950" i="13"/>
  <c r="Z950" i="13"/>
  <c r="V950" i="13"/>
  <c r="W950" i="13"/>
  <c r="B951" i="13"/>
  <c r="C951" i="13"/>
  <c r="F951" i="13"/>
  <c r="G951" i="13"/>
  <c r="H951" i="13"/>
  <c r="D951" i="13"/>
  <c r="E951" i="13"/>
  <c r="T951" i="13"/>
  <c r="U951" i="13"/>
  <c r="X951" i="13"/>
  <c r="Y951" i="13"/>
  <c r="Z951" i="13"/>
  <c r="V951" i="13"/>
  <c r="W951" i="13"/>
  <c r="B952" i="13"/>
  <c r="C952" i="13"/>
  <c r="F952" i="13"/>
  <c r="G952" i="13"/>
  <c r="H952" i="13"/>
  <c r="D952" i="13"/>
  <c r="E952" i="13"/>
  <c r="T952" i="13"/>
  <c r="U952" i="13"/>
  <c r="X952" i="13"/>
  <c r="Y952" i="13"/>
  <c r="Z952" i="13"/>
  <c r="V952" i="13"/>
  <c r="W952" i="13"/>
  <c r="B953" i="13"/>
  <c r="C953" i="13"/>
  <c r="F953" i="13"/>
  <c r="G953" i="13"/>
  <c r="H953" i="13"/>
  <c r="D953" i="13"/>
  <c r="E953" i="13"/>
  <c r="T953" i="13"/>
  <c r="U953" i="13"/>
  <c r="X953" i="13"/>
  <c r="Y953" i="13"/>
  <c r="Z953" i="13"/>
  <c r="V953" i="13"/>
  <c r="W953" i="13"/>
  <c r="B954" i="13"/>
  <c r="C954" i="13"/>
  <c r="F954" i="13"/>
  <c r="G954" i="13"/>
  <c r="H954" i="13"/>
  <c r="D954" i="13"/>
  <c r="E954" i="13"/>
  <c r="T954" i="13"/>
  <c r="U954" i="13"/>
  <c r="X954" i="13"/>
  <c r="Y954" i="13"/>
  <c r="Z954" i="13"/>
  <c r="V954" i="13"/>
  <c r="W954" i="13"/>
  <c r="B955" i="13"/>
  <c r="C955" i="13"/>
  <c r="F955" i="13"/>
  <c r="G955" i="13"/>
  <c r="H955" i="13"/>
  <c r="D955" i="13"/>
  <c r="E955" i="13"/>
  <c r="T955" i="13"/>
  <c r="U955" i="13"/>
  <c r="X955" i="13"/>
  <c r="Y955" i="13"/>
  <c r="Z955" i="13"/>
  <c r="V955" i="13"/>
  <c r="W955" i="13"/>
  <c r="B956" i="13"/>
  <c r="C956" i="13"/>
  <c r="F956" i="13"/>
  <c r="G956" i="13"/>
  <c r="H956" i="13"/>
  <c r="D956" i="13"/>
  <c r="E956" i="13"/>
  <c r="T956" i="13"/>
  <c r="U956" i="13"/>
  <c r="X956" i="13"/>
  <c r="Y956" i="13"/>
  <c r="Z956" i="13"/>
  <c r="V956" i="13"/>
  <c r="W956" i="13"/>
  <c r="B957" i="13"/>
  <c r="C957" i="13"/>
  <c r="F957" i="13"/>
  <c r="G957" i="13"/>
  <c r="H957" i="13"/>
  <c r="D957" i="13"/>
  <c r="E957" i="13"/>
  <c r="T957" i="13"/>
  <c r="U957" i="13"/>
  <c r="X957" i="13"/>
  <c r="Y957" i="13"/>
  <c r="Z957" i="13"/>
  <c r="V957" i="13"/>
  <c r="W957" i="13"/>
  <c r="B958" i="13"/>
  <c r="C958" i="13"/>
  <c r="F958" i="13"/>
  <c r="G958" i="13"/>
  <c r="H958" i="13"/>
  <c r="D958" i="13"/>
  <c r="E958" i="13"/>
  <c r="T958" i="13"/>
  <c r="U958" i="13"/>
  <c r="X958" i="13"/>
  <c r="Y958" i="13"/>
  <c r="Z958" i="13"/>
  <c r="V958" i="13"/>
  <c r="W958" i="13"/>
  <c r="B959" i="13"/>
  <c r="C959" i="13"/>
  <c r="F959" i="13"/>
  <c r="G959" i="13"/>
  <c r="H959" i="13"/>
  <c r="D959" i="13"/>
  <c r="E959" i="13"/>
  <c r="T959" i="13"/>
  <c r="U959" i="13"/>
  <c r="X959" i="13"/>
  <c r="Y959" i="13"/>
  <c r="Z959" i="13"/>
  <c r="V959" i="13"/>
  <c r="W959" i="13"/>
  <c r="B960" i="13"/>
  <c r="C960" i="13"/>
  <c r="F960" i="13"/>
  <c r="G960" i="13"/>
  <c r="H960" i="13"/>
  <c r="D960" i="13"/>
  <c r="E960" i="13"/>
  <c r="T960" i="13"/>
  <c r="U960" i="13"/>
  <c r="X960" i="13"/>
  <c r="Y960" i="13"/>
  <c r="Z960" i="13"/>
  <c r="V960" i="13"/>
  <c r="W960" i="13"/>
  <c r="B961" i="13"/>
  <c r="C961" i="13"/>
  <c r="F961" i="13"/>
  <c r="G961" i="13"/>
  <c r="H961" i="13"/>
  <c r="D961" i="13"/>
  <c r="E961" i="13"/>
  <c r="T961" i="13"/>
  <c r="U961" i="13"/>
  <c r="X961" i="13"/>
  <c r="Y961" i="13"/>
  <c r="Z961" i="13"/>
  <c r="V961" i="13"/>
  <c r="W961" i="13"/>
  <c r="B962" i="13"/>
  <c r="C962" i="13"/>
  <c r="F962" i="13"/>
  <c r="G962" i="13"/>
  <c r="H962" i="13"/>
  <c r="D962" i="13"/>
  <c r="E962" i="13"/>
  <c r="T962" i="13"/>
  <c r="U962" i="13"/>
  <c r="X962" i="13"/>
  <c r="Y962" i="13"/>
  <c r="Z962" i="13"/>
  <c r="V962" i="13"/>
  <c r="W962" i="13"/>
  <c r="B963" i="13"/>
  <c r="C963" i="13"/>
  <c r="F963" i="13"/>
  <c r="G963" i="13"/>
  <c r="H963" i="13"/>
  <c r="D963" i="13"/>
  <c r="E963" i="13"/>
  <c r="T963" i="13"/>
  <c r="U963" i="13"/>
  <c r="X963" i="13"/>
  <c r="Y963" i="13"/>
  <c r="Z963" i="13"/>
  <c r="V963" i="13"/>
  <c r="W963" i="13"/>
  <c r="B964" i="13"/>
  <c r="C964" i="13"/>
  <c r="F964" i="13"/>
  <c r="G964" i="13"/>
  <c r="H964" i="13"/>
  <c r="D964" i="13"/>
  <c r="E964" i="13"/>
  <c r="T964" i="13"/>
  <c r="U964" i="13"/>
  <c r="X964" i="13"/>
  <c r="Y964" i="13"/>
  <c r="Z964" i="13"/>
  <c r="V964" i="13"/>
  <c r="W964" i="13"/>
  <c r="B965" i="13"/>
  <c r="C965" i="13"/>
  <c r="F965" i="13"/>
  <c r="G965" i="13"/>
  <c r="H965" i="13"/>
  <c r="D965" i="13"/>
  <c r="E965" i="13"/>
  <c r="T965" i="13"/>
  <c r="U965" i="13"/>
  <c r="X965" i="13"/>
  <c r="Y965" i="13"/>
  <c r="Z965" i="13"/>
  <c r="V965" i="13"/>
  <c r="W965" i="13"/>
  <c r="B966" i="13"/>
  <c r="C966" i="13"/>
  <c r="F966" i="13"/>
  <c r="G966" i="13"/>
  <c r="H966" i="13"/>
  <c r="D966" i="13"/>
  <c r="E966" i="13"/>
  <c r="T966" i="13"/>
  <c r="U966" i="13"/>
  <c r="X966" i="13"/>
  <c r="Y966" i="13"/>
  <c r="Z966" i="13"/>
  <c r="V966" i="13"/>
  <c r="W966" i="13"/>
  <c r="B967" i="13"/>
  <c r="C967" i="13"/>
  <c r="F967" i="13"/>
  <c r="G967" i="13"/>
  <c r="H967" i="13"/>
  <c r="D967" i="13"/>
  <c r="E967" i="13"/>
  <c r="T967" i="13"/>
  <c r="U967" i="13"/>
  <c r="X967" i="13"/>
  <c r="Y967" i="13"/>
  <c r="Z967" i="13"/>
  <c r="V967" i="13"/>
  <c r="W967" i="13"/>
  <c r="B968" i="13"/>
  <c r="C968" i="13"/>
  <c r="F968" i="13"/>
  <c r="G968" i="13"/>
  <c r="H968" i="13"/>
  <c r="D968" i="13"/>
  <c r="E968" i="13"/>
  <c r="T968" i="13"/>
  <c r="U968" i="13"/>
  <c r="X968" i="13"/>
  <c r="Y968" i="13"/>
  <c r="Z968" i="13"/>
  <c r="V968" i="13"/>
  <c r="W968" i="13"/>
  <c r="B969" i="13"/>
  <c r="C969" i="13"/>
  <c r="F969" i="13"/>
  <c r="G969" i="13"/>
  <c r="H969" i="13"/>
  <c r="D969" i="13"/>
  <c r="E969" i="13"/>
  <c r="T969" i="13"/>
  <c r="U969" i="13"/>
  <c r="X969" i="13"/>
  <c r="Y969" i="13"/>
  <c r="Z969" i="13"/>
  <c r="V969" i="13"/>
  <c r="W969" i="13"/>
  <c r="B970" i="13"/>
  <c r="C970" i="13"/>
  <c r="F970" i="13"/>
  <c r="G970" i="13"/>
  <c r="H970" i="13"/>
  <c r="D970" i="13"/>
  <c r="E970" i="13"/>
  <c r="T970" i="13"/>
  <c r="U970" i="13"/>
  <c r="X970" i="13"/>
  <c r="Y970" i="13"/>
  <c r="Z970" i="13"/>
  <c r="V970" i="13"/>
  <c r="W970" i="13"/>
  <c r="B971" i="13"/>
  <c r="C971" i="13"/>
  <c r="F971" i="13"/>
  <c r="G971" i="13"/>
  <c r="H971" i="13"/>
  <c r="D971" i="13"/>
  <c r="E971" i="13"/>
  <c r="T971" i="13"/>
  <c r="U971" i="13"/>
  <c r="X971" i="13"/>
  <c r="Y971" i="13"/>
  <c r="Z971" i="13"/>
  <c r="V971" i="13"/>
  <c r="W971" i="13"/>
  <c r="B972" i="13"/>
  <c r="C972" i="13"/>
  <c r="F972" i="13"/>
  <c r="G972" i="13"/>
  <c r="H972" i="13"/>
  <c r="D972" i="13"/>
  <c r="E972" i="13"/>
  <c r="T972" i="13"/>
  <c r="U972" i="13"/>
  <c r="X972" i="13"/>
  <c r="Y972" i="13"/>
  <c r="Z972" i="13"/>
  <c r="V972" i="13"/>
  <c r="W972" i="13"/>
  <c r="B973" i="13"/>
  <c r="C973" i="13"/>
  <c r="F973" i="13"/>
  <c r="G973" i="13"/>
  <c r="H973" i="13"/>
  <c r="D973" i="13"/>
  <c r="E973" i="13"/>
  <c r="T973" i="13"/>
  <c r="U973" i="13"/>
  <c r="X973" i="13"/>
  <c r="Y973" i="13"/>
  <c r="Z973" i="13"/>
  <c r="V973" i="13"/>
  <c r="W973" i="13"/>
  <c r="B974" i="13"/>
  <c r="C974" i="13"/>
  <c r="F974" i="13"/>
  <c r="G974" i="13"/>
  <c r="H974" i="13"/>
  <c r="D974" i="13"/>
  <c r="E974" i="13"/>
  <c r="T974" i="13"/>
  <c r="U974" i="13"/>
  <c r="X974" i="13"/>
  <c r="Y974" i="13"/>
  <c r="Z974" i="13"/>
  <c r="V974" i="13"/>
  <c r="W974" i="13"/>
  <c r="B975" i="13"/>
  <c r="C975" i="13"/>
  <c r="F975" i="13"/>
  <c r="G975" i="13"/>
  <c r="H975" i="13"/>
  <c r="D975" i="13"/>
  <c r="E975" i="13"/>
  <c r="T975" i="13"/>
  <c r="U975" i="13"/>
  <c r="X975" i="13"/>
  <c r="Y975" i="13"/>
  <c r="Z975" i="13"/>
  <c r="V975" i="13"/>
  <c r="W975" i="13"/>
  <c r="B976" i="13"/>
  <c r="C976" i="13"/>
  <c r="F976" i="13"/>
  <c r="G976" i="13"/>
  <c r="H976" i="13"/>
  <c r="D976" i="13"/>
  <c r="E976" i="13"/>
  <c r="T976" i="13"/>
  <c r="U976" i="13"/>
  <c r="X976" i="13"/>
  <c r="Y976" i="13"/>
  <c r="Z976" i="13"/>
  <c r="V976" i="13"/>
  <c r="W976" i="13"/>
  <c r="B977" i="13"/>
  <c r="C977" i="13"/>
  <c r="F977" i="13"/>
  <c r="G977" i="13"/>
  <c r="H977" i="13"/>
  <c r="D977" i="13"/>
  <c r="E977" i="13"/>
  <c r="T977" i="13"/>
  <c r="U977" i="13"/>
  <c r="X977" i="13"/>
  <c r="Y977" i="13"/>
  <c r="Z977" i="13"/>
  <c r="V977" i="13"/>
  <c r="W977" i="13"/>
  <c r="B978" i="13"/>
  <c r="C978" i="13"/>
  <c r="F978" i="13"/>
  <c r="G978" i="13"/>
  <c r="H978" i="13"/>
  <c r="D978" i="13"/>
  <c r="E978" i="13"/>
  <c r="T978" i="13"/>
  <c r="U978" i="13"/>
  <c r="X978" i="13"/>
  <c r="Y978" i="13"/>
  <c r="Z978" i="13"/>
  <c r="V978" i="13"/>
  <c r="W978" i="13"/>
  <c r="B979" i="13"/>
  <c r="C979" i="13"/>
  <c r="F979" i="13"/>
  <c r="G979" i="13"/>
  <c r="H979" i="13"/>
  <c r="D979" i="13"/>
  <c r="E979" i="13"/>
  <c r="T979" i="13"/>
  <c r="U979" i="13"/>
  <c r="X979" i="13"/>
  <c r="Y979" i="13"/>
  <c r="Z979" i="13"/>
  <c r="V979" i="13"/>
  <c r="W979" i="13"/>
  <c r="B980" i="13"/>
  <c r="C980" i="13"/>
  <c r="F980" i="13"/>
  <c r="G980" i="13"/>
  <c r="H980" i="13"/>
  <c r="D980" i="13"/>
  <c r="E980" i="13"/>
  <c r="T980" i="13"/>
  <c r="U980" i="13"/>
  <c r="X980" i="13"/>
  <c r="Y980" i="13"/>
  <c r="Z980" i="13"/>
  <c r="V980" i="13"/>
  <c r="W980" i="13"/>
  <c r="B981" i="13"/>
  <c r="C981" i="13"/>
  <c r="F981" i="13"/>
  <c r="G981" i="13"/>
  <c r="H981" i="13"/>
  <c r="D981" i="13"/>
  <c r="E981" i="13"/>
  <c r="T981" i="13"/>
  <c r="U981" i="13"/>
  <c r="X981" i="13"/>
  <c r="Y981" i="13"/>
  <c r="Z981" i="13"/>
  <c r="V981" i="13"/>
  <c r="W981" i="13"/>
  <c r="B982" i="13"/>
  <c r="C982" i="13"/>
  <c r="F982" i="13"/>
  <c r="G982" i="13"/>
  <c r="H982" i="13"/>
  <c r="D982" i="13"/>
  <c r="E982" i="13"/>
  <c r="T982" i="13"/>
  <c r="U982" i="13"/>
  <c r="X982" i="13"/>
  <c r="Y982" i="13"/>
  <c r="Z982" i="13"/>
  <c r="V982" i="13"/>
  <c r="W982" i="13"/>
  <c r="B983" i="13"/>
  <c r="C983" i="13"/>
  <c r="F983" i="13"/>
  <c r="G983" i="13"/>
  <c r="H983" i="13"/>
  <c r="D983" i="13"/>
  <c r="E983" i="13"/>
  <c r="T983" i="13"/>
  <c r="U983" i="13"/>
  <c r="X983" i="13"/>
  <c r="Y983" i="13"/>
  <c r="Z983" i="13"/>
  <c r="V983" i="13"/>
  <c r="W983" i="13"/>
  <c r="B984" i="13"/>
  <c r="C984" i="13"/>
  <c r="F984" i="13"/>
  <c r="G984" i="13"/>
  <c r="H984" i="13"/>
  <c r="D984" i="13"/>
  <c r="E984" i="13"/>
  <c r="T984" i="13"/>
  <c r="U984" i="13"/>
  <c r="X984" i="13"/>
  <c r="Y984" i="13"/>
  <c r="Z984" i="13"/>
  <c r="V984" i="13"/>
  <c r="W984" i="13"/>
  <c r="B985" i="13"/>
  <c r="C985" i="13"/>
  <c r="F985" i="13"/>
  <c r="G985" i="13"/>
  <c r="H985" i="13"/>
  <c r="D985" i="13"/>
  <c r="E985" i="13"/>
  <c r="T985" i="13"/>
  <c r="U985" i="13"/>
  <c r="X985" i="13"/>
  <c r="Y985" i="13"/>
  <c r="Z985" i="13"/>
  <c r="V985" i="13"/>
  <c r="W985" i="13"/>
  <c r="B986" i="13"/>
  <c r="C986" i="13"/>
  <c r="F986" i="13"/>
  <c r="G986" i="13"/>
  <c r="H986" i="13"/>
  <c r="D986" i="13"/>
  <c r="E986" i="13"/>
  <c r="T986" i="13"/>
  <c r="U986" i="13"/>
  <c r="X986" i="13"/>
  <c r="Y986" i="13"/>
  <c r="Z986" i="13"/>
  <c r="V986" i="13"/>
  <c r="W986" i="13"/>
  <c r="B987" i="13"/>
  <c r="C987" i="13"/>
  <c r="F987" i="13"/>
  <c r="G987" i="13"/>
  <c r="H987" i="13"/>
  <c r="D987" i="13"/>
  <c r="E987" i="13"/>
  <c r="T987" i="13"/>
  <c r="U987" i="13"/>
  <c r="X987" i="13"/>
  <c r="Y987" i="13"/>
  <c r="Z987" i="13"/>
  <c r="V987" i="13"/>
  <c r="W987" i="13"/>
  <c r="B988" i="13"/>
  <c r="C988" i="13"/>
  <c r="F988" i="13"/>
  <c r="G988" i="13"/>
  <c r="H988" i="13"/>
  <c r="D988" i="13"/>
  <c r="E988" i="13"/>
  <c r="T988" i="13"/>
  <c r="U988" i="13"/>
  <c r="X988" i="13"/>
  <c r="Y988" i="13"/>
  <c r="Z988" i="13"/>
  <c r="V988" i="13"/>
  <c r="W988" i="13"/>
  <c r="B989" i="13"/>
  <c r="C989" i="13"/>
  <c r="F989" i="13"/>
  <c r="G989" i="13"/>
  <c r="H989" i="13"/>
  <c r="D989" i="13"/>
  <c r="E989" i="13"/>
  <c r="T989" i="13"/>
  <c r="U989" i="13"/>
  <c r="X989" i="13"/>
  <c r="Y989" i="13"/>
  <c r="Z989" i="13"/>
  <c r="V989" i="13"/>
  <c r="W989" i="13"/>
  <c r="B990" i="13"/>
  <c r="C990" i="13"/>
  <c r="F990" i="13"/>
  <c r="G990" i="13"/>
  <c r="H990" i="13"/>
  <c r="D990" i="13"/>
  <c r="E990" i="13"/>
  <c r="T990" i="13"/>
  <c r="U990" i="13"/>
  <c r="X990" i="13"/>
  <c r="Y990" i="13"/>
  <c r="Z990" i="13"/>
  <c r="V990" i="13"/>
  <c r="W990" i="13"/>
  <c r="B991" i="13"/>
  <c r="C991" i="13"/>
  <c r="F991" i="13"/>
  <c r="G991" i="13"/>
  <c r="H991" i="13"/>
  <c r="D991" i="13"/>
  <c r="E991" i="13"/>
  <c r="T991" i="13"/>
  <c r="U991" i="13"/>
  <c r="X991" i="13"/>
  <c r="Y991" i="13"/>
  <c r="Z991" i="13"/>
  <c r="V991" i="13"/>
  <c r="W991" i="13"/>
  <c r="B992" i="13"/>
  <c r="C992" i="13"/>
  <c r="F992" i="13"/>
  <c r="G992" i="13"/>
  <c r="H992" i="13"/>
  <c r="D992" i="13"/>
  <c r="E992" i="13"/>
  <c r="T992" i="13"/>
  <c r="U992" i="13"/>
  <c r="X992" i="13"/>
  <c r="Y992" i="13"/>
  <c r="Z992" i="13"/>
  <c r="V992" i="13"/>
  <c r="W992" i="13"/>
  <c r="B993" i="13"/>
  <c r="C993" i="13"/>
  <c r="F993" i="13"/>
  <c r="G993" i="13"/>
  <c r="H993" i="13"/>
  <c r="D993" i="13"/>
  <c r="E993" i="13"/>
  <c r="T993" i="13"/>
  <c r="U993" i="13"/>
  <c r="X993" i="13"/>
  <c r="Y993" i="13"/>
  <c r="Z993" i="13"/>
  <c r="V993" i="13"/>
  <c r="W993" i="13"/>
  <c r="B994" i="13"/>
  <c r="C994" i="13"/>
  <c r="F994" i="13"/>
  <c r="G994" i="13"/>
  <c r="H994" i="13"/>
  <c r="D994" i="13"/>
  <c r="E994" i="13"/>
  <c r="T994" i="13"/>
  <c r="U994" i="13"/>
  <c r="X994" i="13"/>
  <c r="Y994" i="13"/>
  <c r="Z994" i="13"/>
  <c r="V994" i="13"/>
  <c r="W994" i="13"/>
  <c r="B995" i="13"/>
  <c r="C995" i="13"/>
  <c r="F995" i="13"/>
  <c r="G995" i="13"/>
  <c r="H995" i="13"/>
  <c r="D995" i="13"/>
  <c r="E995" i="13"/>
  <c r="T995" i="13"/>
  <c r="U995" i="13"/>
  <c r="X995" i="13"/>
  <c r="Y995" i="13"/>
  <c r="Z995" i="13"/>
  <c r="V995" i="13"/>
  <c r="W995" i="13"/>
  <c r="B996" i="13"/>
  <c r="C996" i="13"/>
  <c r="F996" i="13"/>
  <c r="G996" i="13"/>
  <c r="H996" i="13"/>
  <c r="D996" i="13"/>
  <c r="E996" i="13"/>
  <c r="T996" i="13"/>
  <c r="U996" i="13"/>
  <c r="X996" i="13"/>
  <c r="Y996" i="13"/>
  <c r="Z996" i="13"/>
  <c r="V996" i="13"/>
  <c r="W996" i="13"/>
  <c r="B997" i="13"/>
  <c r="C997" i="13"/>
  <c r="F997" i="13"/>
  <c r="G997" i="13"/>
  <c r="H997" i="13"/>
  <c r="D997" i="13"/>
  <c r="E997" i="13"/>
  <c r="T997" i="13"/>
  <c r="U997" i="13"/>
  <c r="X997" i="13"/>
  <c r="Y997" i="13"/>
  <c r="Z997" i="13"/>
  <c r="V997" i="13"/>
  <c r="W997" i="13"/>
  <c r="B998" i="13"/>
  <c r="C998" i="13"/>
  <c r="F998" i="13"/>
  <c r="G998" i="13"/>
  <c r="H998" i="13"/>
  <c r="D998" i="13"/>
  <c r="E998" i="13"/>
  <c r="T998" i="13"/>
  <c r="U998" i="13"/>
  <c r="X998" i="13"/>
  <c r="Y998" i="13"/>
  <c r="Z998" i="13"/>
  <c r="V998" i="13"/>
  <c r="W998" i="13"/>
  <c r="B999" i="13"/>
  <c r="C999" i="13"/>
  <c r="F999" i="13"/>
  <c r="G999" i="13"/>
  <c r="H999" i="13"/>
  <c r="D999" i="13"/>
  <c r="E999" i="13"/>
  <c r="T999" i="13"/>
  <c r="U999" i="13"/>
  <c r="X999" i="13"/>
  <c r="Y999" i="13"/>
  <c r="Z999" i="13"/>
  <c r="V999" i="13"/>
  <c r="W999" i="13"/>
  <c r="B1000" i="13"/>
  <c r="C1000" i="13"/>
  <c r="F1000" i="13"/>
  <c r="G1000" i="13"/>
  <c r="H1000" i="13"/>
  <c r="D1000" i="13"/>
  <c r="E1000" i="13"/>
  <c r="T1000" i="13"/>
  <c r="U1000" i="13"/>
  <c r="X1000" i="13"/>
  <c r="Y1000" i="13"/>
  <c r="Z1000" i="13"/>
  <c r="V1000" i="13"/>
  <c r="W1000" i="13"/>
  <c r="B1001" i="13"/>
  <c r="C1001" i="13"/>
  <c r="F1001" i="13"/>
  <c r="G1001" i="13"/>
  <c r="H1001" i="13"/>
  <c r="D1001" i="13"/>
  <c r="E1001" i="13"/>
  <c r="T1001" i="13"/>
  <c r="U1001" i="13"/>
  <c r="X1001" i="13"/>
  <c r="Y1001" i="13"/>
  <c r="Z1001" i="13"/>
  <c r="V1001" i="13"/>
  <c r="W1001" i="13"/>
  <c r="B1002" i="13"/>
  <c r="C1002" i="13"/>
  <c r="F1002" i="13"/>
  <c r="G1002" i="13"/>
  <c r="H1002" i="13"/>
  <c r="D1002" i="13"/>
  <c r="E1002" i="13"/>
  <c r="T1002" i="13"/>
  <c r="U1002" i="13"/>
  <c r="X1002" i="13"/>
  <c r="Y1002" i="13"/>
  <c r="Z1002" i="13"/>
  <c r="V1002" i="13"/>
  <c r="W1002" i="13"/>
  <c r="B1003" i="13"/>
  <c r="C1003" i="13"/>
  <c r="F1003" i="13"/>
  <c r="G1003" i="13"/>
  <c r="H1003" i="13"/>
  <c r="D1003" i="13"/>
  <c r="E1003" i="13"/>
  <c r="T1003" i="13"/>
  <c r="U1003" i="13"/>
  <c r="X1003" i="13"/>
  <c r="Y1003" i="13"/>
  <c r="Z1003" i="13"/>
  <c r="V1003" i="13"/>
  <c r="W1003" i="13"/>
  <c r="B1004" i="13"/>
  <c r="C1004" i="13"/>
  <c r="F1004" i="13"/>
  <c r="G1004" i="13"/>
  <c r="H1004" i="13"/>
  <c r="D1004" i="13"/>
  <c r="E1004" i="13"/>
  <c r="T1004" i="13"/>
  <c r="U1004" i="13"/>
  <c r="X1004" i="13"/>
  <c r="Y1004" i="13"/>
  <c r="Z1004" i="13"/>
  <c r="V1004" i="13"/>
  <c r="W1004" i="13"/>
  <c r="B1005" i="13"/>
  <c r="C1005" i="13"/>
  <c r="F1005" i="13"/>
  <c r="G1005" i="13"/>
  <c r="H1005" i="13"/>
  <c r="D1005" i="13"/>
  <c r="E1005" i="13"/>
  <c r="T1005" i="13"/>
  <c r="U1005" i="13"/>
  <c r="X1005" i="13"/>
  <c r="Y1005" i="13"/>
  <c r="Z1005" i="13"/>
  <c r="V1005" i="13"/>
  <c r="W1005" i="13"/>
  <c r="B1006" i="13"/>
  <c r="C1006" i="13"/>
  <c r="F1006" i="13"/>
  <c r="G1006" i="13"/>
  <c r="H1006" i="13"/>
  <c r="D1006" i="13"/>
  <c r="E1006" i="13"/>
  <c r="T1006" i="13"/>
  <c r="U1006" i="13"/>
  <c r="X1006" i="13"/>
  <c r="Y1006" i="13"/>
  <c r="Z1006" i="13"/>
  <c r="V1006" i="13"/>
  <c r="W1006" i="13"/>
  <c r="B1007" i="13"/>
  <c r="C1007" i="13"/>
  <c r="F1007" i="13"/>
  <c r="G1007" i="13"/>
  <c r="H1007" i="13"/>
  <c r="D1007" i="13"/>
  <c r="E1007" i="13"/>
  <c r="T1007" i="13"/>
  <c r="U1007" i="13"/>
  <c r="X1007" i="13"/>
  <c r="Y1007" i="13"/>
  <c r="Z1007" i="13"/>
  <c r="V1007" i="13"/>
  <c r="W1007" i="13"/>
  <c r="B1008" i="13"/>
  <c r="C1008" i="13"/>
  <c r="F1008" i="13"/>
  <c r="G1008" i="13"/>
  <c r="H1008" i="13"/>
  <c r="D1008" i="13"/>
  <c r="E1008" i="13"/>
  <c r="T1008" i="13"/>
  <c r="U1008" i="13"/>
  <c r="X1008" i="13"/>
  <c r="Y1008" i="13"/>
  <c r="Z1008" i="13"/>
  <c r="V1008" i="13"/>
  <c r="W1008" i="13"/>
  <c r="B1009" i="13"/>
  <c r="C1009" i="13"/>
  <c r="F1009" i="13"/>
  <c r="G1009" i="13"/>
  <c r="H1009" i="13"/>
  <c r="D1009" i="13"/>
  <c r="E1009" i="13"/>
  <c r="T1009" i="13"/>
  <c r="U1009" i="13"/>
  <c r="X1009" i="13"/>
  <c r="Y1009" i="13"/>
  <c r="Z1009" i="13"/>
  <c r="V1009" i="13"/>
  <c r="W1009" i="13"/>
  <c r="B1010" i="13"/>
  <c r="C1010" i="13"/>
  <c r="F1010" i="13"/>
  <c r="G1010" i="13"/>
  <c r="H1010" i="13"/>
  <c r="D1010" i="13"/>
  <c r="E1010" i="13"/>
  <c r="T1010" i="13"/>
  <c r="U1010" i="13"/>
  <c r="X1010" i="13"/>
  <c r="Y1010" i="13"/>
  <c r="Z1010" i="13"/>
  <c r="V1010" i="13"/>
  <c r="W1010" i="13"/>
  <c r="B1011" i="13"/>
  <c r="C1011" i="13"/>
  <c r="F1011" i="13"/>
  <c r="G1011" i="13"/>
  <c r="H1011" i="13"/>
  <c r="D1011" i="13"/>
  <c r="E1011" i="13"/>
  <c r="T1011" i="13"/>
  <c r="U1011" i="13"/>
  <c r="X1011" i="13"/>
  <c r="Y1011" i="13"/>
  <c r="Z1011" i="13"/>
  <c r="V1011" i="13"/>
  <c r="W1011" i="13"/>
  <c r="B1012" i="13"/>
  <c r="C1012" i="13"/>
  <c r="F1012" i="13"/>
  <c r="G1012" i="13"/>
  <c r="H1012" i="13"/>
  <c r="D1012" i="13"/>
  <c r="E1012" i="13"/>
  <c r="T1012" i="13"/>
  <c r="U1012" i="13"/>
  <c r="X1012" i="13"/>
  <c r="Y1012" i="13"/>
  <c r="Z1012" i="13"/>
  <c r="V1012" i="13"/>
  <c r="W1012" i="13"/>
  <c r="B1013" i="13"/>
  <c r="C1013" i="13"/>
  <c r="F1013" i="13"/>
  <c r="G1013" i="13"/>
  <c r="H1013" i="13"/>
  <c r="D1013" i="13"/>
  <c r="E1013" i="13"/>
  <c r="T1013" i="13"/>
  <c r="U1013" i="13"/>
  <c r="X1013" i="13"/>
  <c r="Y1013" i="13"/>
  <c r="Z1013" i="13"/>
  <c r="V1013" i="13"/>
  <c r="W1013" i="13"/>
  <c r="B1014" i="13"/>
  <c r="C1014" i="13"/>
  <c r="F1014" i="13"/>
  <c r="G1014" i="13"/>
  <c r="H1014" i="13"/>
  <c r="D1014" i="13"/>
  <c r="E1014" i="13"/>
  <c r="T1014" i="13"/>
  <c r="U1014" i="13"/>
  <c r="X1014" i="13"/>
  <c r="Y1014" i="13"/>
  <c r="Z1014" i="13"/>
  <c r="V1014" i="13"/>
  <c r="W1014" i="13"/>
  <c r="B1015" i="13"/>
  <c r="C1015" i="13"/>
  <c r="F1015" i="13"/>
  <c r="G1015" i="13"/>
  <c r="H1015" i="13"/>
  <c r="D1015" i="13"/>
  <c r="E1015" i="13"/>
  <c r="T1015" i="13"/>
  <c r="U1015" i="13"/>
  <c r="X1015" i="13"/>
  <c r="Y1015" i="13"/>
  <c r="Z1015" i="13"/>
  <c r="V1015" i="13"/>
  <c r="W1015" i="13"/>
  <c r="B1016" i="13"/>
  <c r="C1016" i="13"/>
  <c r="F1016" i="13"/>
  <c r="G1016" i="13"/>
  <c r="H1016" i="13"/>
  <c r="D1016" i="13"/>
  <c r="E1016" i="13"/>
  <c r="T1016" i="13"/>
  <c r="U1016" i="13"/>
  <c r="X1016" i="13"/>
  <c r="Y1016" i="13"/>
  <c r="Z1016" i="13"/>
  <c r="V1016" i="13"/>
  <c r="W1016" i="13"/>
  <c r="B1017" i="13"/>
  <c r="C1017" i="13"/>
  <c r="F1017" i="13"/>
  <c r="G1017" i="13"/>
  <c r="H1017" i="13"/>
  <c r="D1017" i="13"/>
  <c r="E1017" i="13"/>
  <c r="T1017" i="13"/>
  <c r="U1017" i="13"/>
  <c r="X1017" i="13"/>
  <c r="Y1017" i="13"/>
  <c r="Z1017" i="13"/>
  <c r="V1017" i="13"/>
  <c r="W1017" i="13"/>
  <c r="B1018" i="13"/>
  <c r="C1018" i="13"/>
  <c r="F1018" i="13"/>
  <c r="G1018" i="13"/>
  <c r="H1018" i="13"/>
  <c r="D1018" i="13"/>
  <c r="E1018" i="13"/>
  <c r="T1018" i="13"/>
  <c r="U1018" i="13"/>
  <c r="X1018" i="13"/>
  <c r="Y1018" i="13"/>
  <c r="Z1018" i="13"/>
  <c r="V1018" i="13"/>
  <c r="W1018" i="13"/>
  <c r="B1019" i="13"/>
  <c r="C1019" i="13"/>
  <c r="F1019" i="13"/>
  <c r="G1019" i="13"/>
  <c r="H1019" i="13"/>
  <c r="D1019" i="13"/>
  <c r="E1019" i="13"/>
  <c r="T1019" i="13"/>
  <c r="U1019" i="13"/>
  <c r="X1019" i="13"/>
  <c r="Y1019" i="13"/>
  <c r="Z1019" i="13"/>
  <c r="V1019" i="13"/>
  <c r="W1019" i="13"/>
  <c r="B1020" i="13"/>
  <c r="C1020" i="13"/>
  <c r="F1020" i="13"/>
  <c r="G1020" i="13"/>
  <c r="H1020" i="13"/>
  <c r="D1020" i="13"/>
  <c r="E1020" i="13"/>
  <c r="T1020" i="13"/>
  <c r="U1020" i="13"/>
  <c r="X1020" i="13"/>
  <c r="Y1020" i="13"/>
  <c r="Z1020" i="13"/>
  <c r="V1020" i="13"/>
  <c r="W1020" i="13"/>
  <c r="B1021" i="13"/>
  <c r="C1021" i="13"/>
  <c r="F1021" i="13"/>
  <c r="G1021" i="13"/>
  <c r="H1021" i="13"/>
  <c r="D1021" i="13"/>
  <c r="E1021" i="13"/>
  <c r="T1021" i="13"/>
  <c r="U1021" i="13"/>
  <c r="X1021" i="13"/>
  <c r="Y1021" i="13"/>
  <c r="Z1021" i="13"/>
  <c r="V1021" i="13"/>
  <c r="W1021" i="13"/>
  <c r="B1022" i="13"/>
  <c r="C1022" i="13"/>
  <c r="F1022" i="13"/>
  <c r="G1022" i="13"/>
  <c r="H1022" i="13"/>
  <c r="D1022" i="13"/>
  <c r="E1022" i="13"/>
  <c r="T1022" i="13"/>
  <c r="U1022" i="13"/>
  <c r="X1022" i="13"/>
  <c r="Y1022" i="13"/>
  <c r="Z1022" i="13"/>
  <c r="V1022" i="13"/>
  <c r="W1022" i="13"/>
  <c r="B1023" i="13"/>
  <c r="C1023" i="13"/>
  <c r="F1023" i="13"/>
  <c r="G1023" i="13"/>
  <c r="H1023" i="13"/>
  <c r="D1023" i="13"/>
  <c r="E1023" i="13"/>
  <c r="T1023" i="13"/>
  <c r="U1023" i="13"/>
  <c r="X1023" i="13"/>
  <c r="Y1023" i="13"/>
  <c r="Z1023" i="13"/>
  <c r="V1023" i="13"/>
  <c r="W1023" i="13"/>
  <c r="B1024" i="13"/>
  <c r="C1024" i="13"/>
  <c r="F1024" i="13"/>
  <c r="G1024" i="13"/>
  <c r="H1024" i="13"/>
  <c r="D1024" i="13"/>
  <c r="E1024" i="13"/>
  <c r="T1024" i="13"/>
  <c r="U1024" i="13"/>
  <c r="X1024" i="13"/>
  <c r="Y1024" i="13"/>
  <c r="Z1024" i="13"/>
  <c r="V1024" i="13"/>
  <c r="W1024" i="13"/>
  <c r="B1025" i="13"/>
  <c r="C1025" i="13"/>
  <c r="F1025" i="13"/>
  <c r="G1025" i="13"/>
  <c r="H1025" i="13"/>
  <c r="D1025" i="13"/>
  <c r="E1025" i="13"/>
  <c r="T1025" i="13"/>
  <c r="U1025" i="13"/>
  <c r="X1025" i="13"/>
  <c r="Y1025" i="13"/>
  <c r="Z1025" i="13"/>
  <c r="V1025" i="13"/>
  <c r="W1025" i="13"/>
  <c r="B1026" i="13"/>
  <c r="C1026" i="13"/>
  <c r="F1026" i="13"/>
  <c r="G1026" i="13"/>
  <c r="H1026" i="13"/>
  <c r="D1026" i="13"/>
  <c r="E1026" i="13"/>
  <c r="T1026" i="13"/>
  <c r="U1026" i="13"/>
  <c r="X1026" i="13"/>
  <c r="Y1026" i="13"/>
  <c r="Z1026" i="13"/>
  <c r="V1026" i="13"/>
  <c r="W1026" i="13"/>
  <c r="B1027" i="13"/>
  <c r="C1027" i="13"/>
  <c r="F1027" i="13"/>
  <c r="G1027" i="13"/>
  <c r="H1027" i="13"/>
  <c r="D1027" i="13"/>
  <c r="E1027" i="13"/>
  <c r="T1027" i="13"/>
  <c r="U1027" i="13"/>
  <c r="X1027" i="13"/>
  <c r="Y1027" i="13"/>
  <c r="Z1027" i="13"/>
  <c r="V1027" i="13"/>
  <c r="W1027" i="13"/>
  <c r="B1028" i="13"/>
  <c r="C1028" i="13"/>
  <c r="F1028" i="13"/>
  <c r="G1028" i="13"/>
  <c r="H1028" i="13"/>
  <c r="D1028" i="13"/>
  <c r="E1028" i="13"/>
  <c r="T1028" i="13"/>
  <c r="U1028" i="13"/>
  <c r="X1028" i="13"/>
  <c r="Y1028" i="13"/>
  <c r="Z1028" i="13"/>
  <c r="V1028" i="13"/>
  <c r="W1028" i="13"/>
  <c r="B1029" i="13"/>
  <c r="C1029" i="13"/>
  <c r="F1029" i="13"/>
  <c r="G1029" i="13"/>
  <c r="H1029" i="13"/>
  <c r="D1029" i="13"/>
  <c r="E1029" i="13"/>
  <c r="T1029" i="13"/>
  <c r="U1029" i="13"/>
  <c r="X1029" i="13"/>
  <c r="Y1029" i="13"/>
  <c r="Z1029" i="13"/>
  <c r="V1029" i="13"/>
  <c r="W1029" i="13"/>
  <c r="B1030" i="13"/>
  <c r="C1030" i="13"/>
  <c r="F1030" i="13"/>
  <c r="G1030" i="13"/>
  <c r="H1030" i="13"/>
  <c r="D1030" i="13"/>
  <c r="E1030" i="13"/>
  <c r="T1030" i="13"/>
  <c r="U1030" i="13"/>
  <c r="X1030" i="13"/>
  <c r="Y1030" i="13"/>
  <c r="Z1030" i="13"/>
  <c r="V1030" i="13"/>
  <c r="W1030" i="13"/>
  <c r="B1031" i="13"/>
  <c r="C1031" i="13"/>
  <c r="F1031" i="13"/>
  <c r="G1031" i="13"/>
  <c r="H1031" i="13"/>
  <c r="D1031" i="13"/>
  <c r="E1031" i="13"/>
  <c r="T1031" i="13"/>
  <c r="U1031" i="13"/>
  <c r="X1031" i="13"/>
  <c r="Y1031" i="13"/>
  <c r="Z1031" i="13"/>
  <c r="V1031" i="13"/>
  <c r="W1031" i="13"/>
  <c r="B1032" i="13"/>
  <c r="C1032" i="13"/>
  <c r="F1032" i="13"/>
  <c r="G1032" i="13"/>
  <c r="H1032" i="13"/>
  <c r="D1032" i="13"/>
  <c r="E1032" i="13"/>
  <c r="T1032" i="13"/>
  <c r="U1032" i="13"/>
  <c r="X1032" i="13"/>
  <c r="Y1032" i="13"/>
  <c r="Z1032" i="13"/>
  <c r="V1032" i="13"/>
  <c r="W1032" i="13"/>
  <c r="B1033" i="13"/>
  <c r="C1033" i="13"/>
  <c r="F1033" i="13"/>
  <c r="G1033" i="13"/>
  <c r="H1033" i="13"/>
  <c r="D1033" i="13"/>
  <c r="E1033" i="13"/>
  <c r="T1033" i="13"/>
  <c r="U1033" i="13"/>
  <c r="X1033" i="13"/>
  <c r="Y1033" i="13"/>
  <c r="Z1033" i="13"/>
  <c r="V1033" i="13"/>
  <c r="W1033" i="13"/>
  <c r="B1034" i="13"/>
  <c r="C1034" i="13"/>
  <c r="F1034" i="13"/>
  <c r="G1034" i="13"/>
  <c r="H1034" i="13"/>
  <c r="D1034" i="13"/>
  <c r="E1034" i="13"/>
  <c r="T1034" i="13"/>
  <c r="U1034" i="13"/>
  <c r="X1034" i="13"/>
  <c r="Y1034" i="13"/>
  <c r="Z1034" i="13"/>
  <c r="V1034" i="13"/>
  <c r="W1034" i="13"/>
  <c r="B1035" i="13"/>
  <c r="C1035" i="13"/>
  <c r="F1035" i="13"/>
  <c r="G1035" i="13"/>
  <c r="H1035" i="13"/>
  <c r="D1035" i="13"/>
  <c r="E1035" i="13"/>
  <c r="T1035" i="13"/>
  <c r="U1035" i="13"/>
  <c r="X1035" i="13"/>
  <c r="Y1035" i="13"/>
  <c r="Z1035" i="13"/>
  <c r="V1035" i="13"/>
  <c r="W1035" i="13"/>
  <c r="B1036" i="13"/>
  <c r="C1036" i="13"/>
  <c r="F1036" i="13"/>
  <c r="G1036" i="13"/>
  <c r="H1036" i="13"/>
  <c r="D1036" i="13"/>
  <c r="E1036" i="13"/>
  <c r="T1036" i="13"/>
  <c r="U1036" i="13"/>
  <c r="X1036" i="13"/>
  <c r="Y1036" i="13"/>
  <c r="Z1036" i="13"/>
  <c r="V1036" i="13"/>
  <c r="W1036" i="13"/>
  <c r="B1037" i="13"/>
  <c r="C1037" i="13"/>
  <c r="F1037" i="13"/>
  <c r="G1037" i="13"/>
  <c r="H1037" i="13"/>
  <c r="D1037" i="13"/>
  <c r="E1037" i="13"/>
  <c r="T1037" i="13"/>
  <c r="U1037" i="13"/>
  <c r="X1037" i="13"/>
  <c r="Y1037" i="13"/>
  <c r="Z1037" i="13"/>
  <c r="V1037" i="13"/>
  <c r="W1037" i="13"/>
  <c r="B1038" i="13"/>
  <c r="C1038" i="13"/>
  <c r="F1038" i="13"/>
  <c r="G1038" i="13"/>
  <c r="H1038" i="13"/>
  <c r="D1038" i="13"/>
  <c r="E1038" i="13"/>
  <c r="T1038" i="13"/>
  <c r="U1038" i="13"/>
  <c r="X1038" i="13"/>
  <c r="Y1038" i="13"/>
  <c r="Z1038" i="13"/>
  <c r="V1038" i="13"/>
  <c r="W1038" i="13"/>
  <c r="B1039" i="13"/>
  <c r="C1039" i="13"/>
  <c r="F1039" i="13"/>
  <c r="G1039" i="13"/>
  <c r="H1039" i="13"/>
  <c r="D1039" i="13"/>
  <c r="E1039" i="13"/>
  <c r="T1039" i="13"/>
  <c r="U1039" i="13"/>
  <c r="X1039" i="13"/>
  <c r="Y1039" i="13"/>
  <c r="Z1039" i="13"/>
  <c r="V1039" i="13"/>
  <c r="W1039" i="13"/>
  <c r="B1040" i="13"/>
  <c r="C1040" i="13"/>
  <c r="F1040" i="13"/>
  <c r="G1040" i="13"/>
  <c r="H1040" i="13"/>
  <c r="D1040" i="13"/>
  <c r="E1040" i="13"/>
  <c r="T1040" i="13"/>
  <c r="U1040" i="13"/>
  <c r="X1040" i="13"/>
  <c r="Y1040" i="13"/>
  <c r="Z1040" i="13"/>
  <c r="V1040" i="13"/>
  <c r="W1040" i="13"/>
  <c r="B1041" i="13"/>
  <c r="C1041" i="13"/>
  <c r="F1041" i="13"/>
  <c r="G1041" i="13"/>
  <c r="H1041" i="13"/>
  <c r="D1041" i="13"/>
  <c r="E1041" i="13"/>
  <c r="T1041" i="13"/>
  <c r="U1041" i="13"/>
  <c r="X1041" i="13"/>
  <c r="Y1041" i="13"/>
  <c r="Z1041" i="13"/>
  <c r="V1041" i="13"/>
  <c r="W1041" i="13"/>
  <c r="B1042" i="13"/>
  <c r="C1042" i="13"/>
  <c r="F1042" i="13"/>
  <c r="G1042" i="13"/>
  <c r="H1042" i="13"/>
  <c r="D1042" i="13"/>
  <c r="E1042" i="13"/>
  <c r="T1042" i="13"/>
  <c r="U1042" i="13"/>
  <c r="X1042" i="13"/>
  <c r="Y1042" i="13"/>
  <c r="Z1042" i="13"/>
  <c r="V1042" i="13"/>
  <c r="W1042" i="13"/>
  <c r="B1043" i="13"/>
  <c r="C1043" i="13"/>
  <c r="F1043" i="13"/>
  <c r="G1043" i="13"/>
  <c r="H1043" i="13"/>
  <c r="D1043" i="13"/>
  <c r="E1043" i="13"/>
  <c r="T1043" i="13"/>
  <c r="U1043" i="13"/>
  <c r="X1043" i="13"/>
  <c r="Y1043" i="13"/>
  <c r="Z1043" i="13"/>
  <c r="V1043" i="13"/>
  <c r="W1043" i="13"/>
  <c r="B1044" i="13"/>
  <c r="C1044" i="13"/>
  <c r="F1044" i="13"/>
  <c r="G1044" i="13"/>
  <c r="H1044" i="13"/>
  <c r="D1044" i="13"/>
  <c r="E1044" i="13"/>
  <c r="T1044" i="13"/>
  <c r="U1044" i="13"/>
  <c r="X1044" i="13"/>
  <c r="Y1044" i="13"/>
  <c r="Z1044" i="13"/>
  <c r="V1044" i="13"/>
  <c r="W1044" i="13"/>
  <c r="B1045" i="13"/>
  <c r="C1045" i="13"/>
  <c r="F1045" i="13"/>
  <c r="G1045" i="13"/>
  <c r="H1045" i="13"/>
  <c r="D1045" i="13"/>
  <c r="E1045" i="13"/>
  <c r="T1045" i="13"/>
  <c r="U1045" i="13"/>
  <c r="X1045" i="13"/>
  <c r="Y1045" i="13"/>
  <c r="Z1045" i="13"/>
  <c r="V1045" i="13"/>
  <c r="W1045" i="13"/>
  <c r="B1046" i="13"/>
  <c r="C1046" i="13"/>
  <c r="F1046" i="13"/>
  <c r="G1046" i="13"/>
  <c r="H1046" i="13"/>
  <c r="D1046" i="13"/>
  <c r="E1046" i="13"/>
  <c r="T1046" i="13"/>
  <c r="U1046" i="13"/>
  <c r="X1046" i="13"/>
  <c r="Y1046" i="13"/>
  <c r="Z1046" i="13"/>
  <c r="V1046" i="13"/>
  <c r="W1046" i="13"/>
  <c r="B1047" i="13"/>
  <c r="C1047" i="13"/>
  <c r="F1047" i="13"/>
  <c r="G1047" i="13"/>
  <c r="H1047" i="13"/>
  <c r="D1047" i="13"/>
  <c r="E1047" i="13"/>
  <c r="T1047" i="13"/>
  <c r="U1047" i="13"/>
  <c r="X1047" i="13"/>
  <c r="Y1047" i="13"/>
  <c r="Z1047" i="13"/>
  <c r="V1047" i="13"/>
  <c r="W1047" i="13"/>
  <c r="B1048" i="13"/>
  <c r="C1048" i="13"/>
  <c r="F1048" i="13"/>
  <c r="G1048" i="13"/>
  <c r="H1048" i="13"/>
  <c r="D1048" i="13"/>
  <c r="E1048" i="13"/>
  <c r="T1048" i="13"/>
  <c r="U1048" i="13"/>
  <c r="X1048" i="13"/>
  <c r="Y1048" i="13"/>
  <c r="Z1048" i="13"/>
  <c r="V1048" i="13"/>
  <c r="W1048" i="13"/>
  <c r="B1049" i="13"/>
  <c r="C1049" i="13"/>
  <c r="F1049" i="13"/>
  <c r="G1049" i="13"/>
  <c r="H1049" i="13"/>
  <c r="D1049" i="13"/>
  <c r="E1049" i="13"/>
  <c r="T1049" i="13"/>
  <c r="U1049" i="13"/>
  <c r="X1049" i="13"/>
  <c r="Y1049" i="13"/>
  <c r="Z1049" i="13"/>
  <c r="V1049" i="13"/>
  <c r="W1049" i="13"/>
  <c r="B1050" i="13"/>
  <c r="C1050" i="13"/>
  <c r="F1050" i="13"/>
  <c r="G1050" i="13"/>
  <c r="H1050" i="13"/>
  <c r="D1050" i="13"/>
  <c r="E1050" i="13"/>
  <c r="T1050" i="13"/>
  <c r="U1050" i="13"/>
  <c r="X1050" i="13"/>
  <c r="Y1050" i="13"/>
  <c r="Z1050" i="13"/>
  <c r="V1050" i="13"/>
  <c r="W1050" i="13"/>
  <c r="B1051" i="13"/>
  <c r="C1051" i="13"/>
  <c r="F1051" i="13"/>
  <c r="G1051" i="13"/>
  <c r="H1051" i="13"/>
  <c r="D1051" i="13"/>
  <c r="E1051" i="13"/>
  <c r="T1051" i="13"/>
  <c r="U1051" i="13"/>
  <c r="X1051" i="13"/>
  <c r="Y1051" i="13"/>
  <c r="Z1051" i="13"/>
  <c r="V1051" i="13"/>
  <c r="W1051" i="13"/>
  <c r="B1052" i="13"/>
  <c r="C1052" i="13"/>
  <c r="F1052" i="13"/>
  <c r="G1052" i="13"/>
  <c r="H1052" i="13"/>
  <c r="D1052" i="13"/>
  <c r="E1052" i="13"/>
  <c r="T1052" i="13"/>
  <c r="U1052" i="13"/>
  <c r="X1052" i="13"/>
  <c r="Y1052" i="13"/>
  <c r="Z1052" i="13"/>
  <c r="V1052" i="13"/>
  <c r="W1052" i="13"/>
  <c r="B1053" i="13"/>
  <c r="C1053" i="13"/>
  <c r="F1053" i="13"/>
  <c r="G1053" i="13"/>
  <c r="H1053" i="13"/>
  <c r="D1053" i="13"/>
  <c r="E1053" i="13"/>
  <c r="T1053" i="13"/>
  <c r="U1053" i="13"/>
  <c r="X1053" i="13"/>
  <c r="Y1053" i="13"/>
  <c r="Z1053" i="13"/>
  <c r="V1053" i="13"/>
  <c r="W1053" i="13"/>
  <c r="B1054" i="13"/>
  <c r="C1054" i="13"/>
  <c r="F1054" i="13"/>
  <c r="G1054" i="13"/>
  <c r="H1054" i="13"/>
  <c r="D1054" i="13"/>
  <c r="E1054" i="13"/>
  <c r="T1054" i="13"/>
  <c r="U1054" i="13"/>
  <c r="X1054" i="13"/>
  <c r="Y1054" i="13"/>
  <c r="Z1054" i="13"/>
  <c r="V1054" i="13"/>
  <c r="W1054" i="13"/>
  <c r="B1055" i="13"/>
  <c r="C1055" i="13"/>
  <c r="F1055" i="13"/>
  <c r="G1055" i="13"/>
  <c r="H1055" i="13"/>
  <c r="D1055" i="13"/>
  <c r="E1055" i="13"/>
  <c r="T1055" i="13"/>
  <c r="U1055" i="13"/>
  <c r="X1055" i="13"/>
  <c r="Y1055" i="13"/>
  <c r="Z1055" i="13"/>
  <c r="V1055" i="13"/>
  <c r="W1055" i="13"/>
  <c r="B1056" i="13"/>
  <c r="C1056" i="13"/>
  <c r="F1056" i="13"/>
  <c r="G1056" i="13"/>
  <c r="H1056" i="13"/>
  <c r="D1056" i="13"/>
  <c r="E1056" i="13"/>
  <c r="T1056" i="13"/>
  <c r="U1056" i="13"/>
  <c r="X1056" i="13"/>
  <c r="Y1056" i="13"/>
  <c r="Z1056" i="13"/>
  <c r="V1056" i="13"/>
  <c r="W1056" i="13"/>
  <c r="B1057" i="13"/>
  <c r="C1057" i="13"/>
  <c r="F1057" i="13"/>
  <c r="G1057" i="13"/>
  <c r="H1057" i="13"/>
  <c r="D1057" i="13"/>
  <c r="E1057" i="13"/>
  <c r="T1057" i="13"/>
  <c r="U1057" i="13"/>
  <c r="X1057" i="13"/>
  <c r="Y1057" i="13"/>
  <c r="Z1057" i="13"/>
  <c r="V1057" i="13"/>
  <c r="W1057" i="13"/>
  <c r="B1058" i="13"/>
  <c r="C1058" i="13"/>
  <c r="F1058" i="13"/>
  <c r="G1058" i="13"/>
  <c r="H1058" i="13"/>
  <c r="D1058" i="13"/>
  <c r="E1058" i="13"/>
  <c r="T1058" i="13"/>
  <c r="U1058" i="13"/>
  <c r="X1058" i="13"/>
  <c r="Y1058" i="13"/>
  <c r="Z1058" i="13"/>
  <c r="V1058" i="13"/>
  <c r="W1058" i="13"/>
  <c r="B1059" i="13"/>
  <c r="C1059" i="13"/>
  <c r="F1059" i="13"/>
  <c r="G1059" i="13"/>
  <c r="H1059" i="13"/>
  <c r="D1059" i="13"/>
  <c r="E1059" i="13"/>
  <c r="T1059" i="13"/>
  <c r="U1059" i="13"/>
  <c r="X1059" i="13"/>
  <c r="Y1059" i="13"/>
  <c r="Z1059" i="13"/>
  <c r="V1059" i="13"/>
  <c r="W1059" i="13"/>
  <c r="B1060" i="13"/>
  <c r="C1060" i="13"/>
  <c r="F1060" i="13"/>
  <c r="G1060" i="13"/>
  <c r="H1060" i="13"/>
  <c r="D1060" i="13"/>
  <c r="E1060" i="13"/>
  <c r="T1060" i="13"/>
  <c r="U1060" i="13"/>
  <c r="X1060" i="13"/>
  <c r="Y1060" i="13"/>
  <c r="Z1060" i="13"/>
  <c r="V1060" i="13"/>
  <c r="W1060" i="13"/>
  <c r="B1061" i="13"/>
  <c r="C1061" i="13"/>
  <c r="F1061" i="13"/>
  <c r="G1061" i="13"/>
  <c r="H1061" i="13"/>
  <c r="D1061" i="13"/>
  <c r="E1061" i="13"/>
  <c r="T1061" i="13"/>
  <c r="U1061" i="13"/>
  <c r="X1061" i="13"/>
  <c r="Y1061" i="13"/>
  <c r="Z1061" i="13"/>
  <c r="V1061" i="13"/>
  <c r="W1061" i="13"/>
  <c r="B1062" i="13"/>
  <c r="C1062" i="13"/>
  <c r="F1062" i="13"/>
  <c r="G1062" i="13"/>
  <c r="H1062" i="13"/>
  <c r="D1062" i="13"/>
  <c r="E1062" i="13"/>
  <c r="T1062" i="13"/>
  <c r="U1062" i="13"/>
  <c r="X1062" i="13"/>
  <c r="Y1062" i="13"/>
  <c r="Z1062" i="13"/>
  <c r="V1062" i="13"/>
  <c r="W1062" i="13"/>
  <c r="B1063" i="13"/>
  <c r="C1063" i="13"/>
  <c r="F1063" i="13"/>
  <c r="G1063" i="13"/>
  <c r="H1063" i="13"/>
  <c r="D1063" i="13"/>
  <c r="E1063" i="13"/>
  <c r="T1063" i="13"/>
  <c r="U1063" i="13"/>
  <c r="X1063" i="13"/>
  <c r="Y1063" i="13"/>
  <c r="Z1063" i="13"/>
  <c r="V1063" i="13"/>
  <c r="W1063" i="13"/>
  <c r="B1064" i="13"/>
  <c r="C1064" i="13"/>
  <c r="F1064" i="13"/>
  <c r="G1064" i="13"/>
  <c r="H1064" i="13"/>
  <c r="D1064" i="13"/>
  <c r="E1064" i="13"/>
  <c r="T1064" i="13"/>
  <c r="U1064" i="13"/>
  <c r="X1064" i="13"/>
  <c r="Y1064" i="13"/>
  <c r="Z1064" i="13"/>
  <c r="V1064" i="13"/>
  <c r="W1064" i="13"/>
  <c r="B1065" i="13"/>
  <c r="C1065" i="13"/>
  <c r="F1065" i="13"/>
  <c r="G1065" i="13"/>
  <c r="H1065" i="13"/>
  <c r="D1065" i="13"/>
  <c r="E1065" i="13"/>
  <c r="T1065" i="13"/>
  <c r="U1065" i="13"/>
  <c r="X1065" i="13"/>
  <c r="Y1065" i="13"/>
  <c r="Z1065" i="13"/>
  <c r="V1065" i="13"/>
  <c r="W1065" i="13"/>
  <c r="B1066" i="13"/>
  <c r="C1066" i="13"/>
  <c r="F1066" i="13"/>
  <c r="G1066" i="13"/>
  <c r="H1066" i="13"/>
  <c r="D1066" i="13"/>
  <c r="E1066" i="13"/>
  <c r="T1066" i="13"/>
  <c r="U1066" i="13"/>
  <c r="X1066" i="13"/>
  <c r="Y1066" i="13"/>
  <c r="Z1066" i="13"/>
  <c r="V1066" i="13"/>
  <c r="W1066" i="13"/>
  <c r="B1067" i="13"/>
  <c r="C1067" i="13"/>
  <c r="F1067" i="13"/>
  <c r="G1067" i="13"/>
  <c r="H1067" i="13"/>
  <c r="D1067" i="13"/>
  <c r="E1067" i="13"/>
  <c r="T1067" i="13"/>
  <c r="U1067" i="13"/>
  <c r="X1067" i="13"/>
  <c r="Y1067" i="13"/>
  <c r="Z1067" i="13"/>
  <c r="V1067" i="13"/>
  <c r="W1067" i="13"/>
  <c r="B1068" i="13"/>
  <c r="C1068" i="13"/>
  <c r="F1068" i="13"/>
  <c r="G1068" i="13"/>
  <c r="H1068" i="13"/>
  <c r="D1068" i="13"/>
  <c r="E1068" i="13"/>
  <c r="T1068" i="13"/>
  <c r="U1068" i="13"/>
  <c r="X1068" i="13"/>
  <c r="Y1068" i="13"/>
  <c r="Z1068" i="13"/>
  <c r="V1068" i="13"/>
  <c r="W1068" i="13"/>
  <c r="B1069" i="13"/>
  <c r="C1069" i="13"/>
  <c r="F1069" i="13"/>
  <c r="G1069" i="13"/>
  <c r="H1069" i="13"/>
  <c r="D1069" i="13"/>
  <c r="E1069" i="13"/>
  <c r="T1069" i="13"/>
  <c r="U1069" i="13"/>
  <c r="X1069" i="13"/>
  <c r="Y1069" i="13"/>
  <c r="Z1069" i="13"/>
  <c r="V1069" i="13"/>
  <c r="W1069" i="13"/>
  <c r="B1070" i="13"/>
  <c r="C1070" i="13"/>
  <c r="F1070" i="13"/>
  <c r="G1070" i="13"/>
  <c r="H1070" i="13"/>
  <c r="D1070" i="13"/>
  <c r="E1070" i="13"/>
  <c r="T1070" i="13"/>
  <c r="U1070" i="13"/>
  <c r="X1070" i="13"/>
  <c r="Y1070" i="13"/>
  <c r="Z1070" i="13"/>
  <c r="V1070" i="13"/>
  <c r="W1070" i="13"/>
  <c r="B1071" i="13"/>
  <c r="C1071" i="13"/>
  <c r="F1071" i="13"/>
  <c r="G1071" i="13"/>
  <c r="H1071" i="13"/>
  <c r="D1071" i="13"/>
  <c r="E1071" i="13"/>
  <c r="T1071" i="13"/>
  <c r="U1071" i="13"/>
  <c r="X1071" i="13"/>
  <c r="Y1071" i="13"/>
  <c r="Z1071" i="13"/>
  <c r="V1071" i="13"/>
  <c r="W1071" i="13"/>
  <c r="B1072" i="13"/>
  <c r="C1072" i="13"/>
  <c r="F1072" i="13"/>
  <c r="G1072" i="13"/>
  <c r="H1072" i="13"/>
  <c r="D1072" i="13"/>
  <c r="E1072" i="13"/>
  <c r="T1072" i="13"/>
  <c r="U1072" i="13"/>
  <c r="X1072" i="13"/>
  <c r="Y1072" i="13"/>
  <c r="Z1072" i="13"/>
  <c r="V1072" i="13"/>
  <c r="W1072" i="13"/>
  <c r="B1073" i="13"/>
  <c r="C1073" i="13"/>
  <c r="F1073" i="13"/>
  <c r="G1073" i="13"/>
  <c r="H1073" i="13"/>
  <c r="D1073" i="13"/>
  <c r="E1073" i="13"/>
  <c r="T1073" i="13"/>
  <c r="U1073" i="13"/>
  <c r="X1073" i="13"/>
  <c r="Y1073" i="13"/>
  <c r="Z1073" i="13"/>
  <c r="V1073" i="13"/>
  <c r="W1073" i="13"/>
  <c r="B1074" i="13"/>
  <c r="C1074" i="13"/>
  <c r="F1074" i="13"/>
  <c r="G1074" i="13"/>
  <c r="H1074" i="13"/>
  <c r="D1074" i="13"/>
  <c r="E1074" i="13"/>
  <c r="T1074" i="13"/>
  <c r="U1074" i="13"/>
  <c r="X1074" i="13"/>
  <c r="Y1074" i="13"/>
  <c r="Z1074" i="13"/>
  <c r="V1074" i="13"/>
  <c r="W1074" i="13"/>
  <c r="B1075" i="13"/>
  <c r="C1075" i="13"/>
  <c r="F1075" i="13"/>
  <c r="G1075" i="13"/>
  <c r="H1075" i="13"/>
  <c r="D1075" i="13"/>
  <c r="E1075" i="13"/>
  <c r="T1075" i="13"/>
  <c r="U1075" i="13"/>
  <c r="X1075" i="13"/>
  <c r="Y1075" i="13"/>
  <c r="Z1075" i="13"/>
  <c r="V1075" i="13"/>
  <c r="W1075" i="13"/>
  <c r="B1076" i="13"/>
  <c r="C1076" i="13"/>
  <c r="F1076" i="13"/>
  <c r="G1076" i="13"/>
  <c r="H1076" i="13"/>
  <c r="D1076" i="13"/>
  <c r="E1076" i="13"/>
  <c r="T1076" i="13"/>
  <c r="U1076" i="13"/>
  <c r="X1076" i="13"/>
  <c r="Y1076" i="13"/>
  <c r="Z1076" i="13"/>
  <c r="V1076" i="13"/>
  <c r="W1076" i="13"/>
  <c r="B1077" i="13"/>
  <c r="C1077" i="13"/>
  <c r="F1077" i="13"/>
  <c r="G1077" i="13"/>
  <c r="H1077" i="13"/>
  <c r="D1077" i="13"/>
  <c r="E1077" i="13"/>
  <c r="T1077" i="13"/>
  <c r="U1077" i="13"/>
  <c r="X1077" i="13"/>
  <c r="Y1077" i="13"/>
  <c r="Z1077" i="13"/>
  <c r="V1077" i="13"/>
  <c r="W1077" i="13"/>
  <c r="B1078" i="13"/>
  <c r="C1078" i="13"/>
  <c r="F1078" i="13"/>
  <c r="G1078" i="13"/>
  <c r="H1078" i="13"/>
  <c r="D1078" i="13"/>
  <c r="E1078" i="13"/>
  <c r="T1078" i="13"/>
  <c r="U1078" i="13"/>
  <c r="X1078" i="13"/>
  <c r="Y1078" i="13"/>
  <c r="Z1078" i="13"/>
  <c r="V1078" i="13"/>
  <c r="W1078" i="13"/>
  <c r="B1079" i="13"/>
  <c r="C1079" i="13"/>
  <c r="F1079" i="13"/>
  <c r="G1079" i="13"/>
  <c r="H1079" i="13"/>
  <c r="D1079" i="13"/>
  <c r="E1079" i="13"/>
  <c r="T1079" i="13"/>
  <c r="U1079" i="13"/>
  <c r="X1079" i="13"/>
  <c r="Y1079" i="13"/>
  <c r="Z1079" i="13"/>
  <c r="V1079" i="13"/>
  <c r="W1079" i="13"/>
  <c r="B1080" i="13"/>
  <c r="C1080" i="13"/>
  <c r="F1080" i="13"/>
  <c r="G1080" i="13"/>
  <c r="H1080" i="13"/>
  <c r="D1080" i="13"/>
  <c r="E1080" i="13"/>
  <c r="T1080" i="13"/>
  <c r="U1080" i="13"/>
  <c r="X1080" i="13"/>
  <c r="Y1080" i="13"/>
  <c r="Z1080" i="13"/>
  <c r="V1080" i="13"/>
  <c r="W1080" i="13"/>
  <c r="B1081" i="13"/>
  <c r="C1081" i="13"/>
  <c r="F1081" i="13"/>
  <c r="G1081" i="13"/>
  <c r="H1081" i="13"/>
  <c r="D1081" i="13"/>
  <c r="E1081" i="13"/>
  <c r="T1081" i="13"/>
  <c r="U1081" i="13"/>
  <c r="X1081" i="13"/>
  <c r="Y1081" i="13"/>
  <c r="Z1081" i="13"/>
  <c r="V1081" i="13"/>
  <c r="W1081" i="13"/>
  <c r="B1082" i="13"/>
  <c r="C1082" i="13"/>
  <c r="F1082" i="13"/>
  <c r="G1082" i="13"/>
  <c r="H1082" i="13"/>
  <c r="D1082" i="13"/>
  <c r="E1082" i="13"/>
  <c r="T1082" i="13"/>
  <c r="U1082" i="13"/>
  <c r="X1082" i="13"/>
  <c r="Y1082" i="13"/>
  <c r="Z1082" i="13"/>
  <c r="V1082" i="13"/>
  <c r="W1082" i="13"/>
  <c r="B1083" i="13"/>
  <c r="C1083" i="13"/>
  <c r="F1083" i="13"/>
  <c r="G1083" i="13"/>
  <c r="H1083" i="13"/>
  <c r="D1083" i="13"/>
  <c r="E1083" i="13"/>
  <c r="T1083" i="13"/>
  <c r="U1083" i="13"/>
  <c r="X1083" i="13"/>
  <c r="Y1083" i="13"/>
  <c r="Z1083" i="13"/>
  <c r="V1083" i="13"/>
  <c r="W1083" i="13"/>
  <c r="B1084" i="13"/>
  <c r="C1084" i="13"/>
  <c r="F1084" i="13"/>
  <c r="G1084" i="13"/>
  <c r="H1084" i="13"/>
  <c r="D1084" i="13"/>
  <c r="E1084" i="13"/>
  <c r="T1084" i="13"/>
  <c r="U1084" i="13"/>
  <c r="X1084" i="13"/>
  <c r="Y1084" i="13"/>
  <c r="Z1084" i="13"/>
  <c r="V1084" i="13"/>
  <c r="W1084" i="13"/>
  <c r="B1085" i="13"/>
  <c r="C1085" i="13"/>
  <c r="F1085" i="13"/>
  <c r="G1085" i="13"/>
  <c r="H1085" i="13"/>
  <c r="D1085" i="13"/>
  <c r="E1085" i="13"/>
  <c r="T1085" i="13"/>
  <c r="U1085" i="13"/>
  <c r="X1085" i="13"/>
  <c r="Y1085" i="13"/>
  <c r="Z1085" i="13"/>
  <c r="V1085" i="13"/>
  <c r="W1085" i="13"/>
  <c r="B1086" i="13"/>
  <c r="C1086" i="13"/>
  <c r="F1086" i="13"/>
  <c r="G1086" i="13"/>
  <c r="H1086" i="13"/>
  <c r="D1086" i="13"/>
  <c r="E1086" i="13"/>
  <c r="T1086" i="13"/>
  <c r="U1086" i="13"/>
  <c r="X1086" i="13"/>
  <c r="Y1086" i="13"/>
  <c r="Z1086" i="13"/>
  <c r="V1086" i="13"/>
  <c r="W1086" i="13"/>
  <c r="B1087" i="13"/>
  <c r="C1087" i="13"/>
  <c r="F1087" i="13"/>
  <c r="G1087" i="13"/>
  <c r="H1087" i="13"/>
  <c r="D1087" i="13"/>
  <c r="E1087" i="13"/>
  <c r="T1087" i="13"/>
  <c r="U1087" i="13"/>
  <c r="X1087" i="13"/>
  <c r="Y1087" i="13"/>
  <c r="Z1087" i="13"/>
  <c r="V1087" i="13"/>
  <c r="W1087" i="13"/>
  <c r="B1088" i="13"/>
  <c r="C1088" i="13"/>
  <c r="F1088" i="13"/>
  <c r="G1088" i="13"/>
  <c r="H1088" i="13"/>
  <c r="D1088" i="13"/>
  <c r="E1088" i="13"/>
  <c r="T1088" i="13"/>
  <c r="U1088" i="13"/>
  <c r="X1088" i="13"/>
  <c r="Y1088" i="13"/>
  <c r="Z1088" i="13"/>
  <c r="V1088" i="13"/>
  <c r="W1088" i="13"/>
  <c r="B1089" i="13"/>
  <c r="C1089" i="13"/>
  <c r="F1089" i="13"/>
  <c r="G1089" i="13"/>
  <c r="H1089" i="13"/>
  <c r="D1089" i="13"/>
  <c r="E1089" i="13"/>
  <c r="T1089" i="13"/>
  <c r="U1089" i="13"/>
  <c r="X1089" i="13"/>
  <c r="Y1089" i="13"/>
  <c r="Z1089" i="13"/>
  <c r="V1089" i="13"/>
  <c r="W1089" i="13"/>
  <c r="B1090" i="13"/>
  <c r="C1090" i="13"/>
  <c r="F1090" i="13"/>
  <c r="G1090" i="13"/>
  <c r="H1090" i="13"/>
  <c r="D1090" i="13"/>
  <c r="E1090" i="13"/>
  <c r="T1090" i="13"/>
  <c r="U1090" i="13"/>
  <c r="X1090" i="13"/>
  <c r="Y1090" i="13"/>
  <c r="Z1090" i="13"/>
  <c r="V1090" i="13"/>
  <c r="W1090" i="13"/>
  <c r="B1091" i="13"/>
  <c r="C1091" i="13"/>
  <c r="F1091" i="13"/>
  <c r="G1091" i="13"/>
  <c r="H1091" i="13"/>
  <c r="D1091" i="13"/>
  <c r="E1091" i="13"/>
  <c r="T1091" i="13"/>
  <c r="U1091" i="13"/>
  <c r="X1091" i="13"/>
  <c r="Y1091" i="13"/>
  <c r="Z1091" i="13"/>
  <c r="V1091" i="13"/>
  <c r="W1091" i="13"/>
  <c r="B1092" i="13"/>
  <c r="C1092" i="13"/>
  <c r="F1092" i="13"/>
  <c r="G1092" i="13"/>
  <c r="H1092" i="13"/>
  <c r="D1092" i="13"/>
  <c r="E1092" i="13"/>
  <c r="T1092" i="13"/>
  <c r="U1092" i="13"/>
  <c r="X1092" i="13"/>
  <c r="Y1092" i="13"/>
  <c r="Z1092" i="13"/>
  <c r="V1092" i="13"/>
  <c r="W1092" i="13"/>
  <c r="B1093" i="13"/>
  <c r="C1093" i="13"/>
  <c r="F1093" i="13"/>
  <c r="G1093" i="13"/>
  <c r="H1093" i="13"/>
  <c r="D1093" i="13"/>
  <c r="E1093" i="13"/>
  <c r="T1093" i="13"/>
  <c r="U1093" i="13"/>
  <c r="X1093" i="13"/>
  <c r="Y1093" i="13"/>
  <c r="Z1093" i="13"/>
  <c r="V1093" i="13"/>
  <c r="W1093" i="13"/>
  <c r="B1094" i="13"/>
  <c r="C1094" i="13"/>
  <c r="F1094" i="13"/>
  <c r="G1094" i="13"/>
  <c r="H1094" i="13"/>
  <c r="D1094" i="13"/>
  <c r="E1094" i="13"/>
  <c r="T1094" i="13"/>
  <c r="U1094" i="13"/>
  <c r="X1094" i="13"/>
  <c r="Y1094" i="13"/>
  <c r="Z1094" i="13"/>
  <c r="V1094" i="13"/>
  <c r="W1094" i="13"/>
  <c r="B1095" i="13"/>
  <c r="C1095" i="13"/>
  <c r="F1095" i="13"/>
  <c r="G1095" i="13"/>
  <c r="H1095" i="13"/>
  <c r="D1095" i="13"/>
  <c r="E1095" i="13"/>
  <c r="T1095" i="13"/>
  <c r="U1095" i="13"/>
  <c r="X1095" i="13"/>
  <c r="Y1095" i="13"/>
  <c r="Z1095" i="13"/>
  <c r="V1095" i="13"/>
  <c r="W1095" i="13"/>
  <c r="B1096" i="13"/>
  <c r="C1096" i="13"/>
  <c r="F1096" i="13"/>
  <c r="G1096" i="13"/>
  <c r="H1096" i="13"/>
  <c r="D1096" i="13"/>
  <c r="E1096" i="13"/>
  <c r="T1096" i="13"/>
  <c r="U1096" i="13"/>
  <c r="X1096" i="13"/>
  <c r="Y1096" i="13"/>
  <c r="Z1096" i="13"/>
  <c r="V1096" i="13"/>
  <c r="W1096" i="13"/>
  <c r="B1097" i="13"/>
  <c r="C1097" i="13"/>
  <c r="F1097" i="13"/>
  <c r="G1097" i="13"/>
  <c r="H1097" i="13"/>
  <c r="D1097" i="13"/>
  <c r="E1097" i="13"/>
  <c r="T1097" i="13"/>
  <c r="U1097" i="13"/>
  <c r="X1097" i="13"/>
  <c r="Y1097" i="13"/>
  <c r="Z1097" i="13"/>
  <c r="V1097" i="13"/>
  <c r="W1097" i="13"/>
  <c r="B1098" i="13"/>
  <c r="C1098" i="13"/>
  <c r="F1098" i="13"/>
  <c r="G1098" i="13"/>
  <c r="H1098" i="13"/>
  <c r="D1098" i="13"/>
  <c r="E1098" i="13"/>
  <c r="T1098" i="13"/>
  <c r="U1098" i="13"/>
  <c r="X1098" i="13"/>
  <c r="Y1098" i="13"/>
  <c r="Z1098" i="13"/>
  <c r="V1098" i="13"/>
  <c r="W1098" i="13"/>
  <c r="B1099" i="13"/>
  <c r="C1099" i="13"/>
  <c r="F1099" i="13"/>
  <c r="G1099" i="13"/>
  <c r="H1099" i="13"/>
  <c r="D1099" i="13"/>
  <c r="E1099" i="13"/>
  <c r="T1099" i="13"/>
  <c r="U1099" i="13"/>
  <c r="X1099" i="13"/>
  <c r="Y1099" i="13"/>
  <c r="Z1099" i="13"/>
  <c r="V1099" i="13"/>
  <c r="W1099" i="13"/>
  <c r="B1100" i="13"/>
  <c r="C1100" i="13"/>
  <c r="F1100" i="13"/>
  <c r="G1100" i="13"/>
  <c r="H1100" i="13"/>
  <c r="D1100" i="13"/>
  <c r="E1100" i="13"/>
  <c r="T1100" i="13"/>
  <c r="U1100" i="13"/>
  <c r="X1100" i="13"/>
  <c r="Y1100" i="13"/>
  <c r="Z1100" i="13"/>
  <c r="V1100" i="13"/>
  <c r="W1100" i="13"/>
  <c r="B1101" i="13"/>
  <c r="C1101" i="13"/>
  <c r="F1101" i="13"/>
  <c r="G1101" i="13"/>
  <c r="H1101" i="13"/>
  <c r="D1101" i="13"/>
  <c r="E1101" i="13"/>
  <c r="T1101" i="13"/>
  <c r="U1101" i="13"/>
  <c r="X1101" i="13"/>
  <c r="Y1101" i="13"/>
  <c r="Z1101" i="13"/>
  <c r="V1101" i="13"/>
  <c r="W1101" i="13"/>
  <c r="B1102" i="13"/>
  <c r="C1102" i="13"/>
  <c r="F1102" i="13"/>
  <c r="G1102" i="13"/>
  <c r="H1102" i="13"/>
  <c r="D1102" i="13"/>
  <c r="E1102" i="13"/>
  <c r="T1102" i="13"/>
  <c r="U1102" i="13"/>
  <c r="X1102" i="13"/>
  <c r="Y1102" i="13"/>
  <c r="Z1102" i="13"/>
  <c r="V1102" i="13"/>
  <c r="W1102" i="13"/>
  <c r="B1103" i="13"/>
  <c r="C1103" i="13"/>
  <c r="F1103" i="13"/>
  <c r="G1103" i="13"/>
  <c r="H1103" i="13"/>
  <c r="D1103" i="13"/>
  <c r="E1103" i="13"/>
  <c r="T1103" i="13"/>
  <c r="U1103" i="13"/>
  <c r="X1103" i="13"/>
  <c r="Y1103" i="13"/>
  <c r="Z1103" i="13"/>
  <c r="V1103" i="13"/>
  <c r="W1103" i="13"/>
  <c r="B1104" i="13"/>
  <c r="C1104" i="13"/>
  <c r="F1104" i="13"/>
  <c r="G1104" i="13"/>
  <c r="H1104" i="13"/>
  <c r="D1104" i="13"/>
  <c r="E1104" i="13"/>
  <c r="T1104" i="13"/>
  <c r="U1104" i="13"/>
  <c r="X1104" i="13"/>
  <c r="Y1104" i="13"/>
  <c r="Z1104" i="13"/>
  <c r="V1104" i="13"/>
  <c r="W1104" i="13"/>
  <c r="B1105" i="13"/>
  <c r="C1105" i="13"/>
  <c r="F1105" i="13"/>
  <c r="G1105" i="13"/>
  <c r="H1105" i="13"/>
  <c r="D1105" i="13"/>
  <c r="E1105" i="13"/>
  <c r="T1105" i="13"/>
  <c r="U1105" i="13"/>
  <c r="X1105" i="13"/>
  <c r="Y1105" i="13"/>
  <c r="Z1105" i="13"/>
  <c r="V1105" i="13"/>
  <c r="W1105" i="13"/>
  <c r="B1106" i="13"/>
  <c r="C1106" i="13"/>
  <c r="F1106" i="13"/>
  <c r="G1106" i="13"/>
  <c r="H1106" i="13"/>
  <c r="D1106" i="13"/>
  <c r="E1106" i="13"/>
  <c r="T1106" i="13"/>
  <c r="U1106" i="13"/>
  <c r="X1106" i="13"/>
  <c r="Y1106" i="13"/>
  <c r="Z1106" i="13"/>
  <c r="V1106" i="13"/>
  <c r="W1106" i="13"/>
  <c r="B1107" i="13"/>
  <c r="C1107" i="13"/>
  <c r="F1107" i="13"/>
  <c r="G1107" i="13"/>
  <c r="H1107" i="13"/>
  <c r="D1107" i="13"/>
  <c r="E1107" i="13"/>
  <c r="T1107" i="13"/>
  <c r="U1107" i="13"/>
  <c r="X1107" i="13"/>
  <c r="Y1107" i="13"/>
  <c r="Z1107" i="13"/>
  <c r="V1107" i="13"/>
  <c r="W1107" i="13"/>
  <c r="B1108" i="13"/>
  <c r="C1108" i="13"/>
  <c r="F1108" i="13"/>
  <c r="G1108" i="13"/>
  <c r="H1108" i="13"/>
  <c r="D1108" i="13"/>
  <c r="E1108" i="13"/>
  <c r="T1108" i="13"/>
  <c r="U1108" i="13"/>
  <c r="X1108" i="13"/>
  <c r="Y1108" i="13"/>
  <c r="Z1108" i="13"/>
  <c r="V1108" i="13"/>
  <c r="W1108" i="13"/>
  <c r="B1109" i="13"/>
  <c r="C1109" i="13"/>
  <c r="F1109" i="13"/>
  <c r="G1109" i="13"/>
  <c r="H1109" i="13"/>
  <c r="D1109" i="13"/>
  <c r="E1109" i="13"/>
  <c r="T1109" i="13"/>
  <c r="U1109" i="13"/>
  <c r="X1109" i="13"/>
  <c r="Y1109" i="13"/>
  <c r="Z1109" i="13"/>
  <c r="V1109" i="13"/>
  <c r="W1109" i="13"/>
  <c r="B1110" i="13"/>
  <c r="C1110" i="13"/>
  <c r="F1110" i="13"/>
  <c r="G1110" i="13"/>
  <c r="H1110" i="13"/>
  <c r="D1110" i="13"/>
  <c r="E1110" i="13"/>
  <c r="T1110" i="13"/>
  <c r="U1110" i="13"/>
  <c r="X1110" i="13"/>
  <c r="Y1110" i="13"/>
  <c r="Z1110" i="13"/>
  <c r="V1110" i="13"/>
  <c r="W1110" i="13"/>
  <c r="B1111" i="13"/>
  <c r="C1111" i="13"/>
  <c r="F1111" i="13"/>
  <c r="G1111" i="13"/>
  <c r="H1111" i="13"/>
  <c r="D1111" i="13"/>
  <c r="E1111" i="13"/>
  <c r="T1111" i="13"/>
  <c r="U1111" i="13"/>
  <c r="X1111" i="13"/>
  <c r="Y1111" i="13"/>
  <c r="Z1111" i="13"/>
  <c r="V1111" i="13"/>
  <c r="W1111" i="13"/>
  <c r="B1112" i="13"/>
  <c r="C1112" i="13"/>
  <c r="F1112" i="13"/>
  <c r="G1112" i="13"/>
  <c r="H1112" i="13"/>
  <c r="D1112" i="13"/>
  <c r="E1112" i="13"/>
  <c r="T1112" i="13"/>
  <c r="U1112" i="13"/>
  <c r="X1112" i="13"/>
  <c r="Y1112" i="13"/>
  <c r="Z1112" i="13"/>
  <c r="V1112" i="13"/>
  <c r="W1112" i="13"/>
  <c r="B1113" i="13"/>
  <c r="C1113" i="13"/>
  <c r="F1113" i="13"/>
  <c r="G1113" i="13"/>
  <c r="H1113" i="13"/>
  <c r="D1113" i="13"/>
  <c r="E1113" i="13"/>
  <c r="T1113" i="13"/>
  <c r="U1113" i="13"/>
  <c r="X1113" i="13"/>
  <c r="Y1113" i="13"/>
  <c r="Z1113" i="13"/>
  <c r="V1113" i="13"/>
  <c r="W1113" i="13"/>
  <c r="B1114" i="13"/>
  <c r="C1114" i="13"/>
  <c r="F1114" i="13"/>
  <c r="G1114" i="13"/>
  <c r="H1114" i="13"/>
  <c r="D1114" i="13"/>
  <c r="E1114" i="13"/>
  <c r="T1114" i="13"/>
  <c r="U1114" i="13"/>
  <c r="X1114" i="13"/>
  <c r="Y1114" i="13"/>
  <c r="Z1114" i="13"/>
  <c r="V1114" i="13"/>
  <c r="W1114" i="13"/>
  <c r="B1115" i="13"/>
  <c r="C1115" i="13"/>
  <c r="F1115" i="13"/>
  <c r="G1115" i="13"/>
  <c r="H1115" i="13"/>
  <c r="D1115" i="13"/>
  <c r="E1115" i="13"/>
  <c r="T1115" i="13"/>
  <c r="U1115" i="13"/>
  <c r="X1115" i="13"/>
  <c r="Y1115" i="13"/>
  <c r="Z1115" i="13"/>
  <c r="V1115" i="13"/>
  <c r="W1115" i="13"/>
  <c r="B1116" i="13"/>
  <c r="C1116" i="13"/>
  <c r="F1116" i="13"/>
  <c r="G1116" i="13"/>
  <c r="H1116" i="13"/>
  <c r="D1116" i="13"/>
  <c r="E1116" i="13"/>
  <c r="T1116" i="13"/>
  <c r="U1116" i="13"/>
  <c r="X1116" i="13"/>
  <c r="Y1116" i="13"/>
  <c r="Z1116" i="13"/>
  <c r="V1116" i="13"/>
  <c r="W1116" i="13"/>
  <c r="B1117" i="13"/>
  <c r="C1117" i="13"/>
  <c r="F1117" i="13"/>
  <c r="G1117" i="13"/>
  <c r="H1117" i="13"/>
  <c r="D1117" i="13"/>
  <c r="E1117" i="13"/>
  <c r="T1117" i="13"/>
  <c r="U1117" i="13"/>
  <c r="X1117" i="13"/>
  <c r="Y1117" i="13"/>
  <c r="Z1117" i="13"/>
  <c r="V1117" i="13"/>
  <c r="W1117" i="13"/>
  <c r="B1118" i="13"/>
  <c r="C1118" i="13"/>
  <c r="F1118" i="13"/>
  <c r="G1118" i="13"/>
  <c r="H1118" i="13"/>
  <c r="D1118" i="13"/>
  <c r="E1118" i="13"/>
  <c r="T1118" i="13"/>
  <c r="U1118" i="13"/>
  <c r="X1118" i="13"/>
  <c r="Y1118" i="13"/>
  <c r="Z1118" i="13"/>
  <c r="V1118" i="13"/>
  <c r="W1118" i="13"/>
  <c r="B1119" i="13"/>
  <c r="C1119" i="13"/>
  <c r="F1119" i="13"/>
  <c r="G1119" i="13"/>
  <c r="H1119" i="13"/>
  <c r="D1119" i="13"/>
  <c r="E1119" i="13"/>
  <c r="T1119" i="13"/>
  <c r="U1119" i="13"/>
  <c r="X1119" i="13"/>
  <c r="Y1119" i="13"/>
  <c r="Z1119" i="13"/>
  <c r="V1119" i="13"/>
  <c r="W1119" i="13"/>
  <c r="B1120" i="13"/>
  <c r="C1120" i="13"/>
  <c r="F1120" i="13"/>
  <c r="G1120" i="13"/>
  <c r="H1120" i="13"/>
  <c r="D1120" i="13"/>
  <c r="E1120" i="13"/>
  <c r="T1120" i="13"/>
  <c r="U1120" i="13"/>
  <c r="X1120" i="13"/>
  <c r="Y1120" i="13"/>
  <c r="Z1120" i="13"/>
  <c r="V1120" i="13"/>
  <c r="W1120" i="13"/>
  <c r="B1121" i="13"/>
  <c r="C1121" i="13"/>
  <c r="F1121" i="13"/>
  <c r="G1121" i="13"/>
  <c r="H1121" i="13"/>
  <c r="D1121" i="13"/>
  <c r="E1121" i="13"/>
  <c r="T1121" i="13"/>
  <c r="U1121" i="13"/>
  <c r="X1121" i="13"/>
  <c r="Y1121" i="13"/>
  <c r="Z1121" i="13"/>
  <c r="V1121" i="13"/>
  <c r="W1121" i="13"/>
  <c r="B1122" i="13"/>
  <c r="C1122" i="13"/>
  <c r="F1122" i="13"/>
  <c r="G1122" i="13"/>
  <c r="H1122" i="13"/>
  <c r="D1122" i="13"/>
  <c r="E1122" i="13"/>
  <c r="T1122" i="13"/>
  <c r="U1122" i="13"/>
  <c r="X1122" i="13"/>
  <c r="Y1122" i="13"/>
  <c r="Z1122" i="13"/>
  <c r="V1122" i="13"/>
  <c r="W1122" i="13"/>
  <c r="B1123" i="13"/>
  <c r="C1123" i="13"/>
  <c r="F1123" i="13"/>
  <c r="G1123" i="13"/>
  <c r="H1123" i="13"/>
  <c r="D1123" i="13"/>
  <c r="E1123" i="13"/>
  <c r="T1123" i="13"/>
  <c r="U1123" i="13"/>
  <c r="X1123" i="13"/>
  <c r="Y1123" i="13"/>
  <c r="Z1123" i="13"/>
  <c r="V1123" i="13"/>
  <c r="W1123" i="13"/>
  <c r="B1124" i="13"/>
  <c r="C1124" i="13"/>
  <c r="F1124" i="13"/>
  <c r="G1124" i="13"/>
  <c r="H1124" i="13"/>
  <c r="D1124" i="13"/>
  <c r="E1124" i="13"/>
  <c r="T1124" i="13"/>
  <c r="U1124" i="13"/>
  <c r="X1124" i="13"/>
  <c r="Y1124" i="13"/>
  <c r="Z1124" i="13"/>
  <c r="V1124" i="13"/>
  <c r="W1124" i="13"/>
  <c r="B1125" i="13"/>
  <c r="C1125" i="13"/>
  <c r="F1125" i="13"/>
  <c r="G1125" i="13"/>
  <c r="H1125" i="13"/>
  <c r="D1125" i="13"/>
  <c r="E1125" i="13"/>
  <c r="T1125" i="13"/>
  <c r="U1125" i="13"/>
  <c r="X1125" i="13"/>
  <c r="Y1125" i="13"/>
  <c r="Z1125" i="13"/>
  <c r="V1125" i="13"/>
  <c r="W1125" i="13"/>
  <c r="B1126" i="13"/>
  <c r="C1126" i="13"/>
  <c r="F1126" i="13"/>
  <c r="G1126" i="13"/>
  <c r="H1126" i="13"/>
  <c r="D1126" i="13"/>
  <c r="E1126" i="13"/>
  <c r="T1126" i="13"/>
  <c r="U1126" i="13"/>
  <c r="X1126" i="13"/>
  <c r="Y1126" i="13"/>
  <c r="Z1126" i="13"/>
  <c r="V1126" i="13"/>
  <c r="W1126" i="13"/>
  <c r="B1127" i="13"/>
  <c r="C1127" i="13"/>
  <c r="F1127" i="13"/>
  <c r="G1127" i="13"/>
  <c r="H1127" i="13"/>
  <c r="D1127" i="13"/>
  <c r="E1127" i="13"/>
  <c r="T1127" i="13"/>
  <c r="U1127" i="13"/>
  <c r="X1127" i="13"/>
  <c r="Y1127" i="13"/>
  <c r="Z1127" i="13"/>
  <c r="V1127" i="13"/>
  <c r="W1127" i="13"/>
  <c r="B1128" i="13"/>
  <c r="C1128" i="13"/>
  <c r="F1128" i="13"/>
  <c r="G1128" i="13"/>
  <c r="H1128" i="13"/>
  <c r="D1128" i="13"/>
  <c r="E1128" i="13"/>
  <c r="T1128" i="13"/>
  <c r="U1128" i="13"/>
  <c r="X1128" i="13"/>
  <c r="Y1128" i="13"/>
  <c r="Z1128" i="13"/>
  <c r="V1128" i="13"/>
  <c r="W1128" i="13"/>
  <c r="B1129" i="13"/>
  <c r="C1129" i="13"/>
  <c r="F1129" i="13"/>
  <c r="G1129" i="13"/>
  <c r="H1129" i="13"/>
  <c r="D1129" i="13"/>
  <c r="E1129" i="13"/>
  <c r="T1129" i="13"/>
  <c r="U1129" i="13"/>
  <c r="X1129" i="13"/>
  <c r="Y1129" i="13"/>
  <c r="Z1129" i="13"/>
  <c r="V1129" i="13"/>
  <c r="W1129" i="13"/>
  <c r="B1130" i="13"/>
  <c r="C1130" i="13"/>
  <c r="F1130" i="13"/>
  <c r="G1130" i="13"/>
  <c r="H1130" i="13"/>
  <c r="D1130" i="13"/>
  <c r="E1130" i="13"/>
  <c r="T1130" i="13"/>
  <c r="U1130" i="13"/>
  <c r="X1130" i="13"/>
  <c r="Y1130" i="13"/>
  <c r="Z1130" i="13"/>
  <c r="V1130" i="13"/>
  <c r="W1130" i="13"/>
  <c r="B1131" i="13"/>
  <c r="C1131" i="13"/>
  <c r="F1131" i="13"/>
  <c r="G1131" i="13"/>
  <c r="H1131" i="13"/>
  <c r="D1131" i="13"/>
  <c r="E1131" i="13"/>
  <c r="T1131" i="13"/>
  <c r="U1131" i="13"/>
  <c r="X1131" i="13"/>
  <c r="Y1131" i="13"/>
  <c r="Z1131" i="13"/>
  <c r="V1131" i="13"/>
  <c r="W1131" i="13"/>
  <c r="B1132" i="13"/>
  <c r="C1132" i="13"/>
  <c r="F1132" i="13"/>
  <c r="G1132" i="13"/>
  <c r="H1132" i="13"/>
  <c r="D1132" i="13"/>
  <c r="E1132" i="13"/>
  <c r="T1132" i="13"/>
  <c r="U1132" i="13"/>
  <c r="X1132" i="13"/>
  <c r="Y1132" i="13"/>
  <c r="Z1132" i="13"/>
  <c r="V1132" i="13"/>
  <c r="W1132" i="13"/>
  <c r="B1133" i="13"/>
  <c r="C1133" i="13"/>
  <c r="F1133" i="13"/>
  <c r="G1133" i="13"/>
  <c r="H1133" i="13"/>
  <c r="D1133" i="13"/>
  <c r="E1133" i="13"/>
  <c r="T1133" i="13"/>
  <c r="U1133" i="13"/>
  <c r="X1133" i="13"/>
  <c r="Y1133" i="13"/>
  <c r="Z1133" i="13"/>
  <c r="V1133" i="13"/>
  <c r="W1133" i="13"/>
  <c r="B1134" i="13"/>
  <c r="C1134" i="13"/>
  <c r="F1134" i="13"/>
  <c r="G1134" i="13"/>
  <c r="H1134" i="13"/>
  <c r="D1134" i="13"/>
  <c r="E1134" i="13"/>
  <c r="T1134" i="13"/>
  <c r="U1134" i="13"/>
  <c r="X1134" i="13"/>
  <c r="Y1134" i="13"/>
  <c r="Z1134" i="13"/>
  <c r="V1134" i="13"/>
  <c r="W1134" i="13"/>
  <c r="B1135" i="13"/>
  <c r="C1135" i="13"/>
  <c r="F1135" i="13"/>
  <c r="G1135" i="13"/>
  <c r="H1135" i="13"/>
  <c r="D1135" i="13"/>
  <c r="E1135" i="13"/>
  <c r="T1135" i="13"/>
  <c r="U1135" i="13"/>
  <c r="X1135" i="13"/>
  <c r="Y1135" i="13"/>
  <c r="Z1135" i="13"/>
  <c r="V1135" i="13"/>
  <c r="W1135" i="13"/>
  <c r="B1136" i="13"/>
  <c r="C1136" i="13"/>
  <c r="F1136" i="13"/>
  <c r="G1136" i="13"/>
  <c r="H1136" i="13"/>
  <c r="D1136" i="13"/>
  <c r="E1136" i="13"/>
  <c r="T1136" i="13"/>
  <c r="U1136" i="13"/>
  <c r="X1136" i="13"/>
  <c r="Y1136" i="13"/>
  <c r="Z1136" i="13"/>
  <c r="V1136" i="13"/>
  <c r="W1136" i="13"/>
  <c r="B1137" i="13"/>
  <c r="C1137" i="13"/>
  <c r="F1137" i="13"/>
  <c r="G1137" i="13"/>
  <c r="H1137" i="13"/>
  <c r="D1137" i="13"/>
  <c r="E1137" i="13"/>
  <c r="T1137" i="13"/>
  <c r="U1137" i="13"/>
  <c r="X1137" i="13"/>
  <c r="Y1137" i="13"/>
  <c r="Z1137" i="13"/>
  <c r="V1137" i="13"/>
  <c r="W1137" i="13"/>
  <c r="B1138" i="13"/>
  <c r="C1138" i="13"/>
  <c r="F1138" i="13"/>
  <c r="G1138" i="13"/>
  <c r="H1138" i="13"/>
  <c r="D1138" i="13"/>
  <c r="E1138" i="13"/>
  <c r="T1138" i="13"/>
  <c r="U1138" i="13"/>
  <c r="X1138" i="13"/>
  <c r="Y1138" i="13"/>
  <c r="Z1138" i="13"/>
  <c r="V1138" i="13"/>
  <c r="W1138" i="13"/>
  <c r="B1139" i="13"/>
  <c r="C1139" i="13"/>
  <c r="F1139" i="13"/>
  <c r="G1139" i="13"/>
  <c r="H1139" i="13"/>
  <c r="D1139" i="13"/>
  <c r="E1139" i="13"/>
  <c r="T1139" i="13"/>
  <c r="U1139" i="13"/>
  <c r="X1139" i="13"/>
  <c r="Y1139" i="13"/>
  <c r="Z1139" i="13"/>
  <c r="V1139" i="13"/>
  <c r="W1139" i="13"/>
  <c r="B1140" i="13"/>
  <c r="C1140" i="13"/>
  <c r="F1140" i="13"/>
  <c r="G1140" i="13"/>
  <c r="H1140" i="13"/>
  <c r="D1140" i="13"/>
  <c r="E1140" i="13"/>
  <c r="T1140" i="13"/>
  <c r="U1140" i="13"/>
  <c r="X1140" i="13"/>
  <c r="Y1140" i="13"/>
  <c r="Z1140" i="13"/>
  <c r="V1140" i="13"/>
  <c r="W1140" i="13"/>
  <c r="B1141" i="13"/>
  <c r="C1141" i="13"/>
  <c r="F1141" i="13"/>
  <c r="G1141" i="13"/>
  <c r="H1141" i="13"/>
  <c r="D1141" i="13"/>
  <c r="E1141" i="13"/>
  <c r="T1141" i="13"/>
  <c r="U1141" i="13"/>
  <c r="X1141" i="13"/>
  <c r="Y1141" i="13"/>
  <c r="Z1141" i="13"/>
  <c r="V1141" i="13"/>
  <c r="W1141" i="13"/>
  <c r="B1142" i="13"/>
  <c r="C1142" i="13"/>
  <c r="F1142" i="13"/>
  <c r="G1142" i="13"/>
  <c r="H1142" i="13"/>
  <c r="D1142" i="13"/>
  <c r="E1142" i="13"/>
  <c r="T1142" i="13"/>
  <c r="U1142" i="13"/>
  <c r="X1142" i="13"/>
  <c r="Y1142" i="13"/>
  <c r="Z1142" i="13"/>
  <c r="V1142" i="13"/>
  <c r="W1142" i="13"/>
  <c r="B1143" i="13"/>
  <c r="C1143" i="13"/>
  <c r="F1143" i="13"/>
  <c r="G1143" i="13"/>
  <c r="H1143" i="13"/>
  <c r="D1143" i="13"/>
  <c r="E1143" i="13"/>
  <c r="T1143" i="13"/>
  <c r="U1143" i="13"/>
  <c r="X1143" i="13"/>
  <c r="Y1143" i="13"/>
  <c r="Z1143" i="13"/>
  <c r="V1143" i="13"/>
  <c r="W1143" i="13"/>
  <c r="B1144" i="13"/>
  <c r="C1144" i="13"/>
  <c r="F1144" i="13"/>
  <c r="G1144" i="13"/>
  <c r="H1144" i="13"/>
  <c r="D1144" i="13"/>
  <c r="E1144" i="13"/>
  <c r="T1144" i="13"/>
  <c r="U1144" i="13"/>
  <c r="X1144" i="13"/>
  <c r="Y1144" i="13"/>
  <c r="Z1144" i="13"/>
  <c r="V1144" i="13"/>
  <c r="W1144" i="13"/>
  <c r="B1145" i="13"/>
  <c r="C1145" i="13"/>
  <c r="F1145" i="13"/>
  <c r="G1145" i="13"/>
  <c r="H1145" i="13"/>
  <c r="D1145" i="13"/>
  <c r="E1145" i="13"/>
  <c r="T1145" i="13"/>
  <c r="U1145" i="13"/>
  <c r="X1145" i="13"/>
  <c r="Y1145" i="13"/>
  <c r="Z1145" i="13"/>
  <c r="V1145" i="13"/>
  <c r="W1145" i="13"/>
  <c r="B1146" i="13"/>
  <c r="C1146" i="13"/>
  <c r="F1146" i="13"/>
  <c r="G1146" i="13"/>
  <c r="H1146" i="13"/>
  <c r="D1146" i="13"/>
  <c r="E1146" i="13"/>
  <c r="T1146" i="13"/>
  <c r="U1146" i="13"/>
  <c r="X1146" i="13"/>
  <c r="Y1146" i="13"/>
  <c r="Z1146" i="13"/>
  <c r="V1146" i="13"/>
  <c r="W1146" i="13"/>
  <c r="B1147" i="13"/>
  <c r="C1147" i="13"/>
  <c r="F1147" i="13"/>
  <c r="G1147" i="13"/>
  <c r="H1147" i="13"/>
  <c r="D1147" i="13"/>
  <c r="E1147" i="13"/>
  <c r="T1147" i="13"/>
  <c r="U1147" i="13"/>
  <c r="X1147" i="13"/>
  <c r="Y1147" i="13"/>
  <c r="Z1147" i="13"/>
  <c r="V1147" i="13"/>
  <c r="W1147" i="13"/>
  <c r="B1148" i="13"/>
  <c r="C1148" i="13"/>
  <c r="F1148" i="13"/>
  <c r="G1148" i="13"/>
  <c r="H1148" i="13"/>
  <c r="D1148" i="13"/>
  <c r="E1148" i="13"/>
  <c r="T1148" i="13"/>
  <c r="U1148" i="13"/>
  <c r="X1148" i="13"/>
  <c r="Y1148" i="13"/>
  <c r="Z1148" i="13"/>
  <c r="V1148" i="13"/>
  <c r="W1148" i="13"/>
  <c r="B1149" i="13"/>
  <c r="C1149" i="13"/>
  <c r="F1149" i="13"/>
  <c r="G1149" i="13"/>
  <c r="H1149" i="13"/>
  <c r="D1149" i="13"/>
  <c r="E1149" i="13"/>
  <c r="T1149" i="13"/>
  <c r="U1149" i="13"/>
  <c r="X1149" i="13"/>
  <c r="Y1149" i="13"/>
  <c r="Z1149" i="13"/>
  <c r="V1149" i="13"/>
  <c r="W1149" i="13"/>
  <c r="B1150" i="13"/>
  <c r="C1150" i="13"/>
  <c r="F1150" i="13"/>
  <c r="G1150" i="13"/>
  <c r="H1150" i="13"/>
  <c r="D1150" i="13"/>
  <c r="E1150" i="13"/>
  <c r="T1150" i="13"/>
  <c r="U1150" i="13"/>
  <c r="X1150" i="13"/>
  <c r="Y1150" i="13"/>
  <c r="Z1150" i="13"/>
  <c r="V1150" i="13"/>
  <c r="W1150" i="13"/>
  <c r="B1151" i="13"/>
  <c r="C1151" i="13"/>
  <c r="F1151" i="13"/>
  <c r="G1151" i="13"/>
  <c r="H1151" i="13"/>
  <c r="D1151" i="13"/>
  <c r="E1151" i="13"/>
  <c r="T1151" i="13"/>
  <c r="U1151" i="13"/>
  <c r="X1151" i="13"/>
  <c r="Y1151" i="13"/>
  <c r="Z1151" i="13"/>
  <c r="V1151" i="13"/>
  <c r="W1151" i="13"/>
  <c r="B1152" i="13"/>
  <c r="C1152" i="13"/>
  <c r="F1152" i="13"/>
  <c r="G1152" i="13"/>
  <c r="H1152" i="13"/>
  <c r="D1152" i="13"/>
  <c r="E1152" i="13"/>
  <c r="T1152" i="13"/>
  <c r="U1152" i="13"/>
  <c r="X1152" i="13"/>
  <c r="Y1152" i="13"/>
  <c r="Z1152" i="13"/>
  <c r="V1152" i="13"/>
  <c r="W1152" i="13"/>
  <c r="B1153" i="13"/>
  <c r="C1153" i="13"/>
  <c r="F1153" i="13"/>
  <c r="G1153" i="13"/>
  <c r="H1153" i="13"/>
  <c r="D1153" i="13"/>
  <c r="E1153" i="13"/>
  <c r="T1153" i="13"/>
  <c r="U1153" i="13"/>
  <c r="X1153" i="13"/>
  <c r="Y1153" i="13"/>
  <c r="Z1153" i="13"/>
  <c r="V1153" i="13"/>
  <c r="W1153" i="13"/>
  <c r="B1154" i="13"/>
  <c r="C1154" i="13"/>
  <c r="F1154" i="13"/>
  <c r="G1154" i="13"/>
  <c r="H1154" i="13"/>
  <c r="D1154" i="13"/>
  <c r="E1154" i="13"/>
  <c r="T1154" i="13"/>
  <c r="U1154" i="13"/>
  <c r="X1154" i="13"/>
  <c r="Y1154" i="13"/>
  <c r="Z1154" i="13"/>
  <c r="V1154" i="13"/>
  <c r="W1154" i="13"/>
  <c r="B1155" i="13"/>
  <c r="C1155" i="13"/>
  <c r="F1155" i="13"/>
  <c r="G1155" i="13"/>
  <c r="H1155" i="13"/>
  <c r="D1155" i="13"/>
  <c r="E1155" i="13"/>
  <c r="T1155" i="13"/>
  <c r="U1155" i="13"/>
  <c r="X1155" i="13"/>
  <c r="Y1155" i="13"/>
  <c r="Z1155" i="13"/>
  <c r="V1155" i="13"/>
  <c r="W1155" i="13"/>
  <c r="B1156" i="13"/>
  <c r="C1156" i="13"/>
  <c r="F1156" i="13"/>
  <c r="G1156" i="13"/>
  <c r="H1156" i="13"/>
  <c r="D1156" i="13"/>
  <c r="E1156" i="13"/>
  <c r="T1156" i="13"/>
  <c r="U1156" i="13"/>
  <c r="X1156" i="13"/>
  <c r="Y1156" i="13"/>
  <c r="Z1156" i="13"/>
  <c r="V1156" i="13"/>
  <c r="W1156" i="13"/>
  <c r="B1157" i="13"/>
  <c r="C1157" i="13"/>
  <c r="F1157" i="13"/>
  <c r="G1157" i="13"/>
  <c r="H1157" i="13"/>
  <c r="D1157" i="13"/>
  <c r="E1157" i="13"/>
  <c r="T1157" i="13"/>
  <c r="U1157" i="13"/>
  <c r="X1157" i="13"/>
  <c r="Y1157" i="13"/>
  <c r="Z1157" i="13"/>
  <c r="V1157" i="13"/>
  <c r="W1157" i="13"/>
  <c r="B1158" i="13"/>
  <c r="C1158" i="13"/>
  <c r="F1158" i="13"/>
  <c r="G1158" i="13"/>
  <c r="H1158" i="13"/>
  <c r="D1158" i="13"/>
  <c r="E1158" i="13"/>
  <c r="T1158" i="13"/>
  <c r="U1158" i="13"/>
  <c r="X1158" i="13"/>
  <c r="Y1158" i="13"/>
  <c r="Z1158" i="13"/>
  <c r="V1158" i="13"/>
  <c r="W1158" i="13"/>
  <c r="B1159" i="13"/>
  <c r="C1159" i="13"/>
  <c r="F1159" i="13"/>
  <c r="G1159" i="13"/>
  <c r="H1159" i="13"/>
  <c r="D1159" i="13"/>
  <c r="E1159" i="13"/>
  <c r="T1159" i="13"/>
  <c r="U1159" i="13"/>
  <c r="X1159" i="13"/>
  <c r="Y1159" i="13"/>
  <c r="Z1159" i="13"/>
  <c r="V1159" i="13"/>
  <c r="W1159" i="13"/>
  <c r="B1160" i="13"/>
  <c r="C1160" i="13"/>
  <c r="F1160" i="13"/>
  <c r="G1160" i="13"/>
  <c r="H1160" i="13"/>
  <c r="D1160" i="13"/>
  <c r="E1160" i="13"/>
  <c r="T1160" i="13"/>
  <c r="U1160" i="13"/>
  <c r="X1160" i="13"/>
  <c r="Y1160" i="13"/>
  <c r="Z1160" i="13"/>
  <c r="V1160" i="13"/>
  <c r="W1160" i="13"/>
  <c r="B1161" i="13"/>
  <c r="C1161" i="13"/>
  <c r="F1161" i="13"/>
  <c r="G1161" i="13"/>
  <c r="H1161" i="13"/>
  <c r="D1161" i="13"/>
  <c r="E1161" i="13"/>
  <c r="T1161" i="13"/>
  <c r="U1161" i="13"/>
  <c r="X1161" i="13"/>
  <c r="Y1161" i="13"/>
  <c r="Z1161" i="13"/>
  <c r="V1161" i="13"/>
  <c r="W1161" i="13"/>
  <c r="B1162" i="13"/>
  <c r="C1162" i="13"/>
  <c r="F1162" i="13"/>
  <c r="G1162" i="13"/>
  <c r="H1162" i="13"/>
  <c r="D1162" i="13"/>
  <c r="E1162" i="13"/>
  <c r="T1162" i="13"/>
  <c r="U1162" i="13"/>
  <c r="X1162" i="13"/>
  <c r="Y1162" i="13"/>
  <c r="Z1162" i="13"/>
  <c r="V1162" i="13"/>
  <c r="W1162" i="13"/>
  <c r="B1163" i="13"/>
  <c r="C1163" i="13"/>
  <c r="F1163" i="13"/>
  <c r="G1163" i="13"/>
  <c r="H1163" i="13"/>
  <c r="D1163" i="13"/>
  <c r="E1163" i="13"/>
  <c r="T1163" i="13"/>
  <c r="U1163" i="13"/>
  <c r="X1163" i="13"/>
  <c r="Y1163" i="13"/>
  <c r="Z1163" i="13"/>
  <c r="V1163" i="13"/>
  <c r="W1163" i="13"/>
  <c r="B1164" i="13"/>
  <c r="C1164" i="13"/>
  <c r="F1164" i="13"/>
  <c r="G1164" i="13"/>
  <c r="H1164" i="13"/>
  <c r="D1164" i="13"/>
  <c r="E1164" i="13"/>
  <c r="T1164" i="13"/>
  <c r="U1164" i="13"/>
  <c r="X1164" i="13"/>
  <c r="Y1164" i="13"/>
  <c r="Z1164" i="13"/>
  <c r="V1164" i="13"/>
  <c r="W1164" i="13"/>
  <c r="B1165" i="13"/>
  <c r="C1165" i="13"/>
  <c r="F1165" i="13"/>
  <c r="G1165" i="13"/>
  <c r="H1165" i="13"/>
  <c r="D1165" i="13"/>
  <c r="E1165" i="13"/>
  <c r="T1165" i="13"/>
  <c r="U1165" i="13"/>
  <c r="X1165" i="13"/>
  <c r="Y1165" i="13"/>
  <c r="Z1165" i="13"/>
  <c r="V1165" i="13"/>
  <c r="W1165" i="13"/>
  <c r="B1166" i="13"/>
  <c r="C1166" i="13"/>
  <c r="F1166" i="13"/>
  <c r="G1166" i="13"/>
  <c r="H1166" i="13"/>
  <c r="D1166" i="13"/>
  <c r="E1166" i="13"/>
  <c r="T1166" i="13"/>
  <c r="U1166" i="13"/>
  <c r="X1166" i="13"/>
  <c r="Y1166" i="13"/>
  <c r="Z1166" i="13"/>
  <c r="V1166" i="13"/>
  <c r="W1166" i="13"/>
  <c r="B1167" i="13"/>
  <c r="C1167" i="13"/>
  <c r="F1167" i="13"/>
  <c r="G1167" i="13"/>
  <c r="H1167" i="13"/>
  <c r="D1167" i="13"/>
  <c r="E1167" i="13"/>
  <c r="T1167" i="13"/>
  <c r="U1167" i="13"/>
  <c r="X1167" i="13"/>
  <c r="Y1167" i="13"/>
  <c r="Z1167" i="13"/>
  <c r="V1167" i="13"/>
  <c r="W1167" i="13"/>
  <c r="B1168" i="13"/>
  <c r="C1168" i="13"/>
  <c r="F1168" i="13"/>
  <c r="G1168" i="13"/>
  <c r="H1168" i="13"/>
  <c r="D1168" i="13"/>
  <c r="E1168" i="13"/>
  <c r="T1168" i="13"/>
  <c r="U1168" i="13"/>
  <c r="X1168" i="13"/>
  <c r="Y1168" i="13"/>
  <c r="Z1168" i="13"/>
  <c r="V1168" i="13"/>
  <c r="W1168" i="13"/>
  <c r="B1169" i="13"/>
  <c r="C1169" i="13"/>
  <c r="F1169" i="13"/>
  <c r="G1169" i="13"/>
  <c r="H1169" i="13"/>
  <c r="D1169" i="13"/>
  <c r="E1169" i="13"/>
  <c r="T1169" i="13"/>
  <c r="U1169" i="13"/>
  <c r="X1169" i="13"/>
  <c r="Y1169" i="13"/>
  <c r="Z1169" i="13"/>
  <c r="V1169" i="13"/>
  <c r="W1169" i="13"/>
  <c r="B1170" i="13"/>
  <c r="C1170" i="13"/>
  <c r="F1170" i="13"/>
  <c r="G1170" i="13"/>
  <c r="H1170" i="13"/>
  <c r="D1170" i="13"/>
  <c r="E1170" i="13"/>
  <c r="T1170" i="13"/>
  <c r="U1170" i="13"/>
  <c r="X1170" i="13"/>
  <c r="Y1170" i="13"/>
  <c r="Z1170" i="13"/>
  <c r="V1170" i="13"/>
  <c r="W1170" i="13"/>
  <c r="B1171" i="13"/>
  <c r="C1171" i="13"/>
  <c r="F1171" i="13"/>
  <c r="G1171" i="13"/>
  <c r="H1171" i="13"/>
  <c r="D1171" i="13"/>
  <c r="E1171" i="13"/>
  <c r="T1171" i="13"/>
  <c r="U1171" i="13"/>
  <c r="X1171" i="13"/>
  <c r="Y1171" i="13"/>
  <c r="Z1171" i="13"/>
  <c r="V1171" i="13"/>
  <c r="W1171" i="13"/>
  <c r="B1172" i="13"/>
  <c r="C1172" i="13"/>
  <c r="F1172" i="13"/>
  <c r="G1172" i="13"/>
  <c r="H1172" i="13"/>
  <c r="D1172" i="13"/>
  <c r="E1172" i="13"/>
  <c r="T1172" i="13"/>
  <c r="U1172" i="13"/>
  <c r="X1172" i="13"/>
  <c r="Y1172" i="13"/>
  <c r="Z1172" i="13"/>
  <c r="V1172" i="13"/>
  <c r="W1172" i="13"/>
  <c r="B1173" i="13"/>
  <c r="C1173" i="13"/>
  <c r="F1173" i="13"/>
  <c r="G1173" i="13"/>
  <c r="H1173" i="13"/>
  <c r="D1173" i="13"/>
  <c r="E1173" i="13"/>
  <c r="T1173" i="13"/>
  <c r="U1173" i="13"/>
  <c r="X1173" i="13"/>
  <c r="Y1173" i="13"/>
  <c r="Z1173" i="13"/>
  <c r="V1173" i="13"/>
  <c r="W1173" i="13"/>
  <c r="B1174" i="13"/>
  <c r="C1174" i="13"/>
  <c r="F1174" i="13"/>
  <c r="G1174" i="13"/>
  <c r="H1174" i="13"/>
  <c r="D1174" i="13"/>
  <c r="E1174" i="13"/>
  <c r="T1174" i="13"/>
  <c r="U1174" i="13"/>
  <c r="X1174" i="13"/>
  <c r="Y1174" i="13"/>
  <c r="Z1174" i="13"/>
  <c r="V1174" i="13"/>
  <c r="W1174" i="13"/>
  <c r="B1175" i="13"/>
  <c r="C1175" i="13"/>
  <c r="F1175" i="13"/>
  <c r="G1175" i="13"/>
  <c r="H1175" i="13"/>
  <c r="D1175" i="13"/>
  <c r="E1175" i="13"/>
  <c r="T1175" i="13"/>
  <c r="U1175" i="13"/>
  <c r="X1175" i="13"/>
  <c r="Y1175" i="13"/>
  <c r="Z1175" i="13"/>
  <c r="V1175" i="13"/>
  <c r="W1175" i="13"/>
  <c r="B1176" i="13"/>
  <c r="C1176" i="13"/>
  <c r="F1176" i="13"/>
  <c r="G1176" i="13"/>
  <c r="H1176" i="13"/>
  <c r="D1176" i="13"/>
  <c r="E1176" i="13"/>
  <c r="T1176" i="13"/>
  <c r="U1176" i="13"/>
  <c r="X1176" i="13"/>
  <c r="Y1176" i="13"/>
  <c r="Z1176" i="13"/>
  <c r="V1176" i="13"/>
  <c r="W1176" i="13"/>
  <c r="B1177" i="13"/>
  <c r="C1177" i="13"/>
  <c r="F1177" i="13"/>
  <c r="G1177" i="13"/>
  <c r="H1177" i="13"/>
  <c r="D1177" i="13"/>
  <c r="E1177" i="13"/>
  <c r="T1177" i="13"/>
  <c r="U1177" i="13"/>
  <c r="X1177" i="13"/>
  <c r="Y1177" i="13"/>
  <c r="Z1177" i="13"/>
  <c r="V1177" i="13"/>
  <c r="W1177" i="13"/>
  <c r="B1178" i="13"/>
  <c r="C1178" i="13"/>
  <c r="F1178" i="13"/>
  <c r="G1178" i="13"/>
  <c r="H1178" i="13"/>
  <c r="D1178" i="13"/>
  <c r="E1178" i="13"/>
  <c r="T1178" i="13"/>
  <c r="U1178" i="13"/>
  <c r="X1178" i="13"/>
  <c r="Y1178" i="13"/>
  <c r="Z1178" i="13"/>
  <c r="V1178" i="13"/>
  <c r="W1178" i="13"/>
  <c r="B1179" i="13"/>
  <c r="C1179" i="13"/>
  <c r="F1179" i="13"/>
  <c r="G1179" i="13"/>
  <c r="H1179" i="13"/>
  <c r="D1179" i="13"/>
  <c r="E1179" i="13"/>
  <c r="T1179" i="13"/>
  <c r="U1179" i="13"/>
  <c r="X1179" i="13"/>
  <c r="Y1179" i="13"/>
  <c r="Z1179" i="13"/>
  <c r="V1179" i="13"/>
  <c r="W1179" i="13"/>
  <c r="B1180" i="13"/>
  <c r="C1180" i="13"/>
  <c r="F1180" i="13"/>
  <c r="G1180" i="13"/>
  <c r="H1180" i="13"/>
  <c r="D1180" i="13"/>
  <c r="E1180" i="13"/>
  <c r="T1180" i="13"/>
  <c r="U1180" i="13"/>
  <c r="X1180" i="13"/>
  <c r="Y1180" i="13"/>
  <c r="Z1180" i="13"/>
  <c r="V1180" i="13"/>
  <c r="W1180" i="13"/>
  <c r="B1181" i="13"/>
  <c r="C1181" i="13"/>
  <c r="F1181" i="13"/>
  <c r="G1181" i="13"/>
  <c r="H1181" i="13"/>
  <c r="D1181" i="13"/>
  <c r="E1181" i="13"/>
  <c r="T1181" i="13"/>
  <c r="U1181" i="13"/>
  <c r="X1181" i="13"/>
  <c r="Y1181" i="13"/>
  <c r="Z1181" i="13"/>
  <c r="V1181" i="13"/>
  <c r="W1181" i="13"/>
  <c r="B1182" i="13"/>
  <c r="C1182" i="13"/>
  <c r="F1182" i="13"/>
  <c r="G1182" i="13"/>
  <c r="H1182" i="13"/>
  <c r="D1182" i="13"/>
  <c r="E1182" i="13"/>
  <c r="T1182" i="13"/>
  <c r="U1182" i="13"/>
  <c r="X1182" i="13"/>
  <c r="Y1182" i="13"/>
  <c r="Z1182" i="13"/>
  <c r="V1182" i="13"/>
  <c r="W1182" i="13"/>
  <c r="B1183" i="13"/>
  <c r="C1183" i="13"/>
  <c r="F1183" i="13"/>
  <c r="G1183" i="13"/>
  <c r="H1183" i="13"/>
  <c r="D1183" i="13"/>
  <c r="E1183" i="13"/>
  <c r="T1183" i="13"/>
  <c r="U1183" i="13"/>
  <c r="X1183" i="13"/>
  <c r="Y1183" i="13"/>
  <c r="Z1183" i="13"/>
  <c r="V1183" i="13"/>
  <c r="W1183" i="13"/>
  <c r="B1184" i="13"/>
  <c r="C1184" i="13"/>
  <c r="F1184" i="13"/>
  <c r="G1184" i="13"/>
  <c r="H1184" i="13"/>
  <c r="D1184" i="13"/>
  <c r="E1184" i="13"/>
  <c r="T1184" i="13"/>
  <c r="U1184" i="13"/>
  <c r="X1184" i="13"/>
  <c r="Y1184" i="13"/>
  <c r="Z1184" i="13"/>
  <c r="V1184" i="13"/>
  <c r="W1184" i="13"/>
  <c r="B1185" i="13"/>
  <c r="C1185" i="13"/>
  <c r="F1185" i="13"/>
  <c r="G1185" i="13"/>
  <c r="H1185" i="13"/>
  <c r="D1185" i="13"/>
  <c r="E1185" i="13"/>
  <c r="T1185" i="13"/>
  <c r="U1185" i="13"/>
  <c r="X1185" i="13"/>
  <c r="Y1185" i="13"/>
  <c r="Z1185" i="13"/>
  <c r="V1185" i="13"/>
  <c r="W1185" i="13"/>
  <c r="B1186" i="13"/>
  <c r="C1186" i="13"/>
  <c r="F1186" i="13"/>
  <c r="G1186" i="13"/>
  <c r="H1186" i="13"/>
  <c r="D1186" i="13"/>
  <c r="E1186" i="13"/>
  <c r="T1186" i="13"/>
  <c r="U1186" i="13"/>
  <c r="X1186" i="13"/>
  <c r="Y1186" i="13"/>
  <c r="Z1186" i="13"/>
  <c r="V1186" i="13"/>
  <c r="W1186" i="13"/>
  <c r="B1187" i="13"/>
  <c r="C1187" i="13"/>
  <c r="F1187" i="13"/>
  <c r="G1187" i="13"/>
  <c r="H1187" i="13"/>
  <c r="D1187" i="13"/>
  <c r="E1187" i="13"/>
  <c r="T1187" i="13"/>
  <c r="U1187" i="13"/>
  <c r="X1187" i="13"/>
  <c r="Y1187" i="13"/>
  <c r="Z1187" i="13"/>
  <c r="V1187" i="13"/>
  <c r="W1187" i="13"/>
  <c r="B1188" i="13"/>
  <c r="C1188" i="13"/>
  <c r="F1188" i="13"/>
  <c r="G1188" i="13"/>
  <c r="H1188" i="13"/>
  <c r="D1188" i="13"/>
  <c r="E1188" i="13"/>
  <c r="T1188" i="13"/>
  <c r="U1188" i="13"/>
  <c r="X1188" i="13"/>
  <c r="Y1188" i="13"/>
  <c r="Z1188" i="13"/>
  <c r="V1188" i="13"/>
  <c r="W1188" i="13"/>
  <c r="B1189" i="13"/>
  <c r="C1189" i="13"/>
  <c r="F1189" i="13"/>
  <c r="G1189" i="13"/>
  <c r="H1189" i="13"/>
  <c r="D1189" i="13"/>
  <c r="E1189" i="13"/>
  <c r="T1189" i="13"/>
  <c r="U1189" i="13"/>
  <c r="X1189" i="13"/>
  <c r="Y1189" i="13"/>
  <c r="Z1189" i="13"/>
  <c r="V1189" i="13"/>
  <c r="W1189" i="13"/>
  <c r="B1190" i="13"/>
  <c r="C1190" i="13"/>
  <c r="F1190" i="13"/>
  <c r="G1190" i="13"/>
  <c r="H1190" i="13"/>
  <c r="D1190" i="13"/>
  <c r="E1190" i="13"/>
  <c r="T1190" i="13"/>
  <c r="U1190" i="13"/>
  <c r="X1190" i="13"/>
  <c r="Y1190" i="13"/>
  <c r="Z1190" i="13"/>
  <c r="V1190" i="13"/>
  <c r="W1190" i="13"/>
  <c r="B1191" i="13"/>
  <c r="C1191" i="13"/>
  <c r="F1191" i="13"/>
  <c r="G1191" i="13"/>
  <c r="H1191" i="13"/>
  <c r="D1191" i="13"/>
  <c r="E1191" i="13"/>
  <c r="T1191" i="13"/>
  <c r="U1191" i="13"/>
  <c r="X1191" i="13"/>
  <c r="Y1191" i="13"/>
  <c r="Z1191" i="13"/>
  <c r="V1191" i="13"/>
  <c r="W1191" i="13"/>
  <c r="B1192" i="13"/>
  <c r="C1192" i="13"/>
  <c r="F1192" i="13"/>
  <c r="G1192" i="13"/>
  <c r="H1192" i="13"/>
  <c r="D1192" i="13"/>
  <c r="E1192" i="13"/>
  <c r="T1192" i="13"/>
  <c r="U1192" i="13"/>
  <c r="X1192" i="13"/>
  <c r="Y1192" i="13"/>
  <c r="Z1192" i="13"/>
  <c r="V1192" i="13"/>
  <c r="W1192" i="13"/>
  <c r="B1193" i="13"/>
  <c r="C1193" i="13"/>
  <c r="F1193" i="13"/>
  <c r="G1193" i="13"/>
  <c r="H1193" i="13"/>
  <c r="D1193" i="13"/>
  <c r="E1193" i="13"/>
  <c r="T1193" i="13"/>
  <c r="U1193" i="13"/>
  <c r="X1193" i="13"/>
  <c r="Y1193" i="13"/>
  <c r="Z1193" i="13"/>
  <c r="V1193" i="13"/>
  <c r="W1193" i="13"/>
  <c r="B1194" i="13"/>
  <c r="C1194" i="13"/>
  <c r="F1194" i="13"/>
  <c r="G1194" i="13"/>
  <c r="H1194" i="13"/>
  <c r="D1194" i="13"/>
  <c r="E1194" i="13"/>
  <c r="T1194" i="13"/>
  <c r="U1194" i="13"/>
  <c r="X1194" i="13"/>
  <c r="Y1194" i="13"/>
  <c r="Z1194" i="13"/>
  <c r="V1194" i="13"/>
  <c r="W1194" i="13"/>
  <c r="B1195" i="13"/>
  <c r="C1195" i="13"/>
  <c r="F1195" i="13"/>
  <c r="G1195" i="13"/>
  <c r="H1195" i="13"/>
  <c r="D1195" i="13"/>
  <c r="E1195" i="13"/>
  <c r="T1195" i="13"/>
  <c r="U1195" i="13"/>
  <c r="X1195" i="13"/>
  <c r="Y1195" i="13"/>
  <c r="Z1195" i="13"/>
  <c r="V1195" i="13"/>
  <c r="W1195" i="13"/>
  <c r="B1196" i="13"/>
  <c r="C1196" i="13"/>
  <c r="F1196" i="13"/>
  <c r="G1196" i="13"/>
  <c r="H1196" i="13"/>
  <c r="D1196" i="13"/>
  <c r="E1196" i="13"/>
  <c r="T1196" i="13"/>
  <c r="U1196" i="13"/>
  <c r="X1196" i="13"/>
  <c r="Y1196" i="13"/>
  <c r="Z1196" i="13"/>
  <c r="V1196" i="13"/>
  <c r="W1196" i="13"/>
  <c r="B1197" i="13"/>
  <c r="C1197" i="13"/>
  <c r="F1197" i="13"/>
  <c r="G1197" i="13"/>
  <c r="H1197" i="13"/>
  <c r="D1197" i="13"/>
  <c r="E1197" i="13"/>
  <c r="T1197" i="13"/>
  <c r="U1197" i="13"/>
  <c r="X1197" i="13"/>
  <c r="Y1197" i="13"/>
  <c r="Z1197" i="13"/>
  <c r="V1197" i="13"/>
  <c r="W1197" i="13"/>
  <c r="B1198" i="13"/>
  <c r="C1198" i="13"/>
  <c r="F1198" i="13"/>
  <c r="G1198" i="13"/>
  <c r="H1198" i="13"/>
  <c r="D1198" i="13"/>
  <c r="E1198" i="13"/>
  <c r="T1198" i="13"/>
  <c r="U1198" i="13"/>
  <c r="X1198" i="13"/>
  <c r="Y1198" i="13"/>
  <c r="Z1198" i="13"/>
  <c r="V1198" i="13"/>
  <c r="W1198" i="13"/>
  <c r="B1199" i="13"/>
  <c r="C1199" i="13"/>
  <c r="F1199" i="13"/>
  <c r="G1199" i="13"/>
  <c r="H1199" i="13"/>
  <c r="D1199" i="13"/>
  <c r="E1199" i="13"/>
  <c r="T1199" i="13"/>
  <c r="U1199" i="13"/>
  <c r="X1199" i="13"/>
  <c r="Y1199" i="13"/>
  <c r="Z1199" i="13"/>
  <c r="V1199" i="13"/>
  <c r="W1199" i="13"/>
  <c r="B1200" i="13"/>
  <c r="C1200" i="13"/>
  <c r="F1200" i="13"/>
  <c r="G1200" i="13"/>
  <c r="H1200" i="13"/>
  <c r="D1200" i="13"/>
  <c r="E1200" i="13"/>
  <c r="T1200" i="13"/>
  <c r="U1200" i="13"/>
  <c r="X1200" i="13"/>
  <c r="Y1200" i="13"/>
  <c r="Z1200" i="13"/>
  <c r="V1200" i="13"/>
  <c r="W1200" i="13"/>
  <c r="B1201" i="13"/>
  <c r="C1201" i="13"/>
  <c r="F1201" i="13"/>
  <c r="G1201" i="13"/>
  <c r="H1201" i="13"/>
  <c r="D1201" i="13"/>
  <c r="E1201" i="13"/>
  <c r="T1201" i="13"/>
  <c r="U1201" i="13"/>
  <c r="X1201" i="13"/>
  <c r="Y1201" i="13"/>
  <c r="Z1201" i="13"/>
  <c r="V1201" i="13"/>
  <c r="W1201" i="13"/>
  <c r="B1202" i="13"/>
  <c r="C1202" i="13"/>
  <c r="F1202" i="13"/>
  <c r="G1202" i="13"/>
  <c r="H1202" i="13"/>
  <c r="D1202" i="13"/>
  <c r="E1202" i="13"/>
  <c r="T1202" i="13"/>
  <c r="U1202" i="13"/>
  <c r="X1202" i="13"/>
  <c r="Y1202" i="13"/>
  <c r="Z1202" i="13"/>
  <c r="V1202" i="13"/>
  <c r="W1202" i="13"/>
  <c r="B1203" i="13"/>
  <c r="C1203" i="13"/>
  <c r="F1203" i="13"/>
  <c r="G1203" i="13"/>
  <c r="H1203" i="13"/>
  <c r="D1203" i="13"/>
  <c r="E1203" i="13"/>
  <c r="T1203" i="13"/>
  <c r="U1203" i="13"/>
  <c r="X1203" i="13"/>
  <c r="Y1203" i="13"/>
  <c r="Z1203" i="13"/>
  <c r="V1203" i="13"/>
  <c r="W1203" i="13"/>
  <c r="B1204" i="13"/>
  <c r="C1204" i="13"/>
  <c r="F1204" i="13"/>
  <c r="G1204" i="13"/>
  <c r="H1204" i="13"/>
  <c r="D1204" i="13"/>
  <c r="E1204" i="13"/>
  <c r="T1204" i="13"/>
  <c r="U1204" i="13"/>
  <c r="X1204" i="13"/>
  <c r="Y1204" i="13"/>
  <c r="Z1204" i="13"/>
  <c r="V1204" i="13"/>
  <c r="W1204" i="13"/>
  <c r="B1205" i="13"/>
  <c r="C1205" i="13"/>
  <c r="F1205" i="13"/>
  <c r="G1205" i="13"/>
  <c r="H1205" i="13"/>
  <c r="D1205" i="13"/>
  <c r="E1205" i="13"/>
  <c r="T1205" i="13"/>
  <c r="U1205" i="13"/>
  <c r="X1205" i="13"/>
  <c r="Y1205" i="13"/>
  <c r="Z1205" i="13"/>
  <c r="V1205" i="13"/>
  <c r="W1205" i="13"/>
  <c r="B1206" i="13"/>
  <c r="C1206" i="13"/>
  <c r="F1206" i="13"/>
  <c r="G1206" i="13"/>
  <c r="H1206" i="13"/>
  <c r="D1206" i="13"/>
  <c r="E1206" i="13"/>
  <c r="T1206" i="13"/>
  <c r="U1206" i="13"/>
  <c r="X1206" i="13"/>
  <c r="Y1206" i="13"/>
  <c r="Z1206" i="13"/>
  <c r="V1206" i="13"/>
  <c r="W1206" i="13"/>
  <c r="B1207" i="13"/>
  <c r="C1207" i="13"/>
  <c r="F1207" i="13"/>
  <c r="G1207" i="13"/>
  <c r="H1207" i="13"/>
  <c r="D1207" i="13"/>
  <c r="E1207" i="13"/>
  <c r="T1207" i="13"/>
  <c r="U1207" i="13"/>
  <c r="X1207" i="13"/>
  <c r="Y1207" i="13"/>
  <c r="Z1207" i="13"/>
  <c r="V1207" i="13"/>
  <c r="W1207" i="13"/>
  <c r="B1208" i="13"/>
  <c r="C1208" i="13"/>
  <c r="F1208" i="13"/>
  <c r="G1208" i="13"/>
  <c r="H1208" i="13"/>
  <c r="D1208" i="13"/>
  <c r="E1208" i="13"/>
  <c r="T1208" i="13"/>
  <c r="U1208" i="13"/>
  <c r="X1208" i="13"/>
  <c r="Y1208" i="13"/>
  <c r="Z1208" i="13"/>
  <c r="V1208" i="13"/>
  <c r="W1208" i="13"/>
  <c r="B1209" i="13"/>
  <c r="C1209" i="13"/>
  <c r="F1209" i="13"/>
  <c r="G1209" i="13"/>
  <c r="H1209" i="13"/>
  <c r="D1209" i="13"/>
  <c r="E1209" i="13"/>
  <c r="T1209" i="13"/>
  <c r="U1209" i="13"/>
  <c r="X1209" i="13"/>
  <c r="Y1209" i="13"/>
  <c r="Z1209" i="13"/>
  <c r="V1209" i="13"/>
  <c r="W1209" i="13"/>
  <c r="B1210" i="13"/>
  <c r="C1210" i="13"/>
  <c r="F1210" i="13"/>
  <c r="G1210" i="13"/>
  <c r="H1210" i="13"/>
  <c r="D1210" i="13"/>
  <c r="E1210" i="13"/>
  <c r="T1210" i="13"/>
  <c r="U1210" i="13"/>
  <c r="X1210" i="13"/>
  <c r="Y1210" i="13"/>
  <c r="Z1210" i="13"/>
  <c r="V1210" i="13"/>
  <c r="W1210" i="13"/>
  <c r="B1211" i="13"/>
  <c r="C1211" i="13"/>
  <c r="F1211" i="13"/>
  <c r="G1211" i="13"/>
  <c r="H1211" i="13"/>
  <c r="D1211" i="13"/>
  <c r="E1211" i="13"/>
  <c r="T1211" i="13"/>
  <c r="U1211" i="13"/>
  <c r="X1211" i="13"/>
  <c r="Y1211" i="13"/>
  <c r="Z1211" i="13"/>
  <c r="V1211" i="13"/>
  <c r="W1211" i="13"/>
  <c r="B1212" i="13"/>
  <c r="C1212" i="13"/>
  <c r="F1212" i="13"/>
  <c r="G1212" i="13"/>
  <c r="H1212" i="13"/>
  <c r="D1212" i="13"/>
  <c r="E1212" i="13"/>
  <c r="T1212" i="13"/>
  <c r="U1212" i="13"/>
  <c r="X1212" i="13"/>
  <c r="Y1212" i="13"/>
  <c r="Z1212" i="13"/>
  <c r="V1212" i="13"/>
  <c r="W1212" i="13"/>
  <c r="B1213" i="13"/>
  <c r="C1213" i="13"/>
  <c r="F1213" i="13"/>
  <c r="G1213" i="13"/>
  <c r="H1213" i="13"/>
  <c r="D1213" i="13"/>
  <c r="E1213" i="13"/>
  <c r="T1213" i="13"/>
  <c r="U1213" i="13"/>
  <c r="X1213" i="13"/>
  <c r="Y1213" i="13"/>
  <c r="Z1213" i="13"/>
  <c r="V1213" i="13"/>
  <c r="W1213" i="13"/>
  <c r="B1214" i="13"/>
  <c r="C1214" i="13"/>
  <c r="F1214" i="13"/>
  <c r="G1214" i="13"/>
  <c r="H1214" i="13"/>
  <c r="D1214" i="13"/>
  <c r="E1214" i="13"/>
  <c r="T1214" i="13"/>
  <c r="U1214" i="13"/>
  <c r="X1214" i="13"/>
  <c r="Y1214" i="13"/>
  <c r="Z1214" i="13"/>
  <c r="V1214" i="13"/>
  <c r="W1214" i="13"/>
  <c r="B1215" i="13"/>
  <c r="C1215" i="13"/>
  <c r="F1215" i="13"/>
  <c r="G1215" i="13"/>
  <c r="H1215" i="13"/>
  <c r="D1215" i="13"/>
  <c r="E1215" i="13"/>
  <c r="T1215" i="13"/>
  <c r="U1215" i="13"/>
  <c r="X1215" i="13"/>
  <c r="Y1215" i="13"/>
  <c r="Z1215" i="13"/>
  <c r="V1215" i="13"/>
  <c r="W1215" i="13"/>
  <c r="B1216" i="13"/>
  <c r="C1216" i="13"/>
  <c r="F1216" i="13"/>
  <c r="G1216" i="13"/>
  <c r="H1216" i="13"/>
  <c r="D1216" i="13"/>
  <c r="E1216" i="13"/>
  <c r="T1216" i="13"/>
  <c r="U1216" i="13"/>
  <c r="X1216" i="13"/>
  <c r="Y1216" i="13"/>
  <c r="Z1216" i="13"/>
  <c r="V1216" i="13"/>
  <c r="W1216" i="13"/>
  <c r="B1217" i="13"/>
  <c r="C1217" i="13"/>
  <c r="F1217" i="13"/>
  <c r="G1217" i="13"/>
  <c r="H1217" i="13"/>
  <c r="D1217" i="13"/>
  <c r="E1217" i="13"/>
  <c r="T1217" i="13"/>
  <c r="U1217" i="13"/>
  <c r="X1217" i="13"/>
  <c r="Y1217" i="13"/>
  <c r="Z1217" i="13"/>
  <c r="V1217" i="13"/>
  <c r="W1217" i="13"/>
  <c r="B1218" i="13"/>
  <c r="C1218" i="13"/>
  <c r="F1218" i="13"/>
  <c r="G1218" i="13"/>
  <c r="H1218" i="13"/>
  <c r="D1218" i="13"/>
  <c r="E1218" i="13"/>
  <c r="T1218" i="13"/>
  <c r="U1218" i="13"/>
  <c r="X1218" i="13"/>
  <c r="Y1218" i="13"/>
  <c r="Z1218" i="13"/>
  <c r="V1218" i="13"/>
  <c r="W1218" i="13"/>
  <c r="B1219" i="13"/>
  <c r="C1219" i="13"/>
  <c r="F1219" i="13"/>
  <c r="G1219" i="13"/>
  <c r="H1219" i="13"/>
  <c r="D1219" i="13"/>
  <c r="E1219" i="13"/>
  <c r="T1219" i="13"/>
  <c r="U1219" i="13"/>
  <c r="X1219" i="13"/>
  <c r="Y1219" i="13"/>
  <c r="Z1219" i="13"/>
  <c r="V1219" i="13"/>
  <c r="W1219" i="13"/>
  <c r="B1220" i="13"/>
  <c r="C1220" i="13"/>
  <c r="F1220" i="13"/>
  <c r="G1220" i="13"/>
  <c r="H1220" i="13"/>
  <c r="D1220" i="13"/>
  <c r="E1220" i="13"/>
  <c r="T1220" i="13"/>
  <c r="U1220" i="13"/>
  <c r="X1220" i="13"/>
  <c r="Y1220" i="13"/>
  <c r="Z1220" i="13"/>
  <c r="V1220" i="13"/>
  <c r="W1220" i="13"/>
  <c r="B1221" i="13"/>
  <c r="C1221" i="13"/>
  <c r="F1221" i="13"/>
  <c r="G1221" i="13"/>
  <c r="H1221" i="13"/>
  <c r="D1221" i="13"/>
  <c r="E1221" i="13"/>
  <c r="T1221" i="13"/>
  <c r="U1221" i="13"/>
  <c r="X1221" i="13"/>
  <c r="Y1221" i="13"/>
  <c r="Z1221" i="13"/>
  <c r="V1221" i="13"/>
  <c r="W1221" i="13"/>
  <c r="B1222" i="13"/>
  <c r="C1222" i="13"/>
  <c r="F1222" i="13"/>
  <c r="G1222" i="13"/>
  <c r="H1222" i="13"/>
  <c r="D1222" i="13"/>
  <c r="E1222" i="13"/>
  <c r="T1222" i="13"/>
  <c r="U1222" i="13"/>
  <c r="X1222" i="13"/>
  <c r="Y1222" i="13"/>
  <c r="Z1222" i="13"/>
  <c r="V1222" i="13"/>
  <c r="W1222" i="13"/>
  <c r="B1223" i="13"/>
  <c r="C1223" i="13"/>
  <c r="F1223" i="13"/>
  <c r="G1223" i="13"/>
  <c r="H1223" i="13"/>
  <c r="D1223" i="13"/>
  <c r="E1223" i="13"/>
  <c r="T1223" i="13"/>
  <c r="U1223" i="13"/>
  <c r="X1223" i="13"/>
  <c r="Y1223" i="13"/>
  <c r="Z1223" i="13"/>
  <c r="V1223" i="13"/>
  <c r="W1223" i="13"/>
  <c r="B1224" i="13"/>
  <c r="C1224" i="13"/>
  <c r="F1224" i="13"/>
  <c r="G1224" i="13"/>
  <c r="H1224" i="13"/>
  <c r="D1224" i="13"/>
  <c r="E1224" i="13"/>
  <c r="T1224" i="13"/>
  <c r="U1224" i="13"/>
  <c r="X1224" i="13"/>
  <c r="Y1224" i="13"/>
  <c r="Z1224" i="13"/>
  <c r="V1224" i="13"/>
  <c r="W1224" i="13"/>
  <c r="B1225" i="13"/>
  <c r="C1225" i="13"/>
  <c r="F1225" i="13"/>
  <c r="G1225" i="13"/>
  <c r="H1225" i="13"/>
  <c r="D1225" i="13"/>
  <c r="E1225" i="13"/>
  <c r="T1225" i="13"/>
  <c r="U1225" i="13"/>
  <c r="X1225" i="13"/>
  <c r="Y1225" i="13"/>
  <c r="Z1225" i="13"/>
  <c r="V1225" i="13"/>
  <c r="W1225" i="13"/>
  <c r="B1226" i="13"/>
  <c r="C1226" i="13"/>
  <c r="F1226" i="13"/>
  <c r="G1226" i="13"/>
  <c r="H1226" i="13"/>
  <c r="D1226" i="13"/>
  <c r="E1226" i="13"/>
  <c r="T1226" i="13"/>
  <c r="U1226" i="13"/>
  <c r="X1226" i="13"/>
  <c r="Y1226" i="13"/>
  <c r="Z1226" i="13"/>
  <c r="V1226" i="13"/>
  <c r="W1226" i="13"/>
  <c r="B1227" i="13"/>
  <c r="C1227" i="13"/>
  <c r="F1227" i="13"/>
  <c r="G1227" i="13"/>
  <c r="H1227" i="13"/>
  <c r="D1227" i="13"/>
  <c r="E1227" i="13"/>
  <c r="T1227" i="13"/>
  <c r="U1227" i="13"/>
  <c r="X1227" i="13"/>
  <c r="Y1227" i="13"/>
  <c r="Z1227" i="13"/>
  <c r="V1227" i="13"/>
  <c r="W1227" i="13"/>
  <c r="B1228" i="13"/>
  <c r="C1228" i="13"/>
  <c r="F1228" i="13"/>
  <c r="G1228" i="13"/>
  <c r="H1228" i="13"/>
  <c r="D1228" i="13"/>
  <c r="E1228" i="13"/>
  <c r="T1228" i="13"/>
  <c r="U1228" i="13"/>
  <c r="X1228" i="13"/>
  <c r="Y1228" i="13"/>
  <c r="Z1228" i="13"/>
  <c r="V1228" i="13"/>
  <c r="W1228" i="13"/>
  <c r="B1229" i="13"/>
  <c r="C1229" i="13"/>
  <c r="F1229" i="13"/>
  <c r="G1229" i="13"/>
  <c r="H1229" i="13"/>
  <c r="D1229" i="13"/>
  <c r="E1229" i="13"/>
  <c r="T1229" i="13"/>
  <c r="U1229" i="13"/>
  <c r="X1229" i="13"/>
  <c r="Y1229" i="13"/>
  <c r="Z1229" i="13"/>
  <c r="V1229" i="13"/>
  <c r="W1229" i="13"/>
  <c r="B1230" i="13"/>
  <c r="C1230" i="13"/>
  <c r="F1230" i="13"/>
  <c r="G1230" i="13"/>
  <c r="H1230" i="13"/>
  <c r="D1230" i="13"/>
  <c r="E1230" i="13"/>
  <c r="T1230" i="13"/>
  <c r="U1230" i="13"/>
  <c r="X1230" i="13"/>
  <c r="Y1230" i="13"/>
  <c r="Z1230" i="13"/>
  <c r="V1230" i="13"/>
  <c r="W1230" i="13"/>
  <c r="B1231" i="13"/>
  <c r="C1231" i="13"/>
  <c r="F1231" i="13"/>
  <c r="G1231" i="13"/>
  <c r="H1231" i="13"/>
  <c r="D1231" i="13"/>
  <c r="E1231" i="13"/>
  <c r="T1231" i="13"/>
  <c r="U1231" i="13"/>
  <c r="X1231" i="13"/>
  <c r="Y1231" i="13"/>
  <c r="Z1231" i="13"/>
  <c r="V1231" i="13"/>
  <c r="W1231" i="13"/>
  <c r="B1232" i="13"/>
  <c r="C1232" i="13"/>
  <c r="F1232" i="13"/>
  <c r="G1232" i="13"/>
  <c r="H1232" i="13"/>
  <c r="D1232" i="13"/>
  <c r="E1232" i="13"/>
  <c r="T1232" i="13"/>
  <c r="U1232" i="13"/>
  <c r="X1232" i="13"/>
  <c r="Y1232" i="13"/>
  <c r="Z1232" i="13"/>
  <c r="V1232" i="13"/>
  <c r="W1232" i="13"/>
  <c r="B1233" i="13"/>
  <c r="C1233" i="13"/>
  <c r="F1233" i="13"/>
  <c r="G1233" i="13"/>
  <c r="H1233" i="13"/>
  <c r="D1233" i="13"/>
  <c r="E1233" i="13"/>
  <c r="T1233" i="13"/>
  <c r="U1233" i="13"/>
  <c r="X1233" i="13"/>
  <c r="Y1233" i="13"/>
  <c r="Z1233" i="13"/>
  <c r="V1233" i="13"/>
  <c r="W1233" i="13"/>
  <c r="B1234" i="13"/>
  <c r="C1234" i="13"/>
  <c r="F1234" i="13"/>
  <c r="G1234" i="13"/>
  <c r="H1234" i="13"/>
  <c r="D1234" i="13"/>
  <c r="E1234" i="13"/>
  <c r="T1234" i="13"/>
  <c r="U1234" i="13"/>
  <c r="X1234" i="13"/>
  <c r="Y1234" i="13"/>
  <c r="Z1234" i="13"/>
  <c r="V1234" i="13"/>
  <c r="W1234" i="13"/>
  <c r="B1235" i="13"/>
  <c r="C1235" i="13"/>
  <c r="F1235" i="13"/>
  <c r="G1235" i="13"/>
  <c r="H1235" i="13"/>
  <c r="D1235" i="13"/>
  <c r="E1235" i="13"/>
  <c r="T1235" i="13"/>
  <c r="U1235" i="13"/>
  <c r="X1235" i="13"/>
  <c r="Y1235" i="13"/>
  <c r="Z1235" i="13"/>
  <c r="V1235" i="13"/>
  <c r="W1235" i="13"/>
  <c r="B1236" i="13"/>
  <c r="C1236" i="13"/>
  <c r="F1236" i="13"/>
  <c r="G1236" i="13"/>
  <c r="H1236" i="13"/>
  <c r="D1236" i="13"/>
  <c r="E1236" i="13"/>
  <c r="T1236" i="13"/>
  <c r="U1236" i="13"/>
  <c r="X1236" i="13"/>
  <c r="Y1236" i="13"/>
  <c r="Z1236" i="13"/>
  <c r="V1236" i="13"/>
  <c r="W1236" i="13"/>
  <c r="B1237" i="13"/>
  <c r="C1237" i="13"/>
  <c r="F1237" i="13"/>
  <c r="G1237" i="13"/>
  <c r="H1237" i="13"/>
  <c r="D1237" i="13"/>
  <c r="E1237" i="13"/>
  <c r="T1237" i="13"/>
  <c r="U1237" i="13"/>
  <c r="X1237" i="13"/>
  <c r="Y1237" i="13"/>
  <c r="Z1237" i="13"/>
  <c r="V1237" i="13"/>
  <c r="W1237" i="13"/>
  <c r="B1238" i="13"/>
  <c r="C1238" i="13"/>
  <c r="F1238" i="13"/>
  <c r="G1238" i="13"/>
  <c r="H1238" i="13"/>
  <c r="D1238" i="13"/>
  <c r="E1238" i="13"/>
  <c r="T1238" i="13"/>
  <c r="U1238" i="13"/>
  <c r="X1238" i="13"/>
  <c r="Y1238" i="13"/>
  <c r="Z1238" i="13"/>
  <c r="V1238" i="13"/>
  <c r="W1238" i="13"/>
  <c r="B1239" i="13"/>
  <c r="C1239" i="13"/>
  <c r="F1239" i="13"/>
  <c r="G1239" i="13"/>
  <c r="H1239" i="13"/>
  <c r="D1239" i="13"/>
  <c r="E1239" i="13"/>
  <c r="T1239" i="13"/>
  <c r="U1239" i="13"/>
  <c r="X1239" i="13"/>
  <c r="Y1239" i="13"/>
  <c r="Z1239" i="13"/>
  <c r="V1239" i="13"/>
  <c r="W1239" i="13"/>
  <c r="B1240" i="13"/>
  <c r="C1240" i="13"/>
  <c r="F1240" i="13"/>
  <c r="G1240" i="13"/>
  <c r="H1240" i="13"/>
  <c r="D1240" i="13"/>
  <c r="E1240" i="13"/>
  <c r="T1240" i="13"/>
  <c r="U1240" i="13"/>
  <c r="X1240" i="13"/>
  <c r="Y1240" i="13"/>
  <c r="Z1240" i="13"/>
  <c r="V1240" i="13"/>
  <c r="W1240" i="13"/>
  <c r="B1241" i="13"/>
  <c r="C1241" i="13"/>
  <c r="F1241" i="13"/>
  <c r="G1241" i="13"/>
  <c r="H1241" i="13"/>
  <c r="D1241" i="13"/>
  <c r="E1241" i="13"/>
  <c r="T1241" i="13"/>
  <c r="U1241" i="13"/>
  <c r="X1241" i="13"/>
  <c r="Y1241" i="13"/>
  <c r="Z1241" i="13"/>
  <c r="V1241" i="13"/>
  <c r="W1241" i="13"/>
  <c r="B1242" i="13"/>
  <c r="C1242" i="13"/>
  <c r="F1242" i="13"/>
  <c r="G1242" i="13"/>
  <c r="H1242" i="13"/>
  <c r="D1242" i="13"/>
  <c r="E1242" i="13"/>
  <c r="T1242" i="13"/>
  <c r="U1242" i="13"/>
  <c r="X1242" i="13"/>
  <c r="Y1242" i="13"/>
  <c r="Z1242" i="13"/>
  <c r="V1242" i="13"/>
  <c r="W1242" i="13"/>
  <c r="B1243" i="13"/>
  <c r="C1243" i="13"/>
  <c r="F1243" i="13"/>
  <c r="G1243" i="13"/>
  <c r="H1243" i="13"/>
  <c r="D1243" i="13"/>
  <c r="E1243" i="13"/>
  <c r="T1243" i="13"/>
  <c r="U1243" i="13"/>
  <c r="X1243" i="13"/>
  <c r="Y1243" i="13"/>
  <c r="Z1243" i="13"/>
  <c r="V1243" i="13"/>
  <c r="W1243" i="13"/>
  <c r="B1244" i="13"/>
  <c r="C1244" i="13"/>
  <c r="F1244" i="13"/>
  <c r="G1244" i="13"/>
  <c r="H1244" i="13"/>
  <c r="D1244" i="13"/>
  <c r="E1244" i="13"/>
  <c r="T1244" i="13"/>
  <c r="U1244" i="13"/>
  <c r="X1244" i="13"/>
  <c r="Y1244" i="13"/>
  <c r="Z1244" i="13"/>
  <c r="V1244" i="13"/>
  <c r="W1244" i="13"/>
  <c r="B1245" i="13"/>
  <c r="C1245" i="13"/>
  <c r="F1245" i="13"/>
  <c r="G1245" i="13"/>
  <c r="H1245" i="13"/>
  <c r="D1245" i="13"/>
  <c r="E1245" i="13"/>
  <c r="T1245" i="13"/>
  <c r="U1245" i="13"/>
  <c r="X1245" i="13"/>
  <c r="Y1245" i="13"/>
  <c r="Z1245" i="13"/>
  <c r="V1245" i="13"/>
  <c r="W1245" i="13"/>
  <c r="B1246" i="13"/>
  <c r="C1246" i="13"/>
  <c r="F1246" i="13"/>
  <c r="G1246" i="13"/>
  <c r="H1246" i="13"/>
  <c r="D1246" i="13"/>
  <c r="E1246" i="13"/>
  <c r="T1246" i="13"/>
  <c r="U1246" i="13"/>
  <c r="X1246" i="13"/>
  <c r="Y1246" i="13"/>
  <c r="Z1246" i="13"/>
  <c r="V1246" i="13"/>
  <c r="W1246" i="13"/>
  <c r="B1247" i="13"/>
  <c r="C1247" i="13"/>
  <c r="F1247" i="13"/>
  <c r="G1247" i="13"/>
  <c r="H1247" i="13"/>
  <c r="D1247" i="13"/>
  <c r="E1247" i="13"/>
  <c r="T1247" i="13"/>
  <c r="U1247" i="13"/>
  <c r="X1247" i="13"/>
  <c r="Y1247" i="13"/>
  <c r="Z1247" i="13"/>
  <c r="V1247" i="13"/>
  <c r="W1247" i="13"/>
  <c r="B1248" i="13"/>
  <c r="C1248" i="13"/>
  <c r="F1248" i="13"/>
  <c r="G1248" i="13"/>
  <c r="H1248" i="13"/>
  <c r="D1248" i="13"/>
  <c r="E1248" i="13"/>
  <c r="T1248" i="13"/>
  <c r="U1248" i="13"/>
  <c r="X1248" i="13"/>
  <c r="Y1248" i="13"/>
  <c r="Z1248" i="13"/>
  <c r="V1248" i="13"/>
  <c r="W1248" i="13"/>
  <c r="B1249" i="13"/>
  <c r="C1249" i="13"/>
  <c r="F1249" i="13"/>
  <c r="G1249" i="13"/>
  <c r="H1249" i="13"/>
  <c r="D1249" i="13"/>
  <c r="E1249" i="13"/>
  <c r="T1249" i="13"/>
  <c r="U1249" i="13"/>
  <c r="X1249" i="13"/>
  <c r="Y1249" i="13"/>
  <c r="Z1249" i="13"/>
  <c r="V1249" i="13"/>
  <c r="W1249" i="13"/>
  <c r="B1250" i="13"/>
  <c r="C1250" i="13"/>
  <c r="F1250" i="13"/>
  <c r="G1250" i="13"/>
  <c r="H1250" i="13"/>
  <c r="D1250" i="13"/>
  <c r="E1250" i="13"/>
  <c r="T1250" i="13"/>
  <c r="U1250" i="13"/>
  <c r="X1250" i="13"/>
  <c r="Y1250" i="13"/>
  <c r="Z1250" i="13"/>
  <c r="V1250" i="13"/>
  <c r="W1250" i="13"/>
  <c r="B1251" i="13"/>
  <c r="C1251" i="13"/>
  <c r="F1251" i="13"/>
  <c r="G1251" i="13"/>
  <c r="H1251" i="13"/>
  <c r="D1251" i="13"/>
  <c r="E1251" i="13"/>
  <c r="T1251" i="13"/>
  <c r="U1251" i="13"/>
  <c r="X1251" i="13"/>
  <c r="Y1251" i="13"/>
  <c r="Z1251" i="13"/>
  <c r="V1251" i="13"/>
  <c r="W1251" i="13"/>
  <c r="B1252" i="13"/>
  <c r="C1252" i="13"/>
  <c r="F1252" i="13"/>
  <c r="G1252" i="13"/>
  <c r="H1252" i="13"/>
  <c r="D1252" i="13"/>
  <c r="E1252" i="13"/>
  <c r="T1252" i="13"/>
  <c r="U1252" i="13"/>
  <c r="X1252" i="13"/>
  <c r="Y1252" i="13"/>
  <c r="Z1252" i="13"/>
  <c r="V1252" i="13"/>
  <c r="W1252" i="13"/>
  <c r="B1253" i="13"/>
  <c r="C1253" i="13"/>
  <c r="F1253" i="13"/>
  <c r="G1253" i="13"/>
  <c r="H1253" i="13"/>
  <c r="D1253" i="13"/>
  <c r="E1253" i="13"/>
  <c r="T1253" i="13"/>
  <c r="U1253" i="13"/>
  <c r="X1253" i="13"/>
  <c r="Y1253" i="13"/>
  <c r="Z1253" i="13"/>
  <c r="V1253" i="13"/>
  <c r="W1253" i="13"/>
  <c r="B1254" i="13"/>
  <c r="C1254" i="13"/>
  <c r="F1254" i="13"/>
  <c r="G1254" i="13"/>
  <c r="H1254" i="13"/>
  <c r="D1254" i="13"/>
  <c r="E1254" i="13"/>
  <c r="T1254" i="13"/>
  <c r="U1254" i="13"/>
  <c r="X1254" i="13"/>
  <c r="Y1254" i="13"/>
  <c r="Z1254" i="13"/>
  <c r="V1254" i="13"/>
  <c r="W1254" i="13"/>
  <c r="B1255" i="13"/>
  <c r="C1255" i="13"/>
  <c r="F1255" i="13"/>
  <c r="G1255" i="13"/>
  <c r="H1255" i="13"/>
  <c r="D1255" i="13"/>
  <c r="E1255" i="13"/>
  <c r="T1255" i="13"/>
  <c r="U1255" i="13"/>
  <c r="X1255" i="13"/>
  <c r="Y1255" i="13"/>
  <c r="Z1255" i="13"/>
  <c r="V1255" i="13"/>
  <c r="W1255" i="13"/>
  <c r="B1256" i="13"/>
  <c r="C1256" i="13"/>
  <c r="F1256" i="13"/>
  <c r="G1256" i="13"/>
  <c r="H1256" i="13"/>
  <c r="D1256" i="13"/>
  <c r="E1256" i="13"/>
  <c r="T1256" i="13"/>
  <c r="U1256" i="13"/>
  <c r="X1256" i="13"/>
  <c r="Y1256" i="13"/>
  <c r="Z1256" i="13"/>
  <c r="V1256" i="13"/>
  <c r="W1256" i="13"/>
  <c r="B1257" i="13"/>
  <c r="C1257" i="13"/>
  <c r="F1257" i="13"/>
  <c r="G1257" i="13"/>
  <c r="H1257" i="13"/>
  <c r="D1257" i="13"/>
  <c r="E1257" i="13"/>
  <c r="T1257" i="13"/>
  <c r="U1257" i="13"/>
  <c r="X1257" i="13"/>
  <c r="Y1257" i="13"/>
  <c r="Z1257" i="13"/>
  <c r="V1257" i="13"/>
  <c r="W1257" i="13"/>
  <c r="B1258" i="13"/>
  <c r="C1258" i="13"/>
  <c r="F1258" i="13"/>
  <c r="G1258" i="13"/>
  <c r="H1258" i="13"/>
  <c r="D1258" i="13"/>
  <c r="E1258" i="13"/>
  <c r="T1258" i="13"/>
  <c r="U1258" i="13"/>
  <c r="X1258" i="13"/>
  <c r="Y1258" i="13"/>
  <c r="Z1258" i="13"/>
  <c r="V1258" i="13"/>
  <c r="W1258" i="13"/>
  <c r="B1259" i="13"/>
  <c r="C1259" i="13"/>
  <c r="F1259" i="13"/>
  <c r="G1259" i="13"/>
  <c r="H1259" i="13"/>
  <c r="D1259" i="13"/>
  <c r="E1259" i="13"/>
  <c r="T1259" i="13"/>
  <c r="U1259" i="13"/>
  <c r="X1259" i="13"/>
  <c r="Y1259" i="13"/>
  <c r="Z1259" i="13"/>
  <c r="V1259" i="13"/>
  <c r="W1259" i="13"/>
  <c r="B1260" i="13"/>
  <c r="C1260" i="13"/>
  <c r="F1260" i="13"/>
  <c r="G1260" i="13"/>
  <c r="H1260" i="13"/>
  <c r="D1260" i="13"/>
  <c r="E1260" i="13"/>
  <c r="T1260" i="13"/>
  <c r="U1260" i="13"/>
  <c r="X1260" i="13"/>
  <c r="Y1260" i="13"/>
  <c r="Z1260" i="13"/>
  <c r="V1260" i="13"/>
  <c r="W1260" i="13"/>
  <c r="B1261" i="13"/>
  <c r="C1261" i="13"/>
  <c r="F1261" i="13"/>
  <c r="G1261" i="13"/>
  <c r="H1261" i="13"/>
  <c r="D1261" i="13"/>
  <c r="E1261" i="13"/>
  <c r="T1261" i="13"/>
  <c r="U1261" i="13"/>
  <c r="X1261" i="13"/>
  <c r="Y1261" i="13"/>
  <c r="Z1261" i="13"/>
  <c r="V1261" i="13"/>
  <c r="W1261" i="13"/>
  <c r="B1262" i="13"/>
  <c r="C1262" i="13"/>
  <c r="F1262" i="13"/>
  <c r="G1262" i="13"/>
  <c r="H1262" i="13"/>
  <c r="D1262" i="13"/>
  <c r="E1262" i="13"/>
  <c r="T1262" i="13"/>
  <c r="U1262" i="13"/>
  <c r="X1262" i="13"/>
  <c r="Y1262" i="13"/>
  <c r="Z1262" i="13"/>
  <c r="V1262" i="13"/>
  <c r="W1262" i="13"/>
  <c r="B1263" i="13"/>
  <c r="C1263" i="13"/>
  <c r="F1263" i="13"/>
  <c r="G1263" i="13"/>
  <c r="H1263" i="13"/>
  <c r="D1263" i="13"/>
  <c r="E1263" i="13"/>
  <c r="T1263" i="13"/>
  <c r="U1263" i="13"/>
  <c r="X1263" i="13"/>
  <c r="Y1263" i="13"/>
  <c r="Z1263" i="13"/>
  <c r="V1263" i="13"/>
  <c r="W1263" i="13"/>
  <c r="B1264" i="13"/>
  <c r="C1264" i="13"/>
  <c r="F1264" i="13"/>
  <c r="G1264" i="13"/>
  <c r="H1264" i="13"/>
  <c r="D1264" i="13"/>
  <c r="E1264" i="13"/>
  <c r="T1264" i="13"/>
  <c r="U1264" i="13"/>
  <c r="X1264" i="13"/>
  <c r="Y1264" i="13"/>
  <c r="Z1264" i="13"/>
  <c r="V1264" i="13"/>
  <c r="W1264" i="13"/>
  <c r="B1265" i="13"/>
  <c r="C1265" i="13"/>
  <c r="F1265" i="13"/>
  <c r="G1265" i="13"/>
  <c r="H1265" i="13"/>
  <c r="D1265" i="13"/>
  <c r="E1265" i="13"/>
  <c r="T1265" i="13"/>
  <c r="U1265" i="13"/>
  <c r="X1265" i="13"/>
  <c r="Y1265" i="13"/>
  <c r="Z1265" i="13"/>
  <c r="V1265" i="13"/>
  <c r="W1265" i="13"/>
  <c r="B1266" i="13"/>
  <c r="C1266" i="13"/>
  <c r="F1266" i="13"/>
  <c r="G1266" i="13"/>
  <c r="H1266" i="13"/>
  <c r="D1266" i="13"/>
  <c r="E1266" i="13"/>
  <c r="T1266" i="13"/>
  <c r="U1266" i="13"/>
  <c r="X1266" i="13"/>
  <c r="Y1266" i="13"/>
  <c r="Z1266" i="13"/>
  <c r="V1266" i="13"/>
  <c r="W1266" i="13"/>
  <c r="B1267" i="13"/>
  <c r="C1267" i="13"/>
  <c r="F1267" i="13"/>
  <c r="G1267" i="13"/>
  <c r="H1267" i="13"/>
  <c r="D1267" i="13"/>
  <c r="E1267" i="13"/>
  <c r="T1267" i="13"/>
  <c r="U1267" i="13"/>
  <c r="X1267" i="13"/>
  <c r="Y1267" i="13"/>
  <c r="Z1267" i="13"/>
  <c r="V1267" i="13"/>
  <c r="W1267" i="13"/>
  <c r="B1268" i="13"/>
  <c r="C1268" i="13"/>
  <c r="F1268" i="13"/>
  <c r="G1268" i="13"/>
  <c r="H1268" i="13"/>
  <c r="D1268" i="13"/>
  <c r="E1268" i="13"/>
  <c r="T1268" i="13"/>
  <c r="U1268" i="13"/>
  <c r="X1268" i="13"/>
  <c r="Y1268" i="13"/>
  <c r="Z1268" i="13"/>
  <c r="V1268" i="13"/>
  <c r="W1268" i="13"/>
  <c r="B1269" i="13"/>
  <c r="C1269" i="13"/>
  <c r="F1269" i="13"/>
  <c r="G1269" i="13"/>
  <c r="H1269" i="13"/>
  <c r="D1269" i="13"/>
  <c r="E1269" i="13"/>
  <c r="T1269" i="13"/>
  <c r="U1269" i="13"/>
  <c r="X1269" i="13"/>
  <c r="Y1269" i="13"/>
  <c r="Z1269" i="13"/>
  <c r="V1269" i="13"/>
  <c r="W1269" i="13"/>
  <c r="B1270" i="13"/>
  <c r="C1270" i="13"/>
  <c r="F1270" i="13"/>
  <c r="G1270" i="13"/>
  <c r="H1270" i="13"/>
  <c r="D1270" i="13"/>
  <c r="E1270" i="13"/>
  <c r="T1270" i="13"/>
  <c r="U1270" i="13"/>
  <c r="X1270" i="13"/>
  <c r="Y1270" i="13"/>
  <c r="Z1270" i="13"/>
  <c r="V1270" i="13"/>
  <c r="W1270" i="13"/>
  <c r="B1271" i="13"/>
  <c r="C1271" i="13"/>
  <c r="F1271" i="13"/>
  <c r="G1271" i="13"/>
  <c r="H1271" i="13"/>
  <c r="D1271" i="13"/>
  <c r="E1271" i="13"/>
  <c r="T1271" i="13"/>
  <c r="U1271" i="13"/>
  <c r="X1271" i="13"/>
  <c r="Y1271" i="13"/>
  <c r="Z1271" i="13"/>
  <c r="V1271" i="13"/>
  <c r="W1271" i="13"/>
  <c r="B1272" i="13"/>
  <c r="C1272" i="13"/>
  <c r="F1272" i="13"/>
  <c r="G1272" i="13"/>
  <c r="H1272" i="13"/>
  <c r="D1272" i="13"/>
  <c r="E1272" i="13"/>
  <c r="T1272" i="13"/>
  <c r="U1272" i="13"/>
  <c r="X1272" i="13"/>
  <c r="Y1272" i="13"/>
  <c r="Z1272" i="13"/>
  <c r="V1272" i="13"/>
  <c r="W1272" i="13"/>
  <c r="B1273" i="13"/>
  <c r="C1273" i="13"/>
  <c r="F1273" i="13"/>
  <c r="G1273" i="13"/>
  <c r="H1273" i="13"/>
  <c r="D1273" i="13"/>
  <c r="E1273" i="13"/>
  <c r="T1273" i="13"/>
  <c r="U1273" i="13"/>
  <c r="X1273" i="13"/>
  <c r="Y1273" i="13"/>
  <c r="Z1273" i="13"/>
  <c r="V1273" i="13"/>
  <c r="W1273" i="13"/>
  <c r="B1274" i="13"/>
  <c r="C1274" i="13"/>
  <c r="F1274" i="13"/>
  <c r="G1274" i="13"/>
  <c r="H1274" i="13"/>
  <c r="D1274" i="13"/>
  <c r="E1274" i="13"/>
  <c r="T1274" i="13"/>
  <c r="U1274" i="13"/>
  <c r="X1274" i="13"/>
  <c r="Y1274" i="13"/>
  <c r="Z1274" i="13"/>
  <c r="V1274" i="13"/>
  <c r="W1274" i="13"/>
  <c r="B1275" i="13"/>
  <c r="C1275" i="13"/>
  <c r="F1275" i="13"/>
  <c r="G1275" i="13"/>
  <c r="H1275" i="13"/>
  <c r="D1275" i="13"/>
  <c r="E1275" i="13"/>
  <c r="T1275" i="13"/>
  <c r="U1275" i="13"/>
  <c r="X1275" i="13"/>
  <c r="Y1275" i="13"/>
  <c r="Z1275" i="13"/>
  <c r="V1275" i="13"/>
  <c r="W1275" i="13"/>
  <c r="B1276" i="13"/>
  <c r="C1276" i="13"/>
  <c r="F1276" i="13"/>
  <c r="G1276" i="13"/>
  <c r="H1276" i="13"/>
  <c r="D1276" i="13"/>
  <c r="E1276" i="13"/>
  <c r="T1276" i="13"/>
  <c r="U1276" i="13"/>
  <c r="X1276" i="13"/>
  <c r="Y1276" i="13"/>
  <c r="Z1276" i="13"/>
  <c r="V1276" i="13"/>
  <c r="W1276" i="13"/>
  <c r="B1277" i="13"/>
  <c r="C1277" i="13"/>
  <c r="F1277" i="13"/>
  <c r="G1277" i="13"/>
  <c r="H1277" i="13"/>
  <c r="D1277" i="13"/>
  <c r="E1277" i="13"/>
  <c r="T1277" i="13"/>
  <c r="U1277" i="13"/>
  <c r="X1277" i="13"/>
  <c r="Y1277" i="13"/>
  <c r="Z1277" i="13"/>
  <c r="V1277" i="13"/>
  <c r="W1277" i="13"/>
  <c r="B1278" i="13"/>
  <c r="C1278" i="13"/>
  <c r="F1278" i="13"/>
  <c r="G1278" i="13"/>
  <c r="H1278" i="13"/>
  <c r="D1278" i="13"/>
  <c r="E1278" i="13"/>
  <c r="T1278" i="13"/>
  <c r="U1278" i="13"/>
  <c r="X1278" i="13"/>
  <c r="Y1278" i="13"/>
  <c r="Z1278" i="13"/>
  <c r="V1278" i="13"/>
  <c r="W1278" i="13"/>
  <c r="B1279" i="13"/>
  <c r="C1279" i="13"/>
  <c r="F1279" i="13"/>
  <c r="G1279" i="13"/>
  <c r="H1279" i="13"/>
  <c r="D1279" i="13"/>
  <c r="E1279" i="13"/>
  <c r="T1279" i="13"/>
  <c r="U1279" i="13"/>
  <c r="X1279" i="13"/>
  <c r="Y1279" i="13"/>
  <c r="Z1279" i="13"/>
  <c r="V1279" i="13"/>
  <c r="W1279" i="13"/>
  <c r="B1280" i="13"/>
  <c r="C1280" i="13"/>
  <c r="F1280" i="13"/>
  <c r="G1280" i="13"/>
  <c r="H1280" i="13"/>
  <c r="D1280" i="13"/>
  <c r="E1280" i="13"/>
  <c r="T1280" i="13"/>
  <c r="U1280" i="13"/>
  <c r="X1280" i="13"/>
  <c r="Y1280" i="13"/>
  <c r="Z1280" i="13"/>
  <c r="V1280" i="13"/>
  <c r="W1280" i="13"/>
  <c r="B1281" i="13"/>
  <c r="C1281" i="13"/>
  <c r="F1281" i="13"/>
  <c r="G1281" i="13"/>
  <c r="H1281" i="13"/>
  <c r="D1281" i="13"/>
  <c r="E1281" i="13"/>
  <c r="T1281" i="13"/>
  <c r="U1281" i="13"/>
  <c r="X1281" i="13"/>
  <c r="Y1281" i="13"/>
  <c r="Z1281" i="13"/>
  <c r="V1281" i="13"/>
  <c r="W1281" i="13"/>
  <c r="B1282" i="13"/>
  <c r="C1282" i="13"/>
  <c r="F1282" i="13"/>
  <c r="G1282" i="13"/>
  <c r="H1282" i="13"/>
  <c r="D1282" i="13"/>
  <c r="E1282" i="13"/>
  <c r="T1282" i="13"/>
  <c r="U1282" i="13"/>
  <c r="X1282" i="13"/>
  <c r="Y1282" i="13"/>
  <c r="Z1282" i="13"/>
  <c r="V1282" i="13"/>
  <c r="W1282" i="13"/>
  <c r="B1283" i="13"/>
  <c r="C1283" i="13"/>
  <c r="F1283" i="13"/>
  <c r="G1283" i="13"/>
  <c r="H1283" i="13"/>
  <c r="D1283" i="13"/>
  <c r="E1283" i="13"/>
  <c r="T1283" i="13"/>
  <c r="U1283" i="13"/>
  <c r="X1283" i="13"/>
  <c r="Y1283" i="13"/>
  <c r="Z1283" i="13"/>
  <c r="V1283" i="13"/>
  <c r="W1283" i="13"/>
  <c r="B1284" i="13"/>
  <c r="C1284" i="13"/>
  <c r="F1284" i="13"/>
  <c r="G1284" i="13"/>
  <c r="H1284" i="13"/>
  <c r="D1284" i="13"/>
  <c r="E1284" i="13"/>
  <c r="T1284" i="13"/>
  <c r="U1284" i="13"/>
  <c r="X1284" i="13"/>
  <c r="Y1284" i="13"/>
  <c r="Z1284" i="13"/>
  <c r="V1284" i="13"/>
  <c r="W1284" i="13"/>
  <c r="B1285" i="13"/>
  <c r="C1285" i="13"/>
  <c r="F1285" i="13"/>
  <c r="G1285" i="13"/>
  <c r="H1285" i="13"/>
  <c r="D1285" i="13"/>
  <c r="E1285" i="13"/>
  <c r="T1285" i="13"/>
  <c r="U1285" i="13"/>
  <c r="X1285" i="13"/>
  <c r="Y1285" i="13"/>
  <c r="Z1285" i="13"/>
  <c r="V1285" i="13"/>
  <c r="W1285" i="13"/>
  <c r="B1286" i="13"/>
  <c r="C1286" i="13"/>
  <c r="F1286" i="13"/>
  <c r="G1286" i="13"/>
  <c r="H1286" i="13"/>
  <c r="D1286" i="13"/>
  <c r="E1286" i="13"/>
  <c r="T1286" i="13"/>
  <c r="U1286" i="13"/>
  <c r="X1286" i="13"/>
  <c r="Y1286" i="13"/>
  <c r="Z1286" i="13"/>
  <c r="V1286" i="13"/>
  <c r="W1286" i="13"/>
  <c r="B1287" i="13"/>
  <c r="C1287" i="13"/>
  <c r="F1287" i="13"/>
  <c r="G1287" i="13"/>
  <c r="H1287" i="13"/>
  <c r="D1287" i="13"/>
  <c r="E1287" i="13"/>
  <c r="T1287" i="13"/>
  <c r="U1287" i="13"/>
  <c r="X1287" i="13"/>
  <c r="Y1287" i="13"/>
  <c r="Z1287" i="13"/>
  <c r="V1287" i="13"/>
  <c r="W1287" i="13"/>
  <c r="B1288" i="13"/>
  <c r="C1288" i="13"/>
  <c r="F1288" i="13"/>
  <c r="G1288" i="13"/>
  <c r="H1288" i="13"/>
  <c r="D1288" i="13"/>
  <c r="E1288" i="13"/>
  <c r="T1288" i="13"/>
  <c r="U1288" i="13"/>
  <c r="X1288" i="13"/>
  <c r="Y1288" i="13"/>
  <c r="Z1288" i="13"/>
  <c r="V1288" i="13"/>
  <c r="W1288" i="13"/>
  <c r="B1289" i="13"/>
  <c r="C1289" i="13"/>
  <c r="F1289" i="13"/>
  <c r="G1289" i="13"/>
  <c r="H1289" i="13"/>
  <c r="D1289" i="13"/>
  <c r="E1289" i="13"/>
  <c r="T1289" i="13"/>
  <c r="U1289" i="13"/>
  <c r="X1289" i="13"/>
  <c r="Y1289" i="13"/>
  <c r="Z1289" i="13"/>
  <c r="V1289" i="13"/>
  <c r="W1289" i="13"/>
  <c r="B1290" i="13"/>
  <c r="C1290" i="13"/>
  <c r="F1290" i="13"/>
  <c r="G1290" i="13"/>
  <c r="H1290" i="13"/>
  <c r="D1290" i="13"/>
  <c r="E1290" i="13"/>
  <c r="T1290" i="13"/>
  <c r="U1290" i="13"/>
  <c r="X1290" i="13"/>
  <c r="Y1290" i="13"/>
  <c r="Z1290" i="13"/>
  <c r="V1290" i="13"/>
  <c r="W1290" i="13"/>
  <c r="B1291" i="13"/>
  <c r="C1291" i="13"/>
  <c r="F1291" i="13"/>
  <c r="G1291" i="13"/>
  <c r="H1291" i="13"/>
  <c r="D1291" i="13"/>
  <c r="E1291" i="13"/>
  <c r="T1291" i="13"/>
  <c r="U1291" i="13"/>
  <c r="X1291" i="13"/>
  <c r="Y1291" i="13"/>
  <c r="Z1291" i="13"/>
  <c r="V1291" i="13"/>
  <c r="W1291" i="13"/>
  <c r="B1292" i="13"/>
  <c r="C1292" i="13"/>
  <c r="F1292" i="13"/>
  <c r="G1292" i="13"/>
  <c r="H1292" i="13"/>
  <c r="D1292" i="13"/>
  <c r="E1292" i="13"/>
  <c r="T1292" i="13"/>
  <c r="U1292" i="13"/>
  <c r="X1292" i="13"/>
  <c r="Y1292" i="13"/>
  <c r="Z1292" i="13"/>
  <c r="V1292" i="13"/>
  <c r="W1292" i="13"/>
  <c r="B1293" i="13"/>
  <c r="C1293" i="13"/>
  <c r="F1293" i="13"/>
  <c r="G1293" i="13"/>
  <c r="H1293" i="13"/>
  <c r="D1293" i="13"/>
  <c r="E1293" i="13"/>
  <c r="T1293" i="13"/>
  <c r="U1293" i="13"/>
  <c r="X1293" i="13"/>
  <c r="Y1293" i="13"/>
  <c r="Z1293" i="13"/>
  <c r="V1293" i="13"/>
  <c r="W1293" i="13"/>
  <c r="B1294" i="13"/>
  <c r="C1294" i="13"/>
  <c r="F1294" i="13"/>
  <c r="G1294" i="13"/>
  <c r="H1294" i="13"/>
  <c r="D1294" i="13"/>
  <c r="E1294" i="13"/>
  <c r="T1294" i="13"/>
  <c r="U1294" i="13"/>
  <c r="X1294" i="13"/>
  <c r="Y1294" i="13"/>
  <c r="Z1294" i="13"/>
  <c r="V1294" i="13"/>
  <c r="W1294" i="13"/>
  <c r="B1295" i="13"/>
  <c r="C1295" i="13"/>
  <c r="F1295" i="13"/>
  <c r="G1295" i="13"/>
  <c r="H1295" i="13"/>
  <c r="D1295" i="13"/>
  <c r="E1295" i="13"/>
  <c r="T1295" i="13"/>
  <c r="U1295" i="13"/>
  <c r="X1295" i="13"/>
  <c r="Y1295" i="13"/>
  <c r="Z1295" i="13"/>
  <c r="V1295" i="13"/>
  <c r="W1295" i="13"/>
  <c r="B1296" i="13"/>
  <c r="C1296" i="13"/>
  <c r="F1296" i="13"/>
  <c r="G1296" i="13"/>
  <c r="H1296" i="13"/>
  <c r="D1296" i="13"/>
  <c r="E1296" i="13"/>
  <c r="T1296" i="13"/>
  <c r="U1296" i="13"/>
  <c r="X1296" i="13"/>
  <c r="Y1296" i="13"/>
  <c r="Z1296" i="13"/>
  <c r="V1296" i="13"/>
  <c r="W1296" i="13"/>
  <c r="B1297" i="13"/>
  <c r="C1297" i="13"/>
  <c r="F1297" i="13"/>
  <c r="G1297" i="13"/>
  <c r="H1297" i="13"/>
  <c r="D1297" i="13"/>
  <c r="E1297" i="13"/>
  <c r="T1297" i="13"/>
  <c r="U1297" i="13"/>
  <c r="X1297" i="13"/>
  <c r="Y1297" i="13"/>
  <c r="Z1297" i="13"/>
  <c r="V1297" i="13"/>
  <c r="W1297" i="13"/>
  <c r="B1298" i="13"/>
  <c r="C1298" i="13"/>
  <c r="F1298" i="13"/>
  <c r="G1298" i="13"/>
  <c r="H1298" i="13"/>
  <c r="D1298" i="13"/>
  <c r="E1298" i="13"/>
  <c r="T1298" i="13"/>
  <c r="U1298" i="13"/>
  <c r="X1298" i="13"/>
  <c r="Y1298" i="13"/>
  <c r="Z1298" i="13"/>
  <c r="V1298" i="13"/>
  <c r="W1298" i="13"/>
  <c r="B1299" i="13"/>
  <c r="C1299" i="13"/>
  <c r="F1299" i="13"/>
  <c r="G1299" i="13"/>
  <c r="H1299" i="13"/>
  <c r="D1299" i="13"/>
  <c r="E1299" i="13"/>
  <c r="T1299" i="13"/>
  <c r="U1299" i="13"/>
  <c r="X1299" i="13"/>
  <c r="Y1299" i="13"/>
  <c r="Z1299" i="13"/>
  <c r="V1299" i="13"/>
  <c r="W1299" i="13"/>
  <c r="B1300" i="13"/>
  <c r="C1300" i="13"/>
  <c r="F1300" i="13"/>
  <c r="G1300" i="13"/>
  <c r="H1300" i="13"/>
  <c r="D1300" i="13"/>
  <c r="E1300" i="13"/>
  <c r="T1300" i="13"/>
  <c r="U1300" i="13"/>
  <c r="X1300" i="13"/>
  <c r="Y1300" i="13"/>
  <c r="Z1300" i="13"/>
  <c r="V1300" i="13"/>
  <c r="W1300" i="13"/>
  <c r="B1301" i="13"/>
  <c r="C1301" i="13"/>
  <c r="F1301" i="13"/>
  <c r="G1301" i="13"/>
  <c r="H1301" i="13"/>
  <c r="D1301" i="13"/>
  <c r="E1301" i="13"/>
  <c r="T1301" i="13"/>
  <c r="U1301" i="13"/>
  <c r="X1301" i="13"/>
  <c r="Y1301" i="13"/>
  <c r="Z1301" i="13"/>
  <c r="V1301" i="13"/>
  <c r="W1301" i="13"/>
  <c r="B1302" i="13"/>
  <c r="C1302" i="13"/>
  <c r="F1302" i="13"/>
  <c r="G1302" i="13"/>
  <c r="H1302" i="13"/>
  <c r="D1302" i="13"/>
  <c r="E1302" i="13"/>
  <c r="T1302" i="13"/>
  <c r="U1302" i="13"/>
  <c r="X1302" i="13"/>
  <c r="Y1302" i="13"/>
  <c r="Z1302" i="13"/>
  <c r="V1302" i="13"/>
  <c r="W1302" i="13"/>
  <c r="B1303" i="13"/>
  <c r="C1303" i="13"/>
  <c r="F1303" i="13"/>
  <c r="G1303" i="13"/>
  <c r="H1303" i="13"/>
  <c r="D1303" i="13"/>
  <c r="E1303" i="13"/>
  <c r="T1303" i="13"/>
  <c r="U1303" i="13"/>
  <c r="X1303" i="13"/>
  <c r="Y1303" i="13"/>
  <c r="Z1303" i="13"/>
  <c r="V1303" i="13"/>
  <c r="W1303" i="13"/>
  <c r="B1304" i="13"/>
  <c r="C1304" i="13"/>
  <c r="F1304" i="13"/>
  <c r="G1304" i="13"/>
  <c r="H1304" i="13"/>
  <c r="D1304" i="13"/>
  <c r="E1304" i="13"/>
  <c r="T1304" i="13"/>
  <c r="U1304" i="13"/>
  <c r="X1304" i="13"/>
  <c r="Y1304" i="13"/>
  <c r="Z1304" i="13"/>
  <c r="V1304" i="13"/>
  <c r="W1304" i="13"/>
  <c r="B1305" i="13"/>
  <c r="C1305" i="13"/>
  <c r="F1305" i="13"/>
  <c r="G1305" i="13"/>
  <c r="H1305" i="13"/>
  <c r="D1305" i="13"/>
  <c r="E1305" i="13"/>
  <c r="T1305" i="13"/>
  <c r="U1305" i="13"/>
  <c r="X1305" i="13"/>
  <c r="Y1305" i="13"/>
  <c r="Z1305" i="13"/>
  <c r="V1305" i="13"/>
  <c r="W1305" i="13"/>
  <c r="B1306" i="13"/>
  <c r="C1306" i="13"/>
  <c r="F1306" i="13"/>
  <c r="G1306" i="13"/>
  <c r="H1306" i="13"/>
  <c r="D1306" i="13"/>
  <c r="E1306" i="13"/>
  <c r="T1306" i="13"/>
  <c r="U1306" i="13"/>
  <c r="X1306" i="13"/>
  <c r="Y1306" i="13"/>
  <c r="Z1306" i="13"/>
  <c r="V1306" i="13"/>
  <c r="W1306" i="13"/>
  <c r="B1307" i="13"/>
  <c r="C1307" i="13"/>
  <c r="F1307" i="13"/>
  <c r="G1307" i="13"/>
  <c r="H1307" i="13"/>
  <c r="D1307" i="13"/>
  <c r="E1307" i="13"/>
  <c r="T1307" i="13"/>
  <c r="U1307" i="13"/>
  <c r="X1307" i="13"/>
  <c r="Y1307" i="13"/>
  <c r="Z1307" i="13"/>
  <c r="V1307" i="13"/>
  <c r="W1307" i="13"/>
  <c r="B1308" i="13"/>
  <c r="C1308" i="13"/>
  <c r="F1308" i="13"/>
  <c r="G1308" i="13"/>
  <c r="H1308" i="13"/>
  <c r="D1308" i="13"/>
  <c r="E1308" i="13"/>
  <c r="T1308" i="13"/>
  <c r="U1308" i="13"/>
  <c r="X1308" i="13"/>
  <c r="Y1308" i="13"/>
  <c r="Z1308" i="13"/>
  <c r="V1308" i="13"/>
  <c r="W1308" i="13"/>
  <c r="B1309" i="13"/>
  <c r="C1309" i="13"/>
  <c r="F1309" i="13"/>
  <c r="G1309" i="13"/>
  <c r="H1309" i="13"/>
  <c r="D1309" i="13"/>
  <c r="E1309" i="13"/>
  <c r="T1309" i="13"/>
  <c r="U1309" i="13"/>
  <c r="X1309" i="13"/>
  <c r="Y1309" i="13"/>
  <c r="Z1309" i="13"/>
  <c r="V1309" i="13"/>
  <c r="W1309" i="13"/>
  <c r="B1310" i="13"/>
  <c r="C1310" i="13"/>
  <c r="F1310" i="13"/>
  <c r="G1310" i="13"/>
  <c r="H1310" i="13"/>
  <c r="D1310" i="13"/>
  <c r="E1310" i="13"/>
  <c r="T1310" i="13"/>
  <c r="U1310" i="13"/>
  <c r="X1310" i="13"/>
  <c r="Y1310" i="13"/>
  <c r="Z1310" i="13"/>
  <c r="V1310" i="13"/>
  <c r="W1310" i="13"/>
  <c r="B1311" i="13"/>
  <c r="C1311" i="13"/>
  <c r="F1311" i="13"/>
  <c r="G1311" i="13"/>
  <c r="H1311" i="13"/>
  <c r="D1311" i="13"/>
  <c r="E1311" i="13"/>
  <c r="T1311" i="13"/>
  <c r="U1311" i="13"/>
  <c r="X1311" i="13"/>
  <c r="Y1311" i="13"/>
  <c r="Z1311" i="13"/>
  <c r="V1311" i="13"/>
  <c r="W1311" i="13"/>
  <c r="B1312" i="13"/>
  <c r="C1312" i="13"/>
  <c r="F1312" i="13"/>
  <c r="G1312" i="13"/>
  <c r="H1312" i="13"/>
  <c r="D1312" i="13"/>
  <c r="E1312" i="13"/>
  <c r="T1312" i="13"/>
  <c r="U1312" i="13"/>
  <c r="X1312" i="13"/>
  <c r="Y1312" i="13"/>
  <c r="Z1312" i="13"/>
  <c r="V1312" i="13"/>
  <c r="W1312" i="13"/>
  <c r="B1313" i="13"/>
  <c r="C1313" i="13"/>
  <c r="F1313" i="13"/>
  <c r="G1313" i="13"/>
  <c r="H1313" i="13"/>
  <c r="D1313" i="13"/>
  <c r="E1313" i="13"/>
  <c r="T1313" i="13"/>
  <c r="U1313" i="13"/>
  <c r="X1313" i="13"/>
  <c r="Y1313" i="13"/>
  <c r="Z1313" i="13"/>
  <c r="V1313" i="13"/>
  <c r="W1313" i="13"/>
  <c r="B1314" i="13"/>
  <c r="C1314" i="13"/>
  <c r="F1314" i="13"/>
  <c r="G1314" i="13"/>
  <c r="H1314" i="13"/>
  <c r="D1314" i="13"/>
  <c r="E1314" i="13"/>
  <c r="T1314" i="13"/>
  <c r="U1314" i="13"/>
  <c r="X1314" i="13"/>
  <c r="Y1314" i="13"/>
  <c r="Z1314" i="13"/>
  <c r="V1314" i="13"/>
  <c r="W1314" i="13"/>
  <c r="B1315" i="13"/>
  <c r="C1315" i="13"/>
  <c r="F1315" i="13"/>
  <c r="G1315" i="13"/>
  <c r="H1315" i="13"/>
  <c r="D1315" i="13"/>
  <c r="E1315" i="13"/>
  <c r="T1315" i="13"/>
  <c r="U1315" i="13"/>
  <c r="X1315" i="13"/>
  <c r="Y1315" i="13"/>
  <c r="Z1315" i="13"/>
  <c r="V1315" i="13"/>
  <c r="W1315" i="13"/>
  <c r="B1316" i="13"/>
  <c r="C1316" i="13"/>
  <c r="F1316" i="13"/>
  <c r="G1316" i="13"/>
  <c r="H1316" i="13"/>
  <c r="D1316" i="13"/>
  <c r="E1316" i="13"/>
  <c r="T1316" i="13"/>
  <c r="U1316" i="13"/>
  <c r="X1316" i="13"/>
  <c r="Y1316" i="13"/>
  <c r="Z1316" i="13"/>
  <c r="V1316" i="13"/>
  <c r="W1316" i="13"/>
  <c r="B1317" i="13"/>
  <c r="C1317" i="13"/>
  <c r="F1317" i="13"/>
  <c r="G1317" i="13"/>
  <c r="H1317" i="13"/>
  <c r="D1317" i="13"/>
  <c r="E1317" i="13"/>
  <c r="T1317" i="13"/>
  <c r="U1317" i="13"/>
  <c r="X1317" i="13"/>
  <c r="Y1317" i="13"/>
  <c r="Z1317" i="13"/>
  <c r="V1317" i="13"/>
  <c r="W1317" i="13"/>
  <c r="B1318" i="13"/>
  <c r="C1318" i="13"/>
  <c r="F1318" i="13"/>
  <c r="G1318" i="13"/>
  <c r="H1318" i="13"/>
  <c r="D1318" i="13"/>
  <c r="E1318" i="13"/>
  <c r="T1318" i="13"/>
  <c r="U1318" i="13"/>
  <c r="X1318" i="13"/>
  <c r="Y1318" i="13"/>
  <c r="Z1318" i="13"/>
  <c r="V1318" i="13"/>
  <c r="W1318" i="13"/>
  <c r="B1319" i="13"/>
  <c r="C1319" i="13"/>
  <c r="F1319" i="13"/>
  <c r="G1319" i="13"/>
  <c r="H1319" i="13"/>
  <c r="D1319" i="13"/>
  <c r="E1319" i="13"/>
  <c r="T1319" i="13"/>
  <c r="U1319" i="13"/>
  <c r="X1319" i="13"/>
  <c r="Y1319" i="13"/>
  <c r="Z1319" i="13"/>
  <c r="V1319" i="13"/>
  <c r="W1319" i="13"/>
  <c r="B1320" i="13"/>
  <c r="C1320" i="13"/>
  <c r="F1320" i="13"/>
  <c r="G1320" i="13"/>
  <c r="H1320" i="13"/>
  <c r="D1320" i="13"/>
  <c r="E1320" i="13"/>
  <c r="T1320" i="13"/>
  <c r="U1320" i="13"/>
  <c r="X1320" i="13"/>
  <c r="Y1320" i="13"/>
  <c r="Z1320" i="13"/>
  <c r="V1320" i="13"/>
  <c r="W1320" i="13"/>
  <c r="B1321" i="13"/>
  <c r="C1321" i="13"/>
  <c r="F1321" i="13"/>
  <c r="G1321" i="13"/>
  <c r="H1321" i="13"/>
  <c r="D1321" i="13"/>
  <c r="E1321" i="13"/>
  <c r="T1321" i="13"/>
  <c r="U1321" i="13"/>
  <c r="X1321" i="13"/>
  <c r="Y1321" i="13"/>
  <c r="Z1321" i="13"/>
  <c r="V1321" i="13"/>
  <c r="W1321" i="13"/>
  <c r="B1322" i="13"/>
  <c r="C1322" i="13"/>
  <c r="F1322" i="13"/>
  <c r="G1322" i="13"/>
  <c r="H1322" i="13"/>
  <c r="D1322" i="13"/>
  <c r="E1322" i="13"/>
  <c r="T1322" i="13"/>
  <c r="U1322" i="13"/>
  <c r="X1322" i="13"/>
  <c r="Y1322" i="13"/>
  <c r="Z1322" i="13"/>
  <c r="V1322" i="13"/>
  <c r="W1322" i="13"/>
  <c r="B1323" i="13"/>
  <c r="C1323" i="13"/>
  <c r="F1323" i="13"/>
  <c r="G1323" i="13"/>
  <c r="H1323" i="13"/>
  <c r="D1323" i="13"/>
  <c r="E1323" i="13"/>
  <c r="T1323" i="13"/>
  <c r="U1323" i="13"/>
  <c r="X1323" i="13"/>
  <c r="Y1323" i="13"/>
  <c r="Z1323" i="13"/>
  <c r="V1323" i="13"/>
  <c r="W1323" i="13"/>
  <c r="B1324" i="13"/>
  <c r="C1324" i="13"/>
  <c r="F1324" i="13"/>
  <c r="G1324" i="13"/>
  <c r="H1324" i="13"/>
  <c r="D1324" i="13"/>
  <c r="E1324" i="13"/>
  <c r="T1324" i="13"/>
  <c r="U1324" i="13"/>
  <c r="X1324" i="13"/>
  <c r="Y1324" i="13"/>
  <c r="Z1324" i="13"/>
  <c r="V1324" i="13"/>
  <c r="W1324" i="13"/>
  <c r="B1325" i="13"/>
  <c r="C1325" i="13"/>
  <c r="F1325" i="13"/>
  <c r="G1325" i="13"/>
  <c r="H1325" i="13"/>
  <c r="D1325" i="13"/>
  <c r="E1325" i="13"/>
  <c r="T1325" i="13"/>
  <c r="U1325" i="13"/>
  <c r="X1325" i="13"/>
  <c r="Y1325" i="13"/>
  <c r="Z1325" i="13"/>
  <c r="V1325" i="13"/>
  <c r="W1325" i="13"/>
  <c r="B1326" i="13"/>
  <c r="C1326" i="13"/>
  <c r="F1326" i="13"/>
  <c r="G1326" i="13"/>
  <c r="H1326" i="13"/>
  <c r="D1326" i="13"/>
  <c r="E1326" i="13"/>
  <c r="T1326" i="13"/>
  <c r="U1326" i="13"/>
  <c r="X1326" i="13"/>
  <c r="Y1326" i="13"/>
  <c r="Z1326" i="13"/>
  <c r="V1326" i="13"/>
  <c r="W1326" i="13"/>
  <c r="B1327" i="13"/>
  <c r="C1327" i="13"/>
  <c r="F1327" i="13"/>
  <c r="G1327" i="13"/>
  <c r="H1327" i="13"/>
  <c r="D1327" i="13"/>
  <c r="E1327" i="13"/>
  <c r="T1327" i="13"/>
  <c r="U1327" i="13"/>
  <c r="X1327" i="13"/>
  <c r="Y1327" i="13"/>
  <c r="Z1327" i="13"/>
  <c r="V1327" i="13"/>
  <c r="W1327" i="13"/>
  <c r="B1328" i="13"/>
  <c r="C1328" i="13"/>
  <c r="F1328" i="13"/>
  <c r="G1328" i="13"/>
  <c r="H1328" i="13"/>
  <c r="D1328" i="13"/>
  <c r="E1328" i="13"/>
  <c r="T1328" i="13"/>
  <c r="U1328" i="13"/>
  <c r="X1328" i="13"/>
  <c r="Y1328" i="13"/>
  <c r="Z1328" i="13"/>
  <c r="V1328" i="13"/>
  <c r="W1328" i="13"/>
  <c r="B1329" i="13"/>
  <c r="C1329" i="13"/>
  <c r="F1329" i="13"/>
  <c r="G1329" i="13"/>
  <c r="H1329" i="13"/>
  <c r="D1329" i="13"/>
  <c r="E1329" i="13"/>
  <c r="T1329" i="13"/>
  <c r="U1329" i="13"/>
  <c r="X1329" i="13"/>
  <c r="Y1329" i="13"/>
  <c r="Z1329" i="13"/>
  <c r="V1329" i="13"/>
  <c r="W1329" i="13"/>
  <c r="B1330" i="13"/>
  <c r="C1330" i="13"/>
  <c r="F1330" i="13"/>
  <c r="G1330" i="13"/>
  <c r="H1330" i="13"/>
  <c r="D1330" i="13"/>
  <c r="E1330" i="13"/>
  <c r="T1330" i="13"/>
  <c r="U1330" i="13"/>
  <c r="X1330" i="13"/>
  <c r="Y1330" i="13"/>
  <c r="Z1330" i="13"/>
  <c r="V1330" i="13"/>
  <c r="W1330" i="13"/>
  <c r="B1331" i="13"/>
  <c r="C1331" i="13"/>
  <c r="F1331" i="13"/>
  <c r="G1331" i="13"/>
  <c r="H1331" i="13"/>
  <c r="D1331" i="13"/>
  <c r="E1331" i="13"/>
  <c r="T1331" i="13"/>
  <c r="U1331" i="13"/>
  <c r="X1331" i="13"/>
  <c r="Y1331" i="13"/>
  <c r="Z1331" i="13"/>
  <c r="V1331" i="13"/>
  <c r="W1331" i="13"/>
  <c r="B1332" i="13"/>
  <c r="C1332" i="13"/>
  <c r="F1332" i="13"/>
  <c r="G1332" i="13"/>
  <c r="H1332" i="13"/>
  <c r="D1332" i="13"/>
  <c r="E1332" i="13"/>
  <c r="T1332" i="13"/>
  <c r="U1332" i="13"/>
  <c r="X1332" i="13"/>
  <c r="Y1332" i="13"/>
  <c r="Z1332" i="13"/>
  <c r="V1332" i="13"/>
  <c r="W1332" i="13"/>
  <c r="B1333" i="13"/>
  <c r="C1333" i="13"/>
  <c r="F1333" i="13"/>
  <c r="G1333" i="13"/>
  <c r="H1333" i="13"/>
  <c r="D1333" i="13"/>
  <c r="E1333" i="13"/>
  <c r="T1333" i="13"/>
  <c r="U1333" i="13"/>
  <c r="X1333" i="13"/>
  <c r="Y1333" i="13"/>
  <c r="Z1333" i="13"/>
  <c r="V1333" i="13"/>
  <c r="W1333" i="13"/>
  <c r="B1334" i="13"/>
  <c r="C1334" i="13"/>
  <c r="F1334" i="13"/>
  <c r="G1334" i="13"/>
  <c r="H1334" i="13"/>
  <c r="D1334" i="13"/>
  <c r="E1334" i="13"/>
  <c r="T1334" i="13"/>
  <c r="U1334" i="13"/>
  <c r="X1334" i="13"/>
  <c r="Y1334" i="13"/>
  <c r="Z1334" i="13"/>
  <c r="V1334" i="13"/>
  <c r="W1334" i="13"/>
  <c r="B1335" i="13"/>
  <c r="C1335" i="13"/>
  <c r="F1335" i="13"/>
  <c r="G1335" i="13"/>
  <c r="H1335" i="13"/>
  <c r="D1335" i="13"/>
  <c r="E1335" i="13"/>
  <c r="T1335" i="13"/>
  <c r="U1335" i="13"/>
  <c r="X1335" i="13"/>
  <c r="Y1335" i="13"/>
  <c r="Z1335" i="13"/>
  <c r="V1335" i="13"/>
  <c r="W1335" i="13"/>
  <c r="B1336" i="13"/>
  <c r="C1336" i="13"/>
  <c r="F1336" i="13"/>
  <c r="G1336" i="13"/>
  <c r="H1336" i="13"/>
  <c r="D1336" i="13"/>
  <c r="E1336" i="13"/>
  <c r="T1336" i="13"/>
  <c r="U1336" i="13"/>
  <c r="X1336" i="13"/>
  <c r="Y1336" i="13"/>
  <c r="Z1336" i="13"/>
  <c r="V1336" i="13"/>
  <c r="W1336" i="13"/>
  <c r="B1337" i="13"/>
  <c r="C1337" i="13"/>
  <c r="F1337" i="13"/>
  <c r="G1337" i="13"/>
  <c r="H1337" i="13"/>
  <c r="D1337" i="13"/>
  <c r="E1337" i="13"/>
  <c r="T1337" i="13"/>
  <c r="U1337" i="13"/>
  <c r="X1337" i="13"/>
  <c r="Y1337" i="13"/>
  <c r="Z1337" i="13"/>
  <c r="V1337" i="13"/>
  <c r="W1337" i="13"/>
  <c r="B1338" i="13"/>
  <c r="C1338" i="13"/>
  <c r="F1338" i="13"/>
  <c r="G1338" i="13"/>
  <c r="H1338" i="13"/>
  <c r="D1338" i="13"/>
  <c r="E1338" i="13"/>
  <c r="T1338" i="13"/>
  <c r="U1338" i="13"/>
  <c r="X1338" i="13"/>
  <c r="Y1338" i="13"/>
  <c r="Z1338" i="13"/>
  <c r="V1338" i="13"/>
  <c r="W1338" i="13"/>
  <c r="B1339" i="13"/>
  <c r="C1339" i="13"/>
  <c r="F1339" i="13"/>
  <c r="G1339" i="13"/>
  <c r="H1339" i="13"/>
  <c r="D1339" i="13"/>
  <c r="E1339" i="13"/>
  <c r="T1339" i="13"/>
  <c r="U1339" i="13"/>
  <c r="X1339" i="13"/>
  <c r="Y1339" i="13"/>
  <c r="Z1339" i="13"/>
  <c r="V1339" i="13"/>
  <c r="W1339" i="13"/>
  <c r="B1340" i="13"/>
  <c r="C1340" i="13"/>
  <c r="F1340" i="13"/>
  <c r="G1340" i="13"/>
  <c r="H1340" i="13"/>
  <c r="D1340" i="13"/>
  <c r="E1340" i="13"/>
  <c r="T1340" i="13"/>
  <c r="U1340" i="13"/>
  <c r="X1340" i="13"/>
  <c r="Y1340" i="13"/>
  <c r="Z1340" i="13"/>
  <c r="V1340" i="13"/>
  <c r="W1340" i="13"/>
  <c r="B1341" i="13"/>
  <c r="C1341" i="13"/>
  <c r="F1341" i="13"/>
  <c r="G1341" i="13"/>
  <c r="H1341" i="13"/>
  <c r="D1341" i="13"/>
  <c r="E1341" i="13"/>
  <c r="T1341" i="13"/>
  <c r="U1341" i="13"/>
  <c r="X1341" i="13"/>
  <c r="Y1341" i="13"/>
  <c r="Z1341" i="13"/>
  <c r="V1341" i="13"/>
  <c r="W1341" i="13"/>
  <c r="B1342" i="13"/>
  <c r="C1342" i="13"/>
  <c r="F1342" i="13"/>
  <c r="G1342" i="13"/>
  <c r="H1342" i="13"/>
  <c r="D1342" i="13"/>
  <c r="E1342" i="13"/>
  <c r="T1342" i="13"/>
  <c r="U1342" i="13"/>
  <c r="X1342" i="13"/>
  <c r="Y1342" i="13"/>
  <c r="Z1342" i="13"/>
  <c r="V1342" i="13"/>
  <c r="W1342" i="13"/>
  <c r="B1343" i="13"/>
  <c r="C1343" i="13"/>
  <c r="F1343" i="13"/>
  <c r="G1343" i="13"/>
  <c r="H1343" i="13"/>
  <c r="D1343" i="13"/>
  <c r="E1343" i="13"/>
  <c r="T1343" i="13"/>
  <c r="U1343" i="13"/>
  <c r="X1343" i="13"/>
  <c r="Y1343" i="13"/>
  <c r="Z1343" i="13"/>
  <c r="V1343" i="13"/>
  <c r="W1343" i="13"/>
  <c r="B1344" i="13"/>
  <c r="C1344" i="13"/>
  <c r="F1344" i="13"/>
  <c r="G1344" i="13"/>
  <c r="H1344" i="13"/>
  <c r="D1344" i="13"/>
  <c r="E1344" i="13"/>
  <c r="T1344" i="13"/>
  <c r="U1344" i="13"/>
  <c r="X1344" i="13"/>
  <c r="Y1344" i="13"/>
  <c r="Z1344" i="13"/>
  <c r="V1344" i="13"/>
  <c r="W1344" i="13"/>
  <c r="B1345" i="13"/>
  <c r="C1345" i="13"/>
  <c r="F1345" i="13"/>
  <c r="G1345" i="13"/>
  <c r="H1345" i="13"/>
  <c r="D1345" i="13"/>
  <c r="E1345" i="13"/>
  <c r="T1345" i="13"/>
  <c r="U1345" i="13"/>
  <c r="X1345" i="13"/>
  <c r="Y1345" i="13"/>
  <c r="Z1345" i="13"/>
  <c r="V1345" i="13"/>
  <c r="W1345" i="13"/>
  <c r="B1346" i="13"/>
  <c r="C1346" i="13"/>
  <c r="F1346" i="13"/>
  <c r="G1346" i="13"/>
  <c r="H1346" i="13"/>
  <c r="D1346" i="13"/>
  <c r="E1346" i="13"/>
  <c r="T1346" i="13"/>
  <c r="U1346" i="13"/>
  <c r="X1346" i="13"/>
  <c r="Y1346" i="13"/>
  <c r="Z1346" i="13"/>
  <c r="V1346" i="13"/>
  <c r="W1346" i="13"/>
  <c r="B1347" i="13"/>
  <c r="C1347" i="13"/>
  <c r="F1347" i="13"/>
  <c r="G1347" i="13"/>
  <c r="H1347" i="13"/>
  <c r="D1347" i="13"/>
  <c r="E1347" i="13"/>
  <c r="T1347" i="13"/>
  <c r="U1347" i="13"/>
  <c r="X1347" i="13"/>
  <c r="Y1347" i="13"/>
  <c r="Z1347" i="13"/>
  <c r="V1347" i="13"/>
  <c r="W1347" i="13"/>
  <c r="B1348" i="13"/>
  <c r="C1348" i="13"/>
  <c r="F1348" i="13"/>
  <c r="G1348" i="13"/>
  <c r="H1348" i="13"/>
  <c r="D1348" i="13"/>
  <c r="E1348" i="13"/>
  <c r="T1348" i="13"/>
  <c r="U1348" i="13"/>
  <c r="X1348" i="13"/>
  <c r="Y1348" i="13"/>
  <c r="Z1348" i="13"/>
  <c r="V1348" i="13"/>
  <c r="W1348" i="13"/>
  <c r="B1349" i="13"/>
  <c r="C1349" i="13"/>
  <c r="F1349" i="13"/>
  <c r="G1349" i="13"/>
  <c r="H1349" i="13"/>
  <c r="D1349" i="13"/>
  <c r="E1349" i="13"/>
  <c r="T1349" i="13"/>
  <c r="U1349" i="13"/>
  <c r="X1349" i="13"/>
  <c r="Y1349" i="13"/>
  <c r="Z1349" i="13"/>
  <c r="V1349" i="13"/>
  <c r="W1349" i="13"/>
  <c r="B1350" i="13"/>
  <c r="C1350" i="13"/>
  <c r="F1350" i="13"/>
  <c r="G1350" i="13"/>
  <c r="H1350" i="13"/>
  <c r="D1350" i="13"/>
  <c r="E1350" i="13"/>
  <c r="T1350" i="13"/>
  <c r="U1350" i="13"/>
  <c r="X1350" i="13"/>
  <c r="Y1350" i="13"/>
  <c r="Z1350" i="13"/>
  <c r="V1350" i="13"/>
  <c r="W1350" i="13"/>
  <c r="B1351" i="13"/>
  <c r="C1351" i="13"/>
  <c r="F1351" i="13"/>
  <c r="G1351" i="13"/>
  <c r="H1351" i="13"/>
  <c r="D1351" i="13"/>
  <c r="E1351" i="13"/>
  <c r="T1351" i="13"/>
  <c r="U1351" i="13"/>
  <c r="X1351" i="13"/>
  <c r="Y1351" i="13"/>
  <c r="Z1351" i="13"/>
  <c r="V1351" i="13"/>
  <c r="W1351" i="13"/>
  <c r="B1352" i="13"/>
  <c r="C1352" i="13"/>
  <c r="F1352" i="13"/>
  <c r="G1352" i="13"/>
  <c r="H1352" i="13"/>
  <c r="D1352" i="13"/>
  <c r="E1352" i="13"/>
  <c r="T1352" i="13"/>
  <c r="U1352" i="13"/>
  <c r="X1352" i="13"/>
  <c r="Y1352" i="13"/>
  <c r="Z1352" i="13"/>
  <c r="V1352" i="13"/>
  <c r="W1352" i="13"/>
  <c r="B1353" i="13"/>
  <c r="C1353" i="13"/>
  <c r="F1353" i="13"/>
  <c r="G1353" i="13"/>
  <c r="H1353" i="13"/>
  <c r="D1353" i="13"/>
  <c r="E1353" i="13"/>
  <c r="T1353" i="13"/>
  <c r="U1353" i="13"/>
  <c r="X1353" i="13"/>
  <c r="Y1353" i="13"/>
  <c r="Z1353" i="13"/>
  <c r="V1353" i="13"/>
  <c r="W1353" i="13"/>
  <c r="B1354" i="13"/>
  <c r="C1354" i="13"/>
  <c r="F1354" i="13"/>
  <c r="G1354" i="13"/>
  <c r="H1354" i="13"/>
  <c r="D1354" i="13"/>
  <c r="E1354" i="13"/>
  <c r="T1354" i="13"/>
  <c r="U1354" i="13"/>
  <c r="X1354" i="13"/>
  <c r="Y1354" i="13"/>
  <c r="Z1354" i="13"/>
  <c r="V1354" i="13"/>
  <c r="W1354" i="13"/>
  <c r="B1355" i="13"/>
  <c r="C1355" i="13"/>
  <c r="F1355" i="13"/>
  <c r="G1355" i="13"/>
  <c r="H1355" i="13"/>
  <c r="D1355" i="13"/>
  <c r="E1355" i="13"/>
  <c r="T1355" i="13"/>
  <c r="U1355" i="13"/>
  <c r="X1355" i="13"/>
  <c r="Y1355" i="13"/>
  <c r="Z1355" i="13"/>
  <c r="V1355" i="13"/>
  <c r="W1355" i="13"/>
  <c r="B1356" i="13"/>
  <c r="C1356" i="13"/>
  <c r="F1356" i="13"/>
  <c r="G1356" i="13"/>
  <c r="H1356" i="13"/>
  <c r="D1356" i="13"/>
  <c r="E1356" i="13"/>
  <c r="T1356" i="13"/>
  <c r="U1356" i="13"/>
  <c r="X1356" i="13"/>
  <c r="Y1356" i="13"/>
  <c r="Z1356" i="13"/>
  <c r="V1356" i="13"/>
  <c r="W1356" i="13"/>
  <c r="B1357" i="13"/>
  <c r="C1357" i="13"/>
  <c r="F1357" i="13"/>
  <c r="G1357" i="13"/>
  <c r="H1357" i="13"/>
  <c r="D1357" i="13"/>
  <c r="E1357" i="13"/>
  <c r="T1357" i="13"/>
  <c r="U1357" i="13"/>
  <c r="X1357" i="13"/>
  <c r="Y1357" i="13"/>
  <c r="Z1357" i="13"/>
  <c r="V1357" i="13"/>
  <c r="W1357" i="13"/>
  <c r="B1358" i="13"/>
  <c r="C1358" i="13"/>
  <c r="F1358" i="13"/>
  <c r="G1358" i="13"/>
  <c r="H1358" i="13"/>
  <c r="D1358" i="13"/>
  <c r="E1358" i="13"/>
  <c r="T1358" i="13"/>
  <c r="U1358" i="13"/>
  <c r="X1358" i="13"/>
  <c r="Y1358" i="13"/>
  <c r="Z1358" i="13"/>
  <c r="V1358" i="13"/>
  <c r="W1358" i="13"/>
  <c r="B1359" i="13"/>
  <c r="C1359" i="13"/>
  <c r="F1359" i="13"/>
  <c r="G1359" i="13"/>
  <c r="H1359" i="13"/>
  <c r="D1359" i="13"/>
  <c r="E1359" i="13"/>
  <c r="T1359" i="13"/>
  <c r="U1359" i="13"/>
  <c r="X1359" i="13"/>
  <c r="Y1359" i="13"/>
  <c r="Z1359" i="13"/>
  <c r="V1359" i="13"/>
  <c r="W1359" i="13"/>
  <c r="B1360" i="13"/>
  <c r="C1360" i="13"/>
  <c r="F1360" i="13"/>
  <c r="G1360" i="13"/>
  <c r="H1360" i="13"/>
  <c r="D1360" i="13"/>
  <c r="E1360" i="13"/>
  <c r="T1360" i="13"/>
  <c r="U1360" i="13"/>
  <c r="X1360" i="13"/>
  <c r="Y1360" i="13"/>
  <c r="Z1360" i="13"/>
  <c r="V1360" i="13"/>
  <c r="W1360" i="13"/>
  <c r="B1361" i="13"/>
  <c r="C1361" i="13"/>
  <c r="F1361" i="13"/>
  <c r="G1361" i="13"/>
  <c r="H1361" i="13"/>
  <c r="D1361" i="13"/>
  <c r="E1361" i="13"/>
  <c r="T1361" i="13"/>
  <c r="U1361" i="13"/>
  <c r="X1361" i="13"/>
  <c r="Y1361" i="13"/>
  <c r="Z1361" i="13"/>
  <c r="V1361" i="13"/>
  <c r="W1361" i="13"/>
  <c r="B1362" i="13"/>
  <c r="C1362" i="13"/>
  <c r="F1362" i="13"/>
  <c r="G1362" i="13"/>
  <c r="H1362" i="13"/>
  <c r="D1362" i="13"/>
  <c r="E1362" i="13"/>
  <c r="T1362" i="13"/>
  <c r="U1362" i="13"/>
  <c r="X1362" i="13"/>
  <c r="Y1362" i="13"/>
  <c r="Z1362" i="13"/>
  <c r="V1362" i="13"/>
  <c r="W1362" i="13"/>
  <c r="B1363" i="13"/>
  <c r="C1363" i="13"/>
  <c r="F1363" i="13"/>
  <c r="G1363" i="13"/>
  <c r="H1363" i="13"/>
  <c r="D1363" i="13"/>
  <c r="E1363" i="13"/>
  <c r="T1363" i="13"/>
  <c r="U1363" i="13"/>
  <c r="X1363" i="13"/>
  <c r="Y1363" i="13"/>
  <c r="Z1363" i="13"/>
  <c r="V1363" i="13"/>
  <c r="W1363" i="13"/>
  <c r="B1364" i="13"/>
  <c r="C1364" i="13"/>
  <c r="F1364" i="13"/>
  <c r="G1364" i="13"/>
  <c r="H1364" i="13"/>
  <c r="D1364" i="13"/>
  <c r="E1364" i="13"/>
  <c r="T1364" i="13"/>
  <c r="U1364" i="13"/>
  <c r="X1364" i="13"/>
  <c r="Y1364" i="13"/>
  <c r="Z1364" i="13"/>
  <c r="V1364" i="13"/>
  <c r="W1364" i="13"/>
  <c r="B1365" i="13"/>
  <c r="C1365" i="13"/>
  <c r="F1365" i="13"/>
  <c r="G1365" i="13"/>
  <c r="H1365" i="13"/>
  <c r="D1365" i="13"/>
  <c r="E1365" i="13"/>
  <c r="T1365" i="13"/>
  <c r="U1365" i="13"/>
  <c r="X1365" i="13"/>
  <c r="Y1365" i="13"/>
  <c r="Z1365" i="13"/>
  <c r="V1365" i="13"/>
  <c r="W1365" i="13"/>
  <c r="B1366" i="13"/>
  <c r="C1366" i="13"/>
  <c r="F1366" i="13"/>
  <c r="G1366" i="13"/>
  <c r="H1366" i="13"/>
  <c r="D1366" i="13"/>
  <c r="E1366" i="13"/>
  <c r="T1366" i="13"/>
  <c r="U1366" i="13"/>
  <c r="X1366" i="13"/>
  <c r="Y1366" i="13"/>
  <c r="Z1366" i="13"/>
  <c r="V1366" i="13"/>
  <c r="W1366" i="13"/>
  <c r="B1367" i="13"/>
  <c r="C1367" i="13"/>
  <c r="F1367" i="13"/>
  <c r="G1367" i="13"/>
  <c r="H1367" i="13"/>
  <c r="D1367" i="13"/>
  <c r="E1367" i="13"/>
  <c r="T1367" i="13"/>
  <c r="U1367" i="13"/>
  <c r="X1367" i="13"/>
  <c r="Y1367" i="13"/>
  <c r="Z1367" i="13"/>
  <c r="V1367" i="13"/>
  <c r="W1367" i="13"/>
  <c r="B1368" i="13"/>
  <c r="C1368" i="13"/>
  <c r="F1368" i="13"/>
  <c r="G1368" i="13"/>
  <c r="H1368" i="13"/>
  <c r="D1368" i="13"/>
  <c r="E1368" i="13"/>
  <c r="T1368" i="13"/>
  <c r="U1368" i="13"/>
  <c r="X1368" i="13"/>
  <c r="Y1368" i="13"/>
  <c r="Z1368" i="13"/>
  <c r="V1368" i="13"/>
  <c r="W1368" i="13"/>
  <c r="B1369" i="13"/>
  <c r="C1369" i="13"/>
  <c r="F1369" i="13"/>
  <c r="G1369" i="13"/>
  <c r="H1369" i="13"/>
  <c r="D1369" i="13"/>
  <c r="E1369" i="13"/>
  <c r="T1369" i="13"/>
  <c r="U1369" i="13"/>
  <c r="X1369" i="13"/>
  <c r="Y1369" i="13"/>
  <c r="Z1369" i="13"/>
  <c r="V1369" i="13"/>
  <c r="W1369" i="13"/>
  <c r="B1370" i="13"/>
  <c r="C1370" i="13"/>
  <c r="F1370" i="13"/>
  <c r="G1370" i="13"/>
  <c r="H1370" i="13"/>
  <c r="D1370" i="13"/>
  <c r="E1370" i="13"/>
  <c r="T1370" i="13"/>
  <c r="U1370" i="13"/>
  <c r="X1370" i="13"/>
  <c r="Y1370" i="13"/>
  <c r="Z1370" i="13"/>
  <c r="V1370" i="13"/>
  <c r="W1370" i="13"/>
  <c r="B1371" i="13"/>
  <c r="C1371" i="13"/>
  <c r="F1371" i="13"/>
  <c r="G1371" i="13"/>
  <c r="H1371" i="13"/>
  <c r="D1371" i="13"/>
  <c r="E1371" i="13"/>
  <c r="T1371" i="13"/>
  <c r="U1371" i="13"/>
  <c r="X1371" i="13"/>
  <c r="Y1371" i="13"/>
  <c r="Z1371" i="13"/>
  <c r="V1371" i="13"/>
  <c r="W1371" i="13"/>
  <c r="B1372" i="13"/>
  <c r="C1372" i="13"/>
  <c r="F1372" i="13"/>
  <c r="G1372" i="13"/>
  <c r="H1372" i="13"/>
  <c r="D1372" i="13"/>
  <c r="E1372" i="13"/>
  <c r="T1372" i="13"/>
  <c r="U1372" i="13"/>
  <c r="X1372" i="13"/>
  <c r="Y1372" i="13"/>
  <c r="Z1372" i="13"/>
  <c r="V1372" i="13"/>
  <c r="W1372" i="13"/>
  <c r="B1373" i="13"/>
  <c r="C1373" i="13"/>
  <c r="F1373" i="13"/>
  <c r="G1373" i="13"/>
  <c r="H1373" i="13"/>
  <c r="D1373" i="13"/>
  <c r="E1373" i="13"/>
  <c r="T1373" i="13"/>
  <c r="U1373" i="13"/>
  <c r="X1373" i="13"/>
  <c r="Y1373" i="13"/>
  <c r="Z1373" i="13"/>
  <c r="V1373" i="13"/>
  <c r="W1373" i="13"/>
  <c r="B1374" i="13"/>
  <c r="C1374" i="13"/>
  <c r="F1374" i="13"/>
  <c r="G1374" i="13"/>
  <c r="H1374" i="13"/>
  <c r="D1374" i="13"/>
  <c r="E1374" i="13"/>
  <c r="T1374" i="13"/>
  <c r="U1374" i="13"/>
  <c r="X1374" i="13"/>
  <c r="Y1374" i="13"/>
  <c r="Z1374" i="13"/>
  <c r="V1374" i="13"/>
  <c r="W1374" i="13"/>
  <c r="B1375" i="13"/>
  <c r="C1375" i="13"/>
  <c r="F1375" i="13"/>
  <c r="G1375" i="13"/>
  <c r="H1375" i="13"/>
  <c r="D1375" i="13"/>
  <c r="E1375" i="13"/>
  <c r="T1375" i="13"/>
  <c r="U1375" i="13"/>
  <c r="X1375" i="13"/>
  <c r="Y1375" i="13"/>
  <c r="Z1375" i="13"/>
  <c r="V1375" i="13"/>
  <c r="W1375" i="13"/>
  <c r="B1376" i="13"/>
  <c r="C1376" i="13"/>
  <c r="F1376" i="13"/>
  <c r="G1376" i="13"/>
  <c r="H1376" i="13"/>
  <c r="D1376" i="13"/>
  <c r="E1376" i="13"/>
  <c r="T1376" i="13"/>
  <c r="U1376" i="13"/>
  <c r="X1376" i="13"/>
  <c r="Y1376" i="13"/>
  <c r="Z1376" i="13"/>
  <c r="V1376" i="13"/>
  <c r="W1376" i="13"/>
  <c r="B1377" i="13"/>
  <c r="C1377" i="13"/>
  <c r="F1377" i="13"/>
  <c r="G1377" i="13"/>
  <c r="H1377" i="13"/>
  <c r="D1377" i="13"/>
  <c r="E1377" i="13"/>
  <c r="T1377" i="13"/>
  <c r="U1377" i="13"/>
  <c r="X1377" i="13"/>
  <c r="Y1377" i="13"/>
  <c r="Z1377" i="13"/>
  <c r="V1377" i="13"/>
  <c r="W1377" i="13"/>
  <c r="B1378" i="13"/>
  <c r="C1378" i="13"/>
  <c r="F1378" i="13"/>
  <c r="G1378" i="13"/>
  <c r="H1378" i="13"/>
  <c r="D1378" i="13"/>
  <c r="E1378" i="13"/>
  <c r="T1378" i="13"/>
  <c r="U1378" i="13"/>
  <c r="X1378" i="13"/>
  <c r="Y1378" i="13"/>
  <c r="Z1378" i="13"/>
  <c r="V1378" i="13"/>
  <c r="W1378" i="13"/>
  <c r="B1379" i="13"/>
  <c r="C1379" i="13"/>
  <c r="F1379" i="13"/>
  <c r="G1379" i="13"/>
  <c r="H1379" i="13"/>
  <c r="D1379" i="13"/>
  <c r="E1379" i="13"/>
  <c r="T1379" i="13"/>
  <c r="U1379" i="13"/>
  <c r="X1379" i="13"/>
  <c r="Y1379" i="13"/>
  <c r="Z1379" i="13"/>
  <c r="V1379" i="13"/>
  <c r="W1379" i="13"/>
  <c r="B1380" i="13"/>
  <c r="C1380" i="13"/>
  <c r="F1380" i="13"/>
  <c r="G1380" i="13"/>
  <c r="H1380" i="13"/>
  <c r="D1380" i="13"/>
  <c r="E1380" i="13"/>
  <c r="T1380" i="13"/>
  <c r="U1380" i="13"/>
  <c r="X1380" i="13"/>
  <c r="Y1380" i="13"/>
  <c r="Z1380" i="13"/>
  <c r="V1380" i="13"/>
  <c r="W1380" i="13"/>
  <c r="B1381" i="13"/>
  <c r="C1381" i="13"/>
  <c r="F1381" i="13"/>
  <c r="G1381" i="13"/>
  <c r="H1381" i="13"/>
  <c r="D1381" i="13"/>
  <c r="E1381" i="13"/>
  <c r="T1381" i="13"/>
  <c r="U1381" i="13"/>
  <c r="X1381" i="13"/>
  <c r="Y1381" i="13"/>
  <c r="Z1381" i="13"/>
  <c r="V1381" i="13"/>
  <c r="W1381" i="13"/>
  <c r="B1382" i="13"/>
  <c r="C1382" i="13"/>
  <c r="F1382" i="13"/>
  <c r="G1382" i="13"/>
  <c r="H1382" i="13"/>
  <c r="D1382" i="13"/>
  <c r="E1382" i="13"/>
  <c r="T1382" i="13"/>
  <c r="U1382" i="13"/>
  <c r="X1382" i="13"/>
  <c r="Y1382" i="13"/>
  <c r="Z1382" i="13"/>
  <c r="V1382" i="13"/>
  <c r="W1382" i="13"/>
  <c r="B1383" i="13"/>
  <c r="C1383" i="13"/>
  <c r="F1383" i="13"/>
  <c r="G1383" i="13"/>
  <c r="H1383" i="13"/>
  <c r="D1383" i="13"/>
  <c r="E1383" i="13"/>
  <c r="T1383" i="13"/>
  <c r="U1383" i="13"/>
  <c r="X1383" i="13"/>
  <c r="Y1383" i="13"/>
  <c r="Z1383" i="13"/>
  <c r="V1383" i="13"/>
  <c r="W1383" i="13"/>
  <c r="B1384" i="13"/>
  <c r="C1384" i="13"/>
  <c r="F1384" i="13"/>
  <c r="G1384" i="13"/>
  <c r="H1384" i="13"/>
  <c r="D1384" i="13"/>
  <c r="E1384" i="13"/>
  <c r="T1384" i="13"/>
  <c r="U1384" i="13"/>
  <c r="X1384" i="13"/>
  <c r="Y1384" i="13"/>
  <c r="Z1384" i="13"/>
  <c r="V1384" i="13"/>
  <c r="W1384" i="13"/>
  <c r="B1385" i="13"/>
  <c r="C1385" i="13"/>
  <c r="F1385" i="13"/>
  <c r="G1385" i="13"/>
  <c r="H1385" i="13"/>
  <c r="D1385" i="13"/>
  <c r="E1385" i="13"/>
  <c r="T1385" i="13"/>
  <c r="U1385" i="13"/>
  <c r="X1385" i="13"/>
  <c r="Y1385" i="13"/>
  <c r="Z1385" i="13"/>
  <c r="V1385" i="13"/>
  <c r="W1385" i="13"/>
  <c r="B1386" i="13"/>
  <c r="C1386" i="13"/>
  <c r="F1386" i="13"/>
  <c r="G1386" i="13"/>
  <c r="H1386" i="13"/>
  <c r="D1386" i="13"/>
  <c r="E1386" i="13"/>
  <c r="T1386" i="13"/>
  <c r="U1386" i="13"/>
  <c r="X1386" i="13"/>
  <c r="Y1386" i="13"/>
  <c r="Z1386" i="13"/>
  <c r="V1386" i="13"/>
  <c r="W1386" i="13"/>
  <c r="B1387" i="13"/>
  <c r="C1387" i="13"/>
  <c r="F1387" i="13"/>
  <c r="G1387" i="13"/>
  <c r="H1387" i="13"/>
  <c r="D1387" i="13"/>
  <c r="E1387" i="13"/>
  <c r="T1387" i="13"/>
  <c r="U1387" i="13"/>
  <c r="X1387" i="13"/>
  <c r="Y1387" i="13"/>
  <c r="Z1387" i="13"/>
  <c r="V1387" i="13"/>
  <c r="W1387" i="13"/>
  <c r="B1388" i="13"/>
  <c r="C1388" i="13"/>
  <c r="F1388" i="13"/>
  <c r="G1388" i="13"/>
  <c r="H1388" i="13"/>
  <c r="D1388" i="13"/>
  <c r="E1388" i="13"/>
  <c r="T1388" i="13"/>
  <c r="U1388" i="13"/>
  <c r="X1388" i="13"/>
  <c r="Y1388" i="13"/>
  <c r="Z1388" i="13"/>
  <c r="V1388" i="13"/>
  <c r="W1388" i="13"/>
  <c r="B1389" i="13"/>
  <c r="C1389" i="13"/>
  <c r="F1389" i="13"/>
  <c r="G1389" i="13"/>
  <c r="H1389" i="13"/>
  <c r="D1389" i="13"/>
  <c r="E1389" i="13"/>
  <c r="T1389" i="13"/>
  <c r="U1389" i="13"/>
  <c r="X1389" i="13"/>
  <c r="Y1389" i="13"/>
  <c r="Z1389" i="13"/>
  <c r="V1389" i="13"/>
  <c r="W1389" i="13"/>
  <c r="B1390" i="13"/>
  <c r="C1390" i="13"/>
  <c r="F1390" i="13"/>
  <c r="G1390" i="13"/>
  <c r="H1390" i="13"/>
  <c r="D1390" i="13"/>
  <c r="E1390" i="13"/>
  <c r="T1390" i="13"/>
  <c r="U1390" i="13"/>
  <c r="X1390" i="13"/>
  <c r="Y1390" i="13"/>
  <c r="Z1390" i="13"/>
  <c r="V1390" i="13"/>
  <c r="W1390" i="13"/>
  <c r="B1391" i="13"/>
  <c r="C1391" i="13"/>
  <c r="F1391" i="13"/>
  <c r="G1391" i="13"/>
  <c r="H1391" i="13"/>
  <c r="D1391" i="13"/>
  <c r="E1391" i="13"/>
  <c r="T1391" i="13"/>
  <c r="U1391" i="13"/>
  <c r="X1391" i="13"/>
  <c r="Y1391" i="13"/>
  <c r="Z1391" i="13"/>
  <c r="V1391" i="13"/>
  <c r="W1391" i="13"/>
  <c r="B1392" i="13"/>
  <c r="C1392" i="13"/>
  <c r="F1392" i="13"/>
  <c r="G1392" i="13"/>
  <c r="H1392" i="13"/>
  <c r="D1392" i="13"/>
  <c r="E1392" i="13"/>
  <c r="T1392" i="13"/>
  <c r="U1392" i="13"/>
  <c r="X1392" i="13"/>
  <c r="Y1392" i="13"/>
  <c r="Z1392" i="13"/>
  <c r="V1392" i="13"/>
  <c r="W1392" i="13"/>
  <c r="B1393" i="13"/>
  <c r="C1393" i="13"/>
  <c r="F1393" i="13"/>
  <c r="G1393" i="13"/>
  <c r="H1393" i="13"/>
  <c r="D1393" i="13"/>
  <c r="E1393" i="13"/>
  <c r="T1393" i="13"/>
  <c r="U1393" i="13"/>
  <c r="X1393" i="13"/>
  <c r="Y1393" i="13"/>
  <c r="Z1393" i="13"/>
  <c r="V1393" i="13"/>
  <c r="W1393" i="13"/>
  <c r="B1394" i="13"/>
  <c r="C1394" i="13"/>
  <c r="F1394" i="13"/>
  <c r="G1394" i="13"/>
  <c r="H1394" i="13"/>
  <c r="D1394" i="13"/>
  <c r="E1394" i="13"/>
  <c r="T1394" i="13"/>
  <c r="U1394" i="13"/>
  <c r="X1394" i="13"/>
  <c r="Y1394" i="13"/>
  <c r="Z1394" i="13"/>
  <c r="V1394" i="13"/>
  <c r="W1394" i="13"/>
  <c r="B1395" i="13"/>
  <c r="C1395" i="13"/>
  <c r="F1395" i="13"/>
  <c r="G1395" i="13"/>
  <c r="H1395" i="13"/>
  <c r="D1395" i="13"/>
  <c r="E1395" i="13"/>
  <c r="T1395" i="13"/>
  <c r="U1395" i="13"/>
  <c r="X1395" i="13"/>
  <c r="Y1395" i="13"/>
  <c r="Z1395" i="13"/>
  <c r="V1395" i="13"/>
  <c r="W1395" i="13"/>
  <c r="B1396" i="13"/>
  <c r="C1396" i="13"/>
  <c r="F1396" i="13"/>
  <c r="G1396" i="13"/>
  <c r="H1396" i="13"/>
  <c r="D1396" i="13"/>
  <c r="E1396" i="13"/>
  <c r="T1396" i="13"/>
  <c r="U1396" i="13"/>
  <c r="X1396" i="13"/>
  <c r="Y1396" i="13"/>
  <c r="Z1396" i="13"/>
  <c r="V1396" i="13"/>
  <c r="W1396" i="13"/>
  <c r="B1397" i="13"/>
  <c r="C1397" i="13"/>
  <c r="F1397" i="13"/>
  <c r="G1397" i="13"/>
  <c r="H1397" i="13"/>
  <c r="D1397" i="13"/>
  <c r="E1397" i="13"/>
  <c r="T1397" i="13"/>
  <c r="U1397" i="13"/>
  <c r="X1397" i="13"/>
  <c r="Y1397" i="13"/>
  <c r="Z1397" i="13"/>
  <c r="V1397" i="13"/>
  <c r="W1397" i="13"/>
  <c r="B1398" i="13"/>
  <c r="C1398" i="13"/>
  <c r="F1398" i="13"/>
  <c r="G1398" i="13"/>
  <c r="H1398" i="13"/>
  <c r="D1398" i="13"/>
  <c r="E1398" i="13"/>
  <c r="T1398" i="13"/>
  <c r="U1398" i="13"/>
  <c r="X1398" i="13"/>
  <c r="Y1398" i="13"/>
  <c r="Z1398" i="13"/>
  <c r="V1398" i="13"/>
  <c r="W1398" i="13"/>
  <c r="B1399" i="13"/>
  <c r="C1399" i="13"/>
  <c r="F1399" i="13"/>
  <c r="G1399" i="13"/>
  <c r="H1399" i="13"/>
  <c r="D1399" i="13"/>
  <c r="E1399" i="13"/>
  <c r="T1399" i="13"/>
  <c r="U1399" i="13"/>
  <c r="X1399" i="13"/>
  <c r="Y1399" i="13"/>
  <c r="Z1399" i="13"/>
  <c r="V1399" i="13"/>
  <c r="W1399" i="13"/>
  <c r="B1400" i="13"/>
  <c r="C1400" i="13"/>
  <c r="F1400" i="13"/>
  <c r="G1400" i="13"/>
  <c r="H1400" i="13"/>
  <c r="D1400" i="13"/>
  <c r="E1400" i="13"/>
  <c r="T1400" i="13"/>
  <c r="U1400" i="13"/>
  <c r="X1400" i="13"/>
  <c r="Y1400" i="13"/>
  <c r="Z1400" i="13"/>
  <c r="V1400" i="13"/>
  <c r="W1400" i="13"/>
  <c r="B1401" i="13"/>
  <c r="C1401" i="13"/>
  <c r="F1401" i="13"/>
  <c r="G1401" i="13"/>
  <c r="H1401" i="13"/>
  <c r="D1401" i="13"/>
  <c r="E1401" i="13"/>
  <c r="T1401" i="13"/>
  <c r="U1401" i="13"/>
  <c r="X1401" i="13"/>
  <c r="Y1401" i="13"/>
  <c r="Z1401" i="13"/>
  <c r="V1401" i="13"/>
  <c r="W1401" i="13"/>
  <c r="I5" i="11"/>
  <c r="I25" i="11"/>
  <c r="I24" i="11"/>
  <c r="I26" i="11"/>
  <c r="I11" i="11"/>
  <c r="I12" i="11"/>
  <c r="I10" i="11"/>
  <c r="B1" i="13"/>
  <c r="F1" i="13"/>
  <c r="C1" i="13"/>
  <c r="G1" i="13"/>
  <c r="H1" i="13"/>
  <c r="T2" i="13"/>
  <c r="X2" i="13"/>
  <c r="U2" i="13"/>
  <c r="Y2" i="13"/>
  <c r="Z2" i="13"/>
  <c r="W2" i="13"/>
  <c r="V2" i="13"/>
  <c r="B2" i="13"/>
  <c r="F2" i="13"/>
  <c r="C2" i="13"/>
  <c r="G2" i="13"/>
  <c r="H2" i="13"/>
  <c r="E2" i="13"/>
  <c r="D2" i="13"/>
  <c r="T1" i="13"/>
  <c r="X1" i="13"/>
  <c r="U1" i="13"/>
  <c r="Y1" i="13"/>
  <c r="Z1" i="13"/>
  <c r="W1" i="13"/>
  <c r="V1" i="13"/>
  <c r="E1" i="13"/>
  <c r="D1" i="13"/>
</calcChain>
</file>

<file path=xl/sharedStrings.xml><?xml version="1.0" encoding="utf-8"?>
<sst xmlns="http://schemas.openxmlformats.org/spreadsheetml/2006/main" count="38" uniqueCount="32">
  <si>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</si>
  <si>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</si>
  <si>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</si>
  <si>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</si>
  <si>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</si>
  <si>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</si>
  <si>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</si>
  <si>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</si>
  <si>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</si>
  <si>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NaOH</t>
  </si>
  <si>
    <t>Ve:</t>
  </si>
  <si>
    <t>Strong Acid / Weak Base</t>
  </si>
  <si>
    <t>Kw:</t>
  </si>
  <si>
    <t>1/2 Ve</t>
  </si>
  <si>
    <t>2Ve:</t>
  </si>
  <si>
    <t>1/2 Ve:</t>
  </si>
  <si>
    <t>MES</t>
  </si>
  <si>
    <t>Cocaine</t>
  </si>
  <si>
    <t>HNO3</t>
  </si>
  <si>
    <t>Instructions:</t>
  </si>
  <si>
    <t>Enter your data into the appropriate Box.</t>
  </si>
  <si>
    <t>INFO:</t>
  </si>
  <si>
    <t>The graphs are independent of each other.</t>
  </si>
  <si>
    <t>Wait for the curve to show.</t>
  </si>
  <si>
    <t>Click the "Prepare" button to the right of the box.</t>
  </si>
  <si>
    <t>Future:</t>
  </si>
  <si>
    <t>I plan on adding varying precision for those who either want</t>
  </si>
  <si>
    <t>I plan on adding di and tri functional titrations</t>
  </si>
  <si>
    <t>"Clear All Calculations" will remove all curves from all graphs.</t>
  </si>
  <si>
    <t xml:space="preserve">    this sheet to work faster, or more precise curves.</t>
  </si>
  <si>
    <t>If you break this, email me: jkelowitt@protonmail.com</t>
  </si>
  <si>
    <t>Formulas from: (Quantitative Chemical Analysis, Harris, p.256)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</si>
</sst>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11" fontId="0" fillId="0" borderId="11" xfId="0" applyNumberFormat="1" applyBorder="1"/>
    <xf numFmtId="11" fontId="0" fillId="0" borderId="12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CalcSheet!$Q:$Q</c:f>
              <c:strCache>
                <c:ptCount val="1048576"/>
                <c:pt idx="0">
                  <c:v>0.00</c:v>
                </c:pt>
                <c:pt idx="1">
                  <c:v>0.00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0.07</c:v>
                </c:pt>
                <c:pt idx="27">
                  <c:v>0.07</c:v>
                </c:pt>
                <c:pt idx="28">
                  <c:v>0.07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0.09</c:v>
                </c:pt>
                <c:pt idx="34">
                  <c:v>0.09</c:v>
                </c:pt>
                <c:pt idx="35">
                  <c:v>0.09</c:v>
                </c:pt>
                <c:pt idx="36">
                  <c:v>0.10</c:v>
                </c:pt>
                <c:pt idx="37">
                  <c:v>0.10</c:v>
                </c:pt>
                <c:pt idx="38">
                  <c:v>0.10</c:v>
                </c:pt>
                <c:pt idx="39">
                  <c:v>0.11</c:v>
                </c:pt>
                <c:pt idx="40">
                  <c:v>0.11</c:v>
                </c:pt>
                <c:pt idx="41">
                  <c:v>0.11</c:v>
                </c:pt>
                <c:pt idx="42">
                  <c:v>0.12</c:v>
                </c:pt>
                <c:pt idx="43">
                  <c:v>0.12</c:v>
                </c:pt>
                <c:pt idx="44">
                  <c:v>0.12</c:v>
                </c:pt>
                <c:pt idx="45">
                  <c:v>0.13</c:v>
                </c:pt>
                <c:pt idx="46">
                  <c:v>0.13</c:v>
                </c:pt>
                <c:pt idx="47">
                  <c:v>0.14</c:v>
                </c:pt>
                <c:pt idx="48">
                  <c:v>0.14</c:v>
                </c:pt>
                <c:pt idx="49">
                  <c:v>0.14</c:v>
                </c:pt>
                <c:pt idx="50">
                  <c:v>0.15</c:v>
                </c:pt>
                <c:pt idx="51">
                  <c:v>0.15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0.17</c:v>
                </c:pt>
                <c:pt idx="56">
                  <c:v>0.17</c:v>
                </c:pt>
                <c:pt idx="57">
                  <c:v>0.18</c:v>
                </c:pt>
                <c:pt idx="58">
                  <c:v>0.18</c:v>
                </c:pt>
                <c:pt idx="59">
                  <c:v>0.19</c:v>
                </c:pt>
                <c:pt idx="60">
                  <c:v>0.19</c:v>
                </c:pt>
                <c:pt idx="61">
                  <c:v>0.20</c:v>
                </c:pt>
                <c:pt idx="62">
                  <c:v>0.20</c:v>
                </c:pt>
                <c:pt idx="63">
                  <c:v>0.21</c:v>
                </c:pt>
                <c:pt idx="64">
                  <c:v>0.21</c:v>
                </c:pt>
                <c:pt idx="65">
                  <c:v>0.22</c:v>
                </c:pt>
                <c:pt idx="66">
                  <c:v>0.22</c:v>
                </c:pt>
                <c:pt idx="67">
                  <c:v>0.23</c:v>
                </c:pt>
                <c:pt idx="68">
                  <c:v>0.23</c:v>
                </c:pt>
                <c:pt idx="69">
                  <c:v>0.24</c:v>
                </c:pt>
                <c:pt idx="70">
                  <c:v>0.25</c:v>
                </c:pt>
                <c:pt idx="71">
                  <c:v>0.25</c:v>
                </c:pt>
                <c:pt idx="72">
                  <c:v>0.26</c:v>
                </c:pt>
                <c:pt idx="73">
                  <c:v>0.26</c:v>
                </c:pt>
                <c:pt idx="74">
                  <c:v>0.27</c:v>
                </c:pt>
                <c:pt idx="75">
                  <c:v>0.28</c:v>
                </c:pt>
                <c:pt idx="76">
                  <c:v>0.28</c:v>
                </c:pt>
                <c:pt idx="77">
                  <c:v>0.29</c:v>
                </c:pt>
                <c:pt idx="78">
                  <c:v>0.30</c:v>
                </c:pt>
                <c:pt idx="79">
                  <c:v>0.31</c:v>
                </c:pt>
                <c:pt idx="80">
                  <c:v>0.31</c:v>
                </c:pt>
                <c:pt idx="81">
                  <c:v>0.32</c:v>
                </c:pt>
                <c:pt idx="82">
                  <c:v>0.33</c:v>
                </c:pt>
                <c:pt idx="83">
                  <c:v>0.34</c:v>
                </c:pt>
                <c:pt idx="84">
                  <c:v>0.34</c:v>
                </c:pt>
                <c:pt idx="85">
                  <c:v>0.35</c:v>
                </c:pt>
                <c:pt idx="86">
                  <c:v>0.36</c:v>
                </c:pt>
                <c:pt idx="87">
                  <c:v>0.37</c:v>
                </c:pt>
                <c:pt idx="88">
                  <c:v>0.38</c:v>
                </c:pt>
                <c:pt idx="89">
                  <c:v>0.38</c:v>
                </c:pt>
                <c:pt idx="90">
                  <c:v>0.39</c:v>
                </c:pt>
                <c:pt idx="91">
                  <c:v>0.40</c:v>
                </c:pt>
                <c:pt idx="92">
                  <c:v>0.41</c:v>
                </c:pt>
                <c:pt idx="93">
                  <c:v>0.42</c:v>
                </c:pt>
                <c:pt idx="94">
                  <c:v>0.43</c:v>
                </c:pt>
                <c:pt idx="95">
                  <c:v>0.44</c:v>
                </c:pt>
                <c:pt idx="96">
                  <c:v>0.45</c:v>
                </c:pt>
                <c:pt idx="97">
                  <c:v>0.46</c:v>
                </c:pt>
                <c:pt idx="98">
                  <c:v>0.47</c:v>
                </c:pt>
                <c:pt idx="99">
                  <c:v>0.48</c:v>
                </c:pt>
                <c:pt idx="100">
                  <c:v>0.49</c:v>
                </c:pt>
                <c:pt idx="101">
                  <c:v>0.50</c:v>
                </c:pt>
                <c:pt idx="102">
                  <c:v>0.52</c:v>
                </c:pt>
                <c:pt idx="103">
                  <c:v>0.53</c:v>
                </c:pt>
                <c:pt idx="104">
                  <c:v>0.54</c:v>
                </c:pt>
                <c:pt idx="105">
                  <c:v>0.55</c:v>
                </c:pt>
                <c:pt idx="106">
                  <c:v>0.56</c:v>
                </c:pt>
                <c:pt idx="107">
                  <c:v>0.58</c:v>
                </c:pt>
                <c:pt idx="108">
                  <c:v>0.59</c:v>
                </c:pt>
                <c:pt idx="109">
                  <c:v>0.60</c:v>
                </c:pt>
                <c:pt idx="110">
                  <c:v>0.62</c:v>
                </c:pt>
                <c:pt idx="111">
                  <c:v>0.63</c:v>
                </c:pt>
                <c:pt idx="112">
                  <c:v>0.64</c:v>
                </c:pt>
                <c:pt idx="113">
                  <c:v>0.66</c:v>
                </c:pt>
                <c:pt idx="114">
                  <c:v>0.67</c:v>
                </c:pt>
                <c:pt idx="115">
                  <c:v>0.69</c:v>
                </c:pt>
                <c:pt idx="116">
                  <c:v>0.70</c:v>
                </c:pt>
                <c:pt idx="117">
                  <c:v>0.72</c:v>
                </c:pt>
                <c:pt idx="118">
                  <c:v>0.73</c:v>
                </c:pt>
                <c:pt idx="119">
                  <c:v>0.75</c:v>
                </c:pt>
                <c:pt idx="120">
                  <c:v>0.76</c:v>
                </c:pt>
                <c:pt idx="121">
                  <c:v>0.78</c:v>
                </c:pt>
                <c:pt idx="122">
                  <c:v>0.80</c:v>
                </c:pt>
                <c:pt idx="123">
                  <c:v>0.82</c:v>
                </c:pt>
                <c:pt idx="124">
                  <c:v>0.83</c:v>
                </c:pt>
                <c:pt idx="125">
                  <c:v>0.85</c:v>
                </c:pt>
                <c:pt idx="126">
                  <c:v>0.87</c:v>
                </c:pt>
                <c:pt idx="127">
                  <c:v>0.89</c:v>
                </c:pt>
                <c:pt idx="128">
                  <c:v>0.91</c:v>
                </c:pt>
                <c:pt idx="129">
                  <c:v>0.93</c:v>
                </c:pt>
                <c:pt idx="130">
                  <c:v>0.95</c:v>
                </c:pt>
                <c:pt idx="131">
                  <c:v>0.97</c:v>
                </c:pt>
                <c:pt idx="132">
                  <c:v>0.99</c:v>
                </c:pt>
                <c:pt idx="133">
                  <c:v>1.01</c:v>
                </c:pt>
                <c:pt idx="134">
                  <c:v>1.03</c:v>
                </c:pt>
                <c:pt idx="135">
                  <c:v>1.05</c:v>
                </c:pt>
                <c:pt idx="136">
                  <c:v>1.07</c:v>
                </c:pt>
                <c:pt idx="137">
                  <c:v>1.09</c:v>
                </c:pt>
                <c:pt idx="138">
                  <c:v>1.12</c:v>
                </c:pt>
                <c:pt idx="139">
                  <c:v>1.14</c:v>
                </c:pt>
                <c:pt idx="140">
                  <c:v>1.16</c:v>
                </c:pt>
                <c:pt idx="141">
                  <c:v>1.19</c:v>
                </c:pt>
                <c:pt idx="142">
                  <c:v>1.21</c:v>
                </c:pt>
                <c:pt idx="143">
                  <c:v>1.24</c:v>
                </c:pt>
                <c:pt idx="144">
                  <c:v>1.26</c:v>
                </c:pt>
                <c:pt idx="145">
                  <c:v>1.29</c:v>
                </c:pt>
                <c:pt idx="146">
                  <c:v>1.31</c:v>
                </c:pt>
                <c:pt idx="147">
                  <c:v>1.34</c:v>
                </c:pt>
                <c:pt idx="148">
                  <c:v>1.37</c:v>
                </c:pt>
                <c:pt idx="149">
                  <c:v>1.39</c:v>
                </c:pt>
                <c:pt idx="150">
                  <c:v>1.42</c:v>
                </c:pt>
                <c:pt idx="151">
                  <c:v>1.45</c:v>
                </c:pt>
                <c:pt idx="152">
                  <c:v>1.48</c:v>
                </c:pt>
                <c:pt idx="153">
                  <c:v>1.51</c:v>
                </c:pt>
                <c:pt idx="154">
                  <c:v>1.54</c:v>
                </c:pt>
                <c:pt idx="155">
                  <c:v>1.57</c:v>
                </c:pt>
                <c:pt idx="156">
                  <c:v>1.60</c:v>
                </c:pt>
                <c:pt idx="157">
                  <c:v>1.63</c:v>
                </c:pt>
                <c:pt idx="158">
                  <c:v>1.66</c:v>
                </c:pt>
                <c:pt idx="159">
                  <c:v>1.69</c:v>
                </c:pt>
                <c:pt idx="160">
                  <c:v>1.73</c:v>
                </c:pt>
                <c:pt idx="161">
                  <c:v>1.76</c:v>
                </c:pt>
                <c:pt idx="162">
                  <c:v>1.79</c:v>
                </c:pt>
                <c:pt idx="163">
                  <c:v>1.83</c:v>
                </c:pt>
                <c:pt idx="164">
                  <c:v>1.86</c:v>
                </c:pt>
                <c:pt idx="165">
                  <c:v>1.90</c:v>
                </c:pt>
                <c:pt idx="166">
                  <c:v>1.93</c:v>
                </c:pt>
                <c:pt idx="167">
                  <c:v>1.97</c:v>
                </c:pt>
                <c:pt idx="168">
                  <c:v>2.01</c:v>
                </c:pt>
                <c:pt idx="169">
                  <c:v>2.04</c:v>
                </c:pt>
                <c:pt idx="170">
                  <c:v>2.08</c:v>
                </c:pt>
                <c:pt idx="171">
                  <c:v>2.12</c:v>
                </c:pt>
                <c:pt idx="172">
                  <c:v>2.16</c:v>
                </c:pt>
                <c:pt idx="173">
                  <c:v>2.20</c:v>
                </c:pt>
                <c:pt idx="174">
                  <c:v>2.24</c:v>
                </c:pt>
                <c:pt idx="175">
                  <c:v>2.28</c:v>
                </c:pt>
                <c:pt idx="176">
                  <c:v>2.32</c:v>
                </c:pt>
                <c:pt idx="177">
                  <c:v>2.36</c:v>
                </c:pt>
                <c:pt idx="178">
                  <c:v>2.40</c:v>
                </c:pt>
                <c:pt idx="179">
                  <c:v>2.44</c:v>
                </c:pt>
                <c:pt idx="180">
                  <c:v>2.49</c:v>
                </c:pt>
                <c:pt idx="181">
                  <c:v>2.53</c:v>
                </c:pt>
                <c:pt idx="182">
                  <c:v>2.57</c:v>
                </c:pt>
                <c:pt idx="183">
                  <c:v>2.62</c:v>
                </c:pt>
                <c:pt idx="184">
                  <c:v>2.66</c:v>
                </c:pt>
                <c:pt idx="185">
                  <c:v>2.71</c:v>
                </c:pt>
                <c:pt idx="186">
                  <c:v>2.75</c:v>
                </c:pt>
                <c:pt idx="187">
                  <c:v>2.80</c:v>
                </c:pt>
                <c:pt idx="188">
                  <c:v>2.85</c:v>
                </c:pt>
                <c:pt idx="189">
                  <c:v>2.89</c:v>
                </c:pt>
                <c:pt idx="190">
                  <c:v>2.94</c:v>
                </c:pt>
                <c:pt idx="191">
                  <c:v>2.99</c:v>
                </c:pt>
                <c:pt idx="192">
                  <c:v>3.04</c:v>
                </c:pt>
                <c:pt idx="193">
                  <c:v>3.09</c:v>
                </c:pt>
                <c:pt idx="194">
                  <c:v>3.14</c:v>
                </c:pt>
                <c:pt idx="195">
                  <c:v>3.19</c:v>
                </c:pt>
                <c:pt idx="196">
                  <c:v>3.24</c:v>
                </c:pt>
                <c:pt idx="197">
                  <c:v>3.29</c:v>
                </c:pt>
                <c:pt idx="198">
                  <c:v>3.34</c:v>
                </c:pt>
                <c:pt idx="199">
                  <c:v>3.39</c:v>
                </c:pt>
                <c:pt idx="200">
                  <c:v>3.44</c:v>
                </c:pt>
                <c:pt idx="201">
                  <c:v>3.49</c:v>
                </c:pt>
                <c:pt idx="202">
                  <c:v>3.55</c:v>
                </c:pt>
                <c:pt idx="203">
                  <c:v>3.60</c:v>
                </c:pt>
                <c:pt idx="204">
                  <c:v>3.65</c:v>
                </c:pt>
                <c:pt idx="205">
                  <c:v>3.71</c:v>
                </c:pt>
                <c:pt idx="206">
                  <c:v>3.76</c:v>
                </c:pt>
                <c:pt idx="207">
                  <c:v>3.81</c:v>
                </c:pt>
                <c:pt idx="208">
                  <c:v>3.87</c:v>
                </c:pt>
                <c:pt idx="209">
                  <c:v>3.92</c:v>
                </c:pt>
                <c:pt idx="210">
                  <c:v>3.98</c:v>
                </c:pt>
                <c:pt idx="211">
                  <c:v>4.03</c:v>
                </c:pt>
                <c:pt idx="212">
                  <c:v>4.09</c:v>
                </c:pt>
                <c:pt idx="213">
                  <c:v>4.14</c:v>
                </c:pt>
                <c:pt idx="214">
                  <c:v>4.20</c:v>
                </c:pt>
                <c:pt idx="215">
                  <c:v>4.26</c:v>
                </c:pt>
                <c:pt idx="216">
                  <c:v>4.31</c:v>
                </c:pt>
                <c:pt idx="217">
                  <c:v>4.37</c:v>
                </c:pt>
                <c:pt idx="218">
                  <c:v>4.43</c:v>
                </c:pt>
                <c:pt idx="219">
                  <c:v>4.48</c:v>
                </c:pt>
                <c:pt idx="220">
                  <c:v>4.54</c:v>
                </c:pt>
                <c:pt idx="221">
                  <c:v>4.60</c:v>
                </c:pt>
                <c:pt idx="222">
                  <c:v>4.65</c:v>
                </c:pt>
                <c:pt idx="223">
                  <c:v>4.71</c:v>
                </c:pt>
                <c:pt idx="224">
                  <c:v>4.77</c:v>
                </c:pt>
                <c:pt idx="225">
                  <c:v>4.83</c:v>
                </c:pt>
                <c:pt idx="226">
                  <c:v>4.88</c:v>
                </c:pt>
                <c:pt idx="227">
                  <c:v>4.94</c:v>
                </c:pt>
                <c:pt idx="228">
                  <c:v>5.00</c:v>
                </c:pt>
                <c:pt idx="229">
                  <c:v>5.06</c:v>
                </c:pt>
                <c:pt idx="230">
                  <c:v>5.11</c:v>
                </c:pt>
                <c:pt idx="231">
                  <c:v>5.17</c:v>
                </c:pt>
                <c:pt idx="232">
                  <c:v>5.23</c:v>
                </c:pt>
                <c:pt idx="233">
                  <c:v>5.29</c:v>
                </c:pt>
                <c:pt idx="234">
                  <c:v>5.34</c:v>
                </c:pt>
                <c:pt idx="235">
                  <c:v>5.40</c:v>
                </c:pt>
                <c:pt idx="236">
                  <c:v>5.46</c:v>
                </c:pt>
                <c:pt idx="237">
                  <c:v>5.52</c:v>
                </c:pt>
                <c:pt idx="238">
                  <c:v>5.57</c:v>
                </c:pt>
                <c:pt idx="239">
                  <c:v>5.63</c:v>
                </c:pt>
                <c:pt idx="240">
                  <c:v>5.69</c:v>
                </c:pt>
                <c:pt idx="241">
                  <c:v>5.74</c:v>
                </c:pt>
                <c:pt idx="242">
                  <c:v>5.80</c:v>
                </c:pt>
                <c:pt idx="243">
                  <c:v>5.85</c:v>
                </c:pt>
                <c:pt idx="244">
                  <c:v>5.91</c:v>
                </c:pt>
                <c:pt idx="245">
                  <c:v>5.97</c:v>
                </c:pt>
                <c:pt idx="246">
                  <c:v>6.02</c:v>
                </c:pt>
                <c:pt idx="247">
                  <c:v>6.08</c:v>
                </c:pt>
                <c:pt idx="248">
                  <c:v>6.13</c:v>
                </c:pt>
                <c:pt idx="249">
                  <c:v>6.19</c:v>
                </c:pt>
                <c:pt idx="250">
                  <c:v>6.24</c:v>
                </c:pt>
                <c:pt idx="251">
                  <c:v>6.29</c:v>
                </c:pt>
                <c:pt idx="252">
                  <c:v>6.35</c:v>
                </c:pt>
                <c:pt idx="253">
                  <c:v>6.40</c:v>
                </c:pt>
                <c:pt idx="254">
                  <c:v>6.45</c:v>
                </c:pt>
                <c:pt idx="255">
                  <c:v>6.51</c:v>
                </c:pt>
                <c:pt idx="256">
                  <c:v>6.56</c:v>
                </c:pt>
                <c:pt idx="257">
                  <c:v>6.61</c:v>
                </c:pt>
                <c:pt idx="258">
                  <c:v>6.66</c:v>
                </c:pt>
                <c:pt idx="259">
                  <c:v>6.71</c:v>
                </c:pt>
                <c:pt idx="260">
                  <c:v>6.76</c:v>
                </c:pt>
                <c:pt idx="261">
                  <c:v>6.81</c:v>
                </c:pt>
                <c:pt idx="262">
                  <c:v>6.86</c:v>
                </c:pt>
                <c:pt idx="263">
                  <c:v>6.91</c:v>
                </c:pt>
                <c:pt idx="264">
                  <c:v>6.96</c:v>
                </c:pt>
                <c:pt idx="265">
                  <c:v>7.01</c:v>
                </c:pt>
                <c:pt idx="266">
                  <c:v>7.06</c:v>
                </c:pt>
                <c:pt idx="267">
                  <c:v>7.11</c:v>
                </c:pt>
                <c:pt idx="268">
                  <c:v>7.15</c:v>
                </c:pt>
                <c:pt idx="269">
                  <c:v>7.20</c:v>
                </c:pt>
                <c:pt idx="270">
                  <c:v>7.25</c:v>
                </c:pt>
                <c:pt idx="271">
                  <c:v>7.29</c:v>
                </c:pt>
                <c:pt idx="272">
                  <c:v>7.34</c:v>
                </c:pt>
                <c:pt idx="273">
                  <c:v>7.38</c:v>
                </c:pt>
                <c:pt idx="274">
                  <c:v>7.43</c:v>
                </c:pt>
                <c:pt idx="275">
                  <c:v>7.47</c:v>
                </c:pt>
                <c:pt idx="276">
                  <c:v>7.51</c:v>
                </c:pt>
                <c:pt idx="277">
                  <c:v>7.56</c:v>
                </c:pt>
                <c:pt idx="278">
                  <c:v>7.60</c:v>
                </c:pt>
                <c:pt idx="279">
                  <c:v>7.64</c:v>
                </c:pt>
                <c:pt idx="280">
                  <c:v>7.68</c:v>
                </c:pt>
                <c:pt idx="281">
                  <c:v>7.72</c:v>
                </c:pt>
                <c:pt idx="282">
                  <c:v>7.76</c:v>
                </c:pt>
                <c:pt idx="283">
                  <c:v>7.80</c:v>
                </c:pt>
                <c:pt idx="284">
                  <c:v>7.84</c:v>
                </c:pt>
                <c:pt idx="285">
                  <c:v>7.88</c:v>
                </c:pt>
                <c:pt idx="286">
                  <c:v>7.92</c:v>
                </c:pt>
                <c:pt idx="287">
                  <c:v>7.96</c:v>
                </c:pt>
                <c:pt idx="288">
                  <c:v>7.99</c:v>
                </c:pt>
                <c:pt idx="289">
                  <c:v>8.03</c:v>
                </c:pt>
                <c:pt idx="290">
                  <c:v>8.07</c:v>
                </c:pt>
                <c:pt idx="291">
                  <c:v>8.10</c:v>
                </c:pt>
                <c:pt idx="292">
                  <c:v>8.14</c:v>
                </c:pt>
                <c:pt idx="293">
                  <c:v>8.17</c:v>
                </c:pt>
                <c:pt idx="294">
                  <c:v>8.20</c:v>
                </c:pt>
                <c:pt idx="295">
                  <c:v>8.24</c:v>
                </c:pt>
                <c:pt idx="296">
                  <c:v>8.27</c:v>
                </c:pt>
                <c:pt idx="297">
                  <c:v>8.30</c:v>
                </c:pt>
                <c:pt idx="298">
                  <c:v>8.34</c:v>
                </c:pt>
                <c:pt idx="299">
                  <c:v>8.37</c:v>
                </c:pt>
                <c:pt idx="300">
                  <c:v>8.40</c:v>
                </c:pt>
                <c:pt idx="301">
                  <c:v>8.43</c:v>
                </c:pt>
                <c:pt idx="302">
                  <c:v>8.46</c:v>
                </c:pt>
                <c:pt idx="303">
                  <c:v>8.49</c:v>
                </c:pt>
                <c:pt idx="304">
                  <c:v>8.52</c:v>
                </c:pt>
                <c:pt idx="305">
                  <c:v>8.55</c:v>
                </c:pt>
                <c:pt idx="306">
                  <c:v>8.58</c:v>
                </c:pt>
                <c:pt idx="307">
                  <c:v>8.60</c:v>
                </c:pt>
                <c:pt idx="308">
                  <c:v>8.63</c:v>
                </c:pt>
                <c:pt idx="309">
                  <c:v>8.66</c:v>
                </c:pt>
                <c:pt idx="310">
                  <c:v>8.69</c:v>
                </c:pt>
                <c:pt idx="311">
                  <c:v>8.71</c:v>
                </c:pt>
                <c:pt idx="312">
                  <c:v>8.74</c:v>
                </c:pt>
                <c:pt idx="313">
                  <c:v>8.76</c:v>
                </c:pt>
                <c:pt idx="314">
                  <c:v>8.79</c:v>
                </c:pt>
                <c:pt idx="315">
                  <c:v>8.81</c:v>
                </c:pt>
                <c:pt idx="316">
                  <c:v>8.84</c:v>
                </c:pt>
                <c:pt idx="317">
                  <c:v>8.86</c:v>
                </c:pt>
                <c:pt idx="318">
                  <c:v>8.88</c:v>
                </c:pt>
                <c:pt idx="319">
                  <c:v>8.90</c:v>
                </c:pt>
                <c:pt idx="320">
                  <c:v>8.93</c:v>
                </c:pt>
                <c:pt idx="321">
                  <c:v>8.95</c:v>
                </c:pt>
                <c:pt idx="322">
                  <c:v>8.97</c:v>
                </c:pt>
                <c:pt idx="323">
                  <c:v>8.99</c:v>
                </c:pt>
                <c:pt idx="324">
                  <c:v>9.01</c:v>
                </c:pt>
                <c:pt idx="325">
                  <c:v>9.03</c:v>
                </c:pt>
                <c:pt idx="326">
                  <c:v>9.05</c:v>
                </c:pt>
                <c:pt idx="327">
                  <c:v>9.07</c:v>
                </c:pt>
                <c:pt idx="328">
                  <c:v>9.09</c:v>
                </c:pt>
                <c:pt idx="329">
                  <c:v>9.11</c:v>
                </c:pt>
                <c:pt idx="330">
                  <c:v>9.13</c:v>
                </c:pt>
                <c:pt idx="331">
                  <c:v>9.15</c:v>
                </c:pt>
                <c:pt idx="332">
                  <c:v>9.16</c:v>
                </c:pt>
                <c:pt idx="333">
                  <c:v>9.18</c:v>
                </c:pt>
                <c:pt idx="334">
                  <c:v>9.20</c:v>
                </c:pt>
                <c:pt idx="335">
                  <c:v>9.22</c:v>
                </c:pt>
                <c:pt idx="336">
                  <c:v>9.23</c:v>
                </c:pt>
                <c:pt idx="337">
                  <c:v>9.25</c:v>
                </c:pt>
                <c:pt idx="338">
                  <c:v>9.26</c:v>
                </c:pt>
                <c:pt idx="339">
                  <c:v>9.28</c:v>
                </c:pt>
                <c:pt idx="340">
                  <c:v>9.30</c:v>
                </c:pt>
                <c:pt idx="341">
                  <c:v>9.31</c:v>
                </c:pt>
                <c:pt idx="342">
                  <c:v>9.32</c:v>
                </c:pt>
                <c:pt idx="343">
                  <c:v>9.34</c:v>
                </c:pt>
                <c:pt idx="344">
                  <c:v>9.35</c:v>
                </c:pt>
                <c:pt idx="345">
                  <c:v>9.37</c:v>
                </c:pt>
                <c:pt idx="346">
                  <c:v>9.38</c:v>
                </c:pt>
                <c:pt idx="347">
                  <c:v>9.39</c:v>
                </c:pt>
                <c:pt idx="348">
                  <c:v>9.41</c:v>
                </c:pt>
                <c:pt idx="349">
                  <c:v>9.42</c:v>
                </c:pt>
                <c:pt idx="350">
                  <c:v>9.43</c:v>
                </c:pt>
                <c:pt idx="351">
                  <c:v>9.44</c:v>
                </c:pt>
                <c:pt idx="352">
                  <c:v>9.46</c:v>
                </c:pt>
                <c:pt idx="353">
                  <c:v>9.47</c:v>
                </c:pt>
                <c:pt idx="354">
                  <c:v>9.48</c:v>
                </c:pt>
                <c:pt idx="355">
                  <c:v>9.49</c:v>
                </c:pt>
                <c:pt idx="356">
                  <c:v>9.50</c:v>
                </c:pt>
                <c:pt idx="357">
                  <c:v>9.51</c:v>
                </c:pt>
                <c:pt idx="358">
                  <c:v>9.52</c:v>
                </c:pt>
                <c:pt idx="359">
                  <c:v>9.53</c:v>
                </c:pt>
                <c:pt idx="360">
                  <c:v>9.54</c:v>
                </c:pt>
                <c:pt idx="361">
                  <c:v>9.55</c:v>
                </c:pt>
                <c:pt idx="362">
                  <c:v>9.56</c:v>
                </c:pt>
                <c:pt idx="363">
                  <c:v>9.57</c:v>
                </c:pt>
                <c:pt idx="364">
                  <c:v>9.58</c:v>
                </c:pt>
                <c:pt idx="365">
                  <c:v>9.59</c:v>
                </c:pt>
                <c:pt idx="366">
                  <c:v>9.60</c:v>
                </c:pt>
                <c:pt idx="367">
                  <c:v>9.61</c:v>
                </c:pt>
                <c:pt idx="368">
                  <c:v>9.62</c:v>
                </c:pt>
                <c:pt idx="369">
                  <c:v>9.63</c:v>
                </c:pt>
                <c:pt idx="370">
                  <c:v>9.63</c:v>
                </c:pt>
                <c:pt idx="371">
                  <c:v>9.64</c:v>
                </c:pt>
                <c:pt idx="372">
                  <c:v>9.65</c:v>
                </c:pt>
                <c:pt idx="373">
                  <c:v>9.66</c:v>
                </c:pt>
                <c:pt idx="374">
                  <c:v>9.67</c:v>
                </c:pt>
                <c:pt idx="375">
                  <c:v>9.67</c:v>
                </c:pt>
                <c:pt idx="376">
                  <c:v>9.68</c:v>
                </c:pt>
                <c:pt idx="377">
                  <c:v>9.69</c:v>
                </c:pt>
                <c:pt idx="378">
                  <c:v>9.69</c:v>
                </c:pt>
                <c:pt idx="379">
                  <c:v>9.70</c:v>
                </c:pt>
                <c:pt idx="380">
                  <c:v>9.71</c:v>
                </c:pt>
                <c:pt idx="381">
                  <c:v>9.71</c:v>
                </c:pt>
                <c:pt idx="382">
                  <c:v>9.72</c:v>
                </c:pt>
                <c:pt idx="383">
                  <c:v>9.73</c:v>
                </c:pt>
                <c:pt idx="384">
                  <c:v>9.73</c:v>
                </c:pt>
                <c:pt idx="385">
                  <c:v>9.74</c:v>
                </c:pt>
                <c:pt idx="386">
                  <c:v>9.74</c:v>
                </c:pt>
                <c:pt idx="387">
                  <c:v>9.75</c:v>
                </c:pt>
                <c:pt idx="388">
                  <c:v>9.76</c:v>
                </c:pt>
                <c:pt idx="389">
                  <c:v>9.76</c:v>
                </c:pt>
                <c:pt idx="390">
                  <c:v>9.77</c:v>
                </c:pt>
                <c:pt idx="391">
                  <c:v>9.77</c:v>
                </c:pt>
                <c:pt idx="392">
                  <c:v>9.78</c:v>
                </c:pt>
                <c:pt idx="393">
                  <c:v>9.78</c:v>
                </c:pt>
                <c:pt idx="394">
                  <c:v>9.79</c:v>
                </c:pt>
                <c:pt idx="395">
                  <c:v>9.79</c:v>
                </c:pt>
                <c:pt idx="396">
                  <c:v>9.80</c:v>
                </c:pt>
                <c:pt idx="397">
                  <c:v>9.80</c:v>
                </c:pt>
                <c:pt idx="398">
                  <c:v>9.80</c:v>
                </c:pt>
                <c:pt idx="399">
                  <c:v>9.81</c:v>
                </c:pt>
                <c:pt idx="400">
                  <c:v>9.81</c:v>
                </c:pt>
                <c:pt idx="401">
                  <c:v>9.82</c:v>
                </c:pt>
                <c:pt idx="402">
                  <c:v>9.82</c:v>
                </c:pt>
                <c:pt idx="403">
                  <c:v>9.83</c:v>
                </c:pt>
                <c:pt idx="404">
                  <c:v>9.83</c:v>
                </c:pt>
                <c:pt idx="405">
                  <c:v>9.83</c:v>
                </c:pt>
                <c:pt idx="406">
                  <c:v>9.84</c:v>
                </c:pt>
                <c:pt idx="407">
                  <c:v>9.84</c:v>
                </c:pt>
                <c:pt idx="408">
                  <c:v>9.84</c:v>
                </c:pt>
                <c:pt idx="409">
                  <c:v>9.85</c:v>
                </c:pt>
                <c:pt idx="410">
                  <c:v>9.85</c:v>
                </c:pt>
                <c:pt idx="411">
                  <c:v>9.86</c:v>
                </c:pt>
                <c:pt idx="412">
                  <c:v>9.86</c:v>
                </c:pt>
                <c:pt idx="413">
                  <c:v>9.86</c:v>
                </c:pt>
                <c:pt idx="414">
                  <c:v>9.86</c:v>
                </c:pt>
                <c:pt idx="415">
                  <c:v>9.87</c:v>
                </c:pt>
                <c:pt idx="416">
                  <c:v>9.87</c:v>
                </c:pt>
                <c:pt idx="417">
                  <c:v>9.87</c:v>
                </c:pt>
                <c:pt idx="418">
                  <c:v>9.88</c:v>
                </c:pt>
                <c:pt idx="419">
                  <c:v>9.88</c:v>
                </c:pt>
                <c:pt idx="420">
                  <c:v>9.88</c:v>
                </c:pt>
                <c:pt idx="421">
                  <c:v>9.88</c:v>
                </c:pt>
                <c:pt idx="422">
                  <c:v>9.89</c:v>
                </c:pt>
                <c:pt idx="423">
                  <c:v>9.89</c:v>
                </c:pt>
                <c:pt idx="424">
                  <c:v>9.89</c:v>
                </c:pt>
                <c:pt idx="425">
                  <c:v>9.90</c:v>
                </c:pt>
                <c:pt idx="426">
                  <c:v>9.90</c:v>
                </c:pt>
                <c:pt idx="427">
                  <c:v>9.90</c:v>
                </c:pt>
                <c:pt idx="428">
                  <c:v>9.90</c:v>
                </c:pt>
                <c:pt idx="429">
                  <c:v>9.90</c:v>
                </c:pt>
                <c:pt idx="430">
                  <c:v>9.91</c:v>
                </c:pt>
                <c:pt idx="431">
                  <c:v>9.91</c:v>
                </c:pt>
                <c:pt idx="432">
                  <c:v>9.91</c:v>
                </c:pt>
                <c:pt idx="433">
                  <c:v>9.91</c:v>
                </c:pt>
                <c:pt idx="434">
                  <c:v>9.91</c:v>
                </c:pt>
                <c:pt idx="435">
                  <c:v>9.92</c:v>
                </c:pt>
                <c:pt idx="436">
                  <c:v>9.92</c:v>
                </c:pt>
                <c:pt idx="437">
                  <c:v>9.92</c:v>
                </c:pt>
                <c:pt idx="438">
                  <c:v>9.92</c:v>
                </c:pt>
                <c:pt idx="439">
                  <c:v>9.92</c:v>
                </c:pt>
                <c:pt idx="440">
                  <c:v>9.93</c:v>
                </c:pt>
                <c:pt idx="441">
                  <c:v>9.93</c:v>
                </c:pt>
                <c:pt idx="442">
                  <c:v>9.93</c:v>
                </c:pt>
                <c:pt idx="443">
                  <c:v>9.93</c:v>
                </c:pt>
                <c:pt idx="444">
                  <c:v>9.93</c:v>
                </c:pt>
                <c:pt idx="445">
                  <c:v>9.93</c:v>
                </c:pt>
                <c:pt idx="446">
                  <c:v>9.94</c:v>
                </c:pt>
                <c:pt idx="447">
                  <c:v>9.94</c:v>
                </c:pt>
                <c:pt idx="448">
                  <c:v>9.94</c:v>
                </c:pt>
                <c:pt idx="449">
                  <c:v>9.94</c:v>
                </c:pt>
                <c:pt idx="450">
                  <c:v>9.94</c:v>
                </c:pt>
                <c:pt idx="451">
                  <c:v>9.94</c:v>
                </c:pt>
                <c:pt idx="452">
                  <c:v>9.94</c:v>
                </c:pt>
                <c:pt idx="453">
                  <c:v>9.95</c:v>
                </c:pt>
                <c:pt idx="454">
                  <c:v>9.95</c:v>
                </c:pt>
                <c:pt idx="455">
                  <c:v>9.95</c:v>
                </c:pt>
                <c:pt idx="456">
                  <c:v>9.95</c:v>
                </c:pt>
                <c:pt idx="457">
                  <c:v>9.95</c:v>
                </c:pt>
                <c:pt idx="458">
                  <c:v>9.95</c:v>
                </c:pt>
                <c:pt idx="459">
                  <c:v>9.95</c:v>
                </c:pt>
                <c:pt idx="460">
                  <c:v>9.95</c:v>
                </c:pt>
                <c:pt idx="461">
                  <c:v>9.96</c:v>
                </c:pt>
                <c:pt idx="462">
                  <c:v>9.96</c:v>
                </c:pt>
                <c:pt idx="463">
                  <c:v>9.96</c:v>
                </c:pt>
                <c:pt idx="464">
                  <c:v>9.96</c:v>
                </c:pt>
                <c:pt idx="465">
                  <c:v>9.96</c:v>
                </c:pt>
                <c:pt idx="466">
                  <c:v>9.96</c:v>
                </c:pt>
                <c:pt idx="467">
                  <c:v>9.96</c:v>
                </c:pt>
                <c:pt idx="468">
                  <c:v>9.96</c:v>
                </c:pt>
                <c:pt idx="469">
                  <c:v>9.96</c:v>
                </c:pt>
                <c:pt idx="470">
                  <c:v>9.97</c:v>
                </c:pt>
                <c:pt idx="471">
                  <c:v>9.97</c:v>
                </c:pt>
                <c:pt idx="472">
                  <c:v>9.97</c:v>
                </c:pt>
                <c:pt idx="473">
                  <c:v>9.97</c:v>
                </c:pt>
                <c:pt idx="474">
                  <c:v>9.97</c:v>
                </c:pt>
                <c:pt idx="475">
                  <c:v>9.97</c:v>
                </c:pt>
                <c:pt idx="476">
                  <c:v>9.97</c:v>
                </c:pt>
                <c:pt idx="477">
                  <c:v>9.97</c:v>
                </c:pt>
                <c:pt idx="478">
                  <c:v>9.97</c:v>
                </c:pt>
                <c:pt idx="479">
                  <c:v>9.97</c:v>
                </c:pt>
                <c:pt idx="480">
                  <c:v>9.97</c:v>
                </c:pt>
                <c:pt idx="481">
                  <c:v>9.97</c:v>
                </c:pt>
                <c:pt idx="482">
                  <c:v>9.98</c:v>
                </c:pt>
                <c:pt idx="483">
                  <c:v>9.98</c:v>
                </c:pt>
                <c:pt idx="484">
                  <c:v>9.98</c:v>
                </c:pt>
                <c:pt idx="485">
                  <c:v>9.98</c:v>
                </c:pt>
                <c:pt idx="486">
                  <c:v>9.98</c:v>
                </c:pt>
                <c:pt idx="487">
                  <c:v>9.98</c:v>
                </c:pt>
                <c:pt idx="488">
                  <c:v>9.98</c:v>
                </c:pt>
                <c:pt idx="489">
                  <c:v>9.98</c:v>
                </c:pt>
                <c:pt idx="490">
                  <c:v>9.98</c:v>
                </c:pt>
                <c:pt idx="491">
                  <c:v>9.98</c:v>
                </c:pt>
                <c:pt idx="492">
                  <c:v>9.98</c:v>
                </c:pt>
                <c:pt idx="493">
                  <c:v>9.98</c:v>
                </c:pt>
                <c:pt idx="494">
                  <c:v>9.98</c:v>
                </c:pt>
                <c:pt idx="495">
                  <c:v>9.98</c:v>
                </c:pt>
                <c:pt idx="496">
                  <c:v>9.98</c:v>
                </c:pt>
                <c:pt idx="497">
                  <c:v>9.99</c:v>
                </c:pt>
                <c:pt idx="498">
                  <c:v>9.99</c:v>
                </c:pt>
                <c:pt idx="499">
                  <c:v>9.99</c:v>
                </c:pt>
                <c:pt idx="500">
                  <c:v>9.99</c:v>
                </c:pt>
                <c:pt idx="501">
                  <c:v>9.99</c:v>
                </c:pt>
                <c:pt idx="502">
                  <c:v>9.99</c:v>
                </c:pt>
                <c:pt idx="503">
                  <c:v>9.99</c:v>
                </c:pt>
                <c:pt idx="504">
                  <c:v>9.99</c:v>
                </c:pt>
                <c:pt idx="505">
                  <c:v>9.99</c:v>
                </c:pt>
                <c:pt idx="506">
                  <c:v>9.99</c:v>
                </c:pt>
                <c:pt idx="507">
                  <c:v>9.99</c:v>
                </c:pt>
                <c:pt idx="508">
                  <c:v>9.99</c:v>
                </c:pt>
                <c:pt idx="509">
                  <c:v>9.99</c:v>
                </c:pt>
                <c:pt idx="510">
                  <c:v>9.99</c:v>
                </c:pt>
                <c:pt idx="511">
                  <c:v>9.99</c:v>
                </c:pt>
                <c:pt idx="512">
                  <c:v>9.99</c:v>
                </c:pt>
                <c:pt idx="513">
                  <c:v>9.99</c:v>
                </c:pt>
                <c:pt idx="514">
                  <c:v>9.99</c:v>
                </c:pt>
                <c:pt idx="515">
                  <c:v>9.99</c:v>
                </c:pt>
                <c:pt idx="516">
                  <c:v>10.00</c:v>
                </c:pt>
                <c:pt idx="517">
                  <c:v>10.00</c:v>
                </c:pt>
                <c:pt idx="518">
                  <c:v>10.00</c:v>
                </c:pt>
                <c:pt idx="519">
                  <c:v>10.00</c:v>
                </c:pt>
                <c:pt idx="520">
                  <c:v>10.00</c:v>
                </c:pt>
                <c:pt idx="521">
                  <c:v>10.00</c:v>
                </c:pt>
                <c:pt idx="522">
                  <c:v>10.00</c:v>
                </c:pt>
                <c:pt idx="523">
                  <c:v>10.00</c:v>
                </c:pt>
                <c:pt idx="524">
                  <c:v>10.00</c:v>
                </c:pt>
                <c:pt idx="525">
                  <c:v>10.00</c:v>
                </c:pt>
                <c:pt idx="526">
                  <c:v>10.00</c:v>
                </c:pt>
                <c:pt idx="527">
                  <c:v>10.00</c:v>
                </c:pt>
                <c:pt idx="528">
                  <c:v>10.00</c:v>
                </c:pt>
                <c:pt idx="529">
                  <c:v>10.00</c:v>
                </c:pt>
                <c:pt idx="530">
                  <c:v>10.00</c:v>
                </c:pt>
                <c:pt idx="531">
                  <c:v>10.00</c:v>
                </c:pt>
                <c:pt idx="532">
                  <c:v>10.00</c:v>
                </c:pt>
                <c:pt idx="533">
                  <c:v>10.00</c:v>
                </c:pt>
                <c:pt idx="534">
                  <c:v>10.00</c:v>
                </c:pt>
                <c:pt idx="535">
                  <c:v>10.00</c:v>
                </c:pt>
                <c:pt idx="536">
                  <c:v>10.01</c:v>
                </c:pt>
                <c:pt idx="537">
                  <c:v>10.01</c:v>
                </c:pt>
                <c:pt idx="538">
                  <c:v>10.01</c:v>
                </c:pt>
                <c:pt idx="539">
                  <c:v>10.01</c:v>
                </c:pt>
                <c:pt idx="540">
                  <c:v>10.01</c:v>
                </c:pt>
                <c:pt idx="541">
                  <c:v>10.01</c:v>
                </c:pt>
                <c:pt idx="542">
                  <c:v>10.01</c:v>
                </c:pt>
                <c:pt idx="543">
                  <c:v>10.01</c:v>
                </c:pt>
                <c:pt idx="544">
                  <c:v>10.01</c:v>
                </c:pt>
                <c:pt idx="545">
                  <c:v>10.01</c:v>
                </c:pt>
                <c:pt idx="546">
                  <c:v>10.01</c:v>
                </c:pt>
                <c:pt idx="547">
                  <c:v>10.01</c:v>
                </c:pt>
                <c:pt idx="548">
                  <c:v>10.01</c:v>
                </c:pt>
                <c:pt idx="549">
                  <c:v>10.01</c:v>
                </c:pt>
                <c:pt idx="550">
                  <c:v>10.01</c:v>
                </c:pt>
                <c:pt idx="551">
                  <c:v>10.01</c:v>
                </c:pt>
                <c:pt idx="552">
                  <c:v>10.01</c:v>
                </c:pt>
                <c:pt idx="553">
                  <c:v>10.01</c:v>
                </c:pt>
                <c:pt idx="554">
                  <c:v>10.02</c:v>
                </c:pt>
                <c:pt idx="555">
                  <c:v>10.02</c:v>
                </c:pt>
                <c:pt idx="556">
                  <c:v>10.02</c:v>
                </c:pt>
                <c:pt idx="557">
                  <c:v>10.02</c:v>
                </c:pt>
                <c:pt idx="558">
                  <c:v>10.02</c:v>
                </c:pt>
                <c:pt idx="559">
                  <c:v>10.02</c:v>
                </c:pt>
                <c:pt idx="560">
                  <c:v>10.02</c:v>
                </c:pt>
                <c:pt idx="561">
                  <c:v>10.02</c:v>
                </c:pt>
                <c:pt idx="562">
                  <c:v>10.02</c:v>
                </c:pt>
                <c:pt idx="563">
                  <c:v>10.02</c:v>
                </c:pt>
                <c:pt idx="564">
                  <c:v>10.02</c:v>
                </c:pt>
                <c:pt idx="565">
                  <c:v>10.02</c:v>
                </c:pt>
                <c:pt idx="566">
                  <c:v>10.02</c:v>
                </c:pt>
                <c:pt idx="567">
                  <c:v>10.02</c:v>
                </c:pt>
                <c:pt idx="568">
                  <c:v>10.02</c:v>
                </c:pt>
                <c:pt idx="569">
                  <c:v>10.03</c:v>
                </c:pt>
                <c:pt idx="570">
                  <c:v>10.03</c:v>
                </c:pt>
                <c:pt idx="571">
                  <c:v>10.03</c:v>
                </c:pt>
                <c:pt idx="572">
                  <c:v>10.03</c:v>
                </c:pt>
                <c:pt idx="573">
                  <c:v>10.03</c:v>
                </c:pt>
                <c:pt idx="574">
                  <c:v>10.03</c:v>
                </c:pt>
                <c:pt idx="575">
                  <c:v>10.03</c:v>
                </c:pt>
                <c:pt idx="576">
                  <c:v>10.03</c:v>
                </c:pt>
                <c:pt idx="577">
                  <c:v>10.03</c:v>
                </c:pt>
                <c:pt idx="578">
                  <c:v>10.03</c:v>
                </c:pt>
                <c:pt idx="579">
                  <c:v>10.03</c:v>
                </c:pt>
                <c:pt idx="580">
                  <c:v>10.03</c:v>
                </c:pt>
                <c:pt idx="581">
                  <c:v>10.04</c:v>
                </c:pt>
                <c:pt idx="582">
                  <c:v>10.04</c:v>
                </c:pt>
                <c:pt idx="583">
                  <c:v>10.04</c:v>
                </c:pt>
                <c:pt idx="584">
                  <c:v>10.04</c:v>
                </c:pt>
                <c:pt idx="585">
                  <c:v>10.04</c:v>
                </c:pt>
                <c:pt idx="586">
                  <c:v>10.04</c:v>
                </c:pt>
                <c:pt idx="587">
                  <c:v>10.04</c:v>
                </c:pt>
                <c:pt idx="588">
                  <c:v>10.04</c:v>
                </c:pt>
                <c:pt idx="589">
                  <c:v>10.04</c:v>
                </c:pt>
                <c:pt idx="590">
                  <c:v>10.04</c:v>
                </c:pt>
                <c:pt idx="591">
                  <c:v>10.05</c:v>
                </c:pt>
                <c:pt idx="592">
                  <c:v>10.05</c:v>
                </c:pt>
                <c:pt idx="593">
                  <c:v>10.05</c:v>
                </c:pt>
                <c:pt idx="594">
                  <c:v>10.05</c:v>
                </c:pt>
                <c:pt idx="595">
                  <c:v>10.05</c:v>
                </c:pt>
                <c:pt idx="596">
                  <c:v>10.05</c:v>
                </c:pt>
                <c:pt idx="597">
                  <c:v>10.05</c:v>
                </c:pt>
                <c:pt idx="598">
                  <c:v>10.05</c:v>
                </c:pt>
                <c:pt idx="599">
                  <c:v>10.06</c:v>
                </c:pt>
                <c:pt idx="600">
                  <c:v>10.06</c:v>
                </c:pt>
                <c:pt idx="601">
                  <c:v>10.06</c:v>
                </c:pt>
                <c:pt idx="602">
                  <c:v>10.06</c:v>
                </c:pt>
                <c:pt idx="603">
                  <c:v>10.06</c:v>
                </c:pt>
                <c:pt idx="604">
                  <c:v>10.06</c:v>
                </c:pt>
                <c:pt idx="605">
                  <c:v>10.06</c:v>
                </c:pt>
                <c:pt idx="606">
                  <c:v>10.07</c:v>
                </c:pt>
                <c:pt idx="607">
                  <c:v>10.07</c:v>
                </c:pt>
                <c:pt idx="608">
                  <c:v>10.07</c:v>
                </c:pt>
                <c:pt idx="609">
                  <c:v>10.07</c:v>
                </c:pt>
                <c:pt idx="610">
                  <c:v>10.07</c:v>
                </c:pt>
                <c:pt idx="611">
                  <c:v>10.07</c:v>
                </c:pt>
                <c:pt idx="612">
                  <c:v>10.08</c:v>
                </c:pt>
                <c:pt idx="613">
                  <c:v>10.08</c:v>
                </c:pt>
                <c:pt idx="614">
                  <c:v>10.08</c:v>
                </c:pt>
                <c:pt idx="615">
                  <c:v>10.08</c:v>
                </c:pt>
                <c:pt idx="616">
                  <c:v>10.08</c:v>
                </c:pt>
                <c:pt idx="617">
                  <c:v>10.09</c:v>
                </c:pt>
                <c:pt idx="618">
                  <c:v>10.09</c:v>
                </c:pt>
                <c:pt idx="619">
                  <c:v>10.09</c:v>
                </c:pt>
                <c:pt idx="620">
                  <c:v>10.09</c:v>
                </c:pt>
                <c:pt idx="621">
                  <c:v>10.10</c:v>
                </c:pt>
                <c:pt idx="622">
                  <c:v>10.10</c:v>
                </c:pt>
                <c:pt idx="623">
                  <c:v>10.10</c:v>
                </c:pt>
                <c:pt idx="624">
                  <c:v>10.10</c:v>
                </c:pt>
                <c:pt idx="625">
                  <c:v>10.10</c:v>
                </c:pt>
                <c:pt idx="626">
                  <c:v>10.11</c:v>
                </c:pt>
                <c:pt idx="627">
                  <c:v>10.11</c:v>
                </c:pt>
                <c:pt idx="628">
                  <c:v>10.11</c:v>
                </c:pt>
                <c:pt idx="629">
                  <c:v>10.11</c:v>
                </c:pt>
                <c:pt idx="630">
                  <c:v>10.12</c:v>
                </c:pt>
                <c:pt idx="631">
                  <c:v>10.12</c:v>
                </c:pt>
                <c:pt idx="632">
                  <c:v>10.12</c:v>
                </c:pt>
                <c:pt idx="633">
                  <c:v>10.13</c:v>
                </c:pt>
                <c:pt idx="634">
                  <c:v>10.13</c:v>
                </c:pt>
                <c:pt idx="635">
                  <c:v>10.13</c:v>
                </c:pt>
                <c:pt idx="636">
                  <c:v>10.14</c:v>
                </c:pt>
                <c:pt idx="637">
                  <c:v>10.14</c:v>
                </c:pt>
                <c:pt idx="638">
                  <c:v>10.14</c:v>
                </c:pt>
                <c:pt idx="639">
                  <c:v>10.14</c:v>
                </c:pt>
                <c:pt idx="640">
                  <c:v>10.15</c:v>
                </c:pt>
                <c:pt idx="641">
                  <c:v>10.15</c:v>
                </c:pt>
                <c:pt idx="642">
                  <c:v>10.16</c:v>
                </c:pt>
                <c:pt idx="643">
                  <c:v>10.16</c:v>
                </c:pt>
                <c:pt idx="644">
                  <c:v>10.16</c:v>
                </c:pt>
                <c:pt idx="645">
                  <c:v>10.17</c:v>
                </c:pt>
                <c:pt idx="646">
                  <c:v>10.17</c:v>
                </c:pt>
                <c:pt idx="647">
                  <c:v>10.17</c:v>
                </c:pt>
                <c:pt idx="648">
                  <c:v>10.18</c:v>
                </c:pt>
                <c:pt idx="649">
                  <c:v>10.18</c:v>
                </c:pt>
                <c:pt idx="650">
                  <c:v>10.19</c:v>
                </c:pt>
                <c:pt idx="651">
                  <c:v>10.19</c:v>
                </c:pt>
                <c:pt idx="652">
                  <c:v>10.20</c:v>
                </c:pt>
                <c:pt idx="653">
                  <c:v>10.20</c:v>
                </c:pt>
                <c:pt idx="654">
                  <c:v>10.21</c:v>
                </c:pt>
                <c:pt idx="655">
                  <c:v>10.21</c:v>
                </c:pt>
                <c:pt idx="656">
                  <c:v>10.22</c:v>
                </c:pt>
                <c:pt idx="657">
                  <c:v>10.22</c:v>
                </c:pt>
                <c:pt idx="658">
                  <c:v>10.23</c:v>
                </c:pt>
                <c:pt idx="659">
                  <c:v>10.23</c:v>
                </c:pt>
                <c:pt idx="660">
                  <c:v>10.24</c:v>
                </c:pt>
                <c:pt idx="661">
                  <c:v>10.24</c:v>
                </c:pt>
                <c:pt idx="662">
                  <c:v>10.25</c:v>
                </c:pt>
                <c:pt idx="663">
                  <c:v>10.25</c:v>
                </c:pt>
                <c:pt idx="664">
                  <c:v>10.26</c:v>
                </c:pt>
                <c:pt idx="665">
                  <c:v>10.27</c:v>
                </c:pt>
                <c:pt idx="666">
                  <c:v>10.27</c:v>
                </c:pt>
                <c:pt idx="667">
                  <c:v>10.28</c:v>
                </c:pt>
                <c:pt idx="668">
                  <c:v>10.28</c:v>
                </c:pt>
                <c:pt idx="669">
                  <c:v>10.29</c:v>
                </c:pt>
                <c:pt idx="670">
                  <c:v>10.30</c:v>
                </c:pt>
                <c:pt idx="671">
                  <c:v>10.30</c:v>
                </c:pt>
                <c:pt idx="672">
                  <c:v>10.31</c:v>
                </c:pt>
                <c:pt idx="673">
                  <c:v>10.32</c:v>
                </c:pt>
                <c:pt idx="674">
                  <c:v>10.33</c:v>
                </c:pt>
                <c:pt idx="675">
                  <c:v>10.33</c:v>
                </c:pt>
                <c:pt idx="676">
                  <c:v>10.34</c:v>
                </c:pt>
                <c:pt idx="677">
                  <c:v>10.35</c:v>
                </c:pt>
                <c:pt idx="678">
                  <c:v>10.36</c:v>
                </c:pt>
                <c:pt idx="679">
                  <c:v>10.37</c:v>
                </c:pt>
                <c:pt idx="680">
                  <c:v>10.38</c:v>
                </c:pt>
                <c:pt idx="681">
                  <c:v>10.38</c:v>
                </c:pt>
                <c:pt idx="682">
                  <c:v>10.39</c:v>
                </c:pt>
                <c:pt idx="683">
                  <c:v>10.40</c:v>
                </c:pt>
                <c:pt idx="684">
                  <c:v>10.41</c:v>
                </c:pt>
                <c:pt idx="685">
                  <c:v>10.42</c:v>
                </c:pt>
                <c:pt idx="686">
                  <c:v>10.43</c:v>
                </c:pt>
                <c:pt idx="687">
                  <c:v>10.44</c:v>
                </c:pt>
                <c:pt idx="688">
                  <c:v>10.45</c:v>
                </c:pt>
                <c:pt idx="689">
                  <c:v>10.46</c:v>
                </c:pt>
                <c:pt idx="690">
                  <c:v>10.47</c:v>
                </c:pt>
                <c:pt idx="691">
                  <c:v>10.49</c:v>
                </c:pt>
                <c:pt idx="692">
                  <c:v>10.50</c:v>
                </c:pt>
                <c:pt idx="693">
                  <c:v>10.51</c:v>
                </c:pt>
                <c:pt idx="694">
                  <c:v>10.52</c:v>
                </c:pt>
                <c:pt idx="695">
                  <c:v>10.53</c:v>
                </c:pt>
                <c:pt idx="696">
                  <c:v>10.54</c:v>
                </c:pt>
                <c:pt idx="697">
                  <c:v>10.56</c:v>
                </c:pt>
                <c:pt idx="698">
                  <c:v>10.57</c:v>
                </c:pt>
                <c:pt idx="699">
                  <c:v>10.58</c:v>
                </c:pt>
                <c:pt idx="700">
                  <c:v>10.60</c:v>
                </c:pt>
                <c:pt idx="701">
                  <c:v>10.61</c:v>
                </c:pt>
                <c:pt idx="702">
                  <c:v>10.63</c:v>
                </c:pt>
                <c:pt idx="703">
                  <c:v>10.64</c:v>
                </c:pt>
                <c:pt idx="704">
                  <c:v>10.66</c:v>
                </c:pt>
                <c:pt idx="705">
                  <c:v>10.67</c:v>
                </c:pt>
                <c:pt idx="706">
                  <c:v>10.69</c:v>
                </c:pt>
                <c:pt idx="707">
                  <c:v>10.70</c:v>
                </c:pt>
                <c:pt idx="708">
                  <c:v>10.72</c:v>
                </c:pt>
                <c:pt idx="709">
                  <c:v>10.74</c:v>
                </c:pt>
                <c:pt idx="710">
                  <c:v>10.75</c:v>
                </c:pt>
                <c:pt idx="711">
                  <c:v>10.77</c:v>
                </c:pt>
                <c:pt idx="712">
                  <c:v>10.79</c:v>
                </c:pt>
                <c:pt idx="713">
                  <c:v>10.81</c:v>
                </c:pt>
                <c:pt idx="714">
                  <c:v>10.83</c:v>
                </c:pt>
                <c:pt idx="715">
                  <c:v>10.85</c:v>
                </c:pt>
                <c:pt idx="716">
                  <c:v>10.87</c:v>
                </c:pt>
                <c:pt idx="717">
                  <c:v>10.89</c:v>
                </c:pt>
                <c:pt idx="718">
                  <c:v>10.91</c:v>
                </c:pt>
                <c:pt idx="719">
                  <c:v>10.93</c:v>
                </c:pt>
                <c:pt idx="720">
                  <c:v>10.95</c:v>
                </c:pt>
                <c:pt idx="721">
                  <c:v>10.98</c:v>
                </c:pt>
                <c:pt idx="722">
                  <c:v>11.00</c:v>
                </c:pt>
                <c:pt idx="723">
                  <c:v>11.02</c:v>
                </c:pt>
                <c:pt idx="724">
                  <c:v>11.05</c:v>
                </c:pt>
                <c:pt idx="725">
                  <c:v>11.07</c:v>
                </c:pt>
                <c:pt idx="726">
                  <c:v>11.10</c:v>
                </c:pt>
                <c:pt idx="727">
                  <c:v>11.12</c:v>
                </c:pt>
                <c:pt idx="728">
                  <c:v>11.15</c:v>
                </c:pt>
                <c:pt idx="729">
                  <c:v>11.18</c:v>
                </c:pt>
                <c:pt idx="730">
                  <c:v>11.21</c:v>
                </c:pt>
                <c:pt idx="731">
                  <c:v>11.23</c:v>
                </c:pt>
                <c:pt idx="732">
                  <c:v>11.26</c:v>
                </c:pt>
                <c:pt idx="733">
                  <c:v>11.29</c:v>
                </c:pt>
                <c:pt idx="734">
                  <c:v>11.32</c:v>
                </c:pt>
                <c:pt idx="735">
                  <c:v>11.36</c:v>
                </c:pt>
                <c:pt idx="736">
                  <c:v>11.39</c:v>
                </c:pt>
                <c:pt idx="737">
                  <c:v>11.42</c:v>
                </c:pt>
                <c:pt idx="738">
                  <c:v>11.45</c:v>
                </c:pt>
                <c:pt idx="739">
                  <c:v>11.49</c:v>
                </c:pt>
                <c:pt idx="740">
                  <c:v>11.53</c:v>
                </c:pt>
                <c:pt idx="741">
                  <c:v>11.56</c:v>
                </c:pt>
                <c:pt idx="742">
                  <c:v>11.60</c:v>
                </c:pt>
                <c:pt idx="743">
                  <c:v>11.64</c:v>
                </c:pt>
                <c:pt idx="744">
                  <c:v>11.68</c:v>
                </c:pt>
                <c:pt idx="745">
                  <c:v>11.72</c:v>
                </c:pt>
                <c:pt idx="746">
                  <c:v>11.76</c:v>
                </c:pt>
                <c:pt idx="747">
                  <c:v>11.80</c:v>
                </c:pt>
                <c:pt idx="748">
                  <c:v>11.84</c:v>
                </c:pt>
                <c:pt idx="749">
                  <c:v>11.89</c:v>
                </c:pt>
                <c:pt idx="750">
                  <c:v>11.93</c:v>
                </c:pt>
                <c:pt idx="751">
                  <c:v>11.98</c:v>
                </c:pt>
                <c:pt idx="752">
                  <c:v>12.03</c:v>
                </c:pt>
                <c:pt idx="753">
                  <c:v>12.08</c:v>
                </c:pt>
                <c:pt idx="754">
                  <c:v>12.13</c:v>
                </c:pt>
                <c:pt idx="755">
                  <c:v>12.18</c:v>
                </c:pt>
                <c:pt idx="756">
                  <c:v>12.23</c:v>
                </c:pt>
                <c:pt idx="757">
                  <c:v>12.28</c:v>
                </c:pt>
                <c:pt idx="758">
                  <c:v>12.34</c:v>
                </c:pt>
                <c:pt idx="759">
                  <c:v>12.40</c:v>
                </c:pt>
                <c:pt idx="760">
                  <c:v>12.45</c:v>
                </c:pt>
                <c:pt idx="761">
                  <c:v>12.51</c:v>
                </c:pt>
                <c:pt idx="762">
                  <c:v>12.57</c:v>
                </c:pt>
                <c:pt idx="763">
                  <c:v>12.64</c:v>
                </c:pt>
                <c:pt idx="764">
                  <c:v>12.70</c:v>
                </c:pt>
                <c:pt idx="765">
                  <c:v>12.77</c:v>
                </c:pt>
                <c:pt idx="766">
                  <c:v>12.83</c:v>
                </c:pt>
                <c:pt idx="767">
                  <c:v>12.90</c:v>
                </c:pt>
                <c:pt idx="768">
                  <c:v>12.97</c:v>
                </c:pt>
                <c:pt idx="769">
                  <c:v>13.05</c:v>
                </c:pt>
                <c:pt idx="770">
                  <c:v>13.12</c:v>
                </c:pt>
                <c:pt idx="771">
                  <c:v>13.20</c:v>
                </c:pt>
                <c:pt idx="772">
                  <c:v>13.28</c:v>
                </c:pt>
                <c:pt idx="773">
                  <c:v>13.36</c:v>
                </c:pt>
                <c:pt idx="774">
                  <c:v>13.44</c:v>
                </c:pt>
                <c:pt idx="775">
                  <c:v>13.53</c:v>
                </c:pt>
                <c:pt idx="776">
                  <c:v>13.61</c:v>
                </c:pt>
                <c:pt idx="777">
                  <c:v>13.70</c:v>
                </c:pt>
                <c:pt idx="778">
                  <c:v>13.79</c:v>
                </c:pt>
                <c:pt idx="779">
                  <c:v>13.89</c:v>
                </c:pt>
                <c:pt idx="780">
                  <c:v>13.98</c:v>
                </c:pt>
                <c:pt idx="781">
                  <c:v>14.08</c:v>
                </c:pt>
                <c:pt idx="782">
                  <c:v>14.19</c:v>
                </c:pt>
                <c:pt idx="783">
                  <c:v>14.29</c:v>
                </c:pt>
                <c:pt idx="784">
                  <c:v>14.40</c:v>
                </c:pt>
                <c:pt idx="785">
                  <c:v>14.51</c:v>
                </c:pt>
                <c:pt idx="786">
                  <c:v>14.62</c:v>
                </c:pt>
                <c:pt idx="787">
                  <c:v>14.74</c:v>
                </c:pt>
                <c:pt idx="788">
                  <c:v>14.86</c:v>
                </c:pt>
                <c:pt idx="789">
                  <c:v>14.98</c:v>
                </c:pt>
                <c:pt idx="790">
                  <c:v>15.10</c:v>
                </c:pt>
                <c:pt idx="791">
                  <c:v>15.23</c:v>
                </c:pt>
                <c:pt idx="792">
                  <c:v>15.37</c:v>
                </c:pt>
                <c:pt idx="793">
                  <c:v>15.50</c:v>
                </c:pt>
                <c:pt idx="794">
                  <c:v>15.64</c:v>
                </c:pt>
                <c:pt idx="795">
                  <c:v>15.79</c:v>
                </c:pt>
                <c:pt idx="796">
                  <c:v>15.94</c:v>
                </c:pt>
                <c:pt idx="797">
                  <c:v>16.09</c:v>
                </c:pt>
                <c:pt idx="798">
                  <c:v>16.24</c:v>
                </c:pt>
                <c:pt idx="799">
                  <c:v>16.41</c:v>
                </c:pt>
                <c:pt idx="800">
                  <c:v>16.57</c:v>
                </c:pt>
                <c:pt idx="801">
                  <c:v>16.74</c:v>
                </c:pt>
                <c:pt idx="802">
                  <c:v>16.92</c:v>
                </c:pt>
                <c:pt idx="803">
                  <c:v>17.10</c:v>
                </c:pt>
                <c:pt idx="804">
                  <c:v>17.28</c:v>
                </c:pt>
                <c:pt idx="805">
                  <c:v>17.47</c:v>
                </c:pt>
                <c:pt idx="806">
                  <c:v>17.67</c:v>
                </c:pt>
                <c:pt idx="807">
                  <c:v>17.87</c:v>
                </c:pt>
                <c:pt idx="808">
                  <c:v>18.08</c:v>
                </c:pt>
                <c:pt idx="809">
                  <c:v>18.29</c:v>
                </c:pt>
                <c:pt idx="810">
                  <c:v>18.51</c:v>
                </c:pt>
                <c:pt idx="811">
                  <c:v>18.74</c:v>
                </c:pt>
                <c:pt idx="812">
                  <c:v>18.97</c:v>
                </c:pt>
                <c:pt idx="813">
                  <c:v>19.22</c:v>
                </c:pt>
                <c:pt idx="814">
                  <c:v>19.46</c:v>
                </c:pt>
                <c:pt idx="815">
                  <c:v>19.72</c:v>
                </c:pt>
                <c:pt idx="816">
                  <c:v>19.98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CalcSheet!$Q:$Q</c:f>
              <c:numCache>
                <c:formatCode>0.00</c:formatCode>
                <c:ptCount val="1048576"/>
                <c:pt idx="0">
                  <c:v>1.0410954400428211E-3</c:v>
                </c:pt>
                <c:pt idx="1">
                  <c:v>3.4129545789916326E-3</c:v>
                </c:pt>
                <c:pt idx="2">
                  <c:v>5.7862787978399102E-3</c:v>
                </c:pt>
                <c:pt idx="3">
                  <c:v>8.1623017382552593E-3</c:v>
                </c:pt>
                <c:pt idx="4">
                  <c:v>1.0542257646899358E-2</c:v>
                </c:pt>
                <c:pt idx="5">
                  <c:v>1.2927381976969129E-2</c:v>
                </c:pt>
                <c:pt idx="6">
                  <c:v>1.5318911988602926E-2</c:v>
                </c:pt>
                <c:pt idx="7">
                  <c:v>1.7718087348360487E-2</c:v>
                </c:pt>
                <c:pt idx="8">
                  <c:v>2.0126150727981726E-2</c:v>
                </c:pt>
                <c:pt idx="9">
                  <c:v>2.2544348402624349E-2</c:v>
                </c:pt>
                <c:pt idx="10">
                  <c:v>2.4973930848778986E-2</c:v>
                </c:pt>
                <c:pt idx="11">
                  <c:v>2.7416153342051788E-2</c:v>
                </c:pt>
                <c:pt idx="12">
                  <c:v>2.9872276555002401E-2</c:v>
                </c:pt>
                <c:pt idx="13">
                  <c:v>3.2343567155221735E-2</c:v>
                </c:pt>
                <c:pt idx="14">
                  <c:v>3.4831298403827836E-2</c:v>
                </c:pt>
                <c:pt idx="15">
                  <c:v>3.7336750754550958E-2</c:v>
                </c:pt>
                <c:pt idx="16">
                  <c:v>3.9861212453579771E-2</c:v>
                </c:pt>
                <c:pt idx="17">
                  <c:v>4.240598014032626E-2</c:v>
                </c:pt>
                <c:pt idx="18">
                  <c:v>4.4972359449274753E-2</c:v>
                </c:pt>
                <c:pt idx="19">
                  <c:v>4.7561665613059211E-2</c:v>
                </c:pt>
                <c:pt idx="20">
                  <c:v>5.0175224066919981E-2</c:v>
                </c:pt>
                <c:pt idx="21">
                  <c:v>5.2814371054676769E-2</c:v>
                </c:pt>
                <c:pt idx="22">
                  <c:v>5.5480454236356218E-2</c:v>
                </c:pt>
                <c:pt idx="23">
                  <c:v>5.8174833297594271E-2</c:v>
                </c:pt>
                <c:pt idx="24">
                  <c:v>6.0898880560940477E-2</c:v>
                </c:pt>
                <c:pt idx="25">
                  <c:v>6.3653981599172738E-2</c:v>
                </c:pt>
                <c:pt idx="26">
                  <c:v>6.6441535850732258E-2</c:v>
                </c:pt>
                <c:pt idx="27">
                  <c:v>6.9262957237373413E-2</c:v>
                </c:pt>
                <c:pt idx="28">
                  <c:v>7.2119674784119819E-2</c:v>
                </c:pt>
                <c:pt idx="29">
                  <c:v>7.5013133241610297E-2</c:v>
                </c:pt>
                <c:pt idx="30">
                  <c:v>7.7944793710904473E-2</c:v>
                </c:pt>
                <c:pt idx="31">
                  <c:v>8.0916134270816051E-2</c:v>
                </c:pt>
                <c:pt idx="32">
                  <c:v>8.3928650607825062E-2</c:v>
                </c:pt>
                <c:pt idx="33">
                  <c:v>8.6983856648614216E-2</c:v>
                </c:pt>
                <c:pt idx="34">
                  <c:v>9.0083285195264914E-2</c:v>
                </c:pt>
                <c:pt idx="35">
                  <c:v>9.3228488563137549E-2</c:v>
                </c:pt>
                <c:pt idx="36">
                  <c:v>9.6421039221444682E-2</c:v>
                </c:pt>
                <c:pt idx="37">
                  <c:v>9.9662530436522317E-2</c:v>
                </c:pt>
                <c:pt idx="38">
                  <c:v>0.1029545769177822</c:v>
                </c:pt>
                <c:pt idx="39">
                  <c:v>0.10629881546632862</c:v>
                </c:pt>
                <c:pt idx="40">
                  <c:v>0.10969690562619387</c:v>
                </c:pt>
                <c:pt idx="41">
                  <c:v>0.11315053033814687</c:v>
                </c:pt>
                <c:pt idx="42">
                  <c:v>0.11666139659600433</c:v>
                </c:pt>
                <c:pt idx="43">
                  <c:v>0.12023123610537</c:v>
                </c:pt>
                <c:pt idx="44">
                  <c:v>0.1238618059446954</c:v>
                </c:pt>
                <c:pt idx="45">
                  <c:v>0.1275548892285587</c:v>
                </c:pt>
                <c:pt idx="46">
                  <c:v>0.13131229577302397</c:v>
                </c:pt>
                <c:pt idx="47">
                  <c:v>0.13513586276293746</c:v>
                </c:pt>
                <c:pt idx="48">
                  <c:v>0.13902745542099151</c:v>
                </c:pt>
                <c:pt idx="49">
                  <c:v>0.14298896767836894</c:v>
                </c:pt>
                <c:pt idx="50">
                  <c:v>0.14702232284676331</c:v>
                </c:pt>
                <c:pt idx="51">
                  <c:v>0.15112947429154958</c:v>
                </c:pt>
                <c:pt idx="52">
                  <c:v>0.15531240610585048</c:v>
                </c:pt>
                <c:pt idx="53">
                  <c:v>0.15957313378523033</c:v>
                </c:pt>
                <c:pt idx="54">
                  <c:v>0.1639137049027222</c:v>
                </c:pt>
                <c:pt idx="55">
                  <c:v>0.16833619978386052</c:v>
                </c:pt>
                <c:pt idx="56">
                  <c:v>0.17284273218138474</c:v>
                </c:pt>
                <c:pt idx="57">
                  <c:v>0.17743544994923133</c:v>
                </c:pt>
                <c:pt idx="58">
                  <c:v>0.18211653571542022</c:v>
                </c:pt>
                <c:pt idx="59">
                  <c:v>0.18688820755340277</c:v>
                </c:pt>
                <c:pt idx="60">
                  <c:v>0.19175271965142154</c:v>
                </c:pt>
                <c:pt idx="61">
                  <c:v>0.19671236297937844</c:v>
                </c:pt>
                <c:pt idx="62">
                  <c:v>0.20176946595270659</c:v>
                </c:pt>
                <c:pt idx="63">
                  <c:v>0.20692639509267788</c:v>
                </c:pt>
                <c:pt idx="64">
                  <c:v>0.21218555568257039</c:v>
                </c:pt>
                <c:pt idx="65">
                  <c:v>0.21754939241906279</c:v>
                </c:pt>
                <c:pt idx="66">
                  <c:v>0.22302039005819826</c:v>
                </c:pt>
                <c:pt idx="67">
                  <c:v>0.22860107405522198</c:v>
                </c:pt>
                <c:pt idx="68">
                  <c:v>0.23429401119755575</c:v>
                </c:pt>
                <c:pt idx="69">
                  <c:v>0.24010181023012669</c:v>
                </c:pt>
                <c:pt idx="70">
                  <c:v>0.24602712247223874</c:v>
                </c:pt>
                <c:pt idx="71">
                  <c:v>0.25207264242511446</c:v>
                </c:pt>
                <c:pt idx="72">
                  <c:v>0.25824110836921471</c:v>
                </c:pt>
                <c:pt idx="73">
                  <c:v>0.26453530295037175</c:v>
                </c:pt>
                <c:pt idx="74">
                  <c:v>0.27095805375374399</c:v>
                </c:pt>
                <c:pt idx="75">
                  <c:v>0.27751223386453999</c:v>
                </c:pt>
                <c:pt idx="76">
                  <c:v>0.28420076241442682</c:v>
                </c:pt>
                <c:pt idx="77">
                  <c:v>0.29102660511245654</c:v>
                </c:pt>
                <c:pt idx="78">
                  <c:v>0.2979927747593295</c:v>
                </c:pt>
                <c:pt idx="79">
                  <c:v>0.30510233174373175</c:v>
                </c:pt>
                <c:pt idx="80">
                  <c:v>0.31235838451943754</c:v>
                </c:pt>
                <c:pt idx="81">
                  <c:v>0.31976409006182582</c:v>
                </c:pt>
                <c:pt idx="82">
                  <c:v>0.3273226543023689</c:v>
                </c:pt>
                <c:pt idx="83">
                  <c:v>0.3350373325396348</c:v>
                </c:pt>
                <c:pt idx="84">
                  <c:v>0.34291142982524891</c:v>
                </c:pt>
                <c:pt idx="85">
                  <c:v>0.35094830132322824</c:v>
                </c:pt>
                <c:pt idx="86">
                  <c:v>0.35915135264101844</c:v>
                </c:pt>
                <c:pt idx="87">
                  <c:v>0.36752404013050782</c:v>
                </c:pt>
                <c:pt idx="88">
                  <c:v>0.376069871157239</c:v>
                </c:pt>
                <c:pt idx="89">
                  <c:v>0.38479240433596562</c:v>
                </c:pt>
                <c:pt idx="90">
                  <c:v>0.39369524973062792</c:v>
                </c:pt>
                <c:pt idx="91">
                  <c:v>0.40278206901677693</c:v>
                </c:pt>
                <c:pt idx="92">
                  <c:v>0.41205657560438064</c:v>
                </c:pt>
                <c:pt idx="93">
                  <c:v>0.42152253471892226</c:v>
                </c:pt>
                <c:pt idx="94">
                  <c:v>0.43118376343858095</c:v>
                </c:pt>
                <c:pt idx="95">
                  <c:v>0.4410441306852606</c:v>
                </c:pt>
                <c:pt idx="96">
                  <c:v>0.45110755716714146</c:v>
                </c:pt>
                <c:pt idx="97">
                  <c:v>0.46137801527038269</c:v>
                </c:pt>
                <c:pt idx="98">
                  <c:v>0.47185952889750127</c:v>
                </c:pt>
                <c:pt idx="99">
                  <c:v>0.48255617324993655</c:v>
                </c:pt>
                <c:pt idx="100">
                  <c:v>0.49347207455219477</c:v>
                </c:pt>
                <c:pt idx="101">
                  <c:v>0.50461140971494645</c:v>
                </c:pt>
                <c:pt idx="102">
                  <c:v>0.51597840593435229</c:v>
                </c:pt>
                <c:pt idx="103">
                  <c:v>0.52757734022484393</c:v>
                </c:pt>
                <c:pt idx="104">
                  <c:v>0.53941253888254403</c:v>
                </c:pt>
                <c:pt idx="105">
                  <c:v>0.55148837687641428</c:v>
                </c:pt>
                <c:pt idx="106">
                  <c:v>0.56380927716420814</c:v>
                </c:pt>
                <c:pt idx="107">
                  <c:v>0.57637970993020704</c:v>
                </c:pt>
                <c:pt idx="108">
                  <c:v>0.5892041917417149</c:v>
                </c:pt>
                <c:pt idx="109">
                  <c:v>0.60228728462118686</c:v>
                </c:pt>
                <c:pt idx="110">
                  <c:v>0.61563359503089465</c:v>
                </c:pt>
                <c:pt idx="111">
                  <c:v>0.6292477727669139</c:v>
                </c:pt>
                <c:pt idx="112">
                  <c:v>0.6431345097592478</c:v>
                </c:pt>
                <c:pt idx="113">
                  <c:v>0.65729853877483269</c:v>
                </c:pt>
                <c:pt idx="114">
                  <c:v>0.67174463202018919</c:v>
                </c:pt>
                <c:pt idx="115">
                  <c:v>0.68647759964039723</c:v>
                </c:pt>
                <c:pt idx="116">
                  <c:v>0.70150228811114945</c:v>
                </c:pt>
                <c:pt idx="117">
                  <c:v>0.71682357852055201</c:v>
                </c:pt>
                <c:pt idx="118">
                  <c:v>0.73244638473741308</c:v>
                </c:pt>
                <c:pt idx="119">
                  <c:v>0.74837565146271456</c:v>
                </c:pt>
                <c:pt idx="120">
                  <c:v>0.76461635216101664</c:v>
                </c:pt>
                <c:pt idx="121">
                  <c:v>0.78117348686856725</c:v>
                </c:pt>
                <c:pt idx="122">
                  <c:v>0.79805207987493643</c:v>
                </c:pt>
                <c:pt idx="123">
                  <c:v>0.81525717727500802</c:v>
                </c:pt>
                <c:pt idx="124">
                  <c:v>0.83279384438828163</c:v>
                </c:pt>
                <c:pt idx="125">
                  <c:v>0.85066716304243672</c:v>
                </c:pt>
                <c:pt idx="126">
                  <c:v>0.86888222871829157</c:v>
                </c:pt>
                <c:pt idx="127">
                  <c:v>0.8874441475532755</c:v>
                </c:pt>
                <c:pt idx="128">
                  <c:v>0.90635803320073671</c:v>
                </c:pt>
                <c:pt idx="129">
                  <c:v>0.92562900354249</c:v>
                </c:pt>
                <c:pt idx="130">
                  <c:v>0.94526217725213613</c:v>
                </c:pt>
                <c:pt idx="131">
                  <c:v>0.96526267020690149</c:v>
                </c:pt>
                <c:pt idx="132">
                  <c:v>0.98563559174583448</c:v>
                </c:pt>
                <c:pt idx="133">
                  <c:v>1.0063860407724556</c:v>
                </c:pt>
                <c:pt idx="134">
                  <c:v>1.0275191017001166</c:v>
                </c:pt>
                <c:pt idx="135">
                  <c:v>1.0490398402385974</c:v>
                </c:pt>
                <c:pt idx="136">
                  <c:v>1.0709532990206305</c:v>
                </c:pt>
                <c:pt idx="137">
                  <c:v>1.093264493067408</c:v>
                </c:pt>
                <c:pt idx="138">
                  <c:v>1.1159784050923092</c:v>
                </c:pt>
                <c:pt idx="139">
                  <c:v>1.1390999806424689</c:v>
                </c:pt>
                <c:pt idx="140">
                  <c:v>1.1626341230780608</c:v>
                </c:pt>
                <c:pt idx="141">
                  <c:v>1.1865856883895383</c:v>
                </c:pt>
                <c:pt idx="142">
                  <c:v>1.2109594798534591</c:v>
                </c:pt>
                <c:pt idx="143">
                  <c:v>1.2357602425278722</c:v>
                </c:pt>
                <c:pt idx="144">
                  <c:v>1.260992657588639</c:v>
                </c:pt>
                <c:pt idx="145">
                  <c:v>1.2866613365085413</c:v>
                </c:pt>
                <c:pt idx="146">
                  <c:v>1.3127708150813746</c:v>
                </c:pt>
                <c:pt idx="147">
                  <c:v>1.3393255472938443</c:v>
                </c:pt>
                <c:pt idx="148">
                  <c:v>1.3663298990483856</c:v>
                </c:pt>
                <c:pt idx="149">
                  <c:v>1.3937881417406857</c:v>
                </c:pt>
                <c:pt idx="150">
                  <c:v>1.421704445696127</c:v>
                </c:pt>
                <c:pt idx="151">
                  <c:v>1.4500828734699802</c:v>
                </c:pt>
                <c:pt idx="152">
                  <c:v>1.4789273730166377</c:v>
                </c:pt>
                <c:pt idx="153">
                  <c:v>1.5082417707338971</c:v>
                </c:pt>
                <c:pt idx="154">
                  <c:v>1.5380297643887866</c:v>
                </c:pt>
                <c:pt idx="155">
                  <c:v>1.5682949159320843</c:v>
                </c:pt>
                <c:pt idx="156">
                  <c:v>1.5990406442093323</c:v>
                </c:pt>
                <c:pt idx="157">
                  <c:v>1.6302702175767343</c:v>
                </c:pt>
                <c:pt idx="158">
                  <c:v>1.6619867464309968</c:v>
                </c:pt>
                <c:pt idx="159">
                  <c:v>1.6941931756628554</c:v>
                </c:pt>
                <c:pt idx="160">
                  <c:v>1.7268922770446864</c:v>
                </c:pt>
                <c:pt idx="161">
                  <c:v>1.7600866415632137</c:v>
                </c:pt>
                <c:pt idx="162">
                  <c:v>1.7937786717091049</c:v>
                </c:pt>
                <c:pt idx="163">
                  <c:v>1.8279705737357848</c:v>
                </c:pt>
                <c:pt idx="164">
                  <c:v>1.8626643499006414</c:v>
                </c:pt>
                <c:pt idx="165">
                  <c:v>1.8978617907022644</c:v>
                </c:pt>
                <c:pt idx="166">
                  <c:v>1.933564467128172</c:v>
                </c:pt>
                <c:pt idx="167">
                  <c:v>1.9697737229280261</c:v>
                </c:pt>
                <c:pt idx="168">
                  <c:v>2.0064906669280678</c:v>
                </c:pt>
                <c:pt idx="169">
                  <c:v>2.0437161654029392</c:v>
                </c:pt>
                <c:pt idx="170">
                  <c:v>2.0814508345218772</c:v>
                </c:pt>
                <c:pt idx="171">
                  <c:v>2.1196950328866166</c:v>
                </c:pt>
                <c:pt idx="172">
                  <c:v>2.1584488541790297</c:v>
                </c:pt>
                <c:pt idx="173">
                  <c:v>2.1977121199369161</c:v>
                </c:pt>
                <c:pt idx="174">
                  <c:v>2.2374843724768758</c:v>
                </c:pt>
                <c:pt idx="175">
                  <c:v>2.2777648679836267</c:v>
                </c:pt>
                <c:pt idx="176">
                  <c:v>2.3185525697854859</c:v>
                </c:pt>
                <c:pt idx="177">
                  <c:v>2.3598461418360328</c:v>
                </c:pt>
                <c:pt idx="178">
                  <c:v>2.4016439424223148</c:v>
                </c:pt>
                <c:pt idx="179">
                  <c:v>2.4439440181200864</c:v>
                </c:pt>
                <c:pt idx="180">
                  <c:v>2.4867440980168096</c:v>
                </c:pt>
                <c:pt idx="181">
                  <c:v>2.5300415882232108</c:v>
                </c:pt>
                <c:pt idx="182">
                  <c:v>2.5738335666941357</c:v>
                </c:pt>
                <c:pt idx="183">
                  <c:v>2.6181167783795454</c:v>
                </c:pt>
                <c:pt idx="184">
                  <c:v>2.6628876307261877</c:v>
                </c:pt>
                <c:pt idx="185">
                  <c:v>2.7081421895504896</c:v>
                </c:pt>
                <c:pt idx="186">
                  <c:v>2.7538761753027288</c:v>
                </c:pt>
                <c:pt idx="187">
                  <c:v>2.8000849597423083</c:v>
                </c:pt>
                <c:pt idx="188">
                  <c:v>2.8467635630434494</c:v>
                </c:pt>
                <c:pt idx="189">
                  <c:v>2.8939066513501808</c:v>
                </c:pt>
                <c:pt idx="190">
                  <c:v>2.9415085347986438</c:v>
                </c:pt>
                <c:pt idx="191">
                  <c:v>2.9895631660243507</c:v>
                </c:pt>
                <c:pt idx="192">
                  <c:v>3.0380641391709196</c:v>
                </c:pt>
                <c:pt idx="193">
                  <c:v>3.0870046894161538</c:v>
                </c:pt>
                <c:pt idx="194">
                  <c:v>3.1363776930301954</c:v>
                </c:pt>
                <c:pt idx="195">
                  <c:v>3.1861756679794704</c:v>
                </c:pt>
                <c:pt idx="196">
                  <c:v>3.2363907750890384</c:v>
                </c:pt>
                <c:pt idx="197">
                  <c:v>3.2870148197746563</c:v>
                </c:pt>
                <c:pt idx="198">
                  <c:v>3.3380392543545425</c:v>
                </c:pt>
                <c:pt idx="199">
                  <c:v>3.3894551809494922</c:v>
                </c:pt>
                <c:pt idx="200">
                  <c:v>3.4412533549784561</c:v>
                </c:pt>
                <c:pt idx="201">
                  <c:v>3.4934241892552236</c:v>
                </c:pt>
                <c:pt idx="202">
                  <c:v>3.5459577586901778</c:v>
                </c:pt>
                <c:pt idx="203">
                  <c:v>3.5988438055994418</c:v>
                </c:pt>
                <c:pt idx="204">
                  <c:v>3.652071745622095</c:v>
                </c:pt>
                <c:pt idx="205">
                  <c:v>3.7056306742442424</c:v>
                </c:pt>
                <c:pt idx="206">
                  <c:v>3.75950937392702</c:v>
                </c:pt>
                <c:pt idx="207">
                  <c:v>3.8136963218337421</c:v>
                </c:pt>
                <c:pt idx="208">
                  <c:v>3.8681796981495298</c:v>
                </c:pt>
                <c:pt idx="209">
                  <c:v>3.9229473949848925</c:v>
                </c:pt>
                <c:pt idx="210">
                  <c:v>3.9779870258528804</c:v>
                </c:pt>
                <c:pt idx="211">
                  <c:v>4.0332859357074735</c:v>
                </c:pt>
                <c:pt idx="212">
                  <c:v>4.0888312115290404</c:v>
                </c:pt>
                <c:pt idx="213">
                  <c:v>4.1446096934408416</c:v>
                </c:pt>
                <c:pt idx="214">
                  <c:v>4.2006079863387846</c:v>
                </c:pt>
                <c:pt idx="215">
                  <c:v>4.2568124720146852</c:v>
                </c:pt>
                <c:pt idx="216">
                  <c:v>4.3132093217517502</c:v>
                </c:pt>
                <c:pt idx="217">
                  <c:v>4.3697845093691212</c:v>
                </c:pt>
                <c:pt idx="218">
                  <c:v>4.4265238246909187</c:v>
                </c:pt>
                <c:pt idx="219">
                  <c:v>4.483412887413424</c:v>
                </c:pt>
                <c:pt idx="220">
                  <c:v>4.5404371613427852</c:v>
                </c:pt>
                <c:pt idx="221">
                  <c:v>4.5975819689741382</c:v>
                </c:pt>
                <c:pt idx="222">
                  <c:v>4.6548325063818581</c:v>
                </c:pt>
                <c:pt idx="223">
                  <c:v>4.7121738583893302</c:v>
                </c:pt>
                <c:pt idx="224">
                  <c:v>4.7695910139857709</c:v>
                </c:pt>
                <c:pt idx="225">
                  <c:v>4.8270688819565244</c:v>
                </c:pt>
                <c:pt idx="226">
                  <c:v>4.8845923066925634</c:v>
                </c:pt>
                <c:pt idx="227">
                  <c:v>4.9421460841441558</c:v>
                </c:pt>
                <c:pt idx="228">
                  <c:v>4.9997149778830945</c:v>
                </c:pt>
                <c:pt idx="229">
                  <c:v>5.0572837352376308</c:v>
                </c:pt>
                <c:pt idx="230">
                  <c:v>5.1148371034636826</c:v>
                </c:pt>
                <c:pt idx="231">
                  <c:v>5.1723598459160964</c:v>
                </c:pt>
                <c:pt idx="232">
                  <c:v>5.2298367581834002</c:v>
                </c:pt>
                <c:pt idx="233">
                  <c:v>5.2872526841498795</c:v>
                </c:pt>
                <c:pt idx="234">
                  <c:v>5.3445925319489529</c:v>
                </c:pt>
                <c:pt idx="235">
                  <c:v>5.401841289772344</c:v>
                </c:pt>
                <c:pt idx="236">
                  <c:v>5.4589840414999378</c:v>
                </c:pt>
                <c:pt idx="237">
                  <c:v>5.5160059821161216</c:v>
                </c:pt>
                <c:pt idx="238">
                  <c:v>5.572892432878958</c:v>
                </c:pt>
                <c:pt idx="239">
                  <c:v>5.6296288562098011</c:v>
                </c:pt>
                <c:pt idx="240">
                  <c:v>5.6862008702716631</c:v>
                </c:pt>
                <c:pt idx="241">
                  <c:v>5.7425942632061204</c:v>
                </c:pt>
                <c:pt idx="242">
                  <c:v>5.7987950069995993</c:v>
                </c:pt>
                <c:pt idx="243">
                  <c:v>5.8547892709514571</c:v>
                </c:pt>
                <c:pt idx="244">
                  <c:v>5.9105634347174538</c:v>
                </c:pt>
                <c:pt idx="245">
                  <c:v>5.9661041009041282</c:v>
                </c:pt>
                <c:pt idx="246">
                  <c:v>6.0213981071908256</c:v>
                </c:pt>
                <c:pt idx="247">
                  <c:v>6.0764325379581692</c:v>
                </c:pt>
                <c:pt idx="248">
                  <c:v>6.1311947354031782</c:v>
                </c:pt>
                <c:pt idx="249">
                  <c:v>6.1856723101232722</c:v>
                </c:pt>
                <c:pt idx="250">
                  <c:v>6.2398531511531052</c:v>
                </c:pt>
                <c:pt idx="251">
                  <c:v>6.2937254354400993</c:v>
                </c:pt>
                <c:pt idx="252">
                  <c:v>6.3472776367463011</c:v>
                </c:pt>
                <c:pt idx="253">
                  <c:v>6.4004985339662053</c:v>
                </c:pt>
                <c:pt idx="254">
                  <c:v>6.4533772188520366</c:v>
                </c:pt>
                <c:pt idx="255">
                  <c:v>6.505903103139727</c:v>
                </c:pt>
                <c:pt idx="256">
                  <c:v>6.5580659250709727</c:v>
                </c:pt>
                <c:pt idx="257">
                  <c:v>6.6098557553082413</c:v>
                </c:pt>
                <c:pt idx="258">
                  <c:v>6.6612630022417036</c:v>
                </c:pt>
                <c:pt idx="259">
                  <c:v>6.7122784166886174</c:v>
                </c:pt>
                <c:pt idx="260">
                  <c:v>6.7628930959875921</c:v>
                </c:pt>
                <c:pt idx="261">
                  <c:v>6.8130984874916232</c:v>
                </c:pt>
                <c:pt idx="262">
                  <c:v>6.8628863914655724</c:v>
                </c:pt>
                <c:pt idx="263">
                  <c:v>6.9122489633952044</c:v>
                </c:pt>
                <c:pt idx="264">
                  <c:v>6.961178715716426</c:v>
                </c:pt>
                <c:pt idx="265">
                  <c:v>7.0096685189747028</c:v>
                </c:pt>
                <c:pt idx="266">
                  <c:v>7.0577116024259583</c:v>
                </c:pt>
                <c:pt idx="267">
                  <c:v>7.1053015540916098</c:v>
                </c:pt>
                <c:pt idx="268">
                  <c:v>7.1524323202813793</c:v>
                </c:pt>
                <c:pt idx="269">
                  <c:v>7.1990982045987018</c:v>
                </c:pt>
                <c:pt idx="270">
                  <c:v>7.2452938664444915</c:v>
                </c:pt>
                <c:pt idx="271">
                  <c:v>7.2910143190358996</c:v>
                </c:pt>
                <c:pt idx="272">
                  <c:v>7.3362549269576016</c:v>
                </c:pt>
                <c:pt idx="273">
                  <c:v>7.3810114032636926</c:v>
                </c:pt>
                <c:pt idx="274">
                  <c:v>7.4252798061490397</c:v>
                </c:pt>
                <c:pt idx="275">
                  <c:v>7.4690565352094174</c:v>
                </c:pt>
                <c:pt idx="276">
                  <c:v>7.5123383273102329</c:v>
                </c:pt>
                <c:pt idx="277">
                  <c:v>7.5551222520839207</c:v>
                </c:pt>
                <c:pt idx="278">
                  <c:v>7.5974057070765229</c:v>
                </c:pt>
                <c:pt idx="279">
                  <c:v>7.6391864125640137</c:v>
                </c:pt>
                <c:pt idx="280">
                  <c:v>7.6804624060591626</c:v>
                </c:pt>
                <c:pt idx="281">
                  <c:v>7.721232036529762</c:v>
                </c:pt>
                <c:pt idx="282">
                  <c:v>7.7614939583489093</c:v>
                </c:pt>
                <c:pt idx="283">
                  <c:v>7.8012471249981425</c:v>
                </c:pt>
                <c:pt idx="284">
                  <c:v>7.8404907825438794</c:v>
                </c:pt>
                <c:pt idx="285">
                  <c:v>7.8792244629075379</c:v>
                </c:pt>
                <c:pt idx="286">
                  <c:v>7.9174479769493562</c:v>
                </c:pt>
                <c:pt idx="287">
                  <c:v>7.9551614073855887</c:v>
                </c:pt>
                <c:pt idx="288">
                  <c:v>7.9923651015584971</c:v>
                </c:pt>
                <c:pt idx="289">
                  <c:v>8.0290596640780212</c:v>
                </c:pt>
                <c:pt idx="290">
                  <c:v>8.0652459493535549</c:v>
                </c:pt>
                <c:pt idx="291">
                  <c:v>8.1009250540338549</c:v>
                </c:pt>
                <c:pt idx="292">
                  <c:v>8.1360983093724055</c:v>
                </c:pt>
                <c:pt idx="293">
                  <c:v>8.1707672735352386</c:v>
                </c:pt>
                <c:pt idx="294">
                  <c:v>8.2049337238673488</c:v>
                </c:pt>
                <c:pt idx="295">
                  <c:v>8.2385996491334499</c:v>
                </c:pt>
                <c:pt idx="296">
                  <c:v>8.2717672417480781</c:v>
                </c:pt>
                <c:pt idx="297">
                  <c:v>8.3044388900094432</c:v>
                </c:pt>
                <c:pt idx="298">
                  <c:v>8.3366171703507383</c:v>
                </c:pt>
                <c:pt idx="299">
                  <c:v>8.368304839622013</c:v>
                </c:pt>
                <c:pt idx="300">
                  <c:v>8.3995048274149919</c:v>
                </c:pt>
                <c:pt idx="301">
                  <c:v>8.4302202284425629</c:v>
                </c:pt>
                <c:pt idx="302">
                  <c:v>8.4604542949839949</c:v>
                </c:pt>
                <c:pt idx="303">
                  <c:v>8.4902104294062646</c:v>
                </c:pt>
                <c:pt idx="304">
                  <c:v>8.519492176771239</c:v>
                </c:pt>
                <c:pt idx="305">
                  <c:v>8.5483032175377112</c:v>
                </c:pt>
                <c:pt idx="306">
                  <c:v>8.5766473603667794</c:v>
                </c:pt>
                <c:pt idx="307">
                  <c:v>8.6045285350382503</c:v>
                </c:pt>
                <c:pt idx="308">
                  <c:v>8.6319507854853086</c:v>
                </c:pt>
                <c:pt idx="309">
                  <c:v>8.6589182629538897</c:v>
                </c:pt>
                <c:pt idx="310">
                  <c:v>8.6854352192927511</c:v>
                </c:pt>
                <c:pt idx="311">
                  <c:v>8.7115060003795719</c:v>
                </c:pt>
                <c:pt idx="312">
                  <c:v>8.7371350396878658</c:v>
                </c:pt>
                <c:pt idx="313">
                  <c:v>8.762326851998921</c:v>
                </c:pt>
                <c:pt idx="314">
                  <c:v>8.7870860272625837</c:v>
                </c:pt>
                <c:pt idx="315">
                  <c:v>8.8114172246099454</c:v>
                </c:pt>
                <c:pt idx="316">
                  <c:v>8.835325166520775</c:v>
                </c:pt>
                <c:pt idx="317">
                  <c:v>8.8588146331478672</c:v>
                </c:pt>
                <c:pt idx="318">
                  <c:v>8.8818904568002015</c:v>
                </c:pt>
                <c:pt idx="319">
                  <c:v>8.9045575165862108</c:v>
                </c:pt>
                <c:pt idx="320">
                  <c:v>8.926820733218177</c:v>
                </c:pt>
                <c:pt idx="321">
                  <c:v>8.9486850639783757</c:v>
                </c:pt>
                <c:pt idx="322">
                  <c:v>8.9701554978471574</c:v>
                </c:pt>
                <c:pt idx="323">
                  <c:v>8.9912370507928987</c:v>
                </c:pt>
                <c:pt idx="324">
                  <c:v>9.0119347612233671</c:v>
                </c:pt>
                <c:pt idx="325">
                  <c:v>9.0322536855978175</c:v>
                </c:pt>
                <c:pt idx="326">
                  <c:v>9.0521988941987619</c:v>
                </c:pt>
                <c:pt idx="327">
                  <c:v>9.0717754670621797</c:v>
                </c:pt>
                <c:pt idx="328">
                  <c:v>9.0909884900646478</c:v>
                </c:pt>
                <c:pt idx="329">
                  <c:v>9.1098430511656669</c:v>
                </c:pt>
                <c:pt idx="330">
                  <c:v>9.1283442368032031</c:v>
                </c:pt>
                <c:pt idx="331">
                  <c:v>9.1464971284404051</c:v>
                </c:pt>
                <c:pt idx="332">
                  <c:v>9.1643067992610661</c:v>
                </c:pt>
                <c:pt idx="333">
                  <c:v>9.1817783110115094</c:v>
                </c:pt>
                <c:pt idx="334">
                  <c:v>9.1989167109861985</c:v>
                </c:pt>
                <c:pt idx="335">
                  <c:v>9.2157270291543973</c:v>
                </c:pt>
                <c:pt idx="336">
                  <c:v>9.2322142754250383</c:v>
                </c:pt>
                <c:pt idx="337">
                  <c:v>9.2483834370468561</c:v>
                </c:pt>
                <c:pt idx="338">
                  <c:v>9.2642394761407836</c:v>
                </c:pt>
                <c:pt idx="339">
                  <c:v>9.2797873273615039</c:v>
                </c:pt>
                <c:pt idx="340">
                  <c:v>9.2950318956850211</c:v>
                </c:pt>
                <c:pt idx="341">
                  <c:v>9.309978054319048</c:v>
                </c:pt>
                <c:pt idx="342">
                  <c:v>9.3246306427329309</c:v>
                </c:pt>
                <c:pt idx="343">
                  <c:v>9.3389944648039513</c:v>
                </c:pt>
                <c:pt idx="344">
                  <c:v>9.3530742870765451</c:v>
                </c:pt>
                <c:pt idx="345">
                  <c:v>9.3668748371313004</c:v>
                </c:pt>
                <c:pt idx="346">
                  <c:v>9.3804008020603096</c:v>
                </c:pt>
                <c:pt idx="347">
                  <c:v>9.3936568270456657</c:v>
                </c:pt>
                <c:pt idx="348">
                  <c:v>9.4066475140377079</c:v>
                </c:pt>
                <c:pt idx="349">
                  <c:v>9.4193774205298553</c:v>
                </c:pt>
                <c:pt idx="350">
                  <c:v>9.4318510584266555</c:v>
                </c:pt>
                <c:pt idx="351">
                  <c:v>9.4440728930019695</c:v>
                </c:pt>
                <c:pt idx="352">
                  <c:v>9.4560473419439326</c:v>
                </c:pt>
                <c:pt idx="353">
                  <c:v>9.4677787744836976</c:v>
                </c:pt>
                <c:pt idx="354">
                  <c:v>9.4792715106047485</c:v>
                </c:pt>
                <c:pt idx="355">
                  <c:v>9.4905298203297548</c:v>
                </c:pt>
                <c:pt idx="356">
                  <c:v>9.50155792308197</c:v>
                </c:pt>
                <c:pt idx="357">
                  <c:v>9.5123599871181916</c:v>
                </c:pt>
                <c:pt idx="358">
                  <c:v>9.5229401290303564</c:v>
                </c:pt>
                <c:pt idx="359">
                  <c:v>9.5333024133129864</c:v>
                </c:pt>
                <c:pt idx="360">
                  <c:v>9.5434508519936276</c:v>
                </c:pt>
                <c:pt idx="361">
                  <c:v>9.5533894043236103</c:v>
                </c:pt>
                <c:pt idx="362">
                  <c:v>9.5631219765263982</c:v>
                </c:pt>
                <c:pt idx="363">
                  <c:v>9.572652421601024</c:v>
                </c:pt>
                <c:pt idx="364">
                  <c:v>9.5819845391779719</c:v>
                </c:pt>
                <c:pt idx="365">
                  <c:v>9.5911220754251048</c:v>
                </c:pt>
                <c:pt idx="366">
                  <c:v>9.6000687230012147</c:v>
                </c:pt>
                <c:pt idx="367">
                  <c:v>9.6088281210548523</c:v>
                </c:pt>
                <c:pt idx="368">
                  <c:v>9.617403855266156</c:v>
                </c:pt>
                <c:pt idx="369">
                  <c:v>9.6257994579295261</c:v>
                </c:pt>
                <c:pt idx="370">
                  <c:v>9.634018408074926</c:v>
                </c:pt>
                <c:pt idx="371">
                  <c:v>9.642064131625828</c:v>
                </c:pt>
                <c:pt idx="372">
                  <c:v>9.6499400015917196</c:v>
                </c:pt>
                <c:pt idx="373">
                  <c:v>9.6576493382932966</c:v>
                </c:pt>
                <c:pt idx="374">
                  <c:v>9.6651954096184234</c:v>
                </c:pt>
                <c:pt idx="375">
                  <c:v>9.6725814313070622</c:v>
                </c:pt>
                <c:pt idx="376">
                  <c:v>9.6798105672634467</c:v>
                </c:pt>
                <c:pt idx="377">
                  <c:v>9.6868859298937604</c:v>
                </c:pt>
                <c:pt idx="378">
                  <c:v>9.6938105804677583</c:v>
                </c:pt>
                <c:pt idx="379">
                  <c:v>9.7005875295027302</c:v>
                </c:pt>
                <c:pt idx="380">
                  <c:v>9.7072197371682876</c:v>
                </c:pt>
                <c:pt idx="381">
                  <c:v>9.7137101137105741</c:v>
                </c:pt>
                <c:pt idx="382">
                  <c:v>9.72006151989447</c:v>
                </c:pt>
                <c:pt idx="383">
                  <c:v>9.726276767462446</c:v>
                </c:pt>
                <c:pt idx="384">
                  <c:v>9.7323586196088332</c:v>
                </c:pt>
                <c:pt idx="385">
                  <c:v>9.7383097914682217</c:v>
                </c:pt>
                <c:pt idx="386">
                  <c:v>9.7441329506168781</c:v>
                </c:pt>
                <c:pt idx="387">
                  <c:v>9.7498307175859651</c:v>
                </c:pt>
                <c:pt idx="388">
                  <c:v>9.7554056663855668</c:v>
                </c:pt>
                <c:pt idx="389">
                  <c:v>9.7608603250384611</c:v>
                </c:pt>
                <c:pt idx="390">
                  <c:v>9.7661971761226241</c:v>
                </c:pt>
                <c:pt idx="391">
                  <c:v>9.7714186573215809</c:v>
                </c:pt>
                <c:pt idx="392">
                  <c:v>9.7765271619816563</c:v>
                </c:pt>
                <c:pt idx="393">
                  <c:v>9.7815250396752909</c:v>
                </c:pt>
                <c:pt idx="394">
                  <c:v>9.7864145967696405</c:v>
                </c:pt>
                <c:pt idx="395">
                  <c:v>9.7911980969996204</c:v>
                </c:pt>
                <c:pt idx="396">
                  <c:v>9.7958777620447037</c:v>
                </c:pt>
                <c:pt idx="397">
                  <c:v>9.8004557721087853</c:v>
                </c:pt>
                <c:pt idx="398">
                  <c:v>9.8049342665023858</c:v>
                </c:pt>
                <c:pt idx="399">
                  <c:v>9.8093153442266505</c:v>
                </c:pt>
                <c:pt idx="400">
                  <c:v>9.8136010645584815</c:v>
                </c:pt>
                <c:pt idx="401">
                  <c:v>9.8177934476362818</c:v>
                </c:pt>
                <c:pt idx="402">
                  <c:v>9.8218944750457435</c:v>
                </c:pt>
                <c:pt idx="403">
                  <c:v>9.8259060904052085</c:v>
                </c:pt>
                <c:pt idx="404">
                  <c:v>9.8298301999501216</c:v>
                </c:pt>
                <c:pt idx="405">
                  <c:v>9.8336686731161116</c:v>
                </c:pt>
                <c:pt idx="406">
                  <c:v>9.8374233431203049</c:v>
                </c:pt>
                <c:pt idx="407">
                  <c:v>9.8410960075404574</c:v>
                </c:pt>
                <c:pt idx="408">
                  <c:v>9.8446884288915566</c:v>
                </c:pt>
                <c:pt idx="409">
                  <c:v>9.8482023351995238</c:v>
                </c:pt>
                <c:pt idx="410">
                  <c:v>9.8516394205717148</c:v>
                </c:pt>
                <c:pt idx="411">
                  <c:v>9.8550013457638954</c:v>
                </c:pt>
                <c:pt idx="412">
                  <c:v>9.8582897387434372</c:v>
                </c:pt>
                <c:pt idx="413">
                  <c:v>9.8615061952484542</c:v>
                </c:pt>
                <c:pt idx="414">
                  <c:v>9.8646522793426286</c:v>
                </c:pt>
                <c:pt idx="415">
                  <c:v>9.8677295239655187</c:v>
                </c:pt>
                <c:pt idx="416">
                  <c:v>9.8707394314781602</c:v>
                </c:pt>
                <c:pt idx="417">
                  <c:v>9.8736834742037125</c:v>
                </c:pt>
                <c:pt idx="418">
                  <c:v>9.8765630949630374</c:v>
                </c:pt>
                <c:pt idx="419">
                  <c:v>9.8793797076050094</c:v>
                </c:pt>
                <c:pt idx="420">
                  <c:v>9.882134697531427</c:v>
                </c:pt>
                <c:pt idx="421">
                  <c:v>9.8848294222164057</c:v>
                </c:pt>
                <c:pt idx="422">
                  <c:v>9.8874652117201158</c:v>
                </c:pt>
                <c:pt idx="423">
                  <c:v>9.8900433691967482</c:v>
                </c:pt>
                <c:pt idx="424">
                  <c:v>9.8925651713966687</c:v>
                </c:pt>
                <c:pt idx="425">
                  <c:v>9.8950318691626027</c:v>
                </c:pt>
                <c:pt idx="426">
                  <c:v>9.8974446879198439</c:v>
                </c:pt>
                <c:pt idx="427">
                  <c:v>9.8998048281603701</c:v>
                </c:pt>
                <c:pt idx="428">
                  <c:v>9.9021134659208716</c:v>
                </c:pt>
                <c:pt idx="429">
                  <c:v>9.9043717532545941</c:v>
                </c:pt>
                <c:pt idx="430">
                  <c:v>9.9065808186969839</c:v>
                </c:pt>
                <c:pt idx="431">
                  <c:v>9.9087417677251377</c:v>
                </c:pt>
                <c:pt idx="432">
                  <c:v>9.9108556832109826</c:v>
                </c:pt>
                <c:pt idx="433">
                  <c:v>9.9129236258681974</c:v>
                </c:pt>
                <c:pt idx="434">
                  <c:v>9.9149466346929174</c:v>
                </c:pt>
                <c:pt idx="435">
                  <c:v>9.9169257273981266</c:v>
                </c:pt>
                <c:pt idx="436">
                  <c:v>9.9188619008418542</c:v>
                </c:pt>
                <c:pt idx="437">
                  <c:v>9.920756131449096</c:v>
                </c:pt>
                <c:pt idx="438">
                  <c:v>9.9226093756275429</c:v>
                </c:pt>
                <c:pt idx="439">
                  <c:v>9.924422570177116</c:v>
                </c:pt>
                <c:pt idx="440">
                  <c:v>9.9261966326933369</c:v>
                </c:pt>
                <c:pt idx="441">
                  <c:v>9.9279324619645539</c:v>
                </c:pt>
                <c:pt idx="442">
                  <c:v>9.9296309383631183</c:v>
                </c:pt>
                <c:pt idx="443">
                  <c:v>9.9312929242304637</c:v>
                </c:pt>
                <c:pt idx="444">
                  <c:v>9.932919264256217</c:v>
                </c:pt>
                <c:pt idx="445">
                  <c:v>9.9345107858513426</c:v>
                </c:pt>
                <c:pt idx="446">
                  <c:v>9.9360682995153766</c:v>
                </c:pt>
                <c:pt idx="447">
                  <c:v>9.9375925991978242</c:v>
                </c:pt>
                <c:pt idx="448">
                  <c:v>9.9390844626537636</c:v>
                </c:pt>
                <c:pt idx="449">
                  <c:v>9.9405446517937239</c:v>
                </c:pt>
                <c:pt idx="450">
                  <c:v>9.9419739130278781</c:v>
                </c:pt>
                <c:pt idx="451">
                  <c:v>9.9433729776046675</c:v>
                </c:pt>
                <c:pt idx="452">
                  <c:v>9.9447425619438459</c:v>
                </c:pt>
                <c:pt idx="453">
                  <c:v>9.9460833679641016</c:v>
                </c:pt>
                <c:pt idx="454">
                  <c:v>9.9473960834052502</c:v>
                </c:pt>
                <c:pt idx="455">
                  <c:v>9.9486813821451143</c:v>
                </c:pt>
                <c:pt idx="456">
                  <c:v>9.9499399245111508</c:v>
                </c:pt>
                <c:pt idx="457">
                  <c:v>9.951172357586902</c:v>
                </c:pt>
                <c:pt idx="458">
                  <c:v>9.9523793155133387</c:v>
                </c:pt>
                <c:pt idx="459">
                  <c:v>9.9535614197851885</c:v>
                </c:pt>
                <c:pt idx="460">
                  <c:v>9.9547192795422923</c:v>
                </c:pt>
                <c:pt idx="461">
                  <c:v>9.9558534918561179</c:v>
                </c:pt>
                <c:pt idx="462">
                  <c:v>9.9569646420114779</c:v>
                </c:pt>
                <c:pt idx="463">
                  <c:v>9.9580533037835082</c:v>
                </c:pt>
                <c:pt idx="464">
                  <c:v>9.9591200397100437</c:v>
                </c:pt>
                <c:pt idx="465">
                  <c:v>9.9601654013594398</c:v>
                </c:pt>
                <c:pt idx="466">
                  <c:v>9.9611899295939086</c:v>
                </c:pt>
                <c:pt idx="467">
                  <c:v>9.9621941548284649</c:v>
                </c:pt>
                <c:pt idx="468">
                  <c:v>9.9631785972855855</c:v>
                </c:pt>
                <c:pt idx="469">
                  <c:v>9.9641437672456181</c:v>
                </c:pt>
                <c:pt idx="470">
                  <c:v>9.9650901652930397</c:v>
                </c:pt>
                <c:pt idx="471">
                  <c:v>9.966018282558684</c:v>
                </c:pt>
                <c:pt idx="472">
                  <c:v>9.9669286009579441</c:v>
                </c:pt>
                <c:pt idx="473">
                  <c:v>9.9678215934250964</c:v>
                </c:pt>
                <c:pt idx="474">
                  <c:v>9.9686977241438068</c:v>
                </c:pt>
                <c:pt idx="475">
                  <c:v>9.9695574487738661</c:v>
                </c:pt>
                <c:pt idx="476">
                  <c:v>9.9704012146743164</c:v>
                </c:pt>
                <c:pt idx="477">
                  <c:v>9.9712294611229435</c:v>
                </c:pt>
                <c:pt idx="478">
                  <c:v>9.9720426195323082</c:v>
                </c:pt>
                <c:pt idx="479">
                  <c:v>9.9728411136623567</c:v>
                </c:pt>
                <c:pt idx="480">
                  <c:v>9.973625359829672</c:v>
                </c:pt>
                <c:pt idx="481">
                  <c:v>9.9743957671134744</c:v>
                </c:pt>
                <c:pt idx="482">
                  <c:v>9.9751527375584637</c:v>
                </c:pt>
                <c:pt idx="483">
                  <c:v>9.9758966663745188</c:v>
                </c:pt>
                <c:pt idx="484">
                  <c:v>9.9766279421334154</c:v>
                </c:pt>
                <c:pt idx="485">
                  <c:v>9.9773469469625677</c:v>
                </c:pt>
                <c:pt idx="486">
                  <c:v>9.9780540567359211</c:v>
                </c:pt>
                <c:pt idx="487">
                  <c:v>9.9787496412620467</c:v>
                </c:pt>
                <c:pt idx="488">
                  <c:v>9.9794340644695225</c:v>
                </c:pt>
                <c:pt idx="489">
                  <c:v>9.9801076845896688</c:v>
                </c:pt>
                <c:pt idx="490">
                  <c:v>9.9807708543367522</c:v>
                </c:pt>
                <c:pt idx="491">
                  <c:v>9.9814239210856606</c:v>
                </c:pt>
                <c:pt idx="492">
                  <c:v>9.9820672270471942</c:v>
                </c:pt>
                <c:pt idx="493">
                  <c:v>9.9827011094410256</c:v>
                </c:pt>
                <c:pt idx="494">
                  <c:v>9.9833259006663653</c:v>
                </c:pt>
                <c:pt idx="495">
                  <c:v>9.9839419284704736</c:v>
                </c:pt>
                <c:pt idx="496">
                  <c:v>9.9845495161150364</c:v>
                </c:pt>
                <c:pt idx="497">
                  <c:v>9.9851489825405118</c:v>
                </c:pt>
                <c:pt idx="498">
                  <c:v>9.9857406425284783</c:v>
                </c:pt>
                <c:pt idx="499">
                  <c:v>9.9863248068621324</c:v>
                </c:pt>
                <c:pt idx="500">
                  <c:v>9.9869017824849173</c:v>
                </c:pt>
                <c:pt idx="501">
                  <c:v>9.9874718726574159</c:v>
                </c:pt>
                <c:pt idx="502">
                  <c:v>9.9880353771125598</c:v>
                </c:pt>
                <c:pt idx="503">
                  <c:v>9.9885925922092209</c:v>
                </c:pt>
                <c:pt idx="504">
                  <c:v>9.9891438110842667</c:v>
                </c:pt>
                <c:pt idx="505">
                  <c:v>9.9896893238031303</c:v>
                </c:pt>
                <c:pt idx="506">
                  <c:v>9.9902294175089974</c:v>
                </c:pt>
                <c:pt idx="507">
                  <c:v>9.99076437657064</c:v>
                </c:pt>
                <c:pt idx="508">
                  <c:v>9.9912944827290016</c:v>
                </c:pt>
                <c:pt idx="509">
                  <c:v>9.991820015242574</c:v>
                </c:pt>
                <c:pt idx="510">
                  <c:v>9.9923412510316592</c:v>
                </c:pt>
                <c:pt idx="511">
                  <c:v>9.9928584648215715</c:v>
                </c:pt>
                <c:pt idx="512">
                  <c:v>9.9933719292848391</c:v>
                </c:pt>
                <c:pt idx="513">
                  <c:v>9.9938819151825022</c:v>
                </c:pt>
                <c:pt idx="514">
                  <c:v>9.9943886915045521</c:v>
                </c:pt>
                <c:pt idx="515">
                  <c:v>9.9948925256095613</c:v>
                </c:pt>
                <c:pt idx="516">
                  <c:v>9.9953936833636448</c:v>
                </c:pt>
                <c:pt idx="517">
                  <c:v>9.9958924292787295</c:v>
                </c:pt>
                <c:pt idx="518">
                  <c:v>9.9963890266502542</c:v>
                </c:pt>
                <c:pt idx="519">
                  <c:v>9.9968837376943736</c:v>
                </c:pt>
                <c:pt idx="520">
                  <c:v>9.9973768236846752</c:v>
                </c:pt>
                <c:pt idx="521">
                  <c:v>9.9978685450885738</c:v>
                </c:pt>
                <c:pt idx="522">
                  <c:v>9.9983591617033341</c:v>
                </c:pt>
                <c:pt idx="523">
                  <c:v>9.9988489327919048</c:v>
                </c:pt>
                <c:pt idx="524">
                  <c:v>9.9993381172185458</c:v>
                </c:pt>
                <c:pt idx="525">
                  <c:v>9.9998269735843444</c:v>
                </c:pt>
                <c:pt idx="526">
                  <c:v>10.000315760362716</c:v>
                </c:pt>
                <c:pt idx="527">
                  <c:v>10.000804736034926</c:v>
                </c:pt>
                <c:pt idx="528">
                  <c:v>10.001294159225701</c:v>
                </c:pt>
                <c:pt idx="529">
                  <c:v>10.001784288839008</c:v>
                </c:pt>
                <c:pt idx="530">
                  <c:v>10.002275384194087</c:v>
                </c:pt>
                <c:pt idx="531">
                  <c:v>10.00276770516178</c:v>
                </c:pt>
                <c:pt idx="532">
                  <c:v>10.003261512301215</c:v>
                </c:pt>
                <c:pt idx="533">
                  <c:v>10.003757066996975</c:v>
                </c:pt>
                <c:pt idx="534">
                  <c:v>10.00425463159675</c:v>
                </c:pt>
                <c:pt idx="535">
                  <c:v>10.004754469549605</c:v>
                </c:pt>
                <c:pt idx="536">
                  <c:v>10.005256845544887</c:v>
                </c:pt>
                <c:pt idx="537">
                  <c:v>10.005762025651858</c:v>
                </c:pt>
                <c:pt idx="538">
                  <c:v>10.006270277460162</c:v>
                </c:pt>
                <c:pt idx="539">
                  <c:v>10.006781870221133</c:v>
                </c:pt>
                <c:pt idx="540">
                  <c:v>10.007297074990086</c:v>
                </c:pt>
                <c:pt idx="541">
                  <c:v>10.007816164769613</c:v>
                </c:pt>
                <c:pt idx="542">
                  <c:v>10.008339414653982</c:v>
                </c:pt>
                <c:pt idx="543">
                  <c:v>10.008867101974714</c:v>
                </c:pt>
                <c:pt idx="544">
                  <c:v>10.009399506447419</c:v>
                </c:pt>
                <c:pt idx="545">
                  <c:v>10.009936910319972</c:v>
                </c:pt>
                <c:pt idx="546">
                  <c:v>10.010479598522046</c:v>
                </c:pt>
                <c:pt idx="547">
                  <c:v>10.011027858816202</c:v>
                </c:pt>
                <c:pt idx="548">
                  <c:v>10.011581981950512</c:v>
                </c:pt>
                <c:pt idx="549">
                  <c:v>10.01214226181281</c:v>
                </c:pt>
                <c:pt idx="550">
                  <c:v>10.012708995586724</c:v>
                </c:pt>
                <c:pt idx="551">
                  <c:v>10.013282483909487</c:v>
                </c:pt>
                <c:pt idx="552">
                  <c:v>10.013863031031644</c:v>
                </c:pt>
                <c:pt idx="553">
                  <c:v>10.014450944978771</c:v>
                </c:pt>
                <c:pt idx="554">
                  <c:v>10.015046537715232</c:v>
                </c:pt>
                <c:pt idx="555">
                  <c:v>10.015650125310122</c:v>
                </c:pt>
                <c:pt idx="556">
                  <c:v>10.01626202810543</c:v>
                </c:pt>
                <c:pt idx="557">
                  <c:v>10.016882570886562</c:v>
                </c:pt>
                <c:pt idx="558">
                  <c:v>10.017512083055276</c:v>
                </c:pt>
                <c:pt idx="559">
                  <c:v>10.018150898805171</c:v>
                </c:pt>
                <c:pt idx="560">
                  <c:v>10.018799357299732</c:v>
                </c:pt>
                <c:pt idx="561">
                  <c:v>10.019457802853164</c:v>
                </c:pt>
                <c:pt idx="562">
                  <c:v>10.02012658511399</c:v>
                </c:pt>
                <c:pt idx="563">
                  <c:v>10.020806059251553</c:v>
                </c:pt>
                <c:pt idx="564">
                  <c:v>10.021496586145579</c:v>
                </c:pt>
                <c:pt idx="565">
                  <c:v>10.0221985325788</c:v>
                </c:pt>
                <c:pt idx="566">
                  <c:v>10.022912271432842</c:v>
                </c:pt>
                <c:pt idx="567">
                  <c:v>10.023638181887408</c:v>
                </c:pt>
                <c:pt idx="568">
                  <c:v>10.024376649622925</c:v>
                </c:pt>
                <c:pt idx="569">
                  <c:v>10.025128067026705</c:v>
                </c:pt>
                <c:pt idx="570">
                  <c:v>10.025892833402805</c:v>
                </c:pt>
                <c:pt idx="571">
                  <c:v>10.026671355185629</c:v>
                </c:pt>
                <c:pt idx="572">
                  <c:v>10.027464046157441</c:v>
                </c:pt>
                <c:pt idx="573">
                  <c:v>10.028271327669881</c:v>
                </c:pt>
                <c:pt idx="574">
                  <c:v>10.02909362886963</c:v>
                </c:pt>
                <c:pt idx="575">
                  <c:v>10.029931386928302</c:v>
                </c:pt>
                <c:pt idx="576">
                  <c:v>10.030785047276762</c:v>
                </c:pt>
                <c:pt idx="577">
                  <c:v>10.031655063843923</c:v>
                </c:pt>
                <c:pt idx="578">
                  <c:v>10.032541899300215</c:v>
                </c:pt>
                <c:pt idx="579">
                  <c:v>10.033446025305825</c:v>
                </c:pt>
                <c:pt idx="580">
                  <c:v>10.034367922763852</c:v>
                </c:pt>
                <c:pt idx="581">
                  <c:v>10.035308082078553</c:v>
                </c:pt>
                <c:pt idx="582">
                  <c:v>10.036267003418734</c:v>
                </c:pt>
                <c:pt idx="583">
                  <c:v>10.03724519698657</c:v>
                </c:pt>
                <c:pt idx="584">
                  <c:v>10.038243183291851</c:v>
                </c:pt>
                <c:pt idx="585">
                  <c:v>10.039261493431946</c:v>
                </c:pt>
                <c:pt idx="586">
                  <c:v>10.040300669377537</c:v>
                </c:pt>
                <c:pt idx="587">
                  <c:v>10.041361264264351</c:v>
                </c:pt>
                <c:pt idx="588">
                  <c:v>10.042443842691013</c:v>
                </c:pt>
                <c:pt idx="589">
                  <c:v>10.043548981023207</c:v>
                </c:pt>
                <c:pt idx="590">
                  <c:v>10.044677267704319</c:v>
                </c:pt>
                <c:pt idx="591">
                  <c:v>10.045829303572733</c:v>
                </c:pt>
                <c:pt idx="592">
                  <c:v>10.047005702185942</c:v>
                </c:pt>
                <c:pt idx="593">
                  <c:v>10.048207090151694</c:v>
                </c:pt>
                <c:pt idx="594">
                  <c:v>10.049434107466325</c:v>
                </c:pt>
                <c:pt idx="595">
                  <c:v>10.050687407860492</c:v>
                </c:pt>
                <c:pt idx="596">
                  <c:v>10.051967659152506</c:v>
                </c:pt>
                <c:pt idx="597">
                  <c:v>10.053275543609454</c:v>
                </c:pt>
                <c:pt idx="598">
                  <c:v>10.054611758316314</c:v>
                </c:pt>
                <c:pt idx="599">
                  <c:v>10.055977015553283</c:v>
                </c:pt>
                <c:pt idx="600">
                  <c:v>10.057372043181555</c:v>
                </c:pt>
                <c:pt idx="601">
                  <c:v>10.058797585037723</c:v>
                </c:pt>
                <c:pt idx="602">
                  <c:v>10.060254401337071</c:v>
                </c:pt>
                <c:pt idx="603">
                  <c:v>10.061743269085973</c:v>
                </c:pt>
                <c:pt idx="604">
                  <c:v>10.063264982503647</c:v>
                </c:pt>
                <c:pt idx="605">
                  <c:v>10.064820353453499</c:v>
                </c:pt>
                <c:pt idx="606">
                  <c:v>10.066410211884307</c:v>
                </c:pt>
                <c:pt idx="607">
                  <c:v>10.06803540628152</c:v>
                </c:pt>
                <c:pt idx="608">
                  <c:v>10.069696804128915</c:v>
                </c:pt>
                <c:pt idx="609">
                  <c:v>10.071395292380872</c:v>
                </c:pt>
                <c:pt idx="610">
                  <c:v>10.073131777945603</c:v>
                </c:pt>
                <c:pt idx="611">
                  <c:v>10.074907188179521</c:v>
                </c:pt>
                <c:pt idx="612">
                  <c:v>10.076722471393165</c:v>
                </c:pt>
                <c:pt idx="613">
                  <c:v>10.078578597368827</c:v>
                </c:pt>
                <c:pt idx="614">
                  <c:v>10.080476557890361</c:v>
                </c:pt>
                <c:pt idx="615">
                  <c:v>10.08241736728532</c:v>
                </c:pt>
                <c:pt idx="616">
                  <c:v>10.084402062979891</c:v>
                </c:pt>
                <c:pt idx="617">
                  <c:v>10.086431706066824</c:v>
                </c:pt>
                <c:pt idx="618">
                  <c:v>10.088507381886824</c:v>
                </c:pt>
                <c:pt idx="619">
                  <c:v>10.090630200623638</c:v>
                </c:pt>
                <c:pt idx="620">
                  <c:v>10.092801297913297</c:v>
                </c:pt>
                <c:pt idx="621">
                  <c:v>10.095021835467787</c:v>
                </c:pt>
                <c:pt idx="622">
                  <c:v>10.097293001713611</c:v>
                </c:pt>
                <c:pt idx="623">
                  <c:v>10.099616012445557</c:v>
                </c:pt>
                <c:pt idx="624">
                  <c:v>10.101992111496134</c:v>
                </c:pt>
                <c:pt idx="625">
                  <c:v>10.104422571421017</c:v>
                </c:pt>
                <c:pt idx="626">
                  <c:v>10.106908694200998</c:v>
                </c:pt>
                <c:pt idx="627">
                  <c:v>10.109451811960787</c:v>
                </c:pt>
                <c:pt idx="628">
                  <c:v>10.1120532877052</c:v>
                </c:pt>
                <c:pt idx="629">
                  <c:v>10.114714516073091</c:v>
                </c:pt>
                <c:pt idx="630">
                  <c:v>10.117436924109589</c:v>
                </c:pt>
                <c:pt idx="631">
                  <c:v>10.120221972057042</c:v>
                </c:pt>
                <c:pt idx="632">
                  <c:v>10.123071154165208</c:v>
                </c:pt>
                <c:pt idx="633">
                  <c:v>10.125985999521216</c:v>
                </c:pt>
                <c:pt idx="634">
                  <c:v>10.128968072899722</c:v>
                </c:pt>
                <c:pt idx="635">
                  <c:v>10.132018975633944</c:v>
                </c:pt>
                <c:pt idx="636">
                  <c:v>10.135140346508006</c:v>
                </c:pt>
                <c:pt idx="637">
                  <c:v>10.138333862671189</c:v>
                </c:pt>
                <c:pt idx="638">
                  <c:v>10.141601240574735</c:v>
                </c:pt>
                <c:pt idx="639">
                  <c:v>10.144944236931691</c:v>
                </c:pt>
                <c:pt idx="640">
                  <c:v>10.148364649700531</c:v>
                </c:pt>
                <c:pt idx="641">
                  <c:v>10.151864319093091</c:v>
                </c:pt>
                <c:pt idx="642">
                  <c:v>10.155445128607534</c:v>
                </c:pt>
                <c:pt idx="643">
                  <c:v>10.159109006086988</c:v>
                </c:pt>
                <c:pt idx="644">
                  <c:v>10.162857924804564</c:v>
                </c:pt>
                <c:pt idx="645">
                  <c:v>10.166693904575443</c:v>
                </c:pt>
                <c:pt idx="646">
                  <c:v>10.170619012896813</c:v>
                </c:pt>
                <c:pt idx="647">
                  <c:v>10.174635366116336</c:v>
                </c:pt>
                <c:pt idx="648">
                  <c:v>10.178745130630015</c:v>
                </c:pt>
                <c:pt idx="649">
                  <c:v>10.182950524110183</c:v>
                </c:pt>
                <c:pt idx="650">
                  <c:v>10.187253816764468</c:v>
                </c:pt>
                <c:pt idx="651">
                  <c:v>10.191657332626606</c:v>
                </c:pt>
                <c:pt idx="652">
                  <c:v>10.196163450879935</c:v>
                </c:pt>
                <c:pt idx="653">
                  <c:v>10.200774607214521</c:v>
                </c:pt>
                <c:pt idx="654">
                  <c:v>10.205493295218785</c:v>
                </c:pt>
                <c:pt idx="655">
                  <c:v>10.21032206780664</c:v>
                </c:pt>
                <c:pt idx="656">
                  <c:v>10.215263538681125</c:v>
                </c:pt>
                <c:pt idx="657">
                  <c:v>10.220320383835499</c:v>
                </c:pt>
                <c:pt idx="658">
                  <c:v>10.225495343092922</c:v>
                </c:pt>
                <c:pt idx="659">
                  <c:v>10.230791221685745</c:v>
                </c:pt>
                <c:pt idx="660">
                  <c:v>10.23621089187556</c:v>
                </c:pt>
                <c:pt idx="661">
                  <c:v>10.24175729461513</c:v>
                </c:pt>
                <c:pt idx="662">
                  <c:v>10.247433441253452</c:v>
                </c:pt>
                <c:pt idx="663">
                  <c:v>10.253242415285095</c:v>
                </c:pt>
                <c:pt idx="664">
                  <c:v>10.259187374145124</c:v>
                </c:pt>
                <c:pt idx="665">
                  <c:v>10.265271551050951</c:v>
                </c:pt>
                <c:pt idx="666">
                  <c:v>10.271498256892372</c:v>
                </c:pt>
                <c:pt idx="667">
                  <c:v>10.277870882171275</c:v>
                </c:pt>
                <c:pt idx="668">
                  <c:v>10.284392898992406</c:v>
                </c:pt>
                <c:pt idx="669">
                  <c:v>10.291067863106688</c:v>
                </c:pt>
                <c:pt idx="670">
                  <c:v>10.297899416008615</c:v>
                </c:pt>
                <c:pt idx="671">
                  <c:v>10.304891287089358</c:v>
                </c:pt>
                <c:pt idx="672">
                  <c:v>10.312047295847165</c:v>
                </c:pt>
                <c:pt idx="673">
                  <c:v>10.319371354156758</c:v>
                </c:pt>
                <c:pt idx="674">
                  <c:v>10.326867468599513</c:v>
                </c:pt>
                <c:pt idx="675">
                  <c:v>10.334539742856203</c:v>
                </c:pt>
                <c:pt idx="676">
                  <c:v>10.342392380164171</c:v>
                </c:pt>
                <c:pt idx="677">
                  <c:v>10.350429685840888</c:v>
                </c:pt>
                <c:pt idx="678">
                  <c:v>10.358656069875913</c:v>
                </c:pt>
                <c:pt idx="679">
                  <c:v>10.367076049593257</c:v>
                </c:pt>
                <c:pt idx="680">
                  <c:v>10.37569425238638</c:v>
                </c:pt>
                <c:pt idx="681">
                  <c:v>10.384515418528007</c:v>
                </c:pt>
                <c:pt idx="682">
                  <c:v>10.393544404057039</c:v>
                </c:pt>
                <c:pt idx="683">
                  <c:v>10.402786183744942</c:v>
                </c:pt>
                <c:pt idx="684">
                  <c:v>10.412245854144144</c:v>
                </c:pt>
                <c:pt idx="685">
                  <c:v>10.421928636720871</c:v>
                </c:pt>
                <c:pt idx="686">
                  <c:v>10.431839881075197</c:v>
                </c:pt>
                <c:pt idx="687">
                  <c:v>10.441985068250911</c:v>
                </c:pt>
                <c:pt idx="688">
                  <c:v>10.452369814138187</c:v>
                </c:pt>
                <c:pt idx="689">
                  <c:v>10.462999872971857</c:v>
                </c:pt>
                <c:pt idx="690">
                  <c:v>10.473881140928434</c:v>
                </c:pt>
                <c:pt idx="691">
                  <c:v>10.485019659825024</c:v>
                </c:pt>
                <c:pt idx="692">
                  <c:v>10.496421620923376</c:v>
                </c:pt>
                <c:pt idx="693">
                  <c:v>10.508093368842513</c:v>
                </c:pt>
                <c:pt idx="694">
                  <c:v>10.520041405583452</c:v>
                </c:pt>
                <c:pt idx="695">
                  <c:v>10.532272394669716</c:v>
                </c:pt>
                <c:pt idx="696">
                  <c:v>10.544793165407352</c:v>
                </c:pt>
                <c:pt idx="697">
                  <c:v>10.557610717268544</c:v>
                </c:pt>
                <c:pt idx="698">
                  <c:v>10.570732224402779</c:v>
                </c:pt>
                <c:pt idx="699">
                  <c:v>10.584165040279947</c:v>
                </c:pt>
                <c:pt idx="700">
                  <c:v>10.597916702469707</c:v>
                </c:pt>
                <c:pt idx="701">
                  <c:v>10.611994937561812</c:v>
                </c:pt>
                <c:pt idx="702">
                  <c:v>10.626407666232069</c:v>
                </c:pt>
                <c:pt idx="703">
                  <c:v>10.641163008459005</c:v>
                </c:pt>
                <c:pt idx="704">
                  <c:v>10.656269288896359</c:v>
                </c:pt>
                <c:pt idx="705">
                  <c:v>10.67173504240678</c:v>
                </c:pt>
                <c:pt idx="706">
                  <c:v>10.687569019762321</c:v>
                </c:pt>
                <c:pt idx="707">
                  <c:v>10.703780193517568</c:v>
                </c:pt>
                <c:pt idx="708">
                  <c:v>10.720377764061466</c:v>
                </c:pt>
                <c:pt idx="709">
                  <c:v>10.737371165854116</c:v>
                </c:pt>
                <c:pt idx="710">
                  <c:v>10.754770073855138</c:v>
                </c:pt>
                <c:pt idx="711">
                  <c:v>10.772584410150456</c:v>
                </c:pt>
                <c:pt idx="712">
                  <c:v>10.790824350784558</c:v>
                </c:pt>
                <c:pt idx="713">
                  <c:v>10.80950033280579</c:v>
                </c:pt>
                <c:pt idx="714">
                  <c:v>10.828623061532261</c:v>
                </c:pt>
                <c:pt idx="715">
                  <c:v>10.848203518046576</c:v>
                </c:pt>
                <c:pt idx="716">
                  <c:v>10.868252966927729</c:v>
                </c:pt>
                <c:pt idx="717">
                  <c:v>10.888782964228941</c:v>
                </c:pt>
                <c:pt idx="718">
                  <c:v>10.909805365710653</c:v>
                </c:pt>
                <c:pt idx="719">
                  <c:v>10.931332335338167</c:v>
                </c:pt>
                <c:pt idx="720">
                  <c:v>10.953376354053935</c:v>
                </c:pt>
                <c:pt idx="721">
                  <c:v>10.975950228834984</c:v>
                </c:pt>
                <c:pt idx="722">
                  <c:v>10.999067102046215</c:v>
                </c:pt>
                <c:pt idx="723">
                  <c:v>11.022740461101057</c:v>
                </c:pt>
                <c:pt idx="724">
                  <c:v>11.046984148441362</c:v>
                </c:pt>
                <c:pt idx="725">
                  <c:v>11.071812371848859</c:v>
                </c:pt>
                <c:pt idx="726">
                  <c:v>11.097239715101241</c:v>
                </c:pt>
                <c:pt idx="727">
                  <c:v>11.123281148986406</c:v>
                </c:pt>
                <c:pt idx="728">
                  <c:v>11.149952042689094</c:v>
                </c:pt>
                <c:pt idx="729">
                  <c:v>11.177268175564762</c:v>
                </c:pt>
                <c:pt idx="730">
                  <c:v>11.205245749316219</c:v>
                </c:pt>
                <c:pt idx="731">
                  <c:v>11.233901400589389</c:v>
                </c:pt>
                <c:pt idx="732">
                  <c:v>11.263252214005137</c:v>
                </c:pt>
                <c:pt idx="733">
                  <c:v>11.293315735645182</c:v>
                </c:pt>
                <c:pt idx="734">
                  <c:v>11.324109987010644</c:v>
                </c:pt>
                <c:pt idx="735">
                  <c:v>11.355653479472968</c:v>
                </c:pt>
                <c:pt idx="736">
                  <c:v>11.387965229237787</c:v>
                </c:pt>
                <c:pt idx="737">
                  <c:v>11.421064772843218</c:v>
                </c:pt>
                <c:pt idx="738">
                  <c:v>11.454972183215375</c:v>
                </c:pt>
                <c:pt idx="739">
                  <c:v>11.489708086304681</c:v>
                </c:pt>
                <c:pt idx="740">
                  <c:v>11.525293678328069</c:v>
                </c:pt>
                <c:pt idx="741">
                  <c:v>11.561750743643213</c:v>
                </c:pt>
                <c:pt idx="742">
                  <c:v>11.599101673282199</c:v>
                </c:pt>
                <c:pt idx="743">
                  <c:v>11.637369484173758</c:v>
                </c:pt>
                <c:pt idx="744">
                  <c:v>11.676577839084159</c:v>
                </c:pt>
                <c:pt idx="745">
                  <c:v>11.716751067308971</c:v>
                </c:pt>
                <c:pt idx="746">
                  <c:v>11.757914186149106</c:v>
                </c:pt>
                <c:pt idx="747">
                  <c:v>11.800092923206595</c:v>
                </c:pt>
                <c:pt idx="748">
                  <c:v>11.843313739537175</c:v>
                </c:pt>
                <c:pt idx="749">
                  <c:v>11.887603853699039</c:v>
                </c:pt>
                <c:pt idx="750">
                  <c:v>11.932991266738783</c:v>
                </c:pt>
                <c:pt idx="751">
                  <c:v>11.979504788158147</c:v>
                </c:pt>
                <c:pt idx="752">
                  <c:v>12.027174062907282</c:v>
                </c:pt>
                <c:pt idx="753">
                  <c:v>12.076029599452825</c:v>
                </c:pt>
                <c:pt idx="754">
                  <c:v>12.126102798971765</c:v>
                </c:pt>
                <c:pt idx="755">
                  <c:v>12.177425985724636</c:v>
                </c:pt>
                <c:pt idx="756">
                  <c:v>12.230032438665008</c:v>
                </c:pt>
                <c:pt idx="757">
                  <c:v>12.283956424344815</c:v>
                </c:pt>
                <c:pt idx="758">
                  <c:v>12.339233231179056</c:v>
                </c:pt>
                <c:pt idx="759">
                  <c:v>12.395899205136391</c:v>
                </c:pt>
                <c:pt idx="760">
                  <c:v>12.453991786926398</c:v>
                </c:pt>
                <c:pt idx="761">
                  <c:v>12.513549550758109</c:v>
                </c:pt>
                <c:pt idx="762">
                  <c:v>12.574612244748737</c:v>
                </c:pt>
                <c:pt idx="763">
                  <c:v>12.637220833066278</c:v>
                </c:pt>
                <c:pt idx="764">
                  <c:v>12.701417539894399</c:v>
                </c:pt>
                <c:pt idx="765">
                  <c:v>12.767245895313174</c:v>
                </c:pt>
                <c:pt idx="766">
                  <c:v>12.834750783195314</c:v>
                </c:pt>
                <c:pt idx="767">
                  <c:v>12.903978491222725</c:v>
                </c:pt>
                <c:pt idx="768">
                  <c:v>12.974976763135228</c:v>
                </c:pt>
                <c:pt idx="769">
                  <c:v>13.047794853329796</c:v>
                </c:pt>
                <c:pt idx="770">
                  <c:v>13.122483583935891</c:v>
                </c:pt>
                <c:pt idx="771">
                  <c:v>13.199095404500435</c:v>
                </c:pt>
                <c:pt idx="772">
                  <c:v>13.277684454424096</c:v>
                </c:pt>
                <c:pt idx="773">
                  <c:v>13.358306628299458</c:v>
                </c:pt>
                <c:pt idx="774">
                  <c:v>13.441019644311526</c:v>
                </c:pt>
                <c:pt idx="775">
                  <c:v>13.525883115870583</c:v>
                </c:pt>
                <c:pt idx="776">
                  <c:v>13.612958626659116</c:v>
                </c:pt>
                <c:pt idx="777">
                  <c:v>13.702309809285641</c:v>
                </c:pt>
                <c:pt idx="778">
                  <c:v>13.794002427751387</c:v>
                </c:pt>
                <c:pt idx="779">
                  <c:v>13.888104463949015</c:v>
                </c:pt>
                <c:pt idx="780">
                  <c:v>13.984686208427235</c:v>
                </c:pt>
                <c:pt idx="781">
                  <c:v>14.083820355670934</c:v>
                </c:pt>
                <c:pt idx="782">
                  <c:v>14.185582104163048</c:v>
                </c:pt>
                <c:pt idx="783">
                  <c:v>14.290049261512955</c:v>
                </c:pt>
                <c:pt idx="784">
                  <c:v>14.397302354955208</c:v>
                </c:pt>
                <c:pt idx="785">
                  <c:v>14.507424747543915</c:v>
                </c:pt>
                <c:pt idx="786">
                  <c:v>14.620502760390691</c:v>
                </c:pt>
                <c:pt idx="787">
                  <c:v>14.736625801318365</c:v>
                </c:pt>
                <c:pt idx="788">
                  <c:v>14.855886500329675</c:v>
                </c:pt>
                <c:pt idx="789">
                  <c:v>14.978380852318242</c:v>
                </c:pt>
                <c:pt idx="790">
                  <c:v>15.10420836748033</c:v>
                </c:pt>
                <c:pt idx="791">
                  <c:v>15.233472229919656</c:v>
                </c:pt>
                <c:pt idx="792">
                  <c:v>15.366279464973118</c:v>
                </c:pt>
                <c:pt idx="793">
                  <c:v>15.502741115825387</c:v>
                </c:pt>
                <c:pt idx="794">
                  <c:v>15.642972430022466</c:v>
                </c:pt>
                <c:pt idx="795">
                  <c:v>15.787093056540741</c:v>
                </c:pt>
                <c:pt idx="796">
                  <c:v>15.93522725411829</c:v>
                </c:pt>
                <c:pt idx="797">
                  <c:v>16.087504111610048</c:v>
                </c:pt>
                <c:pt idx="798">
                  <c:v>16.24405778118712</c:v>
                </c:pt>
                <c:pt idx="799">
                  <c:v>16.405027725266621</c:v>
                </c:pt>
                <c:pt idx="800">
                  <c:v>16.570558978127181</c:v>
                </c:pt>
                <c:pt idx="801">
                  <c:v>16.74080242324349</c:v>
                </c:pt>
                <c:pt idx="802">
                  <c:v>16.915915087456483</c:v>
                </c:pt>
                <c:pt idx="803">
                  <c:v>17.096060453187182</c:v>
                </c:pt>
                <c:pt idx="804">
                  <c:v>17.281408790003258</c:v>
                </c:pt>
                <c:pt idx="805">
                  <c:v>17.472137506955701</c:v>
                </c:pt>
                <c:pt idx="806">
                  <c:v>17.668431527224044</c:v>
                </c:pt>
                <c:pt idx="807">
                  <c:v>17.870483686739387</c:v>
                </c:pt>
                <c:pt idx="808">
                  <c:v>18.078495158599708</c:v>
                </c:pt>
                <c:pt idx="809">
                  <c:v>18.292675905248945</c:v>
                </c:pt>
                <c:pt idx="810">
                  <c:v>18.513245160567468</c:v>
                </c:pt>
                <c:pt idx="811">
                  <c:v>18.740431944211842</c:v>
                </c:pt>
                <c:pt idx="812">
                  <c:v>18.974475610753878</c:v>
                </c:pt>
                <c:pt idx="813">
                  <c:v>19.215626436401593</c:v>
                </c:pt>
                <c:pt idx="814">
                  <c:v>19.464146246342128</c:v>
                </c:pt>
                <c:pt idx="815">
                  <c:v>19.720309086030554</c:v>
                </c:pt>
                <c:pt idx="816">
                  <c:v>19.984401940063869</c:v>
                </c:pt>
              </c:numCache>
            </c:numRef>
          </c:xVal>
          <c:yVal>
            <c:numRef>
              <c:f>CalcSheet!$J:$J</c:f>
              <c:numCache>
                <c:formatCode>0.00</c:formatCode>
                <c:ptCount val="1048576"/>
                <c:pt idx="0">
                  <c:v>3.99</c:v>
                </c:pt>
                <c:pt idx="1">
                  <c:v>4</c:v>
                </c:pt>
                <c:pt idx="2">
                  <c:v>4.01</c:v>
                </c:pt>
                <c:pt idx="3">
                  <c:v>4.0199999999999996</c:v>
                </c:pt>
                <c:pt idx="4">
                  <c:v>4.03</c:v>
                </c:pt>
                <c:pt idx="5">
                  <c:v>4.04</c:v>
                </c:pt>
                <c:pt idx="6">
                  <c:v>4.05</c:v>
                </c:pt>
                <c:pt idx="7">
                  <c:v>4.0599999999999996</c:v>
                </c:pt>
                <c:pt idx="8">
                  <c:v>4.07</c:v>
                </c:pt>
                <c:pt idx="9">
                  <c:v>4.08</c:v>
                </c:pt>
                <c:pt idx="10">
                  <c:v>4.09</c:v>
                </c:pt>
                <c:pt idx="11">
                  <c:v>4.0999999999999996</c:v>
                </c:pt>
                <c:pt idx="12">
                  <c:v>4.1100000000000003</c:v>
                </c:pt>
                <c:pt idx="13">
                  <c:v>4.12</c:v>
                </c:pt>
                <c:pt idx="14">
                  <c:v>4.13</c:v>
                </c:pt>
                <c:pt idx="15">
                  <c:v>4.1399999999999997</c:v>
                </c:pt>
                <c:pt idx="16">
                  <c:v>4.1500000000000004</c:v>
                </c:pt>
                <c:pt idx="17">
                  <c:v>4.16</c:v>
                </c:pt>
                <c:pt idx="18">
                  <c:v>4.17</c:v>
                </c:pt>
                <c:pt idx="19">
                  <c:v>4.18</c:v>
                </c:pt>
                <c:pt idx="20">
                  <c:v>4.1900000000000004</c:v>
                </c:pt>
                <c:pt idx="21">
                  <c:v>4.2</c:v>
                </c:pt>
                <c:pt idx="22">
                  <c:v>4.21</c:v>
                </c:pt>
                <c:pt idx="23">
                  <c:v>4.22</c:v>
                </c:pt>
                <c:pt idx="24">
                  <c:v>4.2300000000000004</c:v>
                </c:pt>
                <c:pt idx="25">
                  <c:v>4.24</c:v>
                </c:pt>
                <c:pt idx="26">
                  <c:v>4.25</c:v>
                </c:pt>
                <c:pt idx="27">
                  <c:v>4.26</c:v>
                </c:pt>
                <c:pt idx="28">
                  <c:v>4.2699999999999996</c:v>
                </c:pt>
                <c:pt idx="29">
                  <c:v>4.28</c:v>
                </c:pt>
                <c:pt idx="30">
                  <c:v>4.29</c:v>
                </c:pt>
                <c:pt idx="31">
                  <c:v>4.3</c:v>
                </c:pt>
                <c:pt idx="32">
                  <c:v>4.3099999999999996</c:v>
                </c:pt>
                <c:pt idx="33">
                  <c:v>4.32</c:v>
                </c:pt>
                <c:pt idx="34">
                  <c:v>4.33</c:v>
                </c:pt>
                <c:pt idx="35">
                  <c:v>4.34</c:v>
                </c:pt>
                <c:pt idx="36">
                  <c:v>4.3499999999999996</c:v>
                </c:pt>
                <c:pt idx="37">
                  <c:v>4.3600000000000003</c:v>
                </c:pt>
                <c:pt idx="38">
                  <c:v>4.37</c:v>
                </c:pt>
                <c:pt idx="39">
                  <c:v>4.38</c:v>
                </c:pt>
                <c:pt idx="40">
                  <c:v>4.3899999999999997</c:v>
                </c:pt>
                <c:pt idx="41">
                  <c:v>4.4000000000000004</c:v>
                </c:pt>
                <c:pt idx="42">
                  <c:v>4.41</c:v>
                </c:pt>
                <c:pt idx="43">
                  <c:v>4.42</c:v>
                </c:pt>
                <c:pt idx="44">
                  <c:v>4.43</c:v>
                </c:pt>
                <c:pt idx="45">
                  <c:v>4.4400000000000004</c:v>
                </c:pt>
                <c:pt idx="46">
                  <c:v>4.45</c:v>
                </c:pt>
                <c:pt idx="47">
                  <c:v>4.46</c:v>
                </c:pt>
                <c:pt idx="48">
                  <c:v>4.47</c:v>
                </c:pt>
                <c:pt idx="49">
                  <c:v>4.4800000000000004</c:v>
                </c:pt>
                <c:pt idx="50">
                  <c:v>4.49</c:v>
                </c:pt>
                <c:pt idx="51">
                  <c:v>4.5</c:v>
                </c:pt>
                <c:pt idx="52">
                  <c:v>4.51</c:v>
                </c:pt>
                <c:pt idx="53">
                  <c:v>4.5199999999999996</c:v>
                </c:pt>
                <c:pt idx="54">
                  <c:v>4.53</c:v>
                </c:pt>
                <c:pt idx="55">
                  <c:v>4.54</c:v>
                </c:pt>
                <c:pt idx="56">
                  <c:v>4.55</c:v>
                </c:pt>
                <c:pt idx="57">
                  <c:v>4.5599999999999996</c:v>
                </c:pt>
                <c:pt idx="58">
                  <c:v>4.57</c:v>
                </c:pt>
                <c:pt idx="59">
                  <c:v>4.58</c:v>
                </c:pt>
                <c:pt idx="60">
                  <c:v>4.59</c:v>
                </c:pt>
                <c:pt idx="61">
                  <c:v>4.5999999999999996</c:v>
                </c:pt>
                <c:pt idx="62">
                  <c:v>4.6100000000000003</c:v>
                </c:pt>
                <c:pt idx="63">
                  <c:v>4.62</c:v>
                </c:pt>
                <c:pt idx="64">
                  <c:v>4.63</c:v>
                </c:pt>
                <c:pt idx="65">
                  <c:v>4.6399999999999997</c:v>
                </c:pt>
                <c:pt idx="66">
                  <c:v>4.6500000000000004</c:v>
                </c:pt>
                <c:pt idx="67">
                  <c:v>4.66</c:v>
                </c:pt>
                <c:pt idx="68">
                  <c:v>4.67</c:v>
                </c:pt>
                <c:pt idx="69">
                  <c:v>4.68</c:v>
                </c:pt>
                <c:pt idx="70">
                  <c:v>4.6900000000000004</c:v>
                </c:pt>
                <c:pt idx="71">
                  <c:v>4.7</c:v>
                </c:pt>
                <c:pt idx="72">
                  <c:v>4.71</c:v>
                </c:pt>
                <c:pt idx="73">
                  <c:v>4.72</c:v>
                </c:pt>
                <c:pt idx="74">
                  <c:v>4.7300000000000004</c:v>
                </c:pt>
                <c:pt idx="75">
                  <c:v>4.74</c:v>
                </c:pt>
                <c:pt idx="76">
                  <c:v>4.75</c:v>
                </c:pt>
                <c:pt idx="77">
                  <c:v>4.76</c:v>
                </c:pt>
                <c:pt idx="78">
                  <c:v>4.7699999999999996</c:v>
                </c:pt>
                <c:pt idx="79">
                  <c:v>4.78</c:v>
                </c:pt>
                <c:pt idx="80">
                  <c:v>4.79</c:v>
                </c:pt>
                <c:pt idx="81">
                  <c:v>4.8</c:v>
                </c:pt>
                <c:pt idx="82">
                  <c:v>4.8099999999999996</c:v>
                </c:pt>
                <c:pt idx="83">
                  <c:v>4.82</c:v>
                </c:pt>
                <c:pt idx="84">
                  <c:v>4.83</c:v>
                </c:pt>
                <c:pt idx="85">
                  <c:v>4.84</c:v>
                </c:pt>
                <c:pt idx="86">
                  <c:v>4.8499999999999996</c:v>
                </c:pt>
                <c:pt idx="87">
                  <c:v>4.8600000000000003</c:v>
                </c:pt>
                <c:pt idx="88">
                  <c:v>4.87</c:v>
                </c:pt>
                <c:pt idx="89">
                  <c:v>4.88</c:v>
                </c:pt>
                <c:pt idx="90">
                  <c:v>4.8899999999999997</c:v>
                </c:pt>
                <c:pt idx="91">
                  <c:v>4.9000000000000004</c:v>
                </c:pt>
                <c:pt idx="92">
                  <c:v>4.91</c:v>
                </c:pt>
                <c:pt idx="93">
                  <c:v>4.92</c:v>
                </c:pt>
                <c:pt idx="94">
                  <c:v>4.93</c:v>
                </c:pt>
                <c:pt idx="95">
                  <c:v>4.9400000000000004</c:v>
                </c:pt>
                <c:pt idx="96">
                  <c:v>4.95</c:v>
                </c:pt>
                <c:pt idx="97">
                  <c:v>4.96</c:v>
                </c:pt>
                <c:pt idx="98">
                  <c:v>4.97</c:v>
                </c:pt>
                <c:pt idx="99">
                  <c:v>4.9800000000000004</c:v>
                </c:pt>
                <c:pt idx="100">
                  <c:v>4.99</c:v>
                </c:pt>
                <c:pt idx="101">
                  <c:v>5</c:v>
                </c:pt>
                <c:pt idx="102">
                  <c:v>5.01</c:v>
                </c:pt>
                <c:pt idx="103">
                  <c:v>5.0199999999999996</c:v>
                </c:pt>
                <c:pt idx="104">
                  <c:v>5.03</c:v>
                </c:pt>
                <c:pt idx="105">
                  <c:v>5.04</c:v>
                </c:pt>
                <c:pt idx="106">
                  <c:v>5.05</c:v>
                </c:pt>
                <c:pt idx="107">
                  <c:v>5.0599999999999996</c:v>
                </c:pt>
                <c:pt idx="108">
                  <c:v>5.07</c:v>
                </c:pt>
                <c:pt idx="109">
                  <c:v>5.08</c:v>
                </c:pt>
                <c:pt idx="110">
                  <c:v>5.09</c:v>
                </c:pt>
                <c:pt idx="111">
                  <c:v>5.0999999999999996</c:v>
                </c:pt>
                <c:pt idx="112">
                  <c:v>5.1100000000000003</c:v>
                </c:pt>
                <c:pt idx="113">
                  <c:v>5.12</c:v>
                </c:pt>
                <c:pt idx="114">
                  <c:v>5.13</c:v>
                </c:pt>
                <c:pt idx="115">
                  <c:v>5.14</c:v>
                </c:pt>
                <c:pt idx="116">
                  <c:v>5.15</c:v>
                </c:pt>
                <c:pt idx="117">
                  <c:v>5.16</c:v>
                </c:pt>
                <c:pt idx="118">
                  <c:v>5.17</c:v>
                </c:pt>
                <c:pt idx="119">
                  <c:v>5.18</c:v>
                </c:pt>
                <c:pt idx="120">
                  <c:v>5.19</c:v>
                </c:pt>
                <c:pt idx="121">
                  <c:v>5.2</c:v>
                </c:pt>
                <c:pt idx="122">
                  <c:v>5.21</c:v>
                </c:pt>
                <c:pt idx="123">
                  <c:v>5.22</c:v>
                </c:pt>
                <c:pt idx="124">
                  <c:v>5.23</c:v>
                </c:pt>
                <c:pt idx="125">
                  <c:v>5.24</c:v>
                </c:pt>
                <c:pt idx="126">
                  <c:v>5.25</c:v>
                </c:pt>
                <c:pt idx="127">
                  <c:v>5.26</c:v>
                </c:pt>
                <c:pt idx="128">
                  <c:v>5.27</c:v>
                </c:pt>
                <c:pt idx="129">
                  <c:v>5.28</c:v>
                </c:pt>
                <c:pt idx="130">
                  <c:v>5.29</c:v>
                </c:pt>
                <c:pt idx="131">
                  <c:v>5.3</c:v>
                </c:pt>
                <c:pt idx="132">
                  <c:v>5.31</c:v>
                </c:pt>
                <c:pt idx="133">
                  <c:v>5.32</c:v>
                </c:pt>
                <c:pt idx="134">
                  <c:v>5.33</c:v>
                </c:pt>
                <c:pt idx="135">
                  <c:v>5.34</c:v>
                </c:pt>
                <c:pt idx="136">
                  <c:v>5.35</c:v>
                </c:pt>
                <c:pt idx="137">
                  <c:v>5.36</c:v>
                </c:pt>
                <c:pt idx="138">
                  <c:v>5.37</c:v>
                </c:pt>
                <c:pt idx="139">
                  <c:v>5.38</c:v>
                </c:pt>
                <c:pt idx="140">
                  <c:v>5.39</c:v>
                </c:pt>
                <c:pt idx="141">
                  <c:v>5.4</c:v>
                </c:pt>
                <c:pt idx="142">
                  <c:v>5.41</c:v>
                </c:pt>
                <c:pt idx="143">
                  <c:v>5.42</c:v>
                </c:pt>
                <c:pt idx="144">
                  <c:v>5.43</c:v>
                </c:pt>
                <c:pt idx="145">
                  <c:v>5.44</c:v>
                </c:pt>
                <c:pt idx="146">
                  <c:v>5.45</c:v>
                </c:pt>
                <c:pt idx="147">
                  <c:v>5.46</c:v>
                </c:pt>
                <c:pt idx="148">
                  <c:v>5.47</c:v>
                </c:pt>
                <c:pt idx="149">
                  <c:v>5.48</c:v>
                </c:pt>
                <c:pt idx="150">
                  <c:v>5.49</c:v>
                </c:pt>
                <c:pt idx="151">
                  <c:v>5.5</c:v>
                </c:pt>
                <c:pt idx="152">
                  <c:v>5.51</c:v>
                </c:pt>
                <c:pt idx="153">
                  <c:v>5.52</c:v>
                </c:pt>
                <c:pt idx="154">
                  <c:v>5.53</c:v>
                </c:pt>
                <c:pt idx="155">
                  <c:v>5.54</c:v>
                </c:pt>
                <c:pt idx="156">
                  <c:v>5.55</c:v>
                </c:pt>
                <c:pt idx="157">
                  <c:v>5.56</c:v>
                </c:pt>
                <c:pt idx="158">
                  <c:v>5.57</c:v>
                </c:pt>
                <c:pt idx="159">
                  <c:v>5.58</c:v>
                </c:pt>
                <c:pt idx="160">
                  <c:v>5.59</c:v>
                </c:pt>
                <c:pt idx="161">
                  <c:v>5.6</c:v>
                </c:pt>
                <c:pt idx="162">
                  <c:v>5.61</c:v>
                </c:pt>
                <c:pt idx="163">
                  <c:v>5.62</c:v>
                </c:pt>
                <c:pt idx="164">
                  <c:v>5.63</c:v>
                </c:pt>
                <c:pt idx="165">
                  <c:v>5.64</c:v>
                </c:pt>
                <c:pt idx="166">
                  <c:v>5.65</c:v>
                </c:pt>
                <c:pt idx="167">
                  <c:v>5.66</c:v>
                </c:pt>
                <c:pt idx="168">
                  <c:v>5.67</c:v>
                </c:pt>
                <c:pt idx="169">
                  <c:v>5.68</c:v>
                </c:pt>
                <c:pt idx="170">
                  <c:v>5.69</c:v>
                </c:pt>
                <c:pt idx="171">
                  <c:v>5.7</c:v>
                </c:pt>
                <c:pt idx="172">
                  <c:v>5.71</c:v>
                </c:pt>
                <c:pt idx="173">
                  <c:v>5.72</c:v>
                </c:pt>
                <c:pt idx="174">
                  <c:v>5.73</c:v>
                </c:pt>
                <c:pt idx="175">
                  <c:v>5.74</c:v>
                </c:pt>
                <c:pt idx="176">
                  <c:v>5.75</c:v>
                </c:pt>
                <c:pt idx="177">
                  <c:v>5.76</c:v>
                </c:pt>
                <c:pt idx="178">
                  <c:v>5.77</c:v>
                </c:pt>
                <c:pt idx="179">
                  <c:v>5.78</c:v>
                </c:pt>
                <c:pt idx="180">
                  <c:v>5.79</c:v>
                </c:pt>
                <c:pt idx="181">
                  <c:v>5.8</c:v>
                </c:pt>
                <c:pt idx="182">
                  <c:v>5.81</c:v>
                </c:pt>
                <c:pt idx="183">
                  <c:v>5.82</c:v>
                </c:pt>
                <c:pt idx="184">
                  <c:v>5.83</c:v>
                </c:pt>
                <c:pt idx="185">
                  <c:v>5.84</c:v>
                </c:pt>
                <c:pt idx="186">
                  <c:v>5.85</c:v>
                </c:pt>
                <c:pt idx="187">
                  <c:v>5.86</c:v>
                </c:pt>
                <c:pt idx="188">
                  <c:v>5.87</c:v>
                </c:pt>
                <c:pt idx="189">
                  <c:v>5.88</c:v>
                </c:pt>
                <c:pt idx="190">
                  <c:v>5.89</c:v>
                </c:pt>
                <c:pt idx="191">
                  <c:v>5.9</c:v>
                </c:pt>
                <c:pt idx="192">
                  <c:v>5.91</c:v>
                </c:pt>
                <c:pt idx="193">
                  <c:v>5.92</c:v>
                </c:pt>
                <c:pt idx="194">
                  <c:v>5.93</c:v>
                </c:pt>
                <c:pt idx="195">
                  <c:v>5.94</c:v>
                </c:pt>
                <c:pt idx="196">
                  <c:v>5.95</c:v>
                </c:pt>
                <c:pt idx="197">
                  <c:v>5.96</c:v>
                </c:pt>
                <c:pt idx="198">
                  <c:v>5.97</c:v>
                </c:pt>
                <c:pt idx="199">
                  <c:v>5.98</c:v>
                </c:pt>
                <c:pt idx="200">
                  <c:v>5.99</c:v>
                </c:pt>
                <c:pt idx="201">
                  <c:v>6</c:v>
                </c:pt>
                <c:pt idx="202">
                  <c:v>6.01</c:v>
                </c:pt>
                <c:pt idx="203">
                  <c:v>6.02</c:v>
                </c:pt>
                <c:pt idx="204">
                  <c:v>6.03</c:v>
                </c:pt>
                <c:pt idx="205">
                  <c:v>6.04</c:v>
                </c:pt>
                <c:pt idx="206">
                  <c:v>6.05</c:v>
                </c:pt>
                <c:pt idx="207">
                  <c:v>6.06</c:v>
                </c:pt>
                <c:pt idx="208">
                  <c:v>6.07</c:v>
                </c:pt>
                <c:pt idx="209">
                  <c:v>6.08</c:v>
                </c:pt>
                <c:pt idx="210">
                  <c:v>6.09</c:v>
                </c:pt>
                <c:pt idx="211">
                  <c:v>6.1</c:v>
                </c:pt>
                <c:pt idx="212">
                  <c:v>6.11</c:v>
                </c:pt>
                <c:pt idx="213">
                  <c:v>6.12</c:v>
                </c:pt>
                <c:pt idx="214">
                  <c:v>6.13</c:v>
                </c:pt>
                <c:pt idx="215">
                  <c:v>6.14</c:v>
                </c:pt>
                <c:pt idx="216">
                  <c:v>6.15</c:v>
                </c:pt>
                <c:pt idx="217">
                  <c:v>6.16</c:v>
                </c:pt>
                <c:pt idx="218">
                  <c:v>6.17</c:v>
                </c:pt>
                <c:pt idx="219">
                  <c:v>6.18</c:v>
                </c:pt>
                <c:pt idx="220">
                  <c:v>6.19</c:v>
                </c:pt>
                <c:pt idx="221">
                  <c:v>6.2</c:v>
                </c:pt>
                <c:pt idx="222">
                  <c:v>6.21</c:v>
                </c:pt>
                <c:pt idx="223">
                  <c:v>6.22</c:v>
                </c:pt>
                <c:pt idx="224">
                  <c:v>6.23</c:v>
                </c:pt>
                <c:pt idx="225">
                  <c:v>6.24</c:v>
                </c:pt>
                <c:pt idx="226">
                  <c:v>6.25</c:v>
                </c:pt>
                <c:pt idx="227">
                  <c:v>6.26</c:v>
                </c:pt>
                <c:pt idx="228">
                  <c:v>6.27</c:v>
                </c:pt>
                <c:pt idx="229">
                  <c:v>6.28</c:v>
                </c:pt>
                <c:pt idx="230">
                  <c:v>6.29</c:v>
                </c:pt>
                <c:pt idx="231">
                  <c:v>6.3</c:v>
                </c:pt>
                <c:pt idx="232">
                  <c:v>6.31</c:v>
                </c:pt>
                <c:pt idx="233">
                  <c:v>6.32</c:v>
                </c:pt>
                <c:pt idx="234">
                  <c:v>6.33</c:v>
                </c:pt>
                <c:pt idx="235">
                  <c:v>6.34</c:v>
                </c:pt>
                <c:pt idx="236">
                  <c:v>6.35</c:v>
                </c:pt>
                <c:pt idx="237">
                  <c:v>6.36</c:v>
                </c:pt>
                <c:pt idx="238">
                  <c:v>6.37</c:v>
                </c:pt>
                <c:pt idx="239">
                  <c:v>6.38</c:v>
                </c:pt>
                <c:pt idx="240">
                  <c:v>6.39</c:v>
                </c:pt>
                <c:pt idx="241">
                  <c:v>6.4</c:v>
                </c:pt>
                <c:pt idx="242">
                  <c:v>6.41</c:v>
                </c:pt>
                <c:pt idx="243">
                  <c:v>6.42</c:v>
                </c:pt>
                <c:pt idx="244">
                  <c:v>6.43</c:v>
                </c:pt>
                <c:pt idx="245">
                  <c:v>6.44</c:v>
                </c:pt>
                <c:pt idx="246">
                  <c:v>6.45</c:v>
                </c:pt>
                <c:pt idx="247">
                  <c:v>6.46</c:v>
                </c:pt>
                <c:pt idx="248">
                  <c:v>6.47</c:v>
                </c:pt>
                <c:pt idx="249">
                  <c:v>6.48</c:v>
                </c:pt>
                <c:pt idx="250">
                  <c:v>6.49</c:v>
                </c:pt>
                <c:pt idx="251">
                  <c:v>6.5</c:v>
                </c:pt>
                <c:pt idx="252">
                  <c:v>6.51</c:v>
                </c:pt>
                <c:pt idx="253">
                  <c:v>6.52</c:v>
                </c:pt>
                <c:pt idx="254">
                  <c:v>6.53</c:v>
                </c:pt>
                <c:pt idx="255">
                  <c:v>6.54</c:v>
                </c:pt>
                <c:pt idx="256">
                  <c:v>6.55</c:v>
                </c:pt>
                <c:pt idx="257">
                  <c:v>6.56</c:v>
                </c:pt>
                <c:pt idx="258">
                  <c:v>6.57</c:v>
                </c:pt>
                <c:pt idx="259">
                  <c:v>6.58</c:v>
                </c:pt>
                <c:pt idx="260">
                  <c:v>6.59</c:v>
                </c:pt>
                <c:pt idx="261">
                  <c:v>6.6</c:v>
                </c:pt>
                <c:pt idx="262">
                  <c:v>6.61</c:v>
                </c:pt>
                <c:pt idx="263">
                  <c:v>6.62</c:v>
                </c:pt>
                <c:pt idx="264">
                  <c:v>6.63</c:v>
                </c:pt>
                <c:pt idx="265">
                  <c:v>6.64</c:v>
                </c:pt>
                <c:pt idx="266">
                  <c:v>6.65</c:v>
                </c:pt>
                <c:pt idx="267">
                  <c:v>6.66</c:v>
                </c:pt>
                <c:pt idx="268">
                  <c:v>6.67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6.74</c:v>
                </c:pt>
                <c:pt idx="276">
                  <c:v>6.75</c:v>
                </c:pt>
                <c:pt idx="277">
                  <c:v>6.76</c:v>
                </c:pt>
                <c:pt idx="278">
                  <c:v>6.77</c:v>
                </c:pt>
                <c:pt idx="279">
                  <c:v>6.78</c:v>
                </c:pt>
                <c:pt idx="280">
                  <c:v>6.79</c:v>
                </c:pt>
                <c:pt idx="281">
                  <c:v>6.8</c:v>
                </c:pt>
                <c:pt idx="282">
                  <c:v>6.81</c:v>
                </c:pt>
                <c:pt idx="283">
                  <c:v>6.82</c:v>
                </c:pt>
                <c:pt idx="284">
                  <c:v>6.83</c:v>
                </c:pt>
                <c:pt idx="285">
                  <c:v>6.84</c:v>
                </c:pt>
                <c:pt idx="286">
                  <c:v>6.85</c:v>
                </c:pt>
                <c:pt idx="287">
                  <c:v>6.86</c:v>
                </c:pt>
                <c:pt idx="288">
                  <c:v>6.87</c:v>
                </c:pt>
                <c:pt idx="289">
                  <c:v>6.88</c:v>
                </c:pt>
                <c:pt idx="290">
                  <c:v>6.89</c:v>
                </c:pt>
                <c:pt idx="291">
                  <c:v>6.9</c:v>
                </c:pt>
                <c:pt idx="292">
                  <c:v>6.91</c:v>
                </c:pt>
                <c:pt idx="293">
                  <c:v>6.92</c:v>
                </c:pt>
                <c:pt idx="294">
                  <c:v>6.93</c:v>
                </c:pt>
                <c:pt idx="295">
                  <c:v>6.94</c:v>
                </c:pt>
                <c:pt idx="296">
                  <c:v>6.95</c:v>
                </c:pt>
                <c:pt idx="297">
                  <c:v>6.96</c:v>
                </c:pt>
                <c:pt idx="298">
                  <c:v>6.97</c:v>
                </c:pt>
                <c:pt idx="299">
                  <c:v>6.98</c:v>
                </c:pt>
                <c:pt idx="300">
                  <c:v>6.99</c:v>
                </c:pt>
                <c:pt idx="301">
                  <c:v>7</c:v>
                </c:pt>
                <c:pt idx="302">
                  <c:v>7.01</c:v>
                </c:pt>
                <c:pt idx="303">
                  <c:v>7.02</c:v>
                </c:pt>
                <c:pt idx="304">
                  <c:v>7.03</c:v>
                </c:pt>
                <c:pt idx="305">
                  <c:v>7.04</c:v>
                </c:pt>
                <c:pt idx="306">
                  <c:v>7.05</c:v>
                </c:pt>
                <c:pt idx="307">
                  <c:v>7.06</c:v>
                </c:pt>
                <c:pt idx="308">
                  <c:v>7.07</c:v>
                </c:pt>
                <c:pt idx="309">
                  <c:v>7.08</c:v>
                </c:pt>
                <c:pt idx="310">
                  <c:v>7.09</c:v>
                </c:pt>
                <c:pt idx="311">
                  <c:v>7.1</c:v>
                </c:pt>
                <c:pt idx="312">
                  <c:v>7.11</c:v>
                </c:pt>
                <c:pt idx="313">
                  <c:v>7.12</c:v>
                </c:pt>
                <c:pt idx="314">
                  <c:v>7.13</c:v>
                </c:pt>
                <c:pt idx="315">
                  <c:v>7.14</c:v>
                </c:pt>
                <c:pt idx="316">
                  <c:v>7.15</c:v>
                </c:pt>
                <c:pt idx="317">
                  <c:v>7.16</c:v>
                </c:pt>
                <c:pt idx="318">
                  <c:v>7.17</c:v>
                </c:pt>
                <c:pt idx="319">
                  <c:v>7.18</c:v>
                </c:pt>
                <c:pt idx="320">
                  <c:v>7.19</c:v>
                </c:pt>
                <c:pt idx="321">
                  <c:v>7.2</c:v>
                </c:pt>
                <c:pt idx="322">
                  <c:v>7.21</c:v>
                </c:pt>
                <c:pt idx="323">
                  <c:v>7.22</c:v>
                </c:pt>
                <c:pt idx="324">
                  <c:v>7.23</c:v>
                </c:pt>
                <c:pt idx="325">
                  <c:v>7.24</c:v>
                </c:pt>
                <c:pt idx="326">
                  <c:v>7.25</c:v>
                </c:pt>
                <c:pt idx="327">
                  <c:v>7.26</c:v>
                </c:pt>
                <c:pt idx="328">
                  <c:v>7.27</c:v>
                </c:pt>
                <c:pt idx="329">
                  <c:v>7.28</c:v>
                </c:pt>
                <c:pt idx="330">
                  <c:v>7.29</c:v>
                </c:pt>
                <c:pt idx="331">
                  <c:v>7.3</c:v>
                </c:pt>
                <c:pt idx="332">
                  <c:v>7.31</c:v>
                </c:pt>
                <c:pt idx="333">
                  <c:v>7.32</c:v>
                </c:pt>
                <c:pt idx="334">
                  <c:v>7.33</c:v>
                </c:pt>
                <c:pt idx="335">
                  <c:v>7.34</c:v>
                </c:pt>
                <c:pt idx="336">
                  <c:v>7.35</c:v>
                </c:pt>
                <c:pt idx="337">
                  <c:v>7.36</c:v>
                </c:pt>
                <c:pt idx="338">
                  <c:v>7.37</c:v>
                </c:pt>
                <c:pt idx="339">
                  <c:v>7.38</c:v>
                </c:pt>
                <c:pt idx="340">
                  <c:v>7.39</c:v>
                </c:pt>
                <c:pt idx="341">
                  <c:v>7.4</c:v>
                </c:pt>
                <c:pt idx="342">
                  <c:v>7.41</c:v>
                </c:pt>
                <c:pt idx="343">
                  <c:v>7.42</c:v>
                </c:pt>
                <c:pt idx="344">
                  <c:v>7.43</c:v>
                </c:pt>
                <c:pt idx="345">
                  <c:v>7.44</c:v>
                </c:pt>
                <c:pt idx="346">
                  <c:v>7.45</c:v>
                </c:pt>
                <c:pt idx="347">
                  <c:v>7.46</c:v>
                </c:pt>
                <c:pt idx="348">
                  <c:v>7.47</c:v>
                </c:pt>
                <c:pt idx="349">
                  <c:v>7.48</c:v>
                </c:pt>
                <c:pt idx="350">
                  <c:v>7.49</c:v>
                </c:pt>
                <c:pt idx="351">
                  <c:v>7.5</c:v>
                </c:pt>
                <c:pt idx="352">
                  <c:v>7.51</c:v>
                </c:pt>
                <c:pt idx="353">
                  <c:v>7.52</c:v>
                </c:pt>
                <c:pt idx="354">
                  <c:v>7.53</c:v>
                </c:pt>
                <c:pt idx="355">
                  <c:v>7.54</c:v>
                </c:pt>
                <c:pt idx="356">
                  <c:v>7.55</c:v>
                </c:pt>
                <c:pt idx="357">
                  <c:v>7.56</c:v>
                </c:pt>
                <c:pt idx="358">
                  <c:v>7.57</c:v>
                </c:pt>
                <c:pt idx="359">
                  <c:v>7.58</c:v>
                </c:pt>
                <c:pt idx="360">
                  <c:v>7.59</c:v>
                </c:pt>
                <c:pt idx="361">
                  <c:v>7.6</c:v>
                </c:pt>
                <c:pt idx="362">
                  <c:v>7.61</c:v>
                </c:pt>
                <c:pt idx="363">
                  <c:v>7.62</c:v>
                </c:pt>
                <c:pt idx="364">
                  <c:v>7.63</c:v>
                </c:pt>
                <c:pt idx="365">
                  <c:v>7.64</c:v>
                </c:pt>
                <c:pt idx="366">
                  <c:v>7.65</c:v>
                </c:pt>
                <c:pt idx="367">
                  <c:v>7.66</c:v>
                </c:pt>
                <c:pt idx="368">
                  <c:v>7.67</c:v>
                </c:pt>
                <c:pt idx="369">
                  <c:v>7.68</c:v>
                </c:pt>
                <c:pt idx="370">
                  <c:v>7.69</c:v>
                </c:pt>
                <c:pt idx="371">
                  <c:v>7.7</c:v>
                </c:pt>
                <c:pt idx="372">
                  <c:v>7.71</c:v>
                </c:pt>
                <c:pt idx="373">
                  <c:v>7.72</c:v>
                </c:pt>
                <c:pt idx="374">
                  <c:v>7.73</c:v>
                </c:pt>
                <c:pt idx="375">
                  <c:v>7.74</c:v>
                </c:pt>
                <c:pt idx="376">
                  <c:v>7.75</c:v>
                </c:pt>
                <c:pt idx="377">
                  <c:v>7.76</c:v>
                </c:pt>
                <c:pt idx="378">
                  <c:v>7.77</c:v>
                </c:pt>
                <c:pt idx="379">
                  <c:v>7.78</c:v>
                </c:pt>
                <c:pt idx="380">
                  <c:v>7.79</c:v>
                </c:pt>
                <c:pt idx="381">
                  <c:v>7.8</c:v>
                </c:pt>
                <c:pt idx="382">
                  <c:v>7.81</c:v>
                </c:pt>
                <c:pt idx="383">
                  <c:v>7.82</c:v>
                </c:pt>
                <c:pt idx="384">
                  <c:v>7.83</c:v>
                </c:pt>
                <c:pt idx="385">
                  <c:v>7.84</c:v>
                </c:pt>
                <c:pt idx="386">
                  <c:v>7.85</c:v>
                </c:pt>
                <c:pt idx="387">
                  <c:v>7.86</c:v>
                </c:pt>
                <c:pt idx="388">
                  <c:v>7.87</c:v>
                </c:pt>
                <c:pt idx="389">
                  <c:v>7.88</c:v>
                </c:pt>
                <c:pt idx="390">
                  <c:v>7.89</c:v>
                </c:pt>
                <c:pt idx="391">
                  <c:v>7.9</c:v>
                </c:pt>
                <c:pt idx="392">
                  <c:v>7.91</c:v>
                </c:pt>
                <c:pt idx="393">
                  <c:v>7.92</c:v>
                </c:pt>
                <c:pt idx="394">
                  <c:v>7.93</c:v>
                </c:pt>
                <c:pt idx="395">
                  <c:v>7.94</c:v>
                </c:pt>
                <c:pt idx="396">
                  <c:v>7.95</c:v>
                </c:pt>
                <c:pt idx="397">
                  <c:v>7.96</c:v>
                </c:pt>
                <c:pt idx="398">
                  <c:v>7.97</c:v>
                </c:pt>
                <c:pt idx="399">
                  <c:v>7.98</c:v>
                </c:pt>
                <c:pt idx="400">
                  <c:v>7.99</c:v>
                </c:pt>
                <c:pt idx="401">
                  <c:v>8</c:v>
                </c:pt>
                <c:pt idx="402">
                  <c:v>8.01</c:v>
                </c:pt>
                <c:pt idx="403">
                  <c:v>8.02</c:v>
                </c:pt>
                <c:pt idx="404">
                  <c:v>8.0299999999999994</c:v>
                </c:pt>
                <c:pt idx="405">
                  <c:v>8.0399999999999991</c:v>
                </c:pt>
                <c:pt idx="406">
                  <c:v>8.0500000000000007</c:v>
                </c:pt>
                <c:pt idx="407">
                  <c:v>8.06</c:v>
                </c:pt>
                <c:pt idx="408">
                  <c:v>8.07</c:v>
                </c:pt>
                <c:pt idx="409">
                  <c:v>8.08</c:v>
                </c:pt>
                <c:pt idx="410">
                  <c:v>8.09</c:v>
                </c:pt>
                <c:pt idx="411">
                  <c:v>8.1</c:v>
                </c:pt>
                <c:pt idx="412">
                  <c:v>8.11</c:v>
                </c:pt>
                <c:pt idx="413">
                  <c:v>8.1199999999999992</c:v>
                </c:pt>
                <c:pt idx="414">
                  <c:v>8.1300000000000008</c:v>
                </c:pt>
                <c:pt idx="415">
                  <c:v>8.14</c:v>
                </c:pt>
                <c:pt idx="416">
                  <c:v>8.15</c:v>
                </c:pt>
                <c:pt idx="417">
                  <c:v>8.16</c:v>
                </c:pt>
                <c:pt idx="418">
                  <c:v>8.17</c:v>
                </c:pt>
                <c:pt idx="419">
                  <c:v>8.18</c:v>
                </c:pt>
                <c:pt idx="420">
                  <c:v>8.19</c:v>
                </c:pt>
                <c:pt idx="421">
                  <c:v>8.1999999999999993</c:v>
                </c:pt>
                <c:pt idx="422">
                  <c:v>8.2100000000000009</c:v>
                </c:pt>
                <c:pt idx="423">
                  <c:v>8.2200000000000006</c:v>
                </c:pt>
                <c:pt idx="424">
                  <c:v>8.23</c:v>
                </c:pt>
                <c:pt idx="425">
                  <c:v>8.24</c:v>
                </c:pt>
                <c:pt idx="426">
                  <c:v>8.25</c:v>
                </c:pt>
                <c:pt idx="427">
                  <c:v>8.26</c:v>
                </c:pt>
                <c:pt idx="428">
                  <c:v>8.27</c:v>
                </c:pt>
                <c:pt idx="429">
                  <c:v>8.2799999999999994</c:v>
                </c:pt>
                <c:pt idx="430">
                  <c:v>8.2899999999999991</c:v>
                </c:pt>
                <c:pt idx="431">
                  <c:v>8.3000000000000007</c:v>
                </c:pt>
                <c:pt idx="432">
                  <c:v>8.31</c:v>
                </c:pt>
                <c:pt idx="433">
                  <c:v>8.32</c:v>
                </c:pt>
                <c:pt idx="434">
                  <c:v>8.33</c:v>
                </c:pt>
                <c:pt idx="435">
                  <c:v>8.34</c:v>
                </c:pt>
                <c:pt idx="436">
                  <c:v>8.35</c:v>
                </c:pt>
                <c:pt idx="437">
                  <c:v>8.36</c:v>
                </c:pt>
                <c:pt idx="438">
                  <c:v>8.3699999999999992</c:v>
                </c:pt>
                <c:pt idx="439">
                  <c:v>8.3800000000000008</c:v>
                </c:pt>
                <c:pt idx="440">
                  <c:v>8.39</c:v>
                </c:pt>
                <c:pt idx="441">
                  <c:v>8.4</c:v>
                </c:pt>
                <c:pt idx="442">
                  <c:v>8.41</c:v>
                </c:pt>
                <c:pt idx="443">
                  <c:v>8.42</c:v>
                </c:pt>
                <c:pt idx="444">
                  <c:v>8.43</c:v>
                </c:pt>
                <c:pt idx="445">
                  <c:v>8.44</c:v>
                </c:pt>
                <c:pt idx="446">
                  <c:v>8.4499999999999993</c:v>
                </c:pt>
                <c:pt idx="447">
                  <c:v>8.4600000000000009</c:v>
                </c:pt>
                <c:pt idx="448">
                  <c:v>8.4700000000000006</c:v>
                </c:pt>
                <c:pt idx="449">
                  <c:v>8.48</c:v>
                </c:pt>
                <c:pt idx="450">
                  <c:v>8.49</c:v>
                </c:pt>
                <c:pt idx="451">
                  <c:v>8.5</c:v>
                </c:pt>
                <c:pt idx="452">
                  <c:v>8.51</c:v>
                </c:pt>
                <c:pt idx="453">
                  <c:v>8.52</c:v>
                </c:pt>
                <c:pt idx="454">
                  <c:v>8.5299999999999994</c:v>
                </c:pt>
                <c:pt idx="455">
                  <c:v>8.5399999999999991</c:v>
                </c:pt>
                <c:pt idx="456">
                  <c:v>8.5500000000000007</c:v>
                </c:pt>
                <c:pt idx="457">
                  <c:v>8.56</c:v>
                </c:pt>
                <c:pt idx="458">
                  <c:v>8.57</c:v>
                </c:pt>
                <c:pt idx="459">
                  <c:v>8.58</c:v>
                </c:pt>
                <c:pt idx="460">
                  <c:v>8.59</c:v>
                </c:pt>
                <c:pt idx="461">
                  <c:v>8.6</c:v>
                </c:pt>
                <c:pt idx="462">
                  <c:v>8.61</c:v>
                </c:pt>
                <c:pt idx="463">
                  <c:v>8.6199999999999992</c:v>
                </c:pt>
                <c:pt idx="464">
                  <c:v>8.6300000000000008</c:v>
                </c:pt>
                <c:pt idx="465">
                  <c:v>8.64</c:v>
                </c:pt>
                <c:pt idx="466">
                  <c:v>8.65</c:v>
                </c:pt>
                <c:pt idx="467">
                  <c:v>8.66</c:v>
                </c:pt>
                <c:pt idx="468">
                  <c:v>8.67</c:v>
                </c:pt>
                <c:pt idx="469">
                  <c:v>8.68</c:v>
                </c:pt>
                <c:pt idx="470">
                  <c:v>8.69</c:v>
                </c:pt>
                <c:pt idx="471">
                  <c:v>8.6999999999999993</c:v>
                </c:pt>
                <c:pt idx="472">
                  <c:v>8.7100000000000009</c:v>
                </c:pt>
                <c:pt idx="473">
                  <c:v>8.7200000000000006</c:v>
                </c:pt>
                <c:pt idx="474">
                  <c:v>8.73</c:v>
                </c:pt>
                <c:pt idx="475">
                  <c:v>8.74</c:v>
                </c:pt>
                <c:pt idx="476">
                  <c:v>8.75</c:v>
                </c:pt>
                <c:pt idx="477">
                  <c:v>8.76</c:v>
                </c:pt>
                <c:pt idx="478">
                  <c:v>8.77</c:v>
                </c:pt>
                <c:pt idx="479">
                  <c:v>8.7799999999999994</c:v>
                </c:pt>
                <c:pt idx="480">
                  <c:v>8.7899999999999991</c:v>
                </c:pt>
                <c:pt idx="481">
                  <c:v>8.8000000000000007</c:v>
                </c:pt>
                <c:pt idx="482">
                  <c:v>8.81</c:v>
                </c:pt>
                <c:pt idx="483">
                  <c:v>8.82</c:v>
                </c:pt>
                <c:pt idx="484">
                  <c:v>8.83</c:v>
                </c:pt>
                <c:pt idx="485">
                  <c:v>8.84</c:v>
                </c:pt>
                <c:pt idx="486">
                  <c:v>8.85</c:v>
                </c:pt>
                <c:pt idx="487">
                  <c:v>8.86</c:v>
                </c:pt>
                <c:pt idx="488">
                  <c:v>8.8699999999999992</c:v>
                </c:pt>
                <c:pt idx="489">
                  <c:v>8.8800000000000008</c:v>
                </c:pt>
                <c:pt idx="490">
                  <c:v>8.89</c:v>
                </c:pt>
                <c:pt idx="491">
                  <c:v>8.9</c:v>
                </c:pt>
                <c:pt idx="492">
                  <c:v>8.91</c:v>
                </c:pt>
                <c:pt idx="493">
                  <c:v>8.92</c:v>
                </c:pt>
                <c:pt idx="494">
                  <c:v>8.93</c:v>
                </c:pt>
                <c:pt idx="495">
                  <c:v>8.94</c:v>
                </c:pt>
                <c:pt idx="496">
                  <c:v>8.9499999999999993</c:v>
                </c:pt>
                <c:pt idx="497">
                  <c:v>8.9600000000000009</c:v>
                </c:pt>
                <c:pt idx="498">
                  <c:v>8.9700000000000006</c:v>
                </c:pt>
                <c:pt idx="499">
                  <c:v>8.98</c:v>
                </c:pt>
                <c:pt idx="500">
                  <c:v>8.99</c:v>
                </c:pt>
                <c:pt idx="501">
                  <c:v>9</c:v>
                </c:pt>
                <c:pt idx="502">
                  <c:v>9.01</c:v>
                </c:pt>
                <c:pt idx="503">
                  <c:v>9.02</c:v>
                </c:pt>
                <c:pt idx="504">
                  <c:v>9.0299999999999994</c:v>
                </c:pt>
                <c:pt idx="505">
                  <c:v>9.0399999999999991</c:v>
                </c:pt>
                <c:pt idx="506">
                  <c:v>9.0500000000000007</c:v>
                </c:pt>
                <c:pt idx="507">
                  <c:v>9.06</c:v>
                </c:pt>
                <c:pt idx="508">
                  <c:v>9.07</c:v>
                </c:pt>
                <c:pt idx="509">
                  <c:v>9.08</c:v>
                </c:pt>
                <c:pt idx="510">
                  <c:v>9.09</c:v>
                </c:pt>
                <c:pt idx="511">
                  <c:v>9.1</c:v>
                </c:pt>
                <c:pt idx="512">
                  <c:v>9.11</c:v>
                </c:pt>
                <c:pt idx="513">
                  <c:v>9.1199999999999992</c:v>
                </c:pt>
                <c:pt idx="514">
                  <c:v>9.1300000000000008</c:v>
                </c:pt>
                <c:pt idx="515">
                  <c:v>9.14</c:v>
                </c:pt>
                <c:pt idx="516">
                  <c:v>9.15</c:v>
                </c:pt>
                <c:pt idx="517">
                  <c:v>9.16</c:v>
                </c:pt>
                <c:pt idx="518">
                  <c:v>9.17</c:v>
                </c:pt>
                <c:pt idx="519">
                  <c:v>9.18</c:v>
                </c:pt>
                <c:pt idx="520">
                  <c:v>9.19</c:v>
                </c:pt>
                <c:pt idx="521">
                  <c:v>9.1999999999999993</c:v>
                </c:pt>
                <c:pt idx="522">
                  <c:v>9.2100000000000009</c:v>
                </c:pt>
                <c:pt idx="523">
                  <c:v>9.2200000000000006</c:v>
                </c:pt>
                <c:pt idx="524">
                  <c:v>9.23</c:v>
                </c:pt>
                <c:pt idx="525">
                  <c:v>9.24</c:v>
                </c:pt>
                <c:pt idx="526">
                  <c:v>9.25</c:v>
                </c:pt>
                <c:pt idx="527">
                  <c:v>9.26</c:v>
                </c:pt>
                <c:pt idx="528">
                  <c:v>9.27</c:v>
                </c:pt>
                <c:pt idx="529">
                  <c:v>9.2799999999999994</c:v>
                </c:pt>
                <c:pt idx="530">
                  <c:v>9.2899999999999991</c:v>
                </c:pt>
                <c:pt idx="531">
                  <c:v>9.3000000000000007</c:v>
                </c:pt>
                <c:pt idx="532">
                  <c:v>9.31</c:v>
                </c:pt>
                <c:pt idx="533">
                  <c:v>9.32</c:v>
                </c:pt>
                <c:pt idx="534">
                  <c:v>9.33</c:v>
                </c:pt>
                <c:pt idx="535">
                  <c:v>9.34</c:v>
                </c:pt>
                <c:pt idx="536">
                  <c:v>9.35</c:v>
                </c:pt>
                <c:pt idx="537">
                  <c:v>9.36</c:v>
                </c:pt>
                <c:pt idx="538">
                  <c:v>9.3699999999999992</c:v>
                </c:pt>
                <c:pt idx="539">
                  <c:v>9.3800000000000008</c:v>
                </c:pt>
                <c:pt idx="540">
                  <c:v>9.39</c:v>
                </c:pt>
                <c:pt idx="541">
                  <c:v>9.4</c:v>
                </c:pt>
                <c:pt idx="542">
                  <c:v>9.41</c:v>
                </c:pt>
                <c:pt idx="543">
                  <c:v>9.42</c:v>
                </c:pt>
                <c:pt idx="544">
                  <c:v>9.43</c:v>
                </c:pt>
                <c:pt idx="545">
                  <c:v>9.44</c:v>
                </c:pt>
                <c:pt idx="546">
                  <c:v>9.4499999999999993</c:v>
                </c:pt>
                <c:pt idx="547">
                  <c:v>9.4600000000000009</c:v>
                </c:pt>
                <c:pt idx="548">
                  <c:v>9.4700000000000006</c:v>
                </c:pt>
                <c:pt idx="549">
                  <c:v>9.48</c:v>
                </c:pt>
                <c:pt idx="550">
                  <c:v>9.49</c:v>
                </c:pt>
                <c:pt idx="551">
                  <c:v>9.5</c:v>
                </c:pt>
                <c:pt idx="552">
                  <c:v>9.51</c:v>
                </c:pt>
                <c:pt idx="553">
                  <c:v>9.52</c:v>
                </c:pt>
                <c:pt idx="554">
                  <c:v>9.5299999999999994</c:v>
                </c:pt>
                <c:pt idx="555">
                  <c:v>9.5399999999999991</c:v>
                </c:pt>
                <c:pt idx="556">
                  <c:v>9.5500000000000007</c:v>
                </c:pt>
                <c:pt idx="557">
                  <c:v>9.56</c:v>
                </c:pt>
                <c:pt idx="558">
                  <c:v>9.57</c:v>
                </c:pt>
                <c:pt idx="559">
                  <c:v>9.58</c:v>
                </c:pt>
                <c:pt idx="560">
                  <c:v>9.59</c:v>
                </c:pt>
                <c:pt idx="561">
                  <c:v>9.6</c:v>
                </c:pt>
                <c:pt idx="562">
                  <c:v>9.61</c:v>
                </c:pt>
                <c:pt idx="563">
                  <c:v>9.6199999999999992</c:v>
                </c:pt>
                <c:pt idx="564">
                  <c:v>9.6300000000000008</c:v>
                </c:pt>
                <c:pt idx="565">
                  <c:v>9.64</c:v>
                </c:pt>
                <c:pt idx="566">
                  <c:v>9.65</c:v>
                </c:pt>
                <c:pt idx="567">
                  <c:v>9.66</c:v>
                </c:pt>
                <c:pt idx="568">
                  <c:v>9.67</c:v>
                </c:pt>
                <c:pt idx="569">
                  <c:v>9.68</c:v>
                </c:pt>
                <c:pt idx="570">
                  <c:v>9.69</c:v>
                </c:pt>
                <c:pt idx="571">
                  <c:v>9.6999999999999993</c:v>
                </c:pt>
                <c:pt idx="572">
                  <c:v>9.7100000000000009</c:v>
                </c:pt>
                <c:pt idx="573">
                  <c:v>9.7200000000000006</c:v>
                </c:pt>
                <c:pt idx="574">
                  <c:v>9.73</c:v>
                </c:pt>
                <c:pt idx="575">
                  <c:v>9.74</c:v>
                </c:pt>
                <c:pt idx="576">
                  <c:v>9.75</c:v>
                </c:pt>
                <c:pt idx="577">
                  <c:v>9.76</c:v>
                </c:pt>
                <c:pt idx="578">
                  <c:v>9.77</c:v>
                </c:pt>
                <c:pt idx="579">
                  <c:v>9.7799999999999994</c:v>
                </c:pt>
                <c:pt idx="580">
                  <c:v>9.7899999999999991</c:v>
                </c:pt>
                <c:pt idx="581">
                  <c:v>9.8000000000000007</c:v>
                </c:pt>
                <c:pt idx="582">
                  <c:v>9.81</c:v>
                </c:pt>
                <c:pt idx="583">
                  <c:v>9.82</c:v>
                </c:pt>
                <c:pt idx="584">
                  <c:v>9.83</c:v>
                </c:pt>
                <c:pt idx="585">
                  <c:v>9.84</c:v>
                </c:pt>
                <c:pt idx="586">
                  <c:v>9.85</c:v>
                </c:pt>
                <c:pt idx="587">
                  <c:v>9.86</c:v>
                </c:pt>
                <c:pt idx="588">
                  <c:v>9.8699999999999992</c:v>
                </c:pt>
                <c:pt idx="589">
                  <c:v>9.8800000000000008</c:v>
                </c:pt>
                <c:pt idx="590">
                  <c:v>9.89</c:v>
                </c:pt>
                <c:pt idx="591">
                  <c:v>9.9</c:v>
                </c:pt>
                <c:pt idx="592">
                  <c:v>9.91</c:v>
                </c:pt>
                <c:pt idx="593">
                  <c:v>9.92</c:v>
                </c:pt>
                <c:pt idx="594">
                  <c:v>9.93</c:v>
                </c:pt>
                <c:pt idx="595">
                  <c:v>9.94</c:v>
                </c:pt>
                <c:pt idx="596">
                  <c:v>9.9499999999999993</c:v>
                </c:pt>
                <c:pt idx="597">
                  <c:v>9.9600000000000009</c:v>
                </c:pt>
                <c:pt idx="598">
                  <c:v>9.9700000000000006</c:v>
                </c:pt>
                <c:pt idx="599">
                  <c:v>9.98</c:v>
                </c:pt>
                <c:pt idx="600">
                  <c:v>9.99</c:v>
                </c:pt>
                <c:pt idx="601">
                  <c:v>10</c:v>
                </c:pt>
                <c:pt idx="602">
                  <c:v>10.01</c:v>
                </c:pt>
                <c:pt idx="603">
                  <c:v>10.02</c:v>
                </c:pt>
                <c:pt idx="604">
                  <c:v>10.029999999999999</c:v>
                </c:pt>
                <c:pt idx="605">
                  <c:v>10.039999999999999</c:v>
                </c:pt>
                <c:pt idx="606">
                  <c:v>10.050000000000001</c:v>
                </c:pt>
                <c:pt idx="607">
                  <c:v>10.06</c:v>
                </c:pt>
                <c:pt idx="608">
                  <c:v>10.07</c:v>
                </c:pt>
                <c:pt idx="609">
                  <c:v>10.08</c:v>
                </c:pt>
                <c:pt idx="610">
                  <c:v>10.09</c:v>
                </c:pt>
                <c:pt idx="611">
                  <c:v>10.1</c:v>
                </c:pt>
                <c:pt idx="612">
                  <c:v>10.11</c:v>
                </c:pt>
                <c:pt idx="613">
                  <c:v>10.119999999999999</c:v>
                </c:pt>
                <c:pt idx="614">
                  <c:v>10.130000000000001</c:v>
                </c:pt>
                <c:pt idx="615">
                  <c:v>10.14</c:v>
                </c:pt>
                <c:pt idx="616">
                  <c:v>10.15</c:v>
                </c:pt>
                <c:pt idx="617">
                  <c:v>10.16</c:v>
                </c:pt>
                <c:pt idx="618">
                  <c:v>10.17</c:v>
                </c:pt>
                <c:pt idx="619">
                  <c:v>10.18</c:v>
                </c:pt>
                <c:pt idx="620">
                  <c:v>10.19</c:v>
                </c:pt>
                <c:pt idx="621">
                  <c:v>10.199999999999999</c:v>
                </c:pt>
                <c:pt idx="622">
                  <c:v>10.210000000000001</c:v>
                </c:pt>
                <c:pt idx="623">
                  <c:v>10.220000000000001</c:v>
                </c:pt>
                <c:pt idx="624">
                  <c:v>10.23</c:v>
                </c:pt>
                <c:pt idx="625">
                  <c:v>10.24</c:v>
                </c:pt>
                <c:pt idx="626">
                  <c:v>10.25</c:v>
                </c:pt>
                <c:pt idx="627">
                  <c:v>10.26</c:v>
                </c:pt>
                <c:pt idx="628">
                  <c:v>10.27</c:v>
                </c:pt>
                <c:pt idx="629">
                  <c:v>10.28</c:v>
                </c:pt>
                <c:pt idx="630">
                  <c:v>10.29</c:v>
                </c:pt>
                <c:pt idx="631">
                  <c:v>10.3</c:v>
                </c:pt>
                <c:pt idx="632">
                  <c:v>10.31</c:v>
                </c:pt>
                <c:pt idx="633">
                  <c:v>10.32</c:v>
                </c:pt>
                <c:pt idx="634">
                  <c:v>10.33</c:v>
                </c:pt>
                <c:pt idx="635">
                  <c:v>10.34</c:v>
                </c:pt>
                <c:pt idx="636">
                  <c:v>10.35</c:v>
                </c:pt>
                <c:pt idx="637">
                  <c:v>10.36</c:v>
                </c:pt>
                <c:pt idx="638">
                  <c:v>10.37</c:v>
                </c:pt>
                <c:pt idx="639">
                  <c:v>10.38</c:v>
                </c:pt>
                <c:pt idx="640">
                  <c:v>10.39</c:v>
                </c:pt>
                <c:pt idx="641">
                  <c:v>10.4</c:v>
                </c:pt>
                <c:pt idx="642">
                  <c:v>10.41</c:v>
                </c:pt>
                <c:pt idx="643">
                  <c:v>10.42</c:v>
                </c:pt>
                <c:pt idx="644">
                  <c:v>10.43</c:v>
                </c:pt>
                <c:pt idx="645">
                  <c:v>10.44</c:v>
                </c:pt>
                <c:pt idx="646">
                  <c:v>10.45</c:v>
                </c:pt>
                <c:pt idx="647">
                  <c:v>10.46</c:v>
                </c:pt>
                <c:pt idx="648">
                  <c:v>10.47</c:v>
                </c:pt>
                <c:pt idx="649">
                  <c:v>10.48</c:v>
                </c:pt>
                <c:pt idx="650">
                  <c:v>10.49</c:v>
                </c:pt>
                <c:pt idx="651">
                  <c:v>10.5</c:v>
                </c:pt>
                <c:pt idx="652">
                  <c:v>10.51</c:v>
                </c:pt>
                <c:pt idx="653">
                  <c:v>10.52</c:v>
                </c:pt>
                <c:pt idx="654">
                  <c:v>10.53</c:v>
                </c:pt>
                <c:pt idx="655">
                  <c:v>10.54</c:v>
                </c:pt>
                <c:pt idx="656">
                  <c:v>10.55</c:v>
                </c:pt>
                <c:pt idx="657">
                  <c:v>10.56</c:v>
                </c:pt>
                <c:pt idx="658">
                  <c:v>10.57</c:v>
                </c:pt>
                <c:pt idx="659">
                  <c:v>10.58</c:v>
                </c:pt>
                <c:pt idx="660">
                  <c:v>10.59</c:v>
                </c:pt>
                <c:pt idx="661">
                  <c:v>10.6</c:v>
                </c:pt>
                <c:pt idx="662">
                  <c:v>10.61</c:v>
                </c:pt>
                <c:pt idx="663">
                  <c:v>10.62</c:v>
                </c:pt>
                <c:pt idx="664">
                  <c:v>10.63</c:v>
                </c:pt>
                <c:pt idx="665">
                  <c:v>10.64</c:v>
                </c:pt>
                <c:pt idx="666">
                  <c:v>10.65</c:v>
                </c:pt>
                <c:pt idx="667">
                  <c:v>10.66</c:v>
                </c:pt>
                <c:pt idx="668">
                  <c:v>10.67</c:v>
                </c:pt>
                <c:pt idx="669">
                  <c:v>10.68</c:v>
                </c:pt>
                <c:pt idx="670">
                  <c:v>10.69</c:v>
                </c:pt>
                <c:pt idx="671">
                  <c:v>10.7</c:v>
                </c:pt>
                <c:pt idx="672">
                  <c:v>10.71</c:v>
                </c:pt>
                <c:pt idx="673">
                  <c:v>10.72</c:v>
                </c:pt>
                <c:pt idx="674">
                  <c:v>10.73</c:v>
                </c:pt>
                <c:pt idx="675">
                  <c:v>10.74</c:v>
                </c:pt>
                <c:pt idx="676">
                  <c:v>10.75</c:v>
                </c:pt>
                <c:pt idx="677">
                  <c:v>10.76</c:v>
                </c:pt>
                <c:pt idx="678">
                  <c:v>10.77</c:v>
                </c:pt>
                <c:pt idx="679">
                  <c:v>10.78</c:v>
                </c:pt>
                <c:pt idx="680">
                  <c:v>10.79</c:v>
                </c:pt>
                <c:pt idx="681">
                  <c:v>10.8</c:v>
                </c:pt>
                <c:pt idx="682">
                  <c:v>10.81</c:v>
                </c:pt>
                <c:pt idx="683">
                  <c:v>10.82</c:v>
                </c:pt>
                <c:pt idx="684">
                  <c:v>10.83</c:v>
                </c:pt>
                <c:pt idx="685">
                  <c:v>10.84</c:v>
                </c:pt>
                <c:pt idx="686">
                  <c:v>10.85</c:v>
                </c:pt>
                <c:pt idx="687">
                  <c:v>10.86</c:v>
                </c:pt>
                <c:pt idx="688">
                  <c:v>10.87</c:v>
                </c:pt>
                <c:pt idx="689">
                  <c:v>10.88</c:v>
                </c:pt>
                <c:pt idx="690">
                  <c:v>10.89</c:v>
                </c:pt>
                <c:pt idx="691">
                  <c:v>10.9</c:v>
                </c:pt>
                <c:pt idx="692">
                  <c:v>10.91</c:v>
                </c:pt>
                <c:pt idx="693">
                  <c:v>10.92</c:v>
                </c:pt>
                <c:pt idx="694">
                  <c:v>10.93</c:v>
                </c:pt>
                <c:pt idx="695">
                  <c:v>10.94</c:v>
                </c:pt>
                <c:pt idx="696">
                  <c:v>10.95</c:v>
                </c:pt>
                <c:pt idx="697">
                  <c:v>10.96</c:v>
                </c:pt>
                <c:pt idx="698">
                  <c:v>10.97</c:v>
                </c:pt>
                <c:pt idx="699">
                  <c:v>10.98</c:v>
                </c:pt>
                <c:pt idx="700">
                  <c:v>10.99</c:v>
                </c:pt>
                <c:pt idx="701">
                  <c:v>11</c:v>
                </c:pt>
                <c:pt idx="702">
                  <c:v>11.01</c:v>
                </c:pt>
                <c:pt idx="703">
                  <c:v>11.02</c:v>
                </c:pt>
                <c:pt idx="704">
                  <c:v>11.03</c:v>
                </c:pt>
                <c:pt idx="705">
                  <c:v>11.04</c:v>
                </c:pt>
                <c:pt idx="706">
                  <c:v>11.05</c:v>
                </c:pt>
                <c:pt idx="707">
                  <c:v>11.06</c:v>
                </c:pt>
                <c:pt idx="708">
                  <c:v>11.07</c:v>
                </c:pt>
                <c:pt idx="709">
                  <c:v>11.08</c:v>
                </c:pt>
                <c:pt idx="710">
                  <c:v>11.09</c:v>
                </c:pt>
                <c:pt idx="711">
                  <c:v>11.1</c:v>
                </c:pt>
                <c:pt idx="712">
                  <c:v>11.11</c:v>
                </c:pt>
                <c:pt idx="713">
                  <c:v>11.12</c:v>
                </c:pt>
                <c:pt idx="714">
                  <c:v>11.13</c:v>
                </c:pt>
                <c:pt idx="715">
                  <c:v>11.14</c:v>
                </c:pt>
                <c:pt idx="716">
                  <c:v>11.15</c:v>
                </c:pt>
                <c:pt idx="717">
                  <c:v>11.16</c:v>
                </c:pt>
                <c:pt idx="718">
                  <c:v>11.17</c:v>
                </c:pt>
                <c:pt idx="719">
                  <c:v>11.18</c:v>
                </c:pt>
                <c:pt idx="720">
                  <c:v>11.19</c:v>
                </c:pt>
                <c:pt idx="721">
                  <c:v>11.2</c:v>
                </c:pt>
                <c:pt idx="722">
                  <c:v>11.21</c:v>
                </c:pt>
                <c:pt idx="723">
                  <c:v>11.22</c:v>
                </c:pt>
                <c:pt idx="724">
                  <c:v>11.23</c:v>
                </c:pt>
                <c:pt idx="725">
                  <c:v>11.24</c:v>
                </c:pt>
                <c:pt idx="726">
                  <c:v>11.25</c:v>
                </c:pt>
                <c:pt idx="727">
                  <c:v>11.26</c:v>
                </c:pt>
                <c:pt idx="728">
                  <c:v>11.27</c:v>
                </c:pt>
                <c:pt idx="729">
                  <c:v>11.28</c:v>
                </c:pt>
                <c:pt idx="730">
                  <c:v>11.29</c:v>
                </c:pt>
                <c:pt idx="731">
                  <c:v>11.3</c:v>
                </c:pt>
                <c:pt idx="732">
                  <c:v>11.31</c:v>
                </c:pt>
                <c:pt idx="733">
                  <c:v>11.32</c:v>
                </c:pt>
                <c:pt idx="734">
                  <c:v>11.33</c:v>
                </c:pt>
                <c:pt idx="735">
                  <c:v>11.34</c:v>
                </c:pt>
                <c:pt idx="736">
                  <c:v>11.35</c:v>
                </c:pt>
                <c:pt idx="737">
                  <c:v>11.36</c:v>
                </c:pt>
                <c:pt idx="738">
                  <c:v>11.37</c:v>
                </c:pt>
                <c:pt idx="739">
                  <c:v>11.38</c:v>
                </c:pt>
                <c:pt idx="740">
                  <c:v>11.39</c:v>
                </c:pt>
                <c:pt idx="741">
                  <c:v>11.4</c:v>
                </c:pt>
                <c:pt idx="742">
                  <c:v>11.41</c:v>
                </c:pt>
                <c:pt idx="743">
                  <c:v>11.42</c:v>
                </c:pt>
                <c:pt idx="744">
                  <c:v>11.43</c:v>
                </c:pt>
                <c:pt idx="745">
                  <c:v>11.44</c:v>
                </c:pt>
                <c:pt idx="746">
                  <c:v>11.45</c:v>
                </c:pt>
                <c:pt idx="747">
                  <c:v>11.46</c:v>
                </c:pt>
                <c:pt idx="748">
                  <c:v>11.47</c:v>
                </c:pt>
                <c:pt idx="749">
                  <c:v>11.48</c:v>
                </c:pt>
                <c:pt idx="750">
                  <c:v>11.49</c:v>
                </c:pt>
                <c:pt idx="751">
                  <c:v>11.5</c:v>
                </c:pt>
                <c:pt idx="752">
                  <c:v>11.51</c:v>
                </c:pt>
                <c:pt idx="753">
                  <c:v>11.52</c:v>
                </c:pt>
                <c:pt idx="754">
                  <c:v>11.53</c:v>
                </c:pt>
                <c:pt idx="755">
                  <c:v>11.54</c:v>
                </c:pt>
                <c:pt idx="756">
                  <c:v>11.55</c:v>
                </c:pt>
                <c:pt idx="757">
                  <c:v>11.56</c:v>
                </c:pt>
                <c:pt idx="758">
                  <c:v>11.57</c:v>
                </c:pt>
                <c:pt idx="759">
                  <c:v>11.58</c:v>
                </c:pt>
                <c:pt idx="760">
                  <c:v>11.59</c:v>
                </c:pt>
                <c:pt idx="761">
                  <c:v>11.6</c:v>
                </c:pt>
                <c:pt idx="762">
                  <c:v>11.61</c:v>
                </c:pt>
                <c:pt idx="763">
                  <c:v>11.62</c:v>
                </c:pt>
                <c:pt idx="764">
                  <c:v>11.63</c:v>
                </c:pt>
                <c:pt idx="765">
                  <c:v>11.64</c:v>
                </c:pt>
                <c:pt idx="766">
                  <c:v>11.65</c:v>
                </c:pt>
                <c:pt idx="767">
                  <c:v>11.66</c:v>
                </c:pt>
                <c:pt idx="768">
                  <c:v>11.67</c:v>
                </c:pt>
                <c:pt idx="769">
                  <c:v>11.68</c:v>
                </c:pt>
                <c:pt idx="770">
                  <c:v>11.69</c:v>
                </c:pt>
                <c:pt idx="771">
                  <c:v>11.7</c:v>
                </c:pt>
                <c:pt idx="772">
                  <c:v>11.71</c:v>
                </c:pt>
                <c:pt idx="773">
                  <c:v>11.72</c:v>
                </c:pt>
                <c:pt idx="774">
                  <c:v>11.73</c:v>
                </c:pt>
                <c:pt idx="775">
                  <c:v>11.74</c:v>
                </c:pt>
                <c:pt idx="776">
                  <c:v>11.75</c:v>
                </c:pt>
                <c:pt idx="777">
                  <c:v>11.76</c:v>
                </c:pt>
                <c:pt idx="778">
                  <c:v>11.77</c:v>
                </c:pt>
                <c:pt idx="779">
                  <c:v>11.78</c:v>
                </c:pt>
                <c:pt idx="780">
                  <c:v>11.79</c:v>
                </c:pt>
                <c:pt idx="781">
                  <c:v>11.8</c:v>
                </c:pt>
                <c:pt idx="782">
                  <c:v>11.81</c:v>
                </c:pt>
                <c:pt idx="783">
                  <c:v>11.82</c:v>
                </c:pt>
                <c:pt idx="784">
                  <c:v>11.83</c:v>
                </c:pt>
                <c:pt idx="785">
                  <c:v>11.84</c:v>
                </c:pt>
                <c:pt idx="786">
                  <c:v>11.85</c:v>
                </c:pt>
                <c:pt idx="787">
                  <c:v>11.86</c:v>
                </c:pt>
                <c:pt idx="788">
                  <c:v>11.87</c:v>
                </c:pt>
                <c:pt idx="789">
                  <c:v>11.88</c:v>
                </c:pt>
                <c:pt idx="790">
                  <c:v>11.89</c:v>
                </c:pt>
                <c:pt idx="791">
                  <c:v>11.9</c:v>
                </c:pt>
                <c:pt idx="792">
                  <c:v>11.91</c:v>
                </c:pt>
                <c:pt idx="793">
                  <c:v>11.92</c:v>
                </c:pt>
                <c:pt idx="794">
                  <c:v>11.93</c:v>
                </c:pt>
                <c:pt idx="795">
                  <c:v>11.94</c:v>
                </c:pt>
                <c:pt idx="796">
                  <c:v>11.95</c:v>
                </c:pt>
                <c:pt idx="797">
                  <c:v>11.96</c:v>
                </c:pt>
                <c:pt idx="798">
                  <c:v>11.97</c:v>
                </c:pt>
                <c:pt idx="799">
                  <c:v>11.98</c:v>
                </c:pt>
                <c:pt idx="800">
                  <c:v>11.99</c:v>
                </c:pt>
                <c:pt idx="801">
                  <c:v>12</c:v>
                </c:pt>
                <c:pt idx="802">
                  <c:v>12.01</c:v>
                </c:pt>
                <c:pt idx="803">
                  <c:v>12.02</c:v>
                </c:pt>
                <c:pt idx="804">
                  <c:v>12.03</c:v>
                </c:pt>
                <c:pt idx="805">
                  <c:v>12.04</c:v>
                </c:pt>
                <c:pt idx="806">
                  <c:v>12.05</c:v>
                </c:pt>
                <c:pt idx="807">
                  <c:v>12.06</c:v>
                </c:pt>
                <c:pt idx="808">
                  <c:v>12.07</c:v>
                </c:pt>
                <c:pt idx="809">
                  <c:v>12.08</c:v>
                </c:pt>
                <c:pt idx="810">
                  <c:v>12.09</c:v>
                </c:pt>
                <c:pt idx="811">
                  <c:v>12.1</c:v>
                </c:pt>
                <c:pt idx="812">
                  <c:v>12.11</c:v>
                </c:pt>
                <c:pt idx="813">
                  <c:v>12.12</c:v>
                </c:pt>
                <c:pt idx="814">
                  <c:v>12.13</c:v>
                </c:pt>
                <c:pt idx="815">
                  <c:v>12.14</c:v>
                </c:pt>
                <c:pt idx="816">
                  <c:v>12.15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</a:t>
            </a:r>
            <a:r>
              <a:rPr lang="en-US" sz="1200" baseline="0"/>
              <a:t> Base vs Volume of Strong Acid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CalcSheet!$AI:$AI</c:f>
              <c:strCache>
                <c:ptCount val="1048576"/>
                <c:pt idx="0">
                  <c:v>98.64288464</c:v>
                </c:pt>
                <c:pt idx="1">
                  <c:v>97.18713155</c:v>
                </c:pt>
                <c:pt idx="2">
                  <c:v>95.78497797</c:v>
                </c:pt>
                <c:pt idx="3">
                  <c:v>94.43386856</c:v>
                </c:pt>
                <c:pt idx="4">
                  <c:v>93.13140462</c:v>
                </c:pt>
                <c:pt idx="5">
                  <c:v>91.87533221</c:v>
                </c:pt>
                <c:pt idx="6">
                  <c:v>90.66353143</c:v>
                </c:pt>
                <c:pt idx="7">
                  <c:v>89.49400655</c:v>
                </c:pt>
                <c:pt idx="8">
                  <c:v>88.36487705</c:v>
                </c:pt>
                <c:pt idx="9">
                  <c:v>87.27436943</c:v>
                </c:pt>
                <c:pt idx="10">
                  <c:v>86.22080966</c:v>
                </c:pt>
                <c:pt idx="11">
                  <c:v>85.20261634</c:v>
                </c:pt>
                <c:pt idx="12">
                  <c:v>84.21829435</c:v>
                </c:pt>
                <c:pt idx="13">
                  <c:v>83.26642904</c:v>
                </c:pt>
                <c:pt idx="14">
                  <c:v>82.3456809</c:v>
                </c:pt>
                <c:pt idx="15">
                  <c:v>81.4547806</c:v>
                </c:pt>
                <c:pt idx="16">
                  <c:v>80.59252451</c:v>
                </c:pt>
                <c:pt idx="17">
                  <c:v>79.75777043</c:v>
                </c:pt>
                <c:pt idx="18">
                  <c:v>78.94943378</c:v>
                </c:pt>
                <c:pt idx="19">
                  <c:v>78.16648398</c:v>
                </c:pt>
                <c:pt idx="20">
                  <c:v>77.40794115</c:v>
                </c:pt>
                <c:pt idx="21">
                  <c:v>76.672873</c:v>
                </c:pt>
                <c:pt idx="22">
                  <c:v>75.96039204</c:v>
                </c:pt>
                <c:pt idx="23">
                  <c:v>75.26965284</c:v>
                </c:pt>
                <c:pt idx="24">
                  <c:v>74.59984965</c:v>
                </c:pt>
                <c:pt idx="25">
                  <c:v>73.95021406</c:v>
                </c:pt>
                <c:pt idx="26">
                  <c:v>73.32001285</c:v>
                </c:pt>
                <c:pt idx="27">
                  <c:v>72.70854606</c:v>
                </c:pt>
                <c:pt idx="28">
                  <c:v>72.11514508</c:v>
                </c:pt>
                <c:pt idx="29">
                  <c:v>71.53917094</c:v>
                </c:pt>
                <c:pt idx="30">
                  <c:v>70.9800127</c:v>
                </c:pt>
                <c:pt idx="31">
                  <c:v>70.4370859</c:v>
                </c:pt>
                <c:pt idx="32">
                  <c:v>69.9098312</c:v>
                </c:pt>
                <c:pt idx="33">
                  <c:v>69.397713</c:v>
                </c:pt>
                <c:pt idx="34">
                  <c:v>68.90021823</c:v>
                </c:pt>
                <c:pt idx="35">
                  <c:v>68.41685519</c:v>
                </c:pt>
                <c:pt idx="36">
                  <c:v>67.94715243</c:v>
                </c:pt>
                <c:pt idx="37">
                  <c:v>67.49065774</c:v>
                </c:pt>
                <c:pt idx="38">
                  <c:v>67.0469372</c:v>
                </c:pt>
                <c:pt idx="39">
                  <c:v>66.61557423</c:v>
                </c:pt>
                <c:pt idx="40">
                  <c:v>66.1961688</c:v>
                </c:pt>
                <c:pt idx="41">
                  <c:v>65.78833658</c:v>
                </c:pt>
                <c:pt idx="42">
                  <c:v>65.39170818</c:v>
                </c:pt>
                <c:pt idx="43">
                  <c:v>65.00592847</c:v>
                </c:pt>
                <c:pt idx="44">
                  <c:v>64.63065591</c:v>
                </c:pt>
                <c:pt idx="45">
                  <c:v>64.26556188</c:v>
                </c:pt>
                <c:pt idx="46">
                  <c:v>63.91033009</c:v>
                </c:pt>
                <c:pt idx="47">
                  <c:v>63.56465604</c:v>
                </c:pt>
                <c:pt idx="48">
                  <c:v>63.22824646</c:v>
                </c:pt>
                <c:pt idx="49">
                  <c:v>62.90081884</c:v>
                </c:pt>
                <c:pt idx="50">
                  <c:v>62.58210089</c:v>
                </c:pt>
                <c:pt idx="51">
                  <c:v>62.27183015</c:v>
                </c:pt>
                <c:pt idx="52">
                  <c:v>61.96975352</c:v>
                </c:pt>
                <c:pt idx="53">
                  <c:v>61.67562687</c:v>
                </c:pt>
                <c:pt idx="54">
                  <c:v>61.38921465</c:v>
                </c:pt>
                <c:pt idx="55">
                  <c:v>61.11028953</c:v>
                </c:pt>
                <c:pt idx="56">
                  <c:v>60.83863206</c:v>
                </c:pt>
                <c:pt idx="57">
                  <c:v>60.57403031</c:v>
                </c:pt>
                <c:pt idx="58">
                  <c:v>60.31627959</c:v>
                </c:pt>
                <c:pt idx="59">
                  <c:v>60.06518213</c:v>
                </c:pt>
                <c:pt idx="60">
                  <c:v>59.82054682</c:v>
                </c:pt>
                <c:pt idx="61">
                  <c:v>59.58218891</c:v>
                </c:pt>
                <c:pt idx="62">
                  <c:v>59.3499298</c:v>
                </c:pt>
                <c:pt idx="63">
                  <c:v>59.12359673</c:v>
                </c:pt>
                <c:pt idx="64">
                  <c:v>58.90302261</c:v>
                </c:pt>
                <c:pt idx="65">
                  <c:v>58.68804578</c:v>
                </c:pt>
                <c:pt idx="66">
                  <c:v>58.47850977</c:v>
                </c:pt>
                <c:pt idx="67">
                  <c:v>58.27426315</c:v>
                </c:pt>
                <c:pt idx="68">
                  <c:v>58.07515928</c:v>
                </c:pt>
                <c:pt idx="69">
                  <c:v>57.88105619</c:v>
                </c:pt>
                <c:pt idx="70">
                  <c:v>57.69181635</c:v>
                </c:pt>
                <c:pt idx="71">
                  <c:v>57.50730653</c:v>
                </c:pt>
                <c:pt idx="72">
                  <c:v>57.32739765</c:v>
                </c:pt>
                <c:pt idx="73">
                  <c:v>57.1519646</c:v>
                </c:pt>
                <c:pt idx="74">
                  <c:v>56.98088611</c:v>
                </c:pt>
                <c:pt idx="75">
                  <c:v>56.81404462</c:v>
                </c:pt>
                <c:pt idx="76">
                  <c:v>56.65132611</c:v>
                </c:pt>
                <c:pt idx="77">
                  <c:v>56.49262003</c:v>
                </c:pt>
                <c:pt idx="78">
                  <c:v>56.33781913</c:v>
                </c:pt>
                <c:pt idx="79">
                  <c:v>56.18681935</c:v>
                </c:pt>
                <c:pt idx="80">
                  <c:v>56.03951973</c:v>
                </c:pt>
                <c:pt idx="81">
                  <c:v>55.89582227</c:v>
                </c:pt>
                <c:pt idx="82">
                  <c:v>55.75563188</c:v>
                </c:pt>
                <c:pt idx="83">
                  <c:v>55.61885622</c:v>
                </c:pt>
                <c:pt idx="84">
                  <c:v>55.48540562</c:v>
                </c:pt>
                <c:pt idx="85">
                  <c:v>55.35519304</c:v>
                </c:pt>
                <c:pt idx="86">
                  <c:v>55.22813391</c:v>
                </c:pt>
                <c:pt idx="87">
                  <c:v>55.1041461</c:v>
                </c:pt>
                <c:pt idx="88">
                  <c:v>54.98314979</c:v>
                </c:pt>
                <c:pt idx="89">
                  <c:v>54.86506746</c:v>
                </c:pt>
                <c:pt idx="90">
                  <c:v>54.74982375</c:v>
                </c:pt>
                <c:pt idx="91">
                  <c:v>54.63734542</c:v>
                </c:pt>
                <c:pt idx="92">
                  <c:v>54.52756128</c:v>
                </c:pt>
                <c:pt idx="93">
                  <c:v>54.42040212</c:v>
                </c:pt>
                <c:pt idx="94">
                  <c:v>54.31580064</c:v>
                </c:pt>
                <c:pt idx="95">
                  <c:v>54.21369141</c:v>
                </c:pt>
                <c:pt idx="96">
                  <c:v>54.11401078</c:v>
                </c:pt>
                <c:pt idx="97">
                  <c:v>54.01669685</c:v>
                </c:pt>
                <c:pt idx="98">
                  <c:v>53.9216894</c:v>
                </c:pt>
                <c:pt idx="99">
                  <c:v>53.82892983</c:v>
                </c:pt>
                <c:pt idx="100">
                  <c:v>53.73836114</c:v>
                </c:pt>
                <c:pt idx="101">
                  <c:v>53.64992785</c:v>
                </c:pt>
                <c:pt idx="102">
                  <c:v>53.56357598</c:v>
                </c:pt>
                <c:pt idx="103">
                  <c:v>53.47925296</c:v>
                </c:pt>
                <c:pt idx="104">
                  <c:v>53.39690764</c:v>
                </c:pt>
                <c:pt idx="105">
                  <c:v>53.31649021</c:v>
                </c:pt>
                <c:pt idx="106">
                  <c:v>53.23795218</c:v>
                </c:pt>
                <c:pt idx="107">
                  <c:v>53.16124632</c:v>
                </c:pt>
                <c:pt idx="108">
                  <c:v>53.08632665</c:v>
                </c:pt>
                <c:pt idx="109">
                  <c:v>53.01314836</c:v>
                </c:pt>
                <c:pt idx="110">
                  <c:v>52.94166784</c:v>
                </c:pt>
                <c:pt idx="111">
                  <c:v>52.87184256</c:v>
                </c:pt>
                <c:pt idx="112">
                  <c:v>52.80363112</c:v>
                </c:pt>
                <c:pt idx="113">
                  <c:v>52.73699316</c:v>
                </c:pt>
                <c:pt idx="114">
                  <c:v>52.67188937</c:v>
                </c:pt>
                <c:pt idx="115">
                  <c:v>52.60828142</c:v>
                </c:pt>
                <c:pt idx="116">
                  <c:v>52.54613196</c:v>
                </c:pt>
                <c:pt idx="117">
                  <c:v>52.48540458</c:v>
                </c:pt>
                <c:pt idx="118">
                  <c:v>52.42606378</c:v>
                </c:pt>
                <c:pt idx="119">
                  <c:v>52.36807496</c:v>
                </c:pt>
                <c:pt idx="120">
                  <c:v>52.31140437</c:v>
                </c:pt>
                <c:pt idx="121">
                  <c:v>52.25601912</c:v>
                </c:pt>
                <c:pt idx="122">
                  <c:v>52.2018871</c:v>
                </c:pt>
                <c:pt idx="123">
                  <c:v>52.14897702</c:v>
                </c:pt>
                <c:pt idx="124">
                  <c:v>52.09725835</c:v>
                </c:pt>
                <c:pt idx="125">
                  <c:v>52.04670131</c:v>
                </c:pt>
                <c:pt idx="126">
                  <c:v>51.99727683</c:v>
                </c:pt>
                <c:pt idx="127">
                  <c:v>51.94895657</c:v>
                </c:pt>
                <c:pt idx="128">
                  <c:v>51.90171285</c:v>
                </c:pt>
                <c:pt idx="129">
                  <c:v>51.85551866</c:v>
                </c:pt>
                <c:pt idx="130">
                  <c:v>51.81034766</c:v>
                </c:pt>
                <c:pt idx="131">
                  <c:v>51.76617412</c:v>
                </c:pt>
                <c:pt idx="132">
                  <c:v>51.72297292</c:v>
                </c:pt>
                <c:pt idx="133">
                  <c:v>51.68071954</c:v>
                </c:pt>
                <c:pt idx="134">
                  <c:v>51.63939003</c:v>
                </c:pt>
                <c:pt idx="135">
                  <c:v>51.59896101</c:v>
                </c:pt>
                <c:pt idx="136">
                  <c:v>51.55940965</c:v>
                </c:pt>
                <c:pt idx="137">
                  <c:v>51.52071362</c:v>
                </c:pt>
                <c:pt idx="138">
                  <c:v>51.48285115</c:v>
                </c:pt>
                <c:pt idx="139">
                  <c:v>51.44580094</c:v>
                </c:pt>
                <c:pt idx="140">
                  <c:v>51.40954219</c:v>
                </c:pt>
                <c:pt idx="141">
                  <c:v>51.37405457</c:v>
                </c:pt>
                <c:pt idx="142">
                  <c:v>51.3393182</c:v>
                </c:pt>
                <c:pt idx="143">
                  <c:v>51.30531366</c:v>
                </c:pt>
                <c:pt idx="144">
                  <c:v>51.27202196</c:v>
                </c:pt>
                <c:pt idx="145">
                  <c:v>51.23942455</c:v>
                </c:pt>
                <c:pt idx="146">
                  <c:v>51.20750325</c:v>
                </c:pt>
                <c:pt idx="147">
                  <c:v>51.17624032</c:v>
                </c:pt>
                <c:pt idx="148">
                  <c:v>51.14561839</c:v>
                </c:pt>
                <c:pt idx="149">
                  <c:v>51.11562047</c:v>
                </c:pt>
                <c:pt idx="150">
                  <c:v>51.08622993</c:v>
                </c:pt>
                <c:pt idx="151">
                  <c:v>51.0574305</c:v>
                </c:pt>
                <c:pt idx="152">
                  <c:v>51.02920626</c:v>
                </c:pt>
                <c:pt idx="153">
                  <c:v>51.00154162</c:v>
                </c:pt>
                <c:pt idx="154">
                  <c:v>50.97442132</c:v>
                </c:pt>
                <c:pt idx="155">
                  <c:v>50.94783042</c:v>
                </c:pt>
                <c:pt idx="156">
                  <c:v>50.92175427</c:v>
                </c:pt>
                <c:pt idx="157">
                  <c:v>50.89617855</c:v>
                </c:pt>
                <c:pt idx="158">
                  <c:v>50.87108919</c:v>
                </c:pt>
                <c:pt idx="159">
                  <c:v>50.84647243</c:v>
                </c:pt>
                <c:pt idx="160">
                  <c:v>50.82231479</c:v>
                </c:pt>
                <c:pt idx="161">
                  <c:v>50.79860302</c:v>
                </c:pt>
                <c:pt idx="162">
                  <c:v>50.77532417</c:v>
                </c:pt>
                <c:pt idx="163">
                  <c:v>50.75246549</c:v>
                </c:pt>
                <c:pt idx="164">
                  <c:v>50.73001452</c:v>
                </c:pt>
                <c:pt idx="165">
                  <c:v>50.70795901</c:v>
                </c:pt>
                <c:pt idx="166">
                  <c:v>50.68628693</c:v>
                </c:pt>
                <c:pt idx="167">
                  <c:v>50.6649865</c:v>
                </c:pt>
                <c:pt idx="168">
                  <c:v>50.64404611</c:v>
                </c:pt>
                <c:pt idx="169">
                  <c:v>50.62345439</c:v>
                </c:pt>
                <c:pt idx="170">
                  <c:v>50.60320016</c:v>
                </c:pt>
                <c:pt idx="171">
                  <c:v>50.58327243</c:v>
                </c:pt>
                <c:pt idx="172">
                  <c:v>50.5636604</c:v>
                </c:pt>
                <c:pt idx="173">
                  <c:v>50.54435345</c:v>
                </c:pt>
                <c:pt idx="174">
                  <c:v>50.52534113</c:v>
                </c:pt>
                <c:pt idx="175">
                  <c:v>50.50661317</c:v>
                </c:pt>
                <c:pt idx="176">
                  <c:v>50.48815944</c:v>
                </c:pt>
                <c:pt idx="177">
                  <c:v>50.46997</c:v>
                </c:pt>
                <c:pt idx="178">
                  <c:v>50.45203503</c:v>
                </c:pt>
                <c:pt idx="179">
                  <c:v>50.43434487</c:v>
                </c:pt>
                <c:pt idx="180">
                  <c:v>50.41689</c:v>
                </c:pt>
                <c:pt idx="181">
                  <c:v>50.39966104</c:v>
                </c:pt>
                <c:pt idx="182">
                  <c:v>50.38264871</c:v>
                </c:pt>
                <c:pt idx="183">
                  <c:v>50.3658439</c:v>
                </c:pt>
                <c:pt idx="184">
                  <c:v>50.34923758</c:v>
                </c:pt>
                <c:pt idx="185">
                  <c:v>50.33282086</c:v>
                </c:pt>
                <c:pt idx="186">
                  <c:v>50.31658495</c:v>
                </c:pt>
                <c:pt idx="187">
                  <c:v>50.30052115</c:v>
                </c:pt>
                <c:pt idx="188">
                  <c:v>50.28462089</c:v>
                </c:pt>
                <c:pt idx="189">
                  <c:v>50.26887566</c:v>
                </c:pt>
                <c:pt idx="190">
                  <c:v>50.25327707</c:v>
                </c:pt>
                <c:pt idx="191">
                  <c:v>50.2378168</c:v>
                </c:pt>
                <c:pt idx="192">
                  <c:v>50.22248662</c:v>
                </c:pt>
                <c:pt idx="193">
                  <c:v>50.20727837</c:v>
                </c:pt>
                <c:pt idx="194">
                  <c:v>50.19218395</c:v>
                </c:pt>
                <c:pt idx="195">
                  <c:v>50.17719536</c:v>
                </c:pt>
                <c:pt idx="196">
                  <c:v>50.16230464</c:v>
                </c:pt>
                <c:pt idx="197">
                  <c:v>50.1475039</c:v>
                </c:pt>
                <c:pt idx="198">
                  <c:v>50.13278529</c:v>
                </c:pt>
                <c:pt idx="199">
                  <c:v>50.11814102</c:v>
                </c:pt>
                <c:pt idx="200">
                  <c:v>50.10356336</c:v>
                </c:pt>
                <c:pt idx="201">
                  <c:v>50.08904461</c:v>
                </c:pt>
                <c:pt idx="202">
                  <c:v>50.0745771</c:v>
                </c:pt>
                <c:pt idx="203">
                  <c:v>50.06015321</c:v>
                </c:pt>
                <c:pt idx="204">
                  <c:v>50.04576535</c:v>
                </c:pt>
                <c:pt idx="205">
                  <c:v>50.03140595</c:v>
                </c:pt>
                <c:pt idx="206">
                  <c:v>50.01706747</c:v>
                </c:pt>
                <c:pt idx="207">
                  <c:v>50.00274239</c:v>
                </c:pt>
                <c:pt idx="208">
                  <c:v>49.98842319</c:v>
                </c:pt>
                <c:pt idx="209">
                  <c:v>49.97410237</c:v>
                </c:pt>
                <c:pt idx="210">
                  <c:v>49.95977245</c:v>
                </c:pt>
                <c:pt idx="211">
                  <c:v>49.94542595</c:v>
                </c:pt>
                <c:pt idx="212">
                  <c:v>49.93105538</c:v>
                </c:pt>
                <c:pt idx="213">
                  <c:v>49.91665324</c:v>
                </c:pt>
                <c:pt idx="214">
                  <c:v>49.90221206</c:v>
                </c:pt>
                <c:pt idx="215">
                  <c:v>49.88772431</c:v>
                </c:pt>
                <c:pt idx="216">
                  <c:v>49.87318248</c:v>
                </c:pt>
                <c:pt idx="217">
                  <c:v>49.85857903</c:v>
                </c:pt>
                <c:pt idx="218">
                  <c:v>49.84390641</c:v>
                </c:pt>
                <c:pt idx="219">
                  <c:v>49.82915701</c:v>
                </c:pt>
                <c:pt idx="220">
                  <c:v>49.81432325</c:v>
                </c:pt>
                <c:pt idx="221">
                  <c:v>49.79939745</c:v>
                </c:pt>
                <c:pt idx="222">
                  <c:v>49.78437195</c:v>
                </c:pt>
                <c:pt idx="223">
                  <c:v>49.76923902</c:v>
                </c:pt>
                <c:pt idx="224">
                  <c:v>49.75399089</c:v>
                </c:pt>
                <c:pt idx="225">
                  <c:v>49.73861974</c:v>
                </c:pt>
                <c:pt idx="226">
                  <c:v>49.72311773</c:v>
                </c:pt>
                <c:pt idx="227">
                  <c:v>49.70747691</c:v>
                </c:pt>
                <c:pt idx="228">
                  <c:v>49.69168933</c:v>
                </c:pt>
                <c:pt idx="229">
                  <c:v>49.67574695</c:v>
                </c:pt>
                <c:pt idx="230">
                  <c:v>49.65964165</c:v>
                </c:pt>
                <c:pt idx="231">
                  <c:v>49.64336527</c:v>
                </c:pt>
                <c:pt idx="232">
                  <c:v>49.62690957</c:v>
                </c:pt>
                <c:pt idx="233">
                  <c:v>49.61026623</c:v>
                </c:pt>
                <c:pt idx="234">
                  <c:v>49.59342684</c:v>
                </c:pt>
                <c:pt idx="235">
                  <c:v>49.57638294</c:v>
                </c:pt>
                <c:pt idx="236">
                  <c:v>49.55912594</c:v>
                </c:pt>
                <c:pt idx="237">
                  <c:v>49.54164719</c:v>
                </c:pt>
                <c:pt idx="238">
                  <c:v>49.52393795</c:v>
                </c:pt>
                <c:pt idx="239">
                  <c:v>49.50598936</c:v>
                </c:pt>
                <c:pt idx="240">
                  <c:v>49.48779246</c:v>
                </c:pt>
                <c:pt idx="241">
                  <c:v>49.46933822</c:v>
                </c:pt>
                <c:pt idx="242">
                  <c:v>49.45061745</c:v>
                </c:pt>
                <c:pt idx="243">
                  <c:v>49.43162089</c:v>
                </c:pt>
                <c:pt idx="244">
                  <c:v>49.41233915</c:v>
                </c:pt>
                <c:pt idx="245">
                  <c:v>49.39276272</c:v>
                </c:pt>
                <c:pt idx="246">
                  <c:v>49.37288196</c:v>
                </c:pt>
                <c:pt idx="247">
                  <c:v>49.35268712</c:v>
                </c:pt>
                <c:pt idx="248">
                  <c:v>49.3321683</c:v>
                </c:pt>
                <c:pt idx="249">
                  <c:v>49.31131549</c:v>
                </c:pt>
                <c:pt idx="250">
                  <c:v>49.29011852</c:v>
                </c:pt>
                <c:pt idx="251">
                  <c:v>49.26856709</c:v>
                </c:pt>
                <c:pt idx="252">
                  <c:v>49.24665076</c:v>
                </c:pt>
                <c:pt idx="253">
                  <c:v>49.22435894</c:v>
                </c:pt>
                <c:pt idx="254">
                  <c:v>49.20168087</c:v>
                </c:pt>
                <c:pt idx="255">
                  <c:v>49.17860566</c:v>
                </c:pt>
                <c:pt idx="256">
                  <c:v>49.15512224</c:v>
                </c:pt>
                <c:pt idx="257">
                  <c:v>49.13121939</c:v>
                </c:pt>
                <c:pt idx="258">
                  <c:v>49.10688573</c:v>
                </c:pt>
                <c:pt idx="259">
                  <c:v>49.08210969</c:v>
                </c:pt>
                <c:pt idx="260">
                  <c:v>49.05687954</c:v>
                </c:pt>
                <c:pt idx="261">
                  <c:v>49.03118338</c:v>
                </c:pt>
                <c:pt idx="262">
                  <c:v>49.0050091</c:v>
                </c:pt>
                <c:pt idx="263">
                  <c:v>48.97834444</c:v>
                </c:pt>
                <c:pt idx="264">
                  <c:v>48.95117694</c:v>
                </c:pt>
                <c:pt idx="265">
                  <c:v>48.92349394</c:v>
                </c:pt>
                <c:pt idx="266">
                  <c:v>48.8952826</c:v>
                </c:pt>
                <c:pt idx="267">
                  <c:v>48.86652987</c:v>
                </c:pt>
                <c:pt idx="268">
                  <c:v>48.83722251</c:v>
                </c:pt>
                <c:pt idx="269">
                  <c:v>48.80734707</c:v>
                </c:pt>
                <c:pt idx="270">
                  <c:v>48.77688989</c:v>
                </c:pt>
                <c:pt idx="271">
                  <c:v>48.7458371</c:v>
                </c:pt>
                <c:pt idx="272">
                  <c:v>48.71417463</c:v>
                </c:pt>
                <c:pt idx="273">
                  <c:v>48.68188817</c:v>
                </c:pt>
                <c:pt idx="274">
                  <c:v>48.64896322</c:v>
                </c:pt>
                <c:pt idx="275">
                  <c:v>48.61538502</c:v>
                </c:pt>
                <c:pt idx="276">
                  <c:v>48.58113861</c:v>
                </c:pt>
                <c:pt idx="277">
                  <c:v>48.5462088</c:v>
                </c:pt>
                <c:pt idx="278">
                  <c:v>48.51058016</c:v>
                </c:pt>
                <c:pt idx="279">
                  <c:v>48.47423704</c:v>
                </c:pt>
                <c:pt idx="280">
                  <c:v>48.43716353</c:v>
                </c:pt>
                <c:pt idx="281">
                  <c:v>48.39934352</c:v>
                </c:pt>
                <c:pt idx="282">
                  <c:v>48.36076061</c:v>
                </c:pt>
                <c:pt idx="283">
                  <c:v>48.32139821</c:v>
                </c:pt>
                <c:pt idx="284">
                  <c:v>48.28123944</c:v>
                </c:pt>
                <c:pt idx="285">
                  <c:v>48.2402672</c:v>
                </c:pt>
                <c:pt idx="286">
                  <c:v>48.19846413</c:v>
                </c:pt>
                <c:pt idx="287">
                  <c:v>48.15581263</c:v>
                </c:pt>
                <c:pt idx="288">
                  <c:v>48.11229484</c:v>
                </c:pt>
                <c:pt idx="289">
                  <c:v>48.06789265</c:v>
                </c:pt>
                <c:pt idx="290">
                  <c:v>48.0225877</c:v>
                </c:pt>
                <c:pt idx="291">
                  <c:v>47.97636138</c:v>
                </c:pt>
                <c:pt idx="292">
                  <c:v>47.92919481</c:v>
                </c:pt>
                <c:pt idx="293">
                  <c:v>47.88106886</c:v>
                </c:pt>
                <c:pt idx="294">
                  <c:v>47.83196417</c:v>
                </c:pt>
                <c:pt idx="295">
                  <c:v>47.78186107</c:v>
                </c:pt>
                <c:pt idx="296">
                  <c:v>47.7307397</c:v>
                </c:pt>
                <c:pt idx="297">
                  <c:v>47.67857989</c:v>
                </c:pt>
                <c:pt idx="298">
                  <c:v>47.62536126</c:v>
                </c:pt>
                <c:pt idx="299">
                  <c:v>47.57106314</c:v>
                </c:pt>
                <c:pt idx="300">
                  <c:v>47.51566465</c:v>
                </c:pt>
                <c:pt idx="301">
                  <c:v>47.45914461</c:v>
                </c:pt>
                <c:pt idx="302">
                  <c:v>47.40148164</c:v>
                </c:pt>
                <c:pt idx="303">
                  <c:v>47.34265409</c:v>
                </c:pt>
                <c:pt idx="304">
                  <c:v>47.28264008</c:v>
                </c:pt>
                <c:pt idx="305">
                  <c:v>47.22141747</c:v>
                </c:pt>
                <c:pt idx="306">
                  <c:v>47.15896393</c:v>
                </c:pt>
                <c:pt idx="307">
                  <c:v>47.09525684</c:v>
                </c:pt>
                <c:pt idx="308">
                  <c:v>47.0302734</c:v>
                </c:pt>
                <c:pt idx="309">
                  <c:v>46.96399057</c:v>
                </c:pt>
                <c:pt idx="310">
                  <c:v>46.89638508</c:v>
                </c:pt>
                <c:pt idx="311">
                  <c:v>46.82743348</c:v>
                </c:pt>
                <c:pt idx="312">
                  <c:v>46.75711209</c:v>
                </c:pt>
                <c:pt idx="313">
                  <c:v>46.68539704</c:v>
                </c:pt>
                <c:pt idx="314">
                  <c:v>46.61226427</c:v>
                </c:pt>
                <c:pt idx="315">
                  <c:v>46.53768954</c:v>
                </c:pt>
                <c:pt idx="316">
                  <c:v>46.46164842</c:v>
                </c:pt>
                <c:pt idx="317">
                  <c:v>46.38411633</c:v>
                </c:pt>
                <c:pt idx="318">
                  <c:v>46.30506853</c:v>
                </c:pt>
                <c:pt idx="319">
                  <c:v>46.22448012</c:v>
                </c:pt>
                <c:pt idx="320">
                  <c:v>46.14232609</c:v>
                </c:pt>
                <c:pt idx="321">
                  <c:v>46.05858127</c:v>
                </c:pt>
                <c:pt idx="322">
                  <c:v>45.97322042</c:v>
                </c:pt>
                <c:pt idx="323">
                  <c:v>45.88621815</c:v>
                </c:pt>
                <c:pt idx="324">
                  <c:v>45.79754902</c:v>
                </c:pt>
                <c:pt idx="325">
                  <c:v>45.7071875</c:v>
                </c:pt>
                <c:pt idx="326">
                  <c:v>45.61510801</c:v>
                </c:pt>
                <c:pt idx="327">
                  <c:v>45.52128491</c:v>
                </c:pt>
                <c:pt idx="328">
                  <c:v>45.42569256</c:v>
                </c:pt>
                <c:pt idx="329">
                  <c:v>45.32830528</c:v>
                </c:pt>
                <c:pt idx="330">
                  <c:v>45.22909742</c:v>
                </c:pt>
                <c:pt idx="331">
                  <c:v>45.12804333</c:v>
                </c:pt>
                <c:pt idx="332">
                  <c:v>45.02511742</c:v>
                </c:pt>
                <c:pt idx="333">
                  <c:v>44.92029417</c:v>
                </c:pt>
                <c:pt idx="334">
                  <c:v>44.81354814</c:v>
                </c:pt>
                <c:pt idx="335">
                  <c:v>44.70485398</c:v>
                </c:pt>
                <c:pt idx="336">
                  <c:v>44.59418648</c:v>
                </c:pt>
                <c:pt idx="337">
                  <c:v>44.48152058</c:v>
                </c:pt>
                <c:pt idx="338">
                  <c:v>44.36683141</c:v>
                </c:pt>
                <c:pt idx="339">
                  <c:v>44.25009427</c:v>
                </c:pt>
                <c:pt idx="340">
                  <c:v>44.13128471</c:v>
                </c:pt>
                <c:pt idx="341">
                  <c:v>44.01037851</c:v>
                </c:pt>
                <c:pt idx="342">
                  <c:v>43.88735176</c:v>
                </c:pt>
                <c:pt idx="343">
                  <c:v>43.76218082</c:v>
                </c:pt>
                <c:pt idx="344">
                  <c:v>43.6348424</c:v>
                </c:pt>
                <c:pt idx="345">
                  <c:v>43.50531359</c:v>
                </c:pt>
                <c:pt idx="346">
                  <c:v>43.37357185</c:v>
                </c:pt>
                <c:pt idx="347">
                  <c:v>43.23959508</c:v>
                </c:pt>
                <c:pt idx="348">
                  <c:v>43.10336164</c:v>
                </c:pt>
                <c:pt idx="349">
                  <c:v>42.96485036</c:v>
                </c:pt>
                <c:pt idx="350">
                  <c:v>42.82404062</c:v>
                </c:pt>
                <c:pt idx="351">
                  <c:v>42.68091233</c:v>
                </c:pt>
                <c:pt idx="352">
                  <c:v>42.53544602</c:v>
                </c:pt>
                <c:pt idx="353">
                  <c:v>42.38762282</c:v>
                </c:pt>
                <c:pt idx="354">
                  <c:v>42.23742454</c:v>
                </c:pt>
                <c:pt idx="355">
                  <c:v>42.08483368</c:v>
                </c:pt>
                <c:pt idx="356">
                  <c:v>41.92983347</c:v>
                </c:pt>
                <c:pt idx="357">
                  <c:v>41.77240792</c:v>
                </c:pt>
                <c:pt idx="358">
                  <c:v>41.61254185</c:v>
                </c:pt>
                <c:pt idx="359">
                  <c:v>41.45022092</c:v>
                </c:pt>
                <c:pt idx="360">
                  <c:v>41.28543169</c:v>
                </c:pt>
                <c:pt idx="361">
                  <c:v>41.11816162</c:v>
                </c:pt>
                <c:pt idx="362">
                  <c:v>40.94839915</c:v>
                </c:pt>
                <c:pt idx="363">
                  <c:v>40.77613373</c:v>
                </c:pt>
                <c:pt idx="364">
                  <c:v>40.60135582</c:v>
                </c:pt>
                <c:pt idx="365">
                  <c:v>40.42405699</c:v>
                </c:pt>
                <c:pt idx="366">
                  <c:v>40.24422991</c:v>
                </c:pt>
                <c:pt idx="367">
                  <c:v>40.0618684</c:v>
                </c:pt>
                <c:pt idx="368">
                  <c:v>39.8769675</c:v>
                </c:pt>
                <c:pt idx="369">
                  <c:v>39.68952345</c:v>
                </c:pt>
                <c:pt idx="370">
                  <c:v>39.49953379</c:v>
                </c:pt>
                <c:pt idx="371">
                  <c:v>39.30699735</c:v>
                </c:pt>
                <c:pt idx="372">
                  <c:v>39.11191431</c:v>
                </c:pt>
                <c:pt idx="373">
                  <c:v>38.91428621</c:v>
                </c:pt>
                <c:pt idx="374">
                  <c:v>38.71411604</c:v>
                </c:pt>
                <c:pt idx="375">
                  <c:v>38.5114082</c:v>
                </c:pt>
                <c:pt idx="376">
                  <c:v>38.3061686</c:v>
                </c:pt>
                <c:pt idx="377">
                  <c:v>38.09840464</c:v>
                </c:pt>
                <c:pt idx="378">
                  <c:v>37.88812529</c:v>
                </c:pt>
                <c:pt idx="379">
                  <c:v>37.67534108</c:v>
                </c:pt>
                <c:pt idx="380">
                  <c:v>37.46006412</c:v>
                </c:pt>
                <c:pt idx="381">
                  <c:v>37.2423082</c:v>
                </c:pt>
                <c:pt idx="382">
                  <c:v>37.02208871</c:v>
                </c:pt>
                <c:pt idx="383">
                  <c:v>36.79942275</c:v>
                </c:pt>
                <c:pt idx="384">
                  <c:v>36.57432911</c:v>
                </c:pt>
                <c:pt idx="385">
                  <c:v>36.34682829</c:v>
                </c:pt>
                <c:pt idx="386">
                  <c:v>36.11694254</c:v>
                </c:pt>
                <c:pt idx="387">
                  <c:v>35.88469585</c:v>
                </c:pt>
                <c:pt idx="388">
                  <c:v>35.65011398</c:v>
                </c:pt>
                <c:pt idx="389">
                  <c:v>35.41322446</c:v>
                </c:pt>
                <c:pt idx="390">
                  <c:v>35.17405662</c:v>
                </c:pt>
                <c:pt idx="391">
                  <c:v>34.93264156</c:v>
                </c:pt>
                <c:pt idx="392">
                  <c:v>34.68901219</c:v>
                </c:pt>
                <c:pt idx="393">
                  <c:v>34.44320321</c:v>
                </c:pt>
                <c:pt idx="394">
                  <c:v>34.1952511</c:v>
                </c:pt>
                <c:pt idx="395">
                  <c:v>33.94519416</c:v>
                </c:pt>
                <c:pt idx="396">
                  <c:v>33.69307245</c:v>
                </c:pt>
                <c:pt idx="397">
                  <c:v>33.4389278</c:v>
                </c:pt>
                <c:pt idx="398">
                  <c:v>33.18280381</c:v>
                </c:pt>
                <c:pt idx="399">
                  <c:v>32.92474581</c:v>
                </c:pt>
                <c:pt idx="400">
                  <c:v>32.66480088</c:v>
                </c:pt>
                <c:pt idx="401">
                  <c:v>32.40301777</c:v>
                </c:pt>
                <c:pt idx="402">
                  <c:v>32.13944693</c:v>
                </c:pt>
                <c:pt idx="403">
                  <c:v>31.87414045</c:v>
                </c:pt>
                <c:pt idx="404">
                  <c:v>31.60715204</c:v>
                </c:pt>
                <c:pt idx="405">
                  <c:v>31.33853698</c:v>
                </c:pt>
                <c:pt idx="406">
                  <c:v>31.06835211</c:v>
                </c:pt>
                <c:pt idx="407">
                  <c:v>30.79665579</c:v>
                </c:pt>
                <c:pt idx="408">
                  <c:v>30.52350782</c:v>
                </c:pt>
                <c:pt idx="409">
                  <c:v>30.24896943</c:v>
                </c:pt>
                <c:pt idx="410">
                  <c:v>29.97310321</c:v>
                </c:pt>
                <c:pt idx="411">
                  <c:v>29.69597306</c:v>
                </c:pt>
                <c:pt idx="412">
                  <c:v>29.41764418</c:v>
                </c:pt>
                <c:pt idx="413">
                  <c:v>29.13818293</c:v>
                </c:pt>
                <c:pt idx="414">
                  <c:v>28.85765685</c:v>
                </c:pt>
                <c:pt idx="415">
                  <c:v>28.57613454</c:v>
                </c:pt>
                <c:pt idx="416">
                  <c:v>28.29368563</c:v>
                </c:pt>
                <c:pt idx="417">
                  <c:v>28.01038072</c:v>
                </c:pt>
                <c:pt idx="418">
                  <c:v>27.72629128</c:v>
                </c:pt>
                <c:pt idx="419">
                  <c:v>27.44148959</c:v>
                </c:pt>
                <c:pt idx="420">
                  <c:v>27.15604869</c:v>
                </c:pt>
                <c:pt idx="421">
                  <c:v>26.87004227</c:v>
                </c:pt>
                <c:pt idx="422">
                  <c:v>26.58354464</c:v>
                </c:pt>
                <c:pt idx="423">
                  <c:v>26.2966306</c:v>
                </c:pt>
                <c:pt idx="424">
                  <c:v>26.00937542</c:v>
                </c:pt>
                <c:pt idx="425">
                  <c:v>25.72185471</c:v>
                </c:pt>
                <c:pt idx="426">
                  <c:v>25.43414437</c:v>
                </c:pt>
                <c:pt idx="427">
                  <c:v>25.1463205</c:v>
                </c:pt>
                <c:pt idx="428">
                  <c:v>24.85845933</c:v>
                </c:pt>
                <c:pt idx="429">
                  <c:v>24.57063712</c:v>
                </c:pt>
                <c:pt idx="430">
                  <c:v>24.2829301</c:v>
                </c:pt>
                <c:pt idx="431">
                  <c:v>23.99541437</c:v>
                </c:pt>
                <c:pt idx="432">
                  <c:v>23.70816584</c:v>
                </c:pt>
                <c:pt idx="433">
                  <c:v>23.42126014</c:v>
                </c:pt>
                <c:pt idx="434">
                  <c:v>23.13477252</c:v>
                </c:pt>
                <c:pt idx="435">
                  <c:v>22.8487778</c:v>
                </c:pt>
                <c:pt idx="436">
                  <c:v>22.5633503</c:v>
                </c:pt>
                <c:pt idx="437">
                  <c:v>22.27856373</c:v>
                </c:pt>
                <c:pt idx="438">
                  <c:v>21.99449113</c:v>
                </c:pt>
                <c:pt idx="439">
                  <c:v>21.71120481</c:v>
                </c:pt>
                <c:pt idx="440">
                  <c:v>21.42877626</c:v>
                </c:pt>
                <c:pt idx="441">
                  <c:v>21.14727608</c:v>
                </c:pt>
                <c:pt idx="442">
                  <c:v>20.86677392</c:v>
                </c:pt>
                <c:pt idx="443">
                  <c:v>20.58733842</c:v>
                </c:pt>
                <c:pt idx="444">
                  <c:v>20.30903712</c:v>
                </c:pt>
                <c:pt idx="445">
                  <c:v>20.03193643</c:v>
                </c:pt>
                <c:pt idx="446">
                  <c:v>19.75610155</c:v>
                </c:pt>
                <c:pt idx="447">
                  <c:v>19.48159642</c:v>
                </c:pt>
                <c:pt idx="448">
                  <c:v>19.20848366</c:v>
                </c:pt>
                <c:pt idx="449">
                  <c:v>18.93682453</c:v>
                </c:pt>
                <c:pt idx="450">
                  <c:v>18.66667887</c:v>
                </c:pt>
                <c:pt idx="451">
                  <c:v>18.39810505</c:v>
                </c:pt>
                <c:pt idx="452">
                  <c:v>18.13115995</c:v>
                </c:pt>
                <c:pt idx="453">
                  <c:v>17.8658989</c:v>
                </c:pt>
                <c:pt idx="454">
                  <c:v>17.60237564</c:v>
                </c:pt>
                <c:pt idx="455">
                  <c:v>17.3406423</c:v>
                </c:pt>
                <c:pt idx="456">
                  <c:v>17.08074937</c:v>
                </c:pt>
                <c:pt idx="457">
                  <c:v>16.82274565</c:v>
                </c:pt>
                <c:pt idx="458">
                  <c:v>16.56667824</c:v>
                </c:pt>
                <c:pt idx="459">
                  <c:v>16.31259254</c:v>
                </c:pt>
                <c:pt idx="460">
                  <c:v>16.06053217</c:v>
                </c:pt>
                <c:pt idx="461">
                  <c:v>15.81053904</c:v>
                </c:pt>
                <c:pt idx="462">
                  <c:v>15.56265324</c:v>
                </c:pt>
                <c:pt idx="463">
                  <c:v>15.31691312</c:v>
                </c:pt>
                <c:pt idx="464">
                  <c:v>15.07335521</c:v>
                </c:pt>
                <c:pt idx="465">
                  <c:v>14.83201428</c:v>
                </c:pt>
                <c:pt idx="466">
                  <c:v>14.59292328</c:v>
                </c:pt>
                <c:pt idx="467">
                  <c:v>14.35611337</c:v>
                </c:pt>
                <c:pt idx="468">
                  <c:v>14.12161394</c:v>
                </c:pt>
                <c:pt idx="469">
                  <c:v>13.88945258</c:v>
                </c:pt>
                <c:pt idx="470">
                  <c:v>13.65965511</c:v>
                </c:pt>
                <c:pt idx="471">
                  <c:v>13.43224559</c:v>
                </c:pt>
                <c:pt idx="472">
                  <c:v>13.20724632</c:v>
                </c:pt>
                <c:pt idx="473">
                  <c:v>12.98467787</c:v>
                </c:pt>
                <c:pt idx="474">
                  <c:v>12.76455911</c:v>
                </c:pt>
                <c:pt idx="475">
                  <c:v>12.5469072</c:v>
                </c:pt>
                <c:pt idx="476">
                  <c:v>12.3317376</c:v>
                </c:pt>
                <c:pt idx="477">
                  <c:v>12.11906417</c:v>
                </c:pt>
                <c:pt idx="478">
                  <c:v>11.90889911</c:v>
                </c:pt>
                <c:pt idx="479">
                  <c:v>11.70125301</c:v>
                </c:pt>
                <c:pt idx="480">
                  <c:v>11.49613492</c:v>
                </c:pt>
                <c:pt idx="481">
                  <c:v>11.29355233</c:v>
                </c:pt>
                <c:pt idx="482">
                  <c:v>11.09351122</c:v>
                </c:pt>
                <c:pt idx="483">
                  <c:v>10.89601608</c:v>
                </c:pt>
                <c:pt idx="484">
                  <c:v>10.70106998</c:v>
                </c:pt>
                <c:pt idx="485">
                  <c:v>10.50867455</c:v>
                </c:pt>
                <c:pt idx="486">
                  <c:v>10.31883006</c:v>
                </c:pt>
                <c:pt idx="487">
                  <c:v>10.13153545</c:v>
                </c:pt>
                <c:pt idx="488">
                  <c:v>9.946788311</c:v>
                </c:pt>
                <c:pt idx="489">
                  <c:v>9.764585014</c:v>
                </c:pt>
                <c:pt idx="490">
                  <c:v>9.584920677</c:v>
                </c:pt>
                <c:pt idx="491">
                  <c:v>9.407789228</c:v>
                </c:pt>
                <c:pt idx="492">
                  <c:v>9.233183445</c:v>
                </c:pt>
                <c:pt idx="493">
                  <c:v>9.061094987</c:v>
                </c:pt>
                <c:pt idx="494">
                  <c:v>8.891514439</c:v>
                </c:pt>
                <c:pt idx="495">
                  <c:v>8.724431347</c:v>
                </c:pt>
                <c:pt idx="496">
                  <c:v>8.559834258</c:v>
                </c:pt>
                <c:pt idx="497">
                  <c:v>8.397710762</c:v>
                </c:pt>
                <c:pt idx="498">
                  <c:v>8.238047523</c:v>
                </c:pt>
                <c:pt idx="499">
                  <c:v>8.080830326</c:v>
                </c:pt>
                <c:pt idx="500">
                  <c:v>7.92604411</c:v>
                </c:pt>
                <c:pt idx="501">
                  <c:v>7.773673006</c:v>
                </c:pt>
                <c:pt idx="502">
                  <c:v>7.623700378</c:v>
                </c:pt>
                <c:pt idx="503">
                  <c:v>7.476108858</c:v>
                </c:pt>
                <c:pt idx="504">
                  <c:v>7.330880381</c:v>
                </c:pt>
                <c:pt idx="505">
                  <c:v>7.187996225</c:v>
                </c:pt>
                <c:pt idx="506">
                  <c:v>7.047437044</c:v>
                </c:pt>
                <c:pt idx="507">
                  <c:v>6.909182904</c:v>
                </c:pt>
                <c:pt idx="508">
                  <c:v>6.773213318</c:v>
                </c:pt>
                <c:pt idx="509">
                  <c:v>6.639507278</c:v>
                </c:pt>
                <c:pt idx="510">
                  <c:v>6.508043291</c:v>
                </c:pt>
                <c:pt idx="511">
                  <c:v>6.378799409</c:v>
                </c:pt>
                <c:pt idx="512">
                  <c:v>6.251753263</c:v>
                </c:pt>
                <c:pt idx="513">
                  <c:v>6.126882092</c:v>
                </c:pt>
                <c:pt idx="514">
                  <c:v>6.004162775</c:v>
                </c:pt>
                <c:pt idx="515">
                  <c:v>5.883571859</c:v>
                </c:pt>
                <c:pt idx="516">
                  <c:v>5.765085589</c:v>
                </c:pt>
                <c:pt idx="517">
                  <c:v>5.648679935</c:v>
                </c:pt>
                <c:pt idx="518">
                  <c:v>5.534330622</c:v>
                </c:pt>
                <c:pt idx="519">
                  <c:v>5.422013152</c:v>
                </c:pt>
                <c:pt idx="520">
                  <c:v>5.311702832</c:v>
                </c:pt>
                <c:pt idx="521">
                  <c:v>5.203374799</c:v>
                </c:pt>
                <c:pt idx="522">
                  <c:v>5.097004043</c:v>
                </c:pt>
                <c:pt idx="523">
                  <c:v>4.992565432</c:v>
                </c:pt>
                <c:pt idx="524">
                  <c:v>4.89003373</c:v>
                </c:pt>
                <c:pt idx="525">
                  <c:v>4.789383626</c:v>
                </c:pt>
                <c:pt idx="526">
                  <c:v>4.690589746</c:v>
                </c:pt>
                <c:pt idx="527">
                  <c:v>4.593626679</c:v>
                </c:pt>
                <c:pt idx="528">
                  <c:v>4.498468995</c:v>
                </c:pt>
                <c:pt idx="529">
                  <c:v>4.405091262</c:v>
                </c:pt>
                <c:pt idx="530">
                  <c:v>4.313468064</c:v>
                </c:pt>
                <c:pt idx="531">
                  <c:v>4.22357402</c:v>
                </c:pt>
                <c:pt idx="532">
                  <c:v>4.135383797</c:v>
                </c:pt>
                <c:pt idx="533">
                  <c:v>4.048872127</c:v>
                </c:pt>
                <c:pt idx="534">
                  <c:v>3.964013822</c:v>
                </c:pt>
                <c:pt idx="535">
                  <c:v>3.880783789</c:v>
                </c:pt>
                <c:pt idx="536">
                  <c:v>3.79915704</c:v>
                </c:pt>
                <c:pt idx="537">
                  <c:v>3.719108707</c:v>
                </c:pt>
                <c:pt idx="538">
                  <c:v>3.640614056</c:v>
                </c:pt>
                <c:pt idx="539">
                  <c:v>3.563648493</c:v>
                </c:pt>
                <c:pt idx="540">
                  <c:v>3.48818758</c:v>
                </c:pt>
                <c:pt idx="541">
                  <c:v>3.414207042</c:v>
                </c:pt>
                <c:pt idx="542">
                  <c:v>3.341682777</c:v>
                </c:pt>
                <c:pt idx="543">
                  <c:v>3.270590869</c:v>
                </c:pt>
                <c:pt idx="544">
                  <c:v>3.200907588</c:v>
                </c:pt>
                <c:pt idx="545">
                  <c:v>3.132609406</c:v>
                </c:pt>
                <c:pt idx="546">
                  <c:v>3.065673001</c:v>
                </c:pt>
                <c:pt idx="547">
                  <c:v>3.000075264</c:v>
                </c:pt>
                <c:pt idx="548">
                  <c:v>2.935793305</c:v>
                </c:pt>
                <c:pt idx="549">
                  <c:v>2.87280446</c:v>
                </c:pt>
                <c:pt idx="550">
                  <c:v>2.811086294</c:v>
                </c:pt>
                <c:pt idx="551">
                  <c:v>2.750616612</c:v>
                </c:pt>
                <c:pt idx="552">
                  <c:v>2.691373455</c:v>
                </c:pt>
                <c:pt idx="553">
                  <c:v>2.633335111</c:v>
                </c:pt>
                <c:pt idx="554">
                  <c:v>2.576480115</c:v>
                </c:pt>
                <c:pt idx="555">
                  <c:v>2.520787256</c:v>
                </c:pt>
                <c:pt idx="556">
                  <c:v>2.466235574</c:v>
                </c:pt>
                <c:pt idx="557">
                  <c:v>2.41280437</c:v>
                </c:pt>
                <c:pt idx="558">
                  <c:v>2.360473203</c:v>
                </c:pt>
                <c:pt idx="559">
                  <c:v>2.309221894</c:v>
                </c:pt>
                <c:pt idx="560">
                  <c:v>2.259030527</c:v>
                </c:pt>
                <c:pt idx="561">
                  <c:v>2.209879452</c:v>
                </c:pt>
                <c:pt idx="562">
                  <c:v>2.161749285</c:v>
                </c:pt>
                <c:pt idx="563">
                  <c:v>2.114620906</c:v>
                </c:pt>
                <c:pt idx="564">
                  <c:v>2.068475467</c:v>
                </c:pt>
                <c:pt idx="565">
                  <c:v>2.023294385</c:v>
                </c:pt>
                <c:pt idx="566">
                  <c:v>1.979059344</c:v>
                </c:pt>
                <c:pt idx="567">
                  <c:v>1.935752298</c:v>
                </c:pt>
                <c:pt idx="568">
                  <c:v>1.893355469</c:v>
                </c:pt>
                <c:pt idx="569">
                  <c:v>1.851851343</c:v>
                </c:pt>
                <c:pt idx="570">
                  <c:v>1.811222674</c:v>
                </c:pt>
                <c:pt idx="571">
                  <c:v>1.771452484</c:v>
                </c:pt>
                <c:pt idx="572">
                  <c:v>1.732524054</c:v>
                </c:pt>
                <c:pt idx="573">
                  <c:v>1.694420934</c:v>
                </c:pt>
                <c:pt idx="574">
                  <c:v>1.657126931</c:v>
                </c:pt>
                <c:pt idx="575">
                  <c:v>1.620626116</c:v>
                </c:pt>
                <c:pt idx="576">
                  <c:v>1.584902818</c:v>
                </c:pt>
                <c:pt idx="577">
                  <c:v>1.54994162</c:v>
                </c:pt>
                <c:pt idx="578">
                  <c:v>1.515727365</c:v>
                </c:pt>
                <c:pt idx="579">
                  <c:v>1.482245146</c:v>
                </c:pt>
                <c:pt idx="580">
                  <c:v>1.449480308</c:v>
                </c:pt>
                <c:pt idx="581">
                  <c:v>1.417418446</c:v>
                </c:pt>
                <c:pt idx="582">
                  <c:v>1.3860454</c:v>
                </c:pt>
                <c:pt idx="583">
                  <c:v>1.355347256</c:v>
                </c:pt>
                <c:pt idx="584">
                  <c:v>1.325310341</c:v>
                </c:pt>
                <c:pt idx="585">
                  <c:v>1.295921222</c:v>
                </c:pt>
                <c:pt idx="586">
                  <c:v>1.267166704</c:v>
                </c:pt>
                <c:pt idx="587">
                  <c:v>1.239033825</c:v>
                </c:pt>
                <c:pt idx="588">
                  <c:v>1.211509856</c:v>
                </c:pt>
                <c:pt idx="589">
                  <c:v>1.184582297</c:v>
                </c:pt>
                <c:pt idx="590">
                  <c:v>1.158238873</c:v>
                </c:pt>
                <c:pt idx="591">
                  <c:v>1.132467535</c:v>
                </c:pt>
                <c:pt idx="592">
                  <c:v>1.107256453</c:v>
                </c:pt>
                <c:pt idx="593">
                  <c:v>1.082594018</c:v>
                </c:pt>
                <c:pt idx="594">
                  <c:v>1.058468832</c:v>
                </c:pt>
                <c:pt idx="595">
                  <c:v>1.034869712</c:v>
                </c:pt>
                <c:pt idx="596">
                  <c:v>1.011785686</c:v>
                </c:pt>
                <c:pt idx="597">
                  <c:v>0.989205985</c:v>
                </c:pt>
                <c:pt idx="598">
                  <c:v>0.967120047</c:v>
                </c:pt>
                <c:pt idx="599">
                  <c:v>0.945517509</c:v>
                </c:pt>
                <c:pt idx="600">
                  <c:v>0.924388206</c:v>
                </c:pt>
                <c:pt idx="601">
                  <c:v>0.903722169</c:v>
                </c:pt>
                <c:pt idx="602">
                  <c:v>0.883509621</c:v>
                </c:pt>
                <c:pt idx="603">
                  <c:v>0.863740973</c:v>
                </c:pt>
                <c:pt idx="604">
                  <c:v>0.844406823</c:v>
                </c:pt>
                <c:pt idx="605">
                  <c:v>0.825497953</c:v>
                </c:pt>
                <c:pt idx="606">
                  <c:v>0.807005326</c:v>
                </c:pt>
                <c:pt idx="607">
                  <c:v>0.788920081</c:v>
                </c:pt>
                <c:pt idx="608">
                  <c:v>0.771233532</c:v>
                </c:pt>
                <c:pt idx="609">
                  <c:v>0.753937166</c:v>
                </c:pt>
                <c:pt idx="610">
                  <c:v>0.737022639</c:v>
                </c:pt>
                <c:pt idx="611">
                  <c:v>0.720481772</c:v>
                </c:pt>
                <c:pt idx="612">
                  <c:v>0.704306553</c:v>
                </c:pt>
                <c:pt idx="613">
                  <c:v>0.688489126</c:v>
                </c:pt>
                <c:pt idx="614">
                  <c:v>0.673021797</c:v>
                </c:pt>
                <c:pt idx="615">
                  <c:v>0.657897026</c:v>
                </c:pt>
                <c:pt idx="616">
                  <c:v>0.643107425</c:v>
                </c:pt>
                <c:pt idx="617">
                  <c:v>0.628645756</c:v>
                </c:pt>
                <c:pt idx="618">
                  <c:v>0.61450493</c:v>
                </c:pt>
                <c:pt idx="619">
                  <c:v>0.600678001</c:v>
                </c:pt>
                <c:pt idx="620">
                  <c:v>0.587158166</c:v>
                </c:pt>
                <c:pt idx="621">
                  <c:v>0.573938762</c:v>
                </c:pt>
                <c:pt idx="622">
                  <c:v>0.561013262</c:v>
                </c:pt>
                <c:pt idx="623">
                  <c:v>0.548375274</c:v>
                </c:pt>
                <c:pt idx="624">
                  <c:v>0.536018539</c:v>
                </c:pt>
                <c:pt idx="625">
                  <c:v>0.523936926</c:v>
                </c:pt>
                <c:pt idx="626">
                  <c:v>0.512124434</c:v>
                </c:pt>
                <c:pt idx="627">
                  <c:v>0.500575183</c:v>
                </c:pt>
                <c:pt idx="628">
                  <c:v>0.48928342</c:v>
                </c:pt>
                <c:pt idx="629">
                  <c:v>0.478243508</c:v>
                </c:pt>
                <c:pt idx="630">
                  <c:v>0.467449931</c:v>
                </c:pt>
                <c:pt idx="631">
                  <c:v>0.456897288</c:v>
                </c:pt>
                <c:pt idx="632">
                  <c:v>0.446580292</c:v>
                </c:pt>
                <c:pt idx="633">
                  <c:v>0.436493764</c:v>
                </c:pt>
                <c:pt idx="634">
                  <c:v>0.42663264</c:v>
                </c:pt>
                <c:pt idx="635">
                  <c:v>0.416991958</c:v>
                </c:pt>
                <c:pt idx="636">
                  <c:v>0.407566864</c:v>
                </c:pt>
                <c:pt idx="637">
                  <c:v>0.398352605</c:v>
                </c:pt>
                <c:pt idx="638">
                  <c:v>0.389344531</c:v>
                </c:pt>
                <c:pt idx="639">
                  <c:v>0.380538088</c:v>
                </c:pt>
                <c:pt idx="640">
                  <c:v>0.371928823</c:v>
                </c:pt>
                <c:pt idx="641">
                  <c:v>0.363512374</c:v>
                </c:pt>
                <c:pt idx="642">
                  <c:v>0.355284474</c:v>
                </c:pt>
                <c:pt idx="643">
                  <c:v>0.347240949</c:v>
                </c:pt>
                <c:pt idx="644">
                  <c:v>0.339377711</c:v>
                </c:pt>
                <c:pt idx="645">
                  <c:v>0.331690762</c:v>
                </c:pt>
                <c:pt idx="646">
                  <c:v>0.32417619</c:v>
                </c:pt>
                <c:pt idx="647">
                  <c:v>0.316830165</c:v>
                </c:pt>
                <c:pt idx="648">
                  <c:v>0.309648942</c:v>
                </c:pt>
                <c:pt idx="649">
                  <c:v>0.302628856</c:v>
                </c:pt>
                <c:pt idx="650">
                  <c:v>0.295766319</c:v>
                </c:pt>
                <c:pt idx="651">
                  <c:v>0.289057824</c:v>
                </c:pt>
                <c:pt idx="652">
                  <c:v>0.282499937</c:v>
                </c:pt>
                <c:pt idx="653">
                  <c:v>0.276089301</c:v>
                </c:pt>
                <c:pt idx="654">
                  <c:v>0.269822629</c:v>
                </c:pt>
                <c:pt idx="655">
                  <c:v>0.263696706</c:v>
                </c:pt>
                <c:pt idx="656">
                  <c:v>0.257708389</c:v>
                </c:pt>
                <c:pt idx="657">
                  <c:v>0.251854601</c:v>
                </c:pt>
                <c:pt idx="658">
                  <c:v>0.246132333</c:v>
                </c:pt>
                <c:pt idx="659">
                  <c:v>0.24053864</c:v>
                </c:pt>
                <c:pt idx="660">
                  <c:v>0.235070644</c:v>
                </c:pt>
                <c:pt idx="661">
                  <c:v>0.229725527</c:v>
                </c:pt>
                <c:pt idx="662">
                  <c:v>0.224500534</c:v>
                </c:pt>
                <c:pt idx="663">
                  <c:v>0.21939297</c:v>
                </c:pt>
                <c:pt idx="664">
                  <c:v>0.214400198</c:v>
                </c:pt>
                <c:pt idx="665">
                  <c:v>0.209519641</c:v>
                </c:pt>
                <c:pt idx="666">
                  <c:v>0.204748774</c:v>
                </c:pt>
                <c:pt idx="667">
                  <c:v>0.200085133</c:v>
                </c:pt>
                <c:pt idx="668">
                  <c:v>0.195526304</c:v>
                </c:pt>
                <c:pt idx="669">
                  <c:v>0.191069926</c:v>
                </c:pt>
                <c:pt idx="670">
                  <c:v>0.186713692</c:v>
                </c:pt>
                <c:pt idx="671">
                  <c:v>0.182455344</c:v>
                </c:pt>
                <c:pt idx="672">
                  <c:v>0.178292674</c:v>
                </c:pt>
                <c:pt idx="673">
                  <c:v>0.174223522</c:v>
                </c:pt>
                <c:pt idx="674">
                  <c:v>0.170245777</c:v>
                </c:pt>
                <c:pt idx="675">
                  <c:v>0.166357373</c:v>
                </c:pt>
                <c:pt idx="676">
                  <c:v>0.16255629</c:v>
                </c:pt>
                <c:pt idx="677">
                  <c:v>0.158840551</c:v>
                </c:pt>
                <c:pt idx="678">
                  <c:v>0.155208226</c:v>
                </c:pt>
                <c:pt idx="679">
                  <c:v>0.151657423</c:v>
                </c:pt>
                <c:pt idx="680">
                  <c:v>0.148186295</c:v>
                </c:pt>
                <c:pt idx="681">
                  <c:v>0.144793035</c:v>
                </c:pt>
                <c:pt idx="682">
                  <c:v>0.141475874</c:v>
                </c:pt>
                <c:pt idx="683">
                  <c:v>0.138233085</c:v>
                </c:pt>
                <c:pt idx="684">
                  <c:v>0.135062976</c:v>
                </c:pt>
                <c:pt idx="685">
                  <c:v>0.131963894</c:v>
                </c:pt>
                <c:pt idx="686">
                  <c:v>0.128934223</c:v>
                </c:pt>
                <c:pt idx="687">
                  <c:v>0.12597238</c:v>
                </c:pt>
                <c:pt idx="688">
                  <c:v>0.12307682</c:v>
                </c:pt>
                <c:pt idx="689">
                  <c:v>0.120246031</c:v>
                </c:pt>
                <c:pt idx="690">
                  <c:v>0.117478532</c:v>
                </c:pt>
                <c:pt idx="691">
                  <c:v>0.114772879</c:v>
                </c:pt>
                <c:pt idx="692">
                  <c:v>0.112127655</c:v>
                </c:pt>
                <c:pt idx="693">
                  <c:v>0.109541477</c:v>
                </c:pt>
                <c:pt idx="694">
                  <c:v>0.107012994</c:v>
                </c:pt>
                <c:pt idx="695">
                  <c:v>0.10454088</c:v>
                </c:pt>
                <c:pt idx="696">
                  <c:v>0.102123843</c:v>
                </c:pt>
                <c:pt idx="697">
                  <c:v>0.099760616</c:v>
                </c:pt>
                <c:pt idx="698">
                  <c:v>0.097449961</c:v>
                </c:pt>
                <c:pt idx="699">
                  <c:v>0.095190669</c:v>
                </c:pt>
                <c:pt idx="700">
                  <c:v>0.092981554</c:v>
                </c:pt>
                <c:pt idx="701">
                  <c:v>0.09082146</c:v>
                </c:pt>
                <c:pt idx="702">
                  <c:v>0.088709252</c:v>
                </c:pt>
                <c:pt idx="703">
                  <c:v>0.086643823</c:v>
                </c:pt>
                <c:pt idx="704">
                  <c:v>0.08462409</c:v>
                </c:pt>
                <c:pt idx="705">
                  <c:v>0.082648992</c:v>
                </c:pt>
                <c:pt idx="706">
                  <c:v>0.080717494</c:v>
                </c:pt>
                <c:pt idx="707">
                  <c:v>0.07882858</c:v>
                </c:pt>
                <c:pt idx="708">
                  <c:v>0.076981259</c:v>
                </c:pt>
                <c:pt idx="709">
                  <c:v>0.07517456</c:v>
                </c:pt>
                <c:pt idx="710">
                  <c:v>0.073407535</c:v>
                </c:pt>
                <c:pt idx="711">
                  <c:v>0.071679255</c:v>
                </c:pt>
                <c:pt idx="712">
                  <c:v>0.069988811</c:v>
                </c:pt>
                <c:pt idx="713">
                  <c:v>0.068335315</c:v>
                </c:pt>
                <c:pt idx="714">
                  <c:v>0.066717897</c:v>
                </c:pt>
                <c:pt idx="715">
                  <c:v>0.065135707</c:v>
                </c:pt>
                <c:pt idx="716">
                  <c:v>0.063587913</c:v>
                </c:pt>
                <c:pt idx="717">
                  <c:v>0.062073699</c:v>
                </c:pt>
                <c:pt idx="718">
                  <c:v>0.06059227</c:v>
                </c:pt>
                <c:pt idx="719">
                  <c:v>0.059142845</c:v>
                </c:pt>
                <c:pt idx="720">
                  <c:v>0.057724661</c:v>
                </c:pt>
                <c:pt idx="721">
                  <c:v>0.056336973</c:v>
                </c:pt>
                <c:pt idx="722">
                  <c:v>0.054979049</c:v>
                </c:pt>
                <c:pt idx="723">
                  <c:v>0.053650174</c:v>
                </c:pt>
                <c:pt idx="724">
                  <c:v>0.052349648</c:v>
                </c:pt>
                <c:pt idx="725">
                  <c:v>0.051076785</c:v>
                </c:pt>
                <c:pt idx="726">
                  <c:v>0.049830916</c:v>
                </c:pt>
                <c:pt idx="727">
                  <c:v>0.048611384</c:v>
                </c:pt>
                <c:pt idx="728">
                  <c:v>0.047417545</c:v>
                </c:pt>
                <c:pt idx="729">
                  <c:v>0.04624877</c:v>
                </c:pt>
                <c:pt idx="730">
                  <c:v>0.045104444</c:v>
                </c:pt>
                <c:pt idx="731">
                  <c:v>0.043983963</c:v>
                </c:pt>
                <c:pt idx="732">
                  <c:v>0.042886736</c:v>
                </c:pt>
                <c:pt idx="733">
                  <c:v>0.041812183</c:v>
                </c:pt>
                <c:pt idx="734">
                  <c:v>0.04075974</c:v>
                </c:pt>
                <c:pt idx="735">
                  <c:v>0.039728849</c:v>
                </c:pt>
                <c:pt idx="736">
                  <c:v>0.038718967</c:v>
                </c:pt>
                <c:pt idx="737">
                  <c:v>0.037729562</c:v>
                </c:pt>
                <c:pt idx="738">
                  <c:v>0.036760111</c:v>
                </c:pt>
                <c:pt idx="739">
                  <c:v>0.035810102</c:v>
                </c:pt>
                <c:pt idx="740">
                  <c:v>0.034879034</c:v>
                </c:pt>
                <c:pt idx="741">
                  <c:v>0.033966415</c:v>
                </c:pt>
                <c:pt idx="742">
                  <c:v>0.033071764</c:v>
                </c:pt>
                <c:pt idx="743">
                  <c:v>0.032194608</c:v>
                </c:pt>
                <c:pt idx="744">
                  <c:v>0.031334483</c:v>
                </c:pt>
                <c:pt idx="745">
                  <c:v>0.030490936</c:v>
                </c:pt>
                <c:pt idx="746">
                  <c:v>0.029663521</c:v>
                </c:pt>
                <c:pt idx="747">
                  <c:v>0.028851801</c:v>
                </c:pt>
                <c:pt idx="748">
                  <c:v>0.028055346</c:v>
                </c:pt>
                <c:pt idx="749">
                  <c:v>0.027273737</c:v>
                </c:pt>
                <c:pt idx="750">
                  <c:v>0.026506559</c:v>
                </c:pt>
                <c:pt idx="751">
                  <c:v>0.025753408</c:v>
                </c:pt>
                <c:pt idx="752">
                  <c:v>0.025013886</c:v>
                </c:pt>
                <c:pt idx="753">
                  <c:v>0.024287602</c:v>
                </c:pt>
                <c:pt idx="754">
                  <c:v>0.023574171</c:v>
                </c:pt>
                <c:pt idx="755">
                  <c:v>0.022873217</c:v>
                </c:pt>
                <c:pt idx="756">
                  <c:v>0.022184369</c:v>
                </c:pt>
                <c:pt idx="757">
                  <c:v>0.021507263</c:v>
                </c:pt>
                <c:pt idx="758">
                  <c:v>0.02084154</c:v>
                </c:pt>
                <c:pt idx="759">
                  <c:v>0.020186849</c:v>
                </c:pt>
                <c:pt idx="760">
                  <c:v>0.019542844</c:v>
                </c:pt>
                <c:pt idx="761">
                  <c:v>0.018909184</c:v>
                </c:pt>
                <c:pt idx="762">
                  <c:v>0.018285533</c:v>
                </c:pt>
                <c:pt idx="763">
                  <c:v>0.017671562</c:v>
                </c:pt>
                <c:pt idx="764">
                  <c:v>0.017066946</c:v>
                </c:pt>
                <c:pt idx="765">
                  <c:v>0.016471365</c:v>
                </c:pt>
                <c:pt idx="766">
                  <c:v>0.015884505</c:v>
                </c:pt>
                <c:pt idx="767">
                  <c:v>0.015306054</c:v>
                </c:pt>
                <c:pt idx="768">
                  <c:v>0.014735706</c:v>
                </c:pt>
                <c:pt idx="769">
                  <c:v>0.01417316</c:v>
                </c:pt>
                <c:pt idx="770">
                  <c:v>0.013618118</c:v>
                </c:pt>
                <c:pt idx="771">
                  <c:v>0.013070286</c:v>
                </c:pt>
                <c:pt idx="772">
                  <c:v>0.012529375</c:v>
                </c:pt>
                <c:pt idx="773">
                  <c:v>0.011995097</c:v>
                </c:pt>
                <c:pt idx="774">
                  <c:v>0.011467171</c:v>
                </c:pt>
                <c:pt idx="775">
                  <c:v>0.010945316</c:v>
                </c:pt>
                <c:pt idx="776">
                  <c:v>0.010429257</c:v>
                </c:pt>
                <c:pt idx="777">
                  <c:v>0.00991872</c:v>
                </c:pt>
                <c:pt idx="778">
                  <c:v>0.009413435</c:v>
                </c:pt>
                <c:pt idx="779">
                  <c:v>0.008913135</c:v>
                </c:pt>
                <c:pt idx="780">
                  <c:v>0.008417554</c:v>
                </c:pt>
                <c:pt idx="781">
                  <c:v>0.00792643</c:v>
                </c:pt>
                <c:pt idx="782">
                  <c:v>0.007439504</c:v>
                </c:pt>
                <c:pt idx="783">
                  <c:v>0.006956517</c:v>
                </c:pt>
                <c:pt idx="784">
                  <c:v>0.006477213</c:v>
                </c:pt>
                <c:pt idx="785">
                  <c:v>0.00600134</c:v>
                </c:pt>
                <c:pt idx="786">
                  <c:v>0.005528643</c:v>
                </c:pt>
                <c:pt idx="787">
                  <c:v>0.005058875</c:v>
                </c:pt>
                <c:pt idx="788">
                  <c:v>0.004591785</c:v>
                </c:pt>
                <c:pt idx="789">
                  <c:v>0.004127126</c:v>
                </c:pt>
                <c:pt idx="790">
                  <c:v>0.003664652</c:v>
                </c:pt>
                <c:pt idx="791">
                  <c:v>0.003204118</c:v>
                </c:pt>
                <c:pt idx="792">
                  <c:v>0.002745281</c:v>
                </c:pt>
                <c:pt idx="793">
                  <c:v>0.002287897</c:v>
                </c:pt>
                <c:pt idx="794">
                  <c:v>0.001831723</c:v>
                </c:pt>
                <c:pt idx="795">
                  <c:v>0.001376519</c:v>
                </c:pt>
                <c:pt idx="796">
                  <c:v>0.000922044</c:v>
                </c:pt>
                <c:pt idx="797">
                  <c:v>0.000468055</c:v>
                </c:pt>
                <c:pt idx="798">
                  <c:v>1.43136E-05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CalcSheet!$AI:$AI</c:f>
              <c:numCache>
                <c:formatCode>General</c:formatCode>
                <c:ptCount val="1048576"/>
                <c:pt idx="0">
                  <c:v>98.642884638440364</c:v>
                </c:pt>
                <c:pt idx="1">
                  <c:v>97.187131552185562</c:v>
                </c:pt>
                <c:pt idx="2">
                  <c:v>95.784977969887663</c:v>
                </c:pt>
                <c:pt idx="3">
                  <c:v>94.433868561808623</c:v>
                </c:pt>
                <c:pt idx="4">
                  <c:v>93.131404617559141</c:v>
                </c:pt>
                <c:pt idx="5">
                  <c:v>91.875332212823182</c:v>
                </c:pt>
                <c:pt idx="6">
                  <c:v>90.6635314341422</c:v>
                </c:pt>
                <c:pt idx="7">
                  <c:v>89.494006552998329</c:v>
                </c:pt>
                <c:pt idx="8">
                  <c:v>88.364877053028366</c:v>
                </c:pt>
                <c:pt idx="9">
                  <c:v>87.274369425174399</c:v>
                </c:pt>
                <c:pt idx="10">
                  <c:v>86.220809655162682</c:v>
                </c:pt>
                <c:pt idx="11">
                  <c:v>85.202616336090855</c:v>
                </c:pt>
                <c:pt idx="12">
                  <c:v>84.218294346260933</c:v>
                </c:pt>
                <c:pt idx="13">
                  <c:v>83.26642903885714</c:v>
                </c:pt>
                <c:pt idx="14">
                  <c:v>82.345680895756843</c:v>
                </c:pt>
                <c:pt idx="15">
                  <c:v>81.454780602777888</c:v>
                </c:pt>
                <c:pt idx="16">
                  <c:v>80.592524508096375</c:v>
                </c:pt>
                <c:pt idx="17">
                  <c:v>79.757770429488062</c:v>
                </c:pt>
                <c:pt idx="18">
                  <c:v>78.949433779520746</c:v>
                </c:pt>
                <c:pt idx="19">
                  <c:v>78.16648398090814</c:v>
                </c:pt>
                <c:pt idx="20">
                  <c:v>77.407941146976796</c:v>
                </c:pt>
                <c:pt idx="21">
                  <c:v>76.672873004639385</c:v>
                </c:pt>
                <c:pt idx="22">
                  <c:v>75.960392039442709</c:v>
                </c:pt>
                <c:pt idx="23">
                  <c:v>75.26965284420325</c:v>
                </c:pt>
                <c:pt idx="24">
                  <c:v>74.599849654481119</c:v>
                </c:pt>
                <c:pt idx="25">
                  <c:v>73.95021405569895</c:v>
                </c:pt>
                <c:pt idx="26">
                  <c:v>73.320012848108547</c:v>
                </c:pt>
                <c:pt idx="27">
                  <c:v>72.708546057060346</c:v>
                </c:pt>
                <c:pt idx="28">
                  <c:v>72.115145077157734</c:v>
                </c:pt>
                <c:pt idx="29">
                  <c:v>71.539170939892273</c:v>
                </c:pt>
                <c:pt idx="30">
                  <c:v>70.980012695268528</c:v>
                </c:pt>
                <c:pt idx="31">
                  <c:v>70.437085898753182</c:v>
                </c:pt>
                <c:pt idx="32">
                  <c:v>69.90983119562685</c:v>
                </c:pt>
                <c:pt idx="33">
                  <c:v>69.397712995490508</c:v>
                </c:pt>
                <c:pt idx="34">
                  <c:v>68.900218230289056</c:v>
                </c:pt>
                <c:pt idx="35">
                  <c:v>68.416855189766437</c:v>
                </c:pt>
                <c:pt idx="36">
                  <c:v>67.947152428768007</c:v>
                </c:pt>
                <c:pt idx="37">
                  <c:v>67.490657741262822</c:v>
                </c:pt>
                <c:pt idx="38">
                  <c:v>67.046937196370152</c:v>
                </c:pt>
                <c:pt idx="39">
                  <c:v>66.615574232053987</c:v>
                </c:pt>
                <c:pt idx="40">
                  <c:v>66.196168802490334</c:v>
                </c:pt>
                <c:pt idx="41">
                  <c:v>65.788336575426939</c:v>
                </c:pt>
                <c:pt idx="42">
                  <c:v>65.391708176139616</c:v>
                </c:pt>
                <c:pt idx="43">
                  <c:v>65.005928474850975</c:v>
                </c:pt>
                <c:pt idx="44">
                  <c:v>64.630655914715661</c:v>
                </c:pt>
                <c:pt idx="45">
                  <c:v>64.265561877695035</c:v>
                </c:pt>
                <c:pt idx="46">
                  <c:v>63.910330085843796</c:v>
                </c:pt>
                <c:pt idx="47">
                  <c:v>63.564656035714933</c:v>
                </c:pt>
                <c:pt idx="48">
                  <c:v>63.228246463757408</c:v>
                </c:pt>
                <c:pt idx="49">
                  <c:v>62.900818840735347</c:v>
                </c:pt>
                <c:pt idx="50">
                  <c:v>62.582100893339998</c:v>
                </c:pt>
                <c:pt idx="51">
                  <c:v>62.271830151295759</c:v>
                </c:pt>
                <c:pt idx="52">
                  <c:v>61.969753518382269</c:v>
                </c:pt>
                <c:pt idx="53">
                  <c:v>61.675626865904839</c:v>
                </c:pt>
                <c:pt idx="54">
                  <c:v>61.389214647248032</c:v>
                </c:pt>
                <c:pt idx="55">
                  <c:v>61.110289532240785</c:v>
                </c:pt>
                <c:pt idx="56">
                  <c:v>60.838632060149024</c:v>
                </c:pt>
                <c:pt idx="57">
                  <c:v>60.574030310191475</c:v>
                </c:pt>
                <c:pt idx="58">
                  <c:v>60.316279588548767</c:v>
                </c:pt>
                <c:pt idx="59">
                  <c:v>60.065182130904859</c:v>
                </c:pt>
                <c:pt idx="60">
                  <c:v>59.820546819622841</c:v>
                </c:pt>
                <c:pt idx="61">
                  <c:v>59.582188914716475</c:v>
                </c:pt>
                <c:pt idx="62">
                  <c:v>59.349929797833241</c:v>
                </c:pt>
                <c:pt idx="63">
                  <c:v>59.123596728515118</c:v>
                </c:pt>
                <c:pt idx="64">
                  <c:v>58.903022612050634</c:v>
                </c:pt>
                <c:pt idx="65">
                  <c:v>58.68804577827509</c:v>
                </c:pt>
                <c:pt idx="66">
                  <c:v>58.478509770715966</c:v>
                </c:pt>
                <c:pt idx="67">
                  <c:v>58.274263145519512</c:v>
                </c:pt>
                <c:pt idx="68">
                  <c:v>58.075159279627833</c:v>
                </c:pt>
                <c:pt idx="69">
                  <c:v>57.881056187709611</c:v>
                </c:pt>
                <c:pt idx="70">
                  <c:v>57.691816347377824</c:v>
                </c:pt>
                <c:pt idx="71">
                  <c:v>57.507306532255498</c:v>
                </c:pt>
                <c:pt idx="72">
                  <c:v>57.327397652477622</c:v>
                </c:pt>
                <c:pt idx="73">
                  <c:v>57.151964602241613</c:v>
                </c:pt>
                <c:pt idx="74">
                  <c:v>56.98088611404183</c:v>
                </c:pt>
                <c:pt idx="75">
                  <c:v>56.814044619244882</c:v>
                </c:pt>
                <c:pt idx="76">
                  <c:v>56.651326114682945</c:v>
                </c:pt>
                <c:pt idx="77">
                  <c:v>56.492620034960353</c:v>
                </c:pt>
                <c:pt idx="78">
                  <c:v>56.337819130187263</c:v>
                </c:pt>
                <c:pt idx="79">
                  <c:v>56.186819348869207</c:v>
                </c:pt>
                <c:pt idx="80">
                  <c:v>56.039519725698348</c:v>
                </c:pt>
                <c:pt idx="81">
                  <c:v>55.895822274004964</c:v>
                </c:pt>
                <c:pt idx="82">
                  <c:v>55.755631882642653</c:v>
                </c:pt>
                <c:pt idx="83">
                  <c:v>55.61885621709196</c:v>
                </c:pt>
                <c:pt idx="84">
                  <c:v>55.485405624580487</c:v>
                </c:pt>
                <c:pt idx="85">
                  <c:v>55.355193043027079</c:v>
                </c:pt>
                <c:pt idx="86">
                  <c:v>55.228133913629563</c:v>
                </c:pt>
                <c:pt idx="87">
                  <c:v>55.104146096924076</c:v>
                </c:pt>
                <c:pt idx="88">
                  <c:v>54.983149792154258</c:v>
                </c:pt>
                <c:pt idx="89">
                  <c:v>54.865067459796478</c:v>
                </c:pt>
                <c:pt idx="90">
                  <c:v>54.749823747095746</c:v>
                </c:pt>
                <c:pt idx="91">
                  <c:v>54.637345416474581</c:v>
                </c:pt>
                <c:pt idx="92">
                  <c:v>54.527561276684317</c:v>
                </c:pt>
                <c:pt idx="93">
                  <c:v>54.420402116574977</c:v>
                </c:pt>
                <c:pt idx="94">
                  <c:v>54.31580064136638</c:v>
                </c:pt>
                <c:pt idx="95">
                  <c:v>54.213691411309078</c:v>
                </c:pt>
                <c:pt idx="96">
                  <c:v>54.114010782629443</c:v>
                </c:pt>
                <c:pt idx="97">
                  <c:v>54.016696850658555</c:v>
                </c:pt>
                <c:pt idx="98">
                  <c:v>53.921689395049484</c:v>
                </c:pt>
                <c:pt idx="99">
                  <c:v>53.82892982699255</c:v>
                </c:pt>
                <c:pt idx="100">
                  <c:v>53.738361138342306</c:v>
                </c:pt>
                <c:pt idx="101">
                  <c:v>53.649927852574713</c:v>
                </c:pt>
                <c:pt idx="102">
                  <c:v>53.563575977496185</c:v>
                </c:pt>
                <c:pt idx="103">
                  <c:v>53.479252959631239</c:v>
                </c:pt>
                <c:pt idx="104">
                  <c:v>53.3969076402174</c:v>
                </c:pt>
                <c:pt idx="105">
                  <c:v>53.316490212741051</c:v>
                </c:pt>
                <c:pt idx="106">
                  <c:v>53.237952181949922</c:v>
                </c:pt>
                <c:pt idx="107">
                  <c:v>53.161246324281535</c:v>
                </c:pt>
                <c:pt idx="108">
                  <c:v>53.08632664964955</c:v>
                </c:pt>
                <c:pt idx="109">
                  <c:v>53.013148364533023</c:v>
                </c:pt>
                <c:pt idx="110">
                  <c:v>52.941667836315403</c:v>
                </c:pt>
                <c:pt idx="111">
                  <c:v>52.871842558823538</c:v>
                </c:pt>
                <c:pt idx="112">
                  <c:v>52.803631119018419</c:v>
                </c:pt>
                <c:pt idx="113">
                  <c:v>52.736993164791997</c:v>
                </c:pt>
                <c:pt idx="114">
                  <c:v>52.671889373826495</c:v>
                </c:pt>
                <c:pt idx="115">
                  <c:v>52.60828142347448</c:v>
                </c:pt>
                <c:pt idx="116">
                  <c:v>52.546131961619594</c:v>
                </c:pt>
                <c:pt idx="117">
                  <c:v>52.485404578480406</c:v>
                </c:pt>
                <c:pt idx="118">
                  <c:v>52.426063779320522</c:v>
                </c:pt>
                <c:pt idx="119">
                  <c:v>52.368074958030505</c:v>
                </c:pt>
                <c:pt idx="120">
                  <c:v>52.311404371548122</c:v>
                </c:pt>
                <c:pt idx="121">
                  <c:v>52.256019115085202</c:v>
                </c:pt>
                <c:pt idx="122">
                  <c:v>52.201887098130882</c:v>
                </c:pt>
                <c:pt idx="123">
                  <c:v>52.14897702120156</c:v>
                </c:pt>
                <c:pt idx="124">
                  <c:v>52.097258353310337</c:v>
                </c:pt>
                <c:pt idx="125">
                  <c:v>52.046701310128661</c:v>
                </c:pt>
                <c:pt idx="126">
                  <c:v>51.997276832815068</c:v>
                </c:pt>
                <c:pt idx="127">
                  <c:v>51.948956567486043</c:v>
                </c:pt>
                <c:pt idx="128">
                  <c:v>51.901712845305973</c:v>
                </c:pt>
                <c:pt idx="129">
                  <c:v>51.85551866317315</c:v>
                </c:pt>
                <c:pt idx="130">
                  <c:v>51.810347664980839</c:v>
                </c:pt>
                <c:pt idx="131">
                  <c:v>51.766174123432052</c:v>
                </c:pt>
                <c:pt idx="132">
                  <c:v>51.722972922388671</c:v>
                </c:pt>
                <c:pt idx="133">
                  <c:v>51.680719539735435</c:v>
                </c:pt>
                <c:pt idx="134">
                  <c:v>51.639390030740884</c:v>
                </c:pt>
                <c:pt idx="135">
                  <c:v>51.598961011897067</c:v>
                </c:pt>
                <c:pt idx="136">
                  <c:v>51.559409645221983</c:v>
                </c:pt>
                <c:pt idx="137">
                  <c:v>51.520713623007559</c:v>
                </c:pt>
                <c:pt idx="138">
                  <c:v>51.482851152998329</c:v>
                </c:pt>
                <c:pt idx="139">
                  <c:v>51.445800943985425</c:v>
                </c:pt>
                <c:pt idx="140">
                  <c:v>51.409542191801435</c:v>
                </c:pt>
                <c:pt idx="141">
                  <c:v>51.374054565702572</c:v>
                </c:pt>
                <c:pt idx="142">
                  <c:v>51.339318195124477</c:v>
                </c:pt>
                <c:pt idx="143">
                  <c:v>51.305313656798901</c:v>
                </c:pt>
                <c:pt idx="144">
                  <c:v>51.272021962219128</c:v>
                </c:pt>
                <c:pt idx="145">
                  <c:v>51.239424545441757</c:v>
                </c:pt>
                <c:pt idx="146">
                  <c:v>51.207503251213993</c:v>
                </c:pt>
                <c:pt idx="147">
                  <c:v>51.176240323414781</c:v>
                </c:pt>
                <c:pt idx="148">
                  <c:v>51.145618393799609</c:v>
                </c:pt>
                <c:pt idx="149">
                  <c:v>51.115620471038568</c:v>
                </c:pt>
                <c:pt idx="150">
                  <c:v>51.086229930037561</c:v>
                </c:pt>
                <c:pt idx="151">
                  <c:v>51.057430501533553</c:v>
                </c:pt>
                <c:pt idx="152">
                  <c:v>51.029206261954258</c:v>
                </c:pt>
                <c:pt idx="153">
                  <c:v>51.001541623533605</c:v>
                </c:pt>
                <c:pt idx="154">
                  <c:v>50.97442132467436</c:v>
                </c:pt>
                <c:pt idx="155">
                  <c:v>50.947830420549579</c:v>
                </c:pt>
                <c:pt idx="156">
                  <c:v>50.921754273935001</c:v>
                </c:pt>
                <c:pt idx="157">
                  <c:v>50.896178546264593</c:v>
                </c:pt>
                <c:pt idx="158">
                  <c:v>50.871089188901706</c:v>
                </c:pt>
                <c:pt idx="159">
                  <c:v>50.84647243461896</c:v>
                </c:pt>
                <c:pt idx="160">
                  <c:v>50.822314789279311</c:v>
                </c:pt>
                <c:pt idx="161">
                  <c:v>50.798603023712303</c:v>
                </c:pt>
                <c:pt idx="162">
                  <c:v>50.775324165778223</c:v>
                </c:pt>
                <c:pt idx="163">
                  <c:v>50.752465492614505</c:v>
                </c:pt>
                <c:pt idx="164">
                  <c:v>50.730014523057825</c:v>
                </c:pt>
                <c:pt idx="165">
                  <c:v>50.707959010236152</c:v>
                </c:pt>
                <c:pt idx="166">
                  <c:v>50.686286934325167</c:v>
                </c:pt>
                <c:pt idx="167">
                  <c:v>50.664986495463275</c:v>
                </c:pt>
                <c:pt idx="168">
                  <c:v>50.644046106819772</c:v>
                </c:pt>
                <c:pt idx="169">
                  <c:v>50.623454387811528</c:v>
                </c:pt>
                <c:pt idx="170">
                  <c:v>50.603200157462283</c:v>
                </c:pt>
                <c:pt idx="171">
                  <c:v>50.583272427900461</c:v>
                </c:pt>
                <c:pt idx="172">
                  <c:v>50.563660397990219</c:v>
                </c:pt>
                <c:pt idx="173">
                  <c:v>50.544353447091453</c:v>
                </c:pt>
                <c:pt idx="174">
                  <c:v>50.525341128944014</c:v>
                </c:pt>
                <c:pt idx="175">
                  <c:v>50.50661316567215</c:v>
                </c:pt>
                <c:pt idx="176">
                  <c:v>50.488159441904607</c:v>
                </c:pt>
                <c:pt idx="177">
                  <c:v>50.469969999006501</c:v>
                </c:pt>
                <c:pt idx="178">
                  <c:v>50.452035029419001</c:v>
                </c:pt>
                <c:pt idx="179">
                  <c:v>50.434344871102795</c:v>
                </c:pt>
                <c:pt idx="180">
                  <c:v>50.416890002081843</c:v>
                </c:pt>
                <c:pt idx="181">
                  <c:v>50.399661035083575</c:v>
                </c:pt>
                <c:pt idx="182">
                  <c:v>50.382648712271966</c:v>
                </c:pt>
                <c:pt idx="183">
                  <c:v>50.365843900070288</c:v>
                </c:pt>
                <c:pt idx="184">
                  <c:v>50.349237584069755</c:v>
                </c:pt>
                <c:pt idx="185">
                  <c:v>50.3328208640214</c:v>
                </c:pt>
                <c:pt idx="186">
                  <c:v>50.316584948907405</c:v>
                </c:pt>
                <c:pt idx="187">
                  <c:v>50.300521152089068</c:v>
                </c:pt>
                <c:pt idx="188">
                  <c:v>50.284620886528529</c:v>
                </c:pt>
                <c:pt idx="189">
                  <c:v>50.268875660081008</c:v>
                </c:pt>
                <c:pt idx="190">
                  <c:v>50.253277070854949</c:v>
                </c:pt>
                <c:pt idx="191">
                  <c:v>50.237816802637212</c:v>
                </c:pt>
                <c:pt idx="192">
                  <c:v>50.222486620380501</c:v>
                </c:pt>
                <c:pt idx="193">
                  <c:v>50.207278365750575</c:v>
                </c:pt>
                <c:pt idx="194">
                  <c:v>50.192183952730481</c:v>
                </c:pt>
                <c:pt idx="195">
                  <c:v>50.177195363279502</c:v>
                </c:pt>
                <c:pt idx="196">
                  <c:v>50.162304643044138</c:v>
                </c:pt>
                <c:pt idx="197">
                  <c:v>50.147503897118831</c:v>
                </c:pt>
                <c:pt idx="198">
                  <c:v>50.132785285854361</c:v>
                </c:pt>
                <c:pt idx="199">
                  <c:v>50.118141020711185</c:v>
                </c:pt>
                <c:pt idx="200">
                  <c:v>50.103563360155839</c:v>
                </c:pt>
                <c:pt idx="201">
                  <c:v>50.089044605598104</c:v>
                </c:pt>
                <c:pt idx="202">
                  <c:v>50.074577097367076</c:v>
                </c:pt>
                <c:pt idx="203">
                  <c:v>50.060153210723612</c:v>
                </c:pt>
                <c:pt idx="204">
                  <c:v>50.045765351907718</c:v>
                </c:pt>
                <c:pt idx="205">
                  <c:v>50.031405954218563</c:v>
                </c:pt>
                <c:pt idx="206">
                  <c:v>50.017067474125376</c:v>
                </c:pt>
                <c:pt idx="207">
                  <c:v>50.002742387407274</c:v>
                </c:pt>
                <c:pt idx="208">
                  <c:v>49.988423185320428</c:v>
                </c:pt>
                <c:pt idx="209">
                  <c:v>49.974102370790639</c:v>
                </c:pt>
                <c:pt idx="210">
                  <c:v>49.959772454629672</c:v>
                </c:pt>
                <c:pt idx="211">
                  <c:v>49.945425951773728</c:v>
                </c:pt>
                <c:pt idx="212">
                  <c:v>49.931055377542478</c:v>
                </c:pt>
                <c:pt idx="213">
                  <c:v>49.916653243917047</c:v>
                </c:pt>
                <c:pt idx="214">
                  <c:v>49.902212055835435</c:v>
                </c:pt>
                <c:pt idx="215">
                  <c:v>49.887724307503966</c:v>
                </c:pt>
                <c:pt idx="216">
                  <c:v>49.873182478723315</c:v>
                </c:pt>
                <c:pt idx="217">
                  <c:v>49.858579031227762</c:v>
                </c:pt>
                <c:pt idx="218">
                  <c:v>49.843906405036378</c:v>
                </c:pt>
                <c:pt idx="219">
                  <c:v>49.829157014814676</c:v>
                </c:pt>
                <c:pt idx="220">
                  <c:v>49.814323246245934</c:v>
                </c:pt>
                <c:pt idx="221">
                  <c:v>49.799397452410453</c:v>
                </c:pt>
                <c:pt idx="222">
                  <c:v>49.784371950172108</c:v>
                </c:pt>
                <c:pt idx="223">
                  <c:v>49.769239016570779</c:v>
                </c:pt>
                <c:pt idx="224">
                  <c:v>49.753990885219835</c:v>
                </c:pt>
                <c:pt idx="225">
                  <c:v>49.738619742707598</c:v>
                </c:pt>
                <c:pt idx="226">
                  <c:v>49.723117725001877</c:v>
                </c:pt>
                <c:pt idx="227">
                  <c:v>49.70747691385661</c:v>
                </c:pt>
                <c:pt idx="228">
                  <c:v>49.691689333220097</c:v>
                </c:pt>
                <c:pt idx="229">
                  <c:v>49.675746945643596</c:v>
                </c:pt>
                <c:pt idx="230">
                  <c:v>49.65964164869002</c:v>
                </c:pt>
                <c:pt idx="231">
                  <c:v>49.6433652713417</c:v>
                </c:pt>
                <c:pt idx="232">
                  <c:v>49.62690957040698</c:v>
                </c:pt>
                <c:pt idx="233">
                  <c:v>49.610266226924836</c:v>
                </c:pt>
                <c:pt idx="234">
                  <c:v>49.593426842567183</c:v>
                </c:pt>
                <c:pt idx="235">
                  <c:v>49.576382936038442</c:v>
                </c:pt>
                <c:pt idx="236">
                  <c:v>49.559125939472047</c:v>
                </c:pt>
                <c:pt idx="237">
                  <c:v>49.541647194823589</c:v>
                </c:pt>
                <c:pt idx="238">
                  <c:v>49.52393795026051</c:v>
                </c:pt>
                <c:pt idx="239">
                  <c:v>49.505989356547943</c:v>
                </c:pt>
                <c:pt idx="240">
                  <c:v>49.487792463431163</c:v>
                </c:pt>
                <c:pt idx="241">
                  <c:v>49.469338216014066</c:v>
                </c:pt>
                <c:pt idx="242">
                  <c:v>49.450617451134391</c:v>
                </c:pt>
                <c:pt idx="243">
                  <c:v>49.431620893735314</c:v>
                </c:pt>
                <c:pt idx="244">
                  <c:v>49.412339153234313</c:v>
                </c:pt>
                <c:pt idx="245">
                  <c:v>49.392762719889106</c:v>
                </c:pt>
                <c:pt idx="246">
                  <c:v>49.372881961161546</c:v>
                </c:pt>
                <c:pt idx="247">
                  <c:v>49.3526871180798</c:v>
                </c:pt>
                <c:pt idx="248">
                  <c:v>49.332168301599715</c:v>
                </c:pt>
                <c:pt idx="249">
                  <c:v>49.311315488965924</c:v>
                </c:pt>
                <c:pt idx="250">
                  <c:v>49.290118520073705</c:v>
                </c:pt>
                <c:pt idx="251">
                  <c:v>49.268567093832559</c:v>
                </c:pt>
                <c:pt idx="252">
                  <c:v>49.24665076453271</c:v>
                </c:pt>
                <c:pt idx="253">
                  <c:v>49.224358938215609</c:v>
                </c:pt>
                <c:pt idx="254">
                  <c:v>49.201680869049852</c:v>
                </c:pt>
                <c:pt idx="255">
                  <c:v>49.178605655714307</c:v>
                </c:pt>
                <c:pt idx="256">
                  <c:v>49.155122237789435</c:v>
                </c:pt>
                <c:pt idx="257">
                  <c:v>49.131219392159309</c:v>
                </c:pt>
                <c:pt idx="258">
                  <c:v>49.10688572942572</c:v>
                </c:pt>
                <c:pt idx="259">
                  <c:v>49.082109690336686</c:v>
                </c:pt>
                <c:pt idx="260">
                  <c:v>49.056879542231471</c:v>
                </c:pt>
                <c:pt idx="261">
                  <c:v>49.031183375504675</c:v>
                </c:pt>
                <c:pt idx="262">
                  <c:v>49.005009100091591</c:v>
                </c:pt>
                <c:pt idx="263">
                  <c:v>48.978344441978052</c:v>
                </c:pt>
                <c:pt idx="264">
                  <c:v>48.951176939737131</c:v>
                </c:pt>
                <c:pt idx="265">
                  <c:v>48.92349394109624</c:v>
                </c:pt>
                <c:pt idx="266">
                  <c:v>48.895282599537538</c:v>
                </c:pt>
                <c:pt idx="267">
                  <c:v>48.866529870935409</c:v>
                </c:pt>
                <c:pt idx="268">
                  <c:v>48.837222510234447</c:v>
                </c:pt>
                <c:pt idx="269">
                  <c:v>48.807347068171957</c:v>
                </c:pt>
                <c:pt idx="270">
                  <c:v>48.776889888049027</c:v>
                </c:pt>
                <c:pt idx="271">
                  <c:v>48.745837102554525</c:v>
                </c:pt>
                <c:pt idx="272">
                  <c:v>48.714174630646454</c:v>
                </c:pt>
                <c:pt idx="273">
                  <c:v>48.681888174495583</c:v>
                </c:pt>
                <c:pt idx="274">
                  <c:v>48.648963216496256</c:v>
                </c:pt>
                <c:pt idx="275">
                  <c:v>48.615385016349663</c:v>
                </c:pt>
                <c:pt idx="276">
                  <c:v>48.58113860822521</c:v>
                </c:pt>
                <c:pt idx="277">
                  <c:v>48.546208798005537</c:v>
                </c:pt>
                <c:pt idx="278">
                  <c:v>48.510580160621444</c:v>
                </c:pt>
                <c:pt idx="279">
                  <c:v>48.474237037482858</c:v>
                </c:pt>
                <c:pt idx="280">
                  <c:v>48.437163534012733</c:v>
                </c:pt>
                <c:pt idx="281">
                  <c:v>48.399343517290191</c:v>
                </c:pt>
                <c:pt idx="282">
                  <c:v>48.360760613810889</c:v>
                </c:pt>
                <c:pt idx="283">
                  <c:v>48.321398207371239</c:v>
                </c:pt>
                <c:pt idx="284">
                  <c:v>48.281239437084857</c:v>
                </c:pt>
                <c:pt idx="285">
                  <c:v>48.240267195539083</c:v>
                </c:pt>
                <c:pt idx="286">
                  <c:v>48.198464127099932</c:v>
                </c:pt>
                <c:pt idx="287">
                  <c:v>48.155812626374214</c:v>
                </c:pt>
                <c:pt idx="288">
                  <c:v>48.112294836838046</c:v>
                </c:pt>
                <c:pt idx="289">
                  <c:v>48.067892649640704</c:v>
                </c:pt>
                <c:pt idx="290">
                  <c:v>48.022587702593874</c:v>
                </c:pt>
                <c:pt idx="291">
                  <c:v>47.976361379356234</c:v>
                </c:pt>
                <c:pt idx="292">
                  <c:v>47.929194808823482</c:v>
                </c:pt>
                <c:pt idx="293">
                  <c:v>47.881068864734942</c:v>
                </c:pt>
                <c:pt idx="294">
                  <c:v>47.831964165507245</c:v>
                </c:pt>
                <c:pt idx="295">
                  <c:v>47.78186107430696</c:v>
                </c:pt>
                <c:pt idx="296">
                  <c:v>47.73073969937338</c:v>
                </c:pt>
                <c:pt idx="297">
                  <c:v>47.67857989460407</c:v>
                </c:pt>
                <c:pt idx="298">
                  <c:v>47.625361260414927</c:v>
                </c:pt>
                <c:pt idx="299">
                  <c:v>47.57106314488793</c:v>
                </c:pt>
                <c:pt idx="300">
                  <c:v>47.515664645219402</c:v>
                </c:pt>
                <c:pt idx="301">
                  <c:v>47.459144609482088</c:v>
                </c:pt>
                <c:pt idx="302">
                  <c:v>47.401481638714905</c:v>
                </c:pt>
                <c:pt idx="303">
                  <c:v>47.342654089354077</c:v>
                </c:pt>
                <c:pt idx="304">
                  <c:v>47.282640076020122</c:v>
                </c:pt>
                <c:pt idx="305">
                  <c:v>47.221417474675121</c:v>
                </c:pt>
                <c:pt idx="306">
                  <c:v>47.158963926165214</c:v>
                </c:pt>
                <c:pt idx="307">
                  <c:v>47.095256840163131</c:v>
                </c:pt>
                <c:pt idx="308">
                  <c:v>47.030273399526479</c:v>
                </c:pt>
                <c:pt idx="309">
                  <c:v>46.963990565086867</c:v>
                </c:pt>
                <c:pt idx="310">
                  <c:v>46.896385080886176</c:v>
                </c:pt>
                <c:pt idx="311">
                  <c:v>46.827433479875225</c:v>
                </c:pt>
                <c:pt idx="312">
                  <c:v>46.75711209009151</c:v>
                </c:pt>
                <c:pt idx="313">
                  <c:v>46.685397041332003</c:v>
                </c:pt>
                <c:pt idx="314">
                  <c:v>46.612264272337271</c:v>
                </c:pt>
                <c:pt idx="315">
                  <c:v>46.537689538503358</c:v>
                </c:pt>
                <c:pt idx="316">
                  <c:v>46.461648420137969</c:v>
                </c:pt>
                <c:pt idx="317">
                  <c:v>46.384116331277241</c:v>
                </c:pt>
                <c:pt idx="318">
                  <c:v>46.305068529079634</c:v>
                </c:pt>
                <c:pt idx="319">
                  <c:v>46.224480123813159</c:v>
                </c:pt>
                <c:pt idx="320">
                  <c:v>46.142326089452155</c:v>
                </c:pt>
                <c:pt idx="321">
                  <c:v>46.058581274899772</c:v>
                </c:pt>
                <c:pt idx="322">
                  <c:v>45.973220415851657</c:v>
                </c:pt>
                <c:pt idx="323">
                  <c:v>45.886218147316896</c:v>
                </c:pt>
                <c:pt idx="324">
                  <c:v>45.797549016810819</c:v>
                </c:pt>
                <c:pt idx="325">
                  <c:v>45.707187498234831</c:v>
                </c:pt>
                <c:pt idx="326">
                  <c:v>45.615108006457632</c:v>
                </c:pt>
                <c:pt idx="327">
                  <c:v>45.52128491261152</c:v>
                </c:pt>
                <c:pt idx="328">
                  <c:v>45.425692560116978</c:v>
                </c:pt>
                <c:pt idx="329">
                  <c:v>45.328305281448401</c:v>
                </c:pt>
                <c:pt idx="330">
                  <c:v>45.229097415652447</c:v>
                </c:pt>
                <c:pt idx="331">
                  <c:v>45.128043326630291</c:v>
                </c:pt>
                <c:pt idx="332">
                  <c:v>45.025117422193851</c:v>
                </c:pt>
                <c:pt idx="333">
                  <c:v>44.920294173904956</c:v>
                </c:pt>
                <c:pt idx="334">
                  <c:v>44.813548137705773</c:v>
                </c:pt>
                <c:pt idx="335">
                  <c:v>44.704853975347255</c:v>
                </c:pt>
                <c:pt idx="336">
                  <c:v>44.594186476621211</c:v>
                </c:pt>
                <c:pt idx="337">
                  <c:v>44.481520582400336</c:v>
                </c:pt>
                <c:pt idx="338">
                  <c:v>44.366831408489134</c:v>
                </c:pt>
                <c:pt idx="339">
                  <c:v>44.250094270286858</c:v>
                </c:pt>
                <c:pt idx="340">
                  <c:v>44.131284708262235</c:v>
                </c:pt>
                <c:pt idx="341">
                  <c:v>44.010378514237637</c:v>
                </c:pt>
                <c:pt idx="342">
                  <c:v>43.887351758479213</c:v>
                </c:pt>
                <c:pt idx="343">
                  <c:v>43.762180817586369</c:v>
                </c:pt>
                <c:pt idx="344">
                  <c:v>43.634842403173074</c:v>
                </c:pt>
                <c:pt idx="345">
                  <c:v>43.50531359133074</c:v>
                </c:pt>
                <c:pt idx="346">
                  <c:v>43.373571852859975</c:v>
                </c:pt>
                <c:pt idx="347">
                  <c:v>43.239595084256592</c:v>
                </c:pt>
                <c:pt idx="348">
                  <c:v>43.103361639434588</c:v>
                </c:pt>
                <c:pt idx="349">
                  <c:v>42.964850362165784</c:v>
                </c:pt>
                <c:pt idx="350">
                  <c:v>42.824040619214131</c:v>
                </c:pt>
                <c:pt idx="351">
                  <c:v>42.680912334138782</c:v>
                </c:pt>
                <c:pt idx="352">
                  <c:v>42.535446021738082</c:v>
                </c:pt>
                <c:pt idx="353">
                  <c:v>42.387622823102944</c:v>
                </c:pt>
                <c:pt idx="354">
                  <c:v>42.237424541245758</c:v>
                </c:pt>
                <c:pt idx="355">
                  <c:v>42.084833677267305</c:v>
                </c:pt>
                <c:pt idx="356">
                  <c:v>41.929833467021389</c:v>
                </c:pt>
                <c:pt idx="357">
                  <c:v>41.772407918233064</c:v>
                </c:pt>
                <c:pt idx="358">
                  <c:v>41.612541848024208</c:v>
                </c:pt>
                <c:pt idx="359">
                  <c:v>41.450220920795395</c:v>
                </c:pt>
                <c:pt idx="360">
                  <c:v>41.285431686411208</c:v>
                </c:pt>
                <c:pt idx="361">
                  <c:v>41.118161618631191</c:v>
                </c:pt>
                <c:pt idx="362">
                  <c:v>40.948399153726889</c:v>
                </c:pt>
                <c:pt idx="363">
                  <c:v>40.77613372922066</c:v>
                </c:pt>
                <c:pt idx="364">
                  <c:v>40.601355822679736</c:v>
                </c:pt>
                <c:pt idx="365">
                  <c:v>40.424056990494655</c:v>
                </c:pt>
                <c:pt idx="366">
                  <c:v>40.244229906568997</c:v>
                </c:pt>
                <c:pt idx="367">
                  <c:v>40.061868400843274</c:v>
                </c:pt>
                <c:pt idx="368">
                  <c:v>39.876967497573347</c:v>
                </c:pt>
                <c:pt idx="369">
                  <c:v>39.689523453280259</c:v>
                </c:pt>
                <c:pt idx="370">
                  <c:v>39.499533794285902</c:v>
                </c:pt>
                <c:pt idx="371">
                  <c:v>39.306997353746183</c:v>
                </c:pt>
                <c:pt idx="372">
                  <c:v>39.1119143080901</c:v>
                </c:pt>
                <c:pt idx="373">
                  <c:v>38.914286212771792</c:v>
                </c:pt>
                <c:pt idx="374">
                  <c:v>38.71411603723957</c:v>
                </c:pt>
                <c:pt idx="375">
                  <c:v>38.511408199024281</c:v>
                </c:pt>
                <c:pt idx="376">
                  <c:v>38.30616859684757</c:v>
                </c:pt>
                <c:pt idx="377">
                  <c:v>38.098404642649243</c:v>
                </c:pt>
                <c:pt idx="378">
                  <c:v>37.888125292431134</c:v>
                </c:pt>
                <c:pt idx="379">
                  <c:v>37.675341075814899</c:v>
                </c:pt>
                <c:pt idx="380">
                  <c:v>37.460064124209524</c:v>
                </c:pt>
                <c:pt idx="381">
                  <c:v>37.242308197484945</c:v>
                </c:pt>
                <c:pt idx="382">
                  <c:v>37.022088709047303</c:v>
                </c:pt>
                <c:pt idx="383">
                  <c:v>36.799422749212987</c:v>
                </c:pt>
                <c:pt idx="384">
                  <c:v>36.574329106778059</c:v>
                </c:pt>
                <c:pt idx="385">
                  <c:v>36.346828288682097</c:v>
                </c:pt>
                <c:pt idx="386">
                  <c:v>36.116942537666048</c:v>
                </c:pt>
                <c:pt idx="387">
                  <c:v>35.884695847826734</c:v>
                </c:pt>
                <c:pt idx="388">
                  <c:v>35.650113977972275</c:v>
                </c:pt>
                <c:pt idx="389">
                  <c:v>35.413224462685982</c:v>
                </c:pt>
                <c:pt idx="390">
                  <c:v>35.174056621009591</c:v>
                </c:pt>
                <c:pt idx="391">
                  <c:v>34.9326415626605</c:v>
                </c:pt>
                <c:pt idx="392">
                  <c:v>34.689012191701693</c:v>
                </c:pt>
                <c:pt idx="393">
                  <c:v>34.443203207588262</c:v>
                </c:pt>
                <c:pt idx="394">
                  <c:v>34.195251103518608</c:v>
                </c:pt>
                <c:pt idx="395">
                  <c:v>33.945194162025061</c:v>
                </c:pt>
                <c:pt idx="396">
                  <c:v>33.693072447743802</c:v>
                </c:pt>
                <c:pt idx="397">
                  <c:v>33.438927797310711</c:v>
                </c:pt>
                <c:pt idx="398">
                  <c:v>33.182803806336771</c:v>
                </c:pt>
                <c:pt idx="399">
                  <c:v>32.924745813422881</c:v>
                </c:pt>
                <c:pt idx="400">
                  <c:v>32.664800881183133</c:v>
                </c:pt>
                <c:pt idx="401">
                  <c:v>32.403017774251452</c:v>
                </c:pt>
                <c:pt idx="402">
                  <c:v>32.139446934256732</c:v>
                </c:pt>
                <c:pt idx="403">
                  <c:v>31.874140451757889</c:v>
                </c:pt>
                <c:pt idx="404">
                  <c:v>31.607152035141304</c:v>
                </c:pt>
                <c:pt idx="405">
                  <c:v>31.338536976489991</c:v>
                </c:pt>
                <c:pt idx="406">
                  <c:v>31.068352114444195</c:v>
                </c:pt>
                <c:pt idx="407">
                  <c:v>30.79665579408174</c:v>
                </c:pt>
                <c:pt idx="408">
                  <c:v>30.523507823856363</c:v>
                </c:pt>
                <c:pt idx="409">
                  <c:v>30.248969429641093</c:v>
                </c:pt>
                <c:pt idx="410">
                  <c:v>29.973103205933572</c:v>
                </c:pt>
                <c:pt idx="411">
                  <c:v>29.695973064289181</c:v>
                </c:pt>
                <c:pt idx="412">
                  <c:v>29.417644179057927</c:v>
                </c:pt>
                <c:pt idx="413">
                  <c:v>29.138182930509306</c:v>
                </c:pt>
                <c:pt idx="414">
                  <c:v>28.857656845439319</c:v>
                </c:pt>
                <c:pt idx="415">
                  <c:v>28.576134535361632</c:v>
                </c:pt>
                <c:pt idx="416">
                  <c:v>28.293685632394627</c:v>
                </c:pt>
                <c:pt idx="417">
                  <c:v>28.010380722963205</c:v>
                </c:pt>
                <c:pt idx="418">
                  <c:v>27.726291279443249</c:v>
                </c:pt>
                <c:pt idx="419">
                  <c:v>27.441489589882696</c:v>
                </c:pt>
                <c:pt idx="420">
                  <c:v>27.156048685942366</c:v>
                </c:pt>
                <c:pt idx="421">
                  <c:v>26.870042269203964</c:v>
                </c:pt>
                <c:pt idx="422">
                  <c:v>26.583544636000696</c:v>
                </c:pt>
                <c:pt idx="423">
                  <c:v>26.296630600930502</c:v>
                </c:pt>
                <c:pt idx="424">
                  <c:v>26.009375419217005</c:v>
                </c:pt>
                <c:pt idx="425">
                  <c:v>25.721854708087992</c:v>
                </c:pt>
                <c:pt idx="426">
                  <c:v>25.434144367345024</c:v>
                </c:pt>
                <c:pt idx="427">
                  <c:v>25.146320499300199</c:v>
                </c:pt>
                <c:pt idx="428">
                  <c:v>24.858459328259226</c:v>
                </c:pt>
                <c:pt idx="429">
                  <c:v>24.5706371197317</c:v>
                </c:pt>
                <c:pt idx="430">
                  <c:v>24.282930099549937</c:v>
                </c:pt>
                <c:pt idx="431">
                  <c:v>23.995414373078962</c:v>
                </c:pt>
                <c:pt idx="432">
                  <c:v>23.708165844698662</c:v>
                </c:pt>
                <c:pt idx="433">
                  <c:v>23.421260137739605</c:v>
                </c:pt>
                <c:pt idx="434">
                  <c:v>23.134772515050916</c:v>
                </c:pt>
                <c:pt idx="435">
                  <c:v>22.848777800377011</c:v>
                </c:pt>
                <c:pt idx="436">
                  <c:v>22.56335030071628</c:v>
                </c:pt>
                <c:pt idx="437">
                  <c:v>22.278563729831948</c:v>
                </c:pt>
                <c:pt idx="438">
                  <c:v>21.994491133079727</c:v>
                </c:pt>
                <c:pt idx="439">
                  <c:v>21.711204813713113</c:v>
                </c:pt>
                <c:pt idx="440">
                  <c:v>21.428776260820527</c:v>
                </c:pt>
                <c:pt idx="441">
                  <c:v>21.147276079043305</c:v>
                </c:pt>
                <c:pt idx="442">
                  <c:v>20.866773920216495</c:v>
                </c:pt>
                <c:pt idx="443">
                  <c:v>20.587338417067127</c:v>
                </c:pt>
                <c:pt idx="444">
                  <c:v>20.309037119097322</c:v>
                </c:pt>
                <c:pt idx="445">
                  <c:v>20.031936430772063</c:v>
                </c:pt>
                <c:pt idx="446">
                  <c:v>19.756101552122303</c:v>
                </c:pt>
                <c:pt idx="447">
                  <c:v>19.481596421866463</c:v>
                </c:pt>
                <c:pt idx="448">
                  <c:v>19.20848366314382</c:v>
                </c:pt>
                <c:pt idx="449">
                  <c:v>18.936824531944502</c:v>
                </c:pt>
                <c:pt idx="450">
                  <c:v>18.666678868311941</c:v>
                </c:pt>
                <c:pt idx="451">
                  <c:v>18.398105050383482</c:v>
                </c:pt>
                <c:pt idx="452">
                  <c:v>18.131159951326659</c:v>
                </c:pt>
                <c:pt idx="453">
                  <c:v>17.865898899217655</c:v>
                </c:pt>
                <c:pt idx="454">
                  <c:v>17.602375639900661</c:v>
                </c:pt>
                <c:pt idx="455">
                  <c:v>17.340642302856295</c:v>
                </c:pt>
                <c:pt idx="456">
                  <c:v>17.080749370098822</c:v>
                </c:pt>
                <c:pt idx="457">
                  <c:v>16.822745648111802</c:v>
                </c:pt>
                <c:pt idx="458">
                  <c:v>16.566678242824413</c:v>
                </c:pt>
                <c:pt idx="459">
                  <c:v>16.312592537620183</c:v>
                </c:pt>
                <c:pt idx="460">
                  <c:v>16.060532174362987</c:v>
                </c:pt>
                <c:pt idx="461">
                  <c:v>15.810539037415714</c:v>
                </c:pt>
                <c:pt idx="462">
                  <c:v>15.562653240620152</c:v>
                </c:pt>
                <c:pt idx="463">
                  <c:v>15.316913117198633</c:v>
                </c:pt>
                <c:pt idx="464">
                  <c:v>15.073355212530553</c:v>
                </c:pt>
                <c:pt idx="465">
                  <c:v>14.832014279750641</c:v>
                </c:pt>
                <c:pt idx="466">
                  <c:v>14.592923278109216</c:v>
                </c:pt>
                <c:pt idx="467">
                  <c:v>14.356113374028574</c:v>
                </c:pt>
                <c:pt idx="468">
                  <c:v>14.12161394478419</c:v>
                </c:pt>
                <c:pt idx="469">
                  <c:v>13.889452584734455</c:v>
                </c:pt>
                <c:pt idx="470">
                  <c:v>13.659655114017621</c:v>
                </c:pt>
                <c:pt idx="471">
                  <c:v>13.432245589630902</c:v>
                </c:pt>
                <c:pt idx="472">
                  <c:v>13.207246318802209</c:v>
                </c:pt>
                <c:pt idx="473">
                  <c:v>12.984677874562461</c:v>
                </c:pt>
                <c:pt idx="474">
                  <c:v>12.764559113422793</c:v>
                </c:pt>
                <c:pt idx="475">
                  <c:v>12.546907195058951</c:v>
                </c:pt>
                <c:pt idx="476">
                  <c:v>12.331737603902996</c:v>
                </c:pt>
                <c:pt idx="477">
                  <c:v>12.119064172540837</c:v>
                </c:pt>
                <c:pt idx="478">
                  <c:v>11.90889910681277</c:v>
                </c:pt>
                <c:pt idx="479">
                  <c:v>11.701253012513659</c:v>
                </c:pt>
                <c:pt idx="480">
                  <c:v>11.496134923588844</c:v>
                </c:pt>
                <c:pt idx="481">
                  <c:v>11.293552331721655</c:v>
                </c:pt>
                <c:pt idx="482">
                  <c:v>11.093511217208762</c:v>
                </c:pt>
                <c:pt idx="483">
                  <c:v>10.89601608102052</c:v>
                </c:pt>
                <c:pt idx="484">
                  <c:v>10.701069977943853</c:v>
                </c:pt>
                <c:pt idx="485">
                  <c:v>10.508674550707051</c:v>
                </c:pt>
                <c:pt idx="486">
                  <c:v>10.318830064986614</c:v>
                </c:pt>
                <c:pt idx="487">
                  <c:v>10.131535445198905</c:v>
                </c:pt>
                <c:pt idx="488">
                  <c:v>9.9467883109806419</c:v>
                </c:pt>
                <c:pt idx="489">
                  <c:v>9.7645850142649557</c:v>
                </c:pt>
                <c:pt idx="490">
                  <c:v>9.584920676861616</c:v>
                </c:pt>
                <c:pt idx="491">
                  <c:v>9.4077892284534492</c:v>
                </c:pt>
                <c:pt idx="492">
                  <c:v>9.2331834449227408</c:v>
                </c:pt>
                <c:pt idx="493">
                  <c:v>9.0610949869250295</c:v>
                </c:pt>
                <c:pt idx="494">
                  <c:v>8.8915144386302991</c:v>
                </c:pt>
                <c:pt idx="495">
                  <c:v>8.7244313465548675</c:v>
                </c:pt>
                <c:pt idx="496">
                  <c:v>8.5598342584104614</c:v>
                </c:pt>
                <c:pt idx="497">
                  <c:v>8.3977107618999636</c:v>
                </c:pt>
                <c:pt idx="498">
                  <c:v>8.238047523393023</c:v>
                </c:pt>
                <c:pt idx="499">
                  <c:v>8.0808303264176313</c:v>
                </c:pt>
                <c:pt idx="500">
                  <c:v>7.9260441099074859</c:v>
                </c:pt>
                <c:pt idx="501">
                  <c:v>7.7736730061482016</c:v>
                </c:pt>
                <c:pt idx="502">
                  <c:v>7.6237003783686497</c:v>
                </c:pt>
                <c:pt idx="503">
                  <c:v>7.4761088579271249</c:v>
                </c:pt>
                <c:pt idx="504">
                  <c:v>7.3308803810456595</c:v>
                </c:pt>
                <c:pt idx="505">
                  <c:v>7.1879962250484626</c:v>
                </c:pt>
                <c:pt idx="506">
                  <c:v>7.0474370440643916</c:v>
                </c:pt>
                <c:pt idx="507">
                  <c:v>6.9091829041557977</c:v>
                </c:pt>
                <c:pt idx="508">
                  <c:v>6.7732133178398755</c:v>
                </c:pt>
                <c:pt idx="509">
                  <c:v>6.6395072779712061</c:v>
                </c:pt>
                <c:pt idx="510">
                  <c:v>6.5080432909573744</c:v>
                </c:pt>
                <c:pt idx="511">
                  <c:v>6.3787994092821236</c:v>
                </c:pt>
                <c:pt idx="512">
                  <c:v>6.2517532633138346</c:v>
                </c:pt>
                <c:pt idx="513">
                  <c:v>6.1268820923790823</c:v>
                </c:pt>
                <c:pt idx="514">
                  <c:v>6.0041627750842341</c:v>
                </c:pt>
                <c:pt idx="515">
                  <c:v>5.8835718588700825</c:v>
                </c:pt>
                <c:pt idx="516">
                  <c:v>5.7650855887872341</c:v>
                </c:pt>
                <c:pt idx="517">
                  <c:v>5.6486799354820656</c:v>
                </c:pt>
                <c:pt idx="518">
                  <c:v>5.5343306223852338</c:v>
                </c:pt>
                <c:pt idx="519">
                  <c:v>5.4220131520968069</c:v>
                </c:pt>
                <c:pt idx="520">
                  <c:v>5.3117028319642241</c:v>
                </c:pt>
                <c:pt idx="521">
                  <c:v>5.2033747988508736</c:v>
                </c:pt>
                <c:pt idx="522">
                  <c:v>5.0970040430949686</c:v>
                </c:pt>
                <c:pt idx="523">
                  <c:v>4.9925654316602444</c:v>
                </c:pt>
                <c:pt idx="524">
                  <c:v>4.8900337304810435</c:v>
                </c:pt>
                <c:pt idx="525">
                  <c:v>4.7893836260064253</c:v>
                </c:pt>
                <c:pt idx="526">
                  <c:v>4.6905897459488344</c:v>
                </c:pt>
                <c:pt idx="527">
                  <c:v>4.5936266792443678</c:v>
                </c:pt>
                <c:pt idx="528">
                  <c:v>4.4984689952326073</c:v>
                </c:pt>
                <c:pt idx="529">
                  <c:v>4.4050912620654712</c:v>
                </c:pt>
                <c:pt idx="530">
                  <c:v>4.313468064354983</c:v>
                </c:pt>
                <c:pt idx="531">
                  <c:v>4.223574020071287</c:v>
                </c:pt>
                <c:pt idx="532">
                  <c:v>4.135383796702591</c:v>
                </c:pt>
                <c:pt idx="533">
                  <c:v>4.0488721266898606</c:v>
                </c:pt>
                <c:pt idx="534">
                  <c:v>3.9640138221495262</c:v>
                </c:pt>
                <c:pt idx="535">
                  <c:v>3.8807837888980456</c:v>
                </c:pt>
                <c:pt idx="536">
                  <c:v>3.7991570397927878</c:v>
                </c:pt>
                <c:pt idx="537">
                  <c:v>3.7191087074041631</c:v>
                </c:pt>
                <c:pt idx="538">
                  <c:v>3.6406140560341864</c:v>
                </c:pt>
                <c:pt idx="539">
                  <c:v>3.5636484930972321</c:v>
                </c:pt>
                <c:pt idx="540">
                  <c:v>3.4881875798786512</c:v>
                </c:pt>
                <c:pt idx="541">
                  <c:v>3.4142070416875749</c:v>
                </c:pt>
                <c:pt idx="542">
                  <c:v>3.3416827774200706</c:v>
                </c:pt>
                <c:pt idx="543">
                  <c:v>3.270590868549113</c:v>
                </c:pt>
                <c:pt idx="544">
                  <c:v>3.2009075875577739</c:v>
                </c:pt>
                <c:pt idx="545">
                  <c:v>3.1326094058323295</c:v>
                </c:pt>
                <c:pt idx="546">
                  <c:v>3.0656730010316289</c:v>
                </c:pt>
                <c:pt idx="547">
                  <c:v>3.0000752639493404</c:v>
                </c:pt>
                <c:pt idx="548">
                  <c:v>2.9357933048854772</c:v>
                </c:pt>
                <c:pt idx="549">
                  <c:v>2.8728044595434463</c:v>
                </c:pt>
                <c:pt idx="550">
                  <c:v>2.8110862944689812</c:v>
                </c:pt>
                <c:pt idx="551">
                  <c:v>2.7506166120468132</c:v>
                </c:pt>
                <c:pt idx="552">
                  <c:v>2.6913734550710893</c:v>
                </c:pt>
                <c:pt idx="553">
                  <c:v>2.6333351109050809</c:v>
                </c:pt>
                <c:pt idx="554">
                  <c:v>2.5764801152456904</c:v>
                </c:pt>
                <c:pt idx="555">
                  <c:v>2.5207872555079618</c:v>
                </c:pt>
                <c:pt idx="556">
                  <c:v>2.4662355738444837</c:v>
                </c:pt>
                <c:pt idx="557">
                  <c:v>2.412804369814368</c:v>
                </c:pt>
                <c:pt idx="558">
                  <c:v>2.3604732027162507</c:v>
                </c:pt>
                <c:pt idx="559">
                  <c:v>2.3092218935993301</c:v>
                </c:pt>
                <c:pt idx="560">
                  <c:v>2.2590305269663475</c:v>
                </c:pt>
                <c:pt idx="561">
                  <c:v>2.2098794521818483</c:v>
                </c:pt>
                <c:pt idx="562">
                  <c:v>2.1617492845990305</c:v>
                </c:pt>
                <c:pt idx="563">
                  <c:v>2.1146209064179566</c:v>
                </c:pt>
                <c:pt idx="564">
                  <c:v>2.0684754672876631</c:v>
                </c:pt>
                <c:pt idx="565">
                  <c:v>2.0232943846643292</c:v>
                </c:pt>
                <c:pt idx="566">
                  <c:v>1.9790593439374375</c:v>
                </c:pt>
                <c:pt idx="567">
                  <c:v>1.9357522983353566</c:v>
                </c:pt>
                <c:pt idx="568">
                  <c:v>1.8933554686216003</c:v>
                </c:pt>
                <c:pt idx="569">
                  <c:v>1.8518513425925953</c:v>
                </c:pt>
                <c:pt idx="570">
                  <c:v>1.8112226743874784</c:v>
                </c:pt>
                <c:pt idx="571">
                  <c:v>1.7714524836201417</c:v>
                </c:pt>
                <c:pt idx="572">
                  <c:v>1.7325240543433491</c:v>
                </c:pt>
                <c:pt idx="573">
                  <c:v>1.6944209338545071</c:v>
                </c:pt>
                <c:pt idx="574">
                  <c:v>1.6571269313522903</c:v>
                </c:pt>
                <c:pt idx="575">
                  <c:v>1.6206261164530182</c:v>
                </c:pt>
                <c:pt idx="576">
                  <c:v>1.5849028175753825</c:v>
                </c:pt>
                <c:pt idx="577">
                  <c:v>1.5499416202018319</c:v>
                </c:pt>
                <c:pt idx="578">
                  <c:v>1.51572736502451</c:v>
                </c:pt>
                <c:pt idx="579">
                  <c:v>1.4822451459835173</c:v>
                </c:pt>
                <c:pt idx="580">
                  <c:v>1.4494803082048717</c:v>
                </c:pt>
                <c:pt idx="581">
                  <c:v>1.4174184458452279</c:v>
                </c:pt>
                <c:pt idx="582">
                  <c:v>1.3860453998501809</c:v>
                </c:pt>
                <c:pt idx="583">
                  <c:v>1.355347255632775</c:v>
                </c:pt>
                <c:pt idx="584">
                  <c:v>1.3253103406784008</c:v>
                </c:pt>
                <c:pt idx="585">
                  <c:v>1.2959212220822314</c:v>
                </c:pt>
                <c:pt idx="586">
                  <c:v>1.2671667040247894</c:v>
                </c:pt>
                <c:pt idx="587">
                  <c:v>1.2390338251913475</c:v>
                </c:pt>
                <c:pt idx="588">
                  <c:v>1.2115098561403224</c:v>
                </c:pt>
                <c:pt idx="589">
                  <c:v>1.1845822966257629</c:v>
                </c:pt>
                <c:pt idx="590">
                  <c:v>1.1582388728787281</c:v>
                </c:pt>
                <c:pt idx="591">
                  <c:v>1.1324675348521718</c:v>
                </c:pt>
                <c:pt idx="592">
                  <c:v>1.1072564534336993</c:v>
                </c:pt>
                <c:pt idx="593">
                  <c:v>1.082594017630391</c:v>
                </c:pt>
                <c:pt idx="594">
                  <c:v>1.0584688317296587</c:v>
                </c:pt>
                <c:pt idx="595">
                  <c:v>1.0348697124399164</c:v>
                </c:pt>
                <c:pt idx="596">
                  <c:v>1.0117856860146712</c:v>
                </c:pt>
                <c:pt idx="597">
                  <c:v>0.98920598536342585</c:v>
                </c:pt>
                <c:pt idx="598">
                  <c:v>0.96712004715265432</c:v>
                </c:pt>
                <c:pt idx="599">
                  <c:v>0.94551750889989816</c:v>
                </c:pt>
                <c:pt idx="600">
                  <c:v>0.92438820606389838</c:v>
                </c:pt>
                <c:pt idx="601">
                  <c:v>0.90372216913350678</c:v>
                </c:pt>
                <c:pt idx="602">
                  <c:v>0.88350962071797245</c:v>
                </c:pt>
                <c:pt idx="603">
                  <c:v>0.86374097264105232</c:v>
                </c:pt>
                <c:pt idx="604">
                  <c:v>0.84440682304125136</c:v>
                </c:pt>
                <c:pt idx="605">
                  <c:v>0.82549795348037724</c:v>
                </c:pt>
                <c:pt idx="606">
                  <c:v>0.80700532606243514</c:v>
                </c:pt>
                <c:pt idx="607">
                  <c:v>0.78892008056479979</c:v>
                </c:pt>
                <c:pt idx="608">
                  <c:v>0.77123353158345309</c:v>
                </c:pt>
                <c:pt idx="609">
                  <c:v>0.75393716569397284</c:v>
                </c:pt>
                <c:pt idx="610">
                  <c:v>0.73702263862986728</c:v>
                </c:pt>
                <c:pt idx="611">
                  <c:v>0.72048177247966538</c:v>
                </c:pt>
                <c:pt idx="612">
                  <c:v>0.70430655290422728</c:v>
                </c:pt>
                <c:pt idx="613">
                  <c:v>0.68848912637544968</c:v>
                </c:pt>
                <c:pt idx="614">
                  <c:v>0.67302179743761514</c:v>
                </c:pt>
                <c:pt idx="615">
                  <c:v>0.65789702599242406</c:v>
                </c:pt>
                <c:pt idx="616">
                  <c:v>0.64310742460875447</c:v>
                </c:pt>
                <c:pt idx="617">
                  <c:v>0.62864575585806737</c:v>
                </c:pt>
                <c:pt idx="618">
                  <c:v>0.61450492967629256</c:v>
                </c:pt>
                <c:pt idx="619">
                  <c:v>0.60067800075296696</c:v>
                </c:pt>
                <c:pt idx="620">
                  <c:v>0.5871581659483619</c:v>
                </c:pt>
                <c:pt idx="621">
                  <c:v>0.57393876173921021</c:v>
                </c:pt>
                <c:pt idx="622">
                  <c:v>0.56101326169360644</c:v>
                </c:pt>
                <c:pt idx="623">
                  <c:v>0.54837527397564001</c:v>
                </c:pt>
                <c:pt idx="624">
                  <c:v>0.53601853888014028</c:v>
                </c:pt>
                <c:pt idx="625">
                  <c:v>0.52393692639801925</c:v>
                </c:pt>
                <c:pt idx="626">
                  <c:v>0.51212443381251249</c:v>
                </c:pt>
                <c:pt idx="627">
                  <c:v>0.50057518332664031</c:v>
                </c:pt>
                <c:pt idx="628">
                  <c:v>0.48928341972214229</c:v>
                </c:pt>
                <c:pt idx="629">
                  <c:v>0.47824350805009835</c:v>
                </c:pt>
                <c:pt idx="630">
                  <c:v>0.46744993135340868</c:v>
                </c:pt>
                <c:pt idx="631">
                  <c:v>0.45689728842126337</c:v>
                </c:pt>
                <c:pt idx="632">
                  <c:v>0.4465802915756964</c:v>
                </c:pt>
                <c:pt idx="633">
                  <c:v>0.43649376449028426</c:v>
                </c:pt>
                <c:pt idx="634">
                  <c:v>0.42663264004101825</c:v>
                </c:pt>
                <c:pt idx="635">
                  <c:v>0.41699195818933998</c:v>
                </c:pt>
                <c:pt idx="636">
                  <c:v>0.40756686389731483</c:v>
                </c:pt>
                <c:pt idx="637">
                  <c:v>0.39835260507487591</c:v>
                </c:pt>
                <c:pt idx="638">
                  <c:v>0.38934453055905416</c:v>
                </c:pt>
                <c:pt idx="639">
                  <c:v>0.38053808812508239</c:v>
                </c:pt>
                <c:pt idx="640">
                  <c:v>0.37192882252924253</c:v>
                </c:pt>
                <c:pt idx="641">
                  <c:v>0.36351237358329641</c:v>
                </c:pt>
                <c:pt idx="642">
                  <c:v>0.35528447426032872</c:v>
                </c:pt>
                <c:pt idx="643">
                  <c:v>0.34724094883181494</c:v>
                </c:pt>
                <c:pt idx="644">
                  <c:v>0.33937771103567826</c:v>
                </c:pt>
                <c:pt idx="645">
                  <c:v>0.33169076227515443</c:v>
                </c:pt>
                <c:pt idx="646">
                  <c:v>0.32417618984817775</c:v>
                </c:pt>
                <c:pt idx="647">
                  <c:v>0.31683016520706103</c:v>
                </c:pt>
                <c:pt idx="648">
                  <c:v>0.30964894224819955</c:v>
                </c:pt>
                <c:pt idx="649">
                  <c:v>0.30262885563149883</c:v>
                </c:pt>
                <c:pt idx="650">
                  <c:v>0.2957663191292762</c:v>
                </c:pt>
                <c:pt idx="651">
                  <c:v>0.28905782400429741</c:v>
                </c:pt>
                <c:pt idx="652">
                  <c:v>0.28249993741666857</c:v>
                </c:pt>
                <c:pt idx="653">
                  <c:v>0.27608930085924632</c:v>
                </c:pt>
                <c:pt idx="654">
                  <c:v>0.26982262862126005</c:v>
                </c:pt>
                <c:pt idx="655">
                  <c:v>0.26369670627981168</c:v>
                </c:pt>
                <c:pt idx="656">
                  <c:v>0.25770838921891348</c:v>
                </c:pt>
                <c:pt idx="657">
                  <c:v>0.25185460117572039</c:v>
                </c:pt>
                <c:pt idx="658">
                  <c:v>0.24613233281362798</c:v>
                </c:pt>
                <c:pt idx="659">
                  <c:v>0.24053864032186414</c:v>
                </c:pt>
                <c:pt idx="660">
                  <c:v>0.235070644041252</c:v>
                </c:pt>
                <c:pt idx="661">
                  <c:v>0.22972552711575148</c:v>
                </c:pt>
                <c:pt idx="662">
                  <c:v>0.22450053416945714</c:v>
                </c:pt>
                <c:pt idx="663">
                  <c:v>0.21939297000867297</c:v>
                </c:pt>
                <c:pt idx="664">
                  <c:v>0.21440019834871041</c:v>
                </c:pt>
                <c:pt idx="665">
                  <c:v>0.20951964056504602</c:v>
                </c:pt>
                <c:pt idx="666">
                  <c:v>0.20474877446847936</c:v>
                </c:pt>
                <c:pt idx="667">
                  <c:v>0.20008513310392581</c:v>
                </c:pt>
                <c:pt idx="668">
                  <c:v>0.1955263035724856</c:v>
                </c:pt>
                <c:pt idx="669">
                  <c:v>0.19106992587642427</c:v>
                </c:pt>
                <c:pt idx="670">
                  <c:v>0.1867136917867048</c:v>
                </c:pt>
                <c:pt idx="671">
                  <c:v>0.18245534373271735</c:v>
                </c:pt>
                <c:pt idx="672">
                  <c:v>0.17829267371383592</c:v>
                </c:pt>
                <c:pt idx="673">
                  <c:v>0.17422352223245902</c:v>
                </c:pt>
                <c:pt idx="674">
                  <c:v>0.1702457772481695</c:v>
                </c:pt>
                <c:pt idx="675">
                  <c:v>0.16635737315266963</c:v>
                </c:pt>
                <c:pt idx="676">
                  <c:v>0.16255628976512634</c:v>
                </c:pt>
                <c:pt idx="677">
                  <c:v>0.15884055134760053</c:v>
                </c:pt>
                <c:pt idx="678">
                  <c:v>0.15520822564019338</c:v>
                </c:pt>
                <c:pt idx="679">
                  <c:v>0.15165742291558015</c:v>
                </c:pt>
                <c:pt idx="680">
                  <c:v>0.14818629505258774</c:v>
                </c:pt>
                <c:pt idx="681">
                  <c:v>0.1447930346284787</c:v>
                </c:pt>
                <c:pt idx="682">
                  <c:v>0.14147587402960912</c:v>
                </c:pt>
                <c:pt idx="683">
                  <c:v>0.13823308458013306</c:v>
                </c:pt>
                <c:pt idx="684">
                  <c:v>0.13506297568841763</c:v>
                </c:pt>
                <c:pt idx="685">
                  <c:v>0.13196389401085834</c:v>
                </c:pt>
                <c:pt idx="686">
                  <c:v>0.12893422263276466</c:v>
                </c:pt>
                <c:pt idx="687">
                  <c:v>0.12597238026600246</c:v>
                </c:pt>
                <c:pt idx="688">
                  <c:v>0.12307682046308642</c:v>
                </c:pt>
                <c:pt idx="689">
                  <c:v>0.12024603084740422</c:v>
                </c:pt>
                <c:pt idx="690">
                  <c:v>0.11747853235927506</c:v>
                </c:pt>
                <c:pt idx="691">
                  <c:v>0.11477287851754039</c:v>
                </c:pt>
                <c:pt idx="692">
                  <c:v>0.11212765469638497</c:v>
                </c:pt>
                <c:pt idx="693">
                  <c:v>0.10954147741710298</c:v>
                </c:pt>
                <c:pt idx="694">
                  <c:v>0.10701299365451356</c:v>
                </c:pt>
                <c:pt idx="695">
                  <c:v>0.10454088015774363</c:v>
                </c:pt>
                <c:pt idx="696">
                  <c:v>0.10212384278509661</c:v>
                </c:pt>
                <c:pt idx="697">
                  <c:v>9.9760615852727177E-2</c:v>
                </c:pt>
                <c:pt idx="698">
                  <c:v>9.7449961496855156E-2</c:v>
                </c:pt>
                <c:pt idx="699">
                  <c:v>9.5190669049240895E-2</c:v>
                </c:pt>
                <c:pt idx="700">
                  <c:v>9.2981554425665067E-2</c:v>
                </c:pt>
                <c:pt idx="701">
                  <c:v>9.0821459527144016E-2</c:v>
                </c:pt>
                <c:pt idx="702">
                  <c:v>8.8709251653630611E-2</c:v>
                </c:pt>
                <c:pt idx="703">
                  <c:v>8.6643822929942493E-2</c:v>
                </c:pt>
                <c:pt idx="704">
                  <c:v>8.4624089743670028E-2</c:v>
                </c:pt>
                <c:pt idx="705">
                  <c:v>8.2648992194818485E-2</c:v>
                </c:pt>
                <c:pt idx="706">
                  <c:v>8.0717493556942563E-2</c:v>
                </c:pt>
                <c:pt idx="707">
                  <c:v>7.8828579749536179E-2</c:v>
                </c:pt>
                <c:pt idx="708">
                  <c:v>7.6981258821444451E-2</c:v>
                </c:pt>
                <c:pt idx="709">
                  <c:v>7.5174560445062696E-2</c:v>
                </c:pt>
                <c:pt idx="710">
                  <c:v>7.3407535421106535E-2</c:v>
                </c:pt>
                <c:pt idx="711">
                  <c:v>7.167925519371926E-2</c:v>
                </c:pt>
                <c:pt idx="712">
                  <c:v>6.9988811375705479E-2</c:v>
                </c:pt>
                <c:pt idx="713">
                  <c:v>6.8335315283672329E-2</c:v>
                </c:pt>
                <c:pt idx="714">
                  <c:v>6.6717897482868174E-2</c:v>
                </c:pt>
                <c:pt idx="715">
                  <c:v>6.5135707341510071E-2</c:v>
                </c:pt>
                <c:pt idx="716">
                  <c:v>6.358791259439743E-2</c:v>
                </c:pt>
                <c:pt idx="717">
                  <c:v>6.2073698915607121E-2</c:v>
                </c:pt>
                <c:pt idx="718">
                  <c:v>6.0592269500078212E-2</c:v>
                </c:pt>
                <c:pt idx="719">
                  <c:v>5.9142844653886584E-2</c:v>
                </c:pt>
                <c:pt idx="720">
                  <c:v>5.7724661393024734E-2</c:v>
                </c:pt>
                <c:pt idx="721">
                  <c:v>5.6336973050493747E-2</c:v>
                </c:pt>
                <c:pt idx="722">
                  <c:v>5.4979048891527493E-2</c:v>
                </c:pt>
                <c:pt idx="723">
                  <c:v>5.3650173736766671E-2</c:v>
                </c:pt>
                <c:pt idx="724">
                  <c:v>5.234964759320547E-2</c:v>
                </c:pt>
                <c:pt idx="725">
                  <c:v>5.1076785292736765E-2</c:v>
                </c:pt>
                <c:pt idx="726">
                  <c:v>4.9830916138122822E-2</c:v>
                </c:pt>
                <c:pt idx="727">
                  <c:v>4.8611383556225879E-2</c:v>
                </c:pt>
                <c:pt idx="728">
                  <c:v>4.7417544758331182E-2</c:v>
                </c:pt>
                <c:pt idx="729">
                  <c:v>4.6248770407401052E-2</c:v>
                </c:pt>
                <c:pt idx="730">
                  <c:v>4.5104444292099179E-2</c:v>
                </c:pt>
                <c:pt idx="731">
                  <c:v>4.398396300743148E-2</c:v>
                </c:pt>
                <c:pt idx="732">
                  <c:v>4.2886735641845405E-2</c:v>
                </c:pt>
                <c:pt idx="733">
                  <c:v>4.1812183470640772E-2</c:v>
                </c:pt>
                <c:pt idx="734">
                  <c:v>4.0759739655539536E-2</c:v>
                </c:pt>
                <c:pt idx="735">
                  <c:v>3.9728848950272795E-2</c:v>
                </c:pt>
                <c:pt idx="736">
                  <c:v>3.8718967412038757E-2</c:v>
                </c:pt>
                <c:pt idx="737">
                  <c:v>3.7729562118692286E-2</c:v>
                </c:pt>
                <c:pt idx="738">
                  <c:v>3.6760110891527649E-2</c:v>
                </c:pt>
                <c:pt idx="739">
                  <c:v>3.5810102023518718E-2</c:v>
                </c:pt>
                <c:pt idx="740">
                  <c:v>3.4879034012882275E-2</c:v>
                </c:pt>
                <c:pt idx="741">
                  <c:v>3.3966415301837347E-2</c:v>
                </c:pt>
                <c:pt idx="742">
                  <c:v>3.3071764020423666E-2</c:v>
                </c:pt>
                <c:pt idx="743">
                  <c:v>3.2194607735263336E-2</c:v>
                </c:pt>
                <c:pt idx="744">
                  <c:v>3.1334483203132674E-2</c:v>
                </c:pt>
                <c:pt idx="745">
                  <c:v>3.049093612922683E-2</c:v>
                </c:pt>
                <c:pt idx="746">
                  <c:v>2.9663520929995493E-2</c:v>
                </c:pt>
                <c:pt idx="747">
                  <c:v>2.8851800500432321E-2</c:v>
                </c:pt>
                <c:pt idx="748">
                  <c:v>2.8055345985701783E-2</c:v>
                </c:pt>
                <c:pt idx="749">
                  <c:v>2.7273736556989708E-2</c:v>
                </c:pt>
                <c:pt idx="750">
                  <c:v>2.6506559191465804E-2</c:v>
                </c:pt>
                <c:pt idx="751">
                  <c:v>2.5753408456246803E-2</c:v>
                </c:pt>
                <c:pt idx="752">
                  <c:v>2.5013886296253129E-2</c:v>
                </c:pt>
                <c:pt idx="753">
                  <c:v>2.4287601825852823E-2</c:v>
                </c:pt>
                <c:pt idx="754">
                  <c:v>2.3574171124186222E-2</c:v>
                </c:pt>
                <c:pt idx="755">
                  <c:v>2.2873217034069915E-2</c:v>
                </c:pt>
                <c:pt idx="756">
                  <c:v>2.2184368964377813E-2</c:v>
                </c:pt>
                <c:pt idx="757">
                  <c:v>2.1507262695799691E-2</c:v>
                </c:pt>
                <c:pt idx="758">
                  <c:v>2.0841540189879357E-2</c:v>
                </c:pt>
                <c:pt idx="759">
                  <c:v>2.0186849401234365E-2</c:v>
                </c:pt>
                <c:pt idx="760">
                  <c:v>1.9542844092864012E-2</c:v>
                </c:pt>
                <c:pt idx="761">
                  <c:v>1.8909183654450441E-2</c:v>
                </c:pt>
                <c:pt idx="762">
                  <c:v>1.8285532923560426E-2</c:v>
                </c:pt>
                <c:pt idx="763">
                  <c:v>1.7671562009658401E-2</c:v>
                </c:pt>
                <c:pt idx="764">
                  <c:v>1.7066946120838786E-2</c:v>
                </c:pt>
                <c:pt idx="765">
                  <c:v>1.6471365393190877E-2</c:v>
                </c:pt>
                <c:pt idx="766">
                  <c:v>1.5884504722708949E-2</c:v>
                </c:pt>
                <c:pt idx="767">
                  <c:v>1.530605359966038E-2</c:v>
                </c:pt>
                <c:pt idx="768">
                  <c:v>1.4735705945328907E-2</c:v>
                </c:pt>
                <c:pt idx="769">
                  <c:v>1.4173159951047981E-2</c:v>
                </c:pt>
                <c:pt idx="770">
                  <c:v>1.3618117919441756E-2</c:v>
                </c:pt>
                <c:pt idx="771">
                  <c:v>1.3070286107793616E-2</c:v>
                </c:pt>
                <c:pt idx="772">
                  <c:v>1.2529374573459363E-2</c:v>
                </c:pt>
                <c:pt idx="773">
                  <c:v>1.1995097021247427E-2</c:v>
                </c:pt>
                <c:pt idx="774">
                  <c:v>1.146717065268736E-2</c:v>
                </c:pt>
                <c:pt idx="775">
                  <c:v>1.0945316017108171E-2</c:v>
                </c:pt>
                <c:pt idx="776">
                  <c:v>1.0429256864449656E-2</c:v>
                </c:pt>
                <c:pt idx="777">
                  <c:v>9.9187199997319148E-3</c:v>
                </c:pt>
                <c:pt idx="778">
                  <c:v>9.4134351391067465E-3</c:v>
                </c:pt>
                <c:pt idx="779">
                  <c:v>8.9131347674169421E-3</c:v>
                </c:pt>
                <c:pt idx="780">
                  <c:v>8.4175539971897834E-3</c:v>
                </c:pt>
                <c:pt idx="781">
                  <c:v>7.9264304289916859E-3</c:v>
                </c:pt>
                <c:pt idx="782">
                  <c:v>7.4395040130715521E-3</c:v>
                </c:pt>
                <c:pt idx="783">
                  <c:v>6.9565169122216552E-3</c:v>
                </c:pt>
                <c:pt idx="784">
                  <c:v>6.4772133657837365E-3</c:v>
                </c:pt>
                <c:pt idx="785">
                  <c:v>6.0013395547308191E-3</c:v>
                </c:pt>
                <c:pt idx="786">
                  <c:v>5.5286434677547418E-3</c:v>
                </c:pt>
                <c:pt idx="787">
                  <c:v>5.058874768288626E-3</c:v>
                </c:pt>
                <c:pt idx="788">
                  <c:v>4.591784662396254E-3</c:v>
                </c:pt>
                <c:pt idx="789">
                  <c:v>4.1271257674592339E-3</c:v>
                </c:pt>
                <c:pt idx="790">
                  <c:v>3.664651981593452E-3</c:v>
                </c:pt>
                <c:pt idx="791">
                  <c:v>3.2041183537274026E-3</c:v>
                </c:pt>
                <c:pt idx="792">
                  <c:v>2.7452809542734854E-3</c:v>
                </c:pt>
                <c:pt idx="793">
                  <c:v>2.2878967463264045E-3</c:v>
                </c:pt>
                <c:pt idx="794">
                  <c:v>1.8317234573204187E-3</c:v>
                </c:pt>
                <c:pt idx="795">
                  <c:v>1.3765194510785438E-3</c:v>
                </c:pt>
                <c:pt idx="796">
                  <c:v>9.2204360018793916E-4</c:v>
                </c:pt>
                <c:pt idx="797">
                  <c:v>4.6805515863334338E-4</c:v>
                </c:pt>
                <c:pt idx="798">
                  <c:v>1.4313634623253964E-5</c:v>
                </c:pt>
              </c:numCache>
            </c:numRef>
          </c:xVal>
          <c:yVal>
            <c:numRef>
              <c:f>CalcSheet!$AB:$AB</c:f>
              <c:numCache>
                <c:formatCode>General</c:formatCode>
                <c:ptCount val="1048576"/>
                <c:pt idx="0">
                  <c:v>1.31</c:v>
                </c:pt>
                <c:pt idx="1">
                  <c:v>1.32</c:v>
                </c:pt>
                <c:pt idx="2">
                  <c:v>1.33</c:v>
                </c:pt>
                <c:pt idx="3">
                  <c:v>1.34</c:v>
                </c:pt>
                <c:pt idx="4">
                  <c:v>1.35</c:v>
                </c:pt>
                <c:pt idx="5">
                  <c:v>1.36</c:v>
                </c:pt>
                <c:pt idx="6">
                  <c:v>1.37</c:v>
                </c:pt>
                <c:pt idx="7">
                  <c:v>1.38</c:v>
                </c:pt>
                <c:pt idx="8">
                  <c:v>1.39</c:v>
                </c:pt>
                <c:pt idx="9">
                  <c:v>1.4</c:v>
                </c:pt>
                <c:pt idx="10">
                  <c:v>1.41</c:v>
                </c:pt>
                <c:pt idx="11">
                  <c:v>1.42</c:v>
                </c:pt>
                <c:pt idx="12">
                  <c:v>1.43</c:v>
                </c:pt>
                <c:pt idx="13">
                  <c:v>1.44</c:v>
                </c:pt>
                <c:pt idx="14">
                  <c:v>1.45</c:v>
                </c:pt>
                <c:pt idx="15">
                  <c:v>1.46</c:v>
                </c:pt>
                <c:pt idx="16">
                  <c:v>1.47</c:v>
                </c:pt>
                <c:pt idx="17">
                  <c:v>1.48</c:v>
                </c:pt>
                <c:pt idx="18">
                  <c:v>1.49</c:v>
                </c:pt>
                <c:pt idx="19">
                  <c:v>1.5</c:v>
                </c:pt>
                <c:pt idx="20">
                  <c:v>1.51</c:v>
                </c:pt>
                <c:pt idx="21">
                  <c:v>1.52</c:v>
                </c:pt>
                <c:pt idx="22">
                  <c:v>1.53</c:v>
                </c:pt>
                <c:pt idx="23">
                  <c:v>1.54</c:v>
                </c:pt>
                <c:pt idx="24">
                  <c:v>1.55</c:v>
                </c:pt>
                <c:pt idx="25">
                  <c:v>1.56</c:v>
                </c:pt>
                <c:pt idx="26">
                  <c:v>1.57</c:v>
                </c:pt>
                <c:pt idx="27">
                  <c:v>1.58</c:v>
                </c:pt>
                <c:pt idx="28">
                  <c:v>1.59</c:v>
                </c:pt>
                <c:pt idx="29">
                  <c:v>1.6</c:v>
                </c:pt>
                <c:pt idx="30">
                  <c:v>1.61</c:v>
                </c:pt>
                <c:pt idx="31">
                  <c:v>1.62</c:v>
                </c:pt>
                <c:pt idx="32">
                  <c:v>1.63</c:v>
                </c:pt>
                <c:pt idx="33">
                  <c:v>1.64</c:v>
                </c:pt>
                <c:pt idx="34">
                  <c:v>1.65</c:v>
                </c:pt>
                <c:pt idx="35">
                  <c:v>1.66</c:v>
                </c:pt>
                <c:pt idx="36">
                  <c:v>1.67</c:v>
                </c:pt>
                <c:pt idx="37">
                  <c:v>1.68</c:v>
                </c:pt>
                <c:pt idx="38">
                  <c:v>1.69</c:v>
                </c:pt>
                <c:pt idx="39">
                  <c:v>1.7</c:v>
                </c:pt>
                <c:pt idx="40">
                  <c:v>1.71</c:v>
                </c:pt>
                <c:pt idx="41">
                  <c:v>1.72</c:v>
                </c:pt>
                <c:pt idx="42">
                  <c:v>1.73</c:v>
                </c:pt>
                <c:pt idx="43">
                  <c:v>1.74</c:v>
                </c:pt>
                <c:pt idx="44">
                  <c:v>1.75</c:v>
                </c:pt>
                <c:pt idx="45">
                  <c:v>1.76</c:v>
                </c:pt>
                <c:pt idx="46">
                  <c:v>1.77</c:v>
                </c:pt>
                <c:pt idx="47">
                  <c:v>1.78</c:v>
                </c:pt>
                <c:pt idx="48">
                  <c:v>1.79</c:v>
                </c:pt>
                <c:pt idx="49">
                  <c:v>1.8</c:v>
                </c:pt>
                <c:pt idx="50">
                  <c:v>1.81</c:v>
                </c:pt>
                <c:pt idx="51">
                  <c:v>1.82</c:v>
                </c:pt>
                <c:pt idx="52">
                  <c:v>1.83</c:v>
                </c:pt>
                <c:pt idx="53">
                  <c:v>1.84</c:v>
                </c:pt>
                <c:pt idx="54">
                  <c:v>1.85</c:v>
                </c:pt>
                <c:pt idx="55">
                  <c:v>1.86</c:v>
                </c:pt>
                <c:pt idx="56">
                  <c:v>1.87</c:v>
                </c:pt>
                <c:pt idx="57">
                  <c:v>1.88</c:v>
                </c:pt>
                <c:pt idx="58">
                  <c:v>1.89</c:v>
                </c:pt>
                <c:pt idx="59">
                  <c:v>1.9</c:v>
                </c:pt>
                <c:pt idx="60">
                  <c:v>1.91</c:v>
                </c:pt>
                <c:pt idx="61">
                  <c:v>1.92</c:v>
                </c:pt>
                <c:pt idx="62">
                  <c:v>1.93</c:v>
                </c:pt>
                <c:pt idx="63">
                  <c:v>1.94</c:v>
                </c:pt>
                <c:pt idx="64">
                  <c:v>1.95</c:v>
                </c:pt>
                <c:pt idx="65">
                  <c:v>1.96</c:v>
                </c:pt>
                <c:pt idx="66">
                  <c:v>1.97</c:v>
                </c:pt>
                <c:pt idx="67">
                  <c:v>1.98</c:v>
                </c:pt>
                <c:pt idx="68">
                  <c:v>1.99</c:v>
                </c:pt>
                <c:pt idx="69">
                  <c:v>2</c:v>
                </c:pt>
                <c:pt idx="70">
                  <c:v>2.0099999999999998</c:v>
                </c:pt>
                <c:pt idx="71">
                  <c:v>2.02</c:v>
                </c:pt>
                <c:pt idx="72">
                  <c:v>2.0299999999999998</c:v>
                </c:pt>
                <c:pt idx="73">
                  <c:v>2.04</c:v>
                </c:pt>
                <c:pt idx="74">
                  <c:v>2.0499999999999998</c:v>
                </c:pt>
                <c:pt idx="75">
                  <c:v>2.06</c:v>
                </c:pt>
                <c:pt idx="76">
                  <c:v>2.0699999999999998</c:v>
                </c:pt>
                <c:pt idx="77">
                  <c:v>2.08</c:v>
                </c:pt>
                <c:pt idx="78">
                  <c:v>2.09</c:v>
                </c:pt>
                <c:pt idx="79">
                  <c:v>2.1</c:v>
                </c:pt>
                <c:pt idx="80">
                  <c:v>2.11</c:v>
                </c:pt>
                <c:pt idx="81">
                  <c:v>2.12</c:v>
                </c:pt>
                <c:pt idx="82">
                  <c:v>2.13</c:v>
                </c:pt>
                <c:pt idx="83">
                  <c:v>2.14</c:v>
                </c:pt>
                <c:pt idx="84">
                  <c:v>2.15</c:v>
                </c:pt>
                <c:pt idx="85">
                  <c:v>2.16</c:v>
                </c:pt>
                <c:pt idx="86">
                  <c:v>2.17</c:v>
                </c:pt>
                <c:pt idx="87">
                  <c:v>2.1800000000000002</c:v>
                </c:pt>
                <c:pt idx="88">
                  <c:v>2.19</c:v>
                </c:pt>
                <c:pt idx="89">
                  <c:v>2.2000000000000002</c:v>
                </c:pt>
                <c:pt idx="90">
                  <c:v>2.21</c:v>
                </c:pt>
                <c:pt idx="91">
                  <c:v>2.2200000000000002</c:v>
                </c:pt>
                <c:pt idx="92">
                  <c:v>2.23</c:v>
                </c:pt>
                <c:pt idx="93">
                  <c:v>2.2400000000000002</c:v>
                </c:pt>
                <c:pt idx="94">
                  <c:v>2.25</c:v>
                </c:pt>
                <c:pt idx="95">
                  <c:v>2.2599999999999998</c:v>
                </c:pt>
                <c:pt idx="96">
                  <c:v>2.27</c:v>
                </c:pt>
                <c:pt idx="97">
                  <c:v>2.2799999999999998</c:v>
                </c:pt>
                <c:pt idx="98">
                  <c:v>2.29</c:v>
                </c:pt>
                <c:pt idx="99">
                  <c:v>2.2999999999999998</c:v>
                </c:pt>
                <c:pt idx="100">
                  <c:v>2.31</c:v>
                </c:pt>
                <c:pt idx="101">
                  <c:v>2.3199999999999998</c:v>
                </c:pt>
                <c:pt idx="102">
                  <c:v>2.33</c:v>
                </c:pt>
                <c:pt idx="103">
                  <c:v>2.34</c:v>
                </c:pt>
                <c:pt idx="104">
                  <c:v>2.35</c:v>
                </c:pt>
                <c:pt idx="105">
                  <c:v>2.36</c:v>
                </c:pt>
                <c:pt idx="106">
                  <c:v>2.37</c:v>
                </c:pt>
                <c:pt idx="107">
                  <c:v>2.38</c:v>
                </c:pt>
                <c:pt idx="108">
                  <c:v>2.39</c:v>
                </c:pt>
                <c:pt idx="109">
                  <c:v>2.4</c:v>
                </c:pt>
                <c:pt idx="110">
                  <c:v>2.41</c:v>
                </c:pt>
                <c:pt idx="111">
                  <c:v>2.42</c:v>
                </c:pt>
                <c:pt idx="112">
                  <c:v>2.4300000000000002</c:v>
                </c:pt>
                <c:pt idx="113">
                  <c:v>2.44</c:v>
                </c:pt>
                <c:pt idx="114">
                  <c:v>2.4500000000000002</c:v>
                </c:pt>
                <c:pt idx="115">
                  <c:v>2.46</c:v>
                </c:pt>
                <c:pt idx="116">
                  <c:v>2.4700000000000002</c:v>
                </c:pt>
                <c:pt idx="117">
                  <c:v>2.48</c:v>
                </c:pt>
                <c:pt idx="118">
                  <c:v>2.4900000000000002</c:v>
                </c:pt>
                <c:pt idx="119">
                  <c:v>2.5</c:v>
                </c:pt>
                <c:pt idx="120">
                  <c:v>2.5099999999999998</c:v>
                </c:pt>
                <c:pt idx="121">
                  <c:v>2.52</c:v>
                </c:pt>
                <c:pt idx="122">
                  <c:v>2.5299999999999998</c:v>
                </c:pt>
                <c:pt idx="123">
                  <c:v>2.54</c:v>
                </c:pt>
                <c:pt idx="124">
                  <c:v>2.5499999999999998</c:v>
                </c:pt>
                <c:pt idx="125">
                  <c:v>2.56</c:v>
                </c:pt>
                <c:pt idx="126">
                  <c:v>2.57</c:v>
                </c:pt>
                <c:pt idx="127">
                  <c:v>2.58</c:v>
                </c:pt>
                <c:pt idx="128">
                  <c:v>2.59</c:v>
                </c:pt>
                <c:pt idx="129">
                  <c:v>2.6</c:v>
                </c:pt>
                <c:pt idx="130">
                  <c:v>2.61</c:v>
                </c:pt>
                <c:pt idx="131">
                  <c:v>2.62</c:v>
                </c:pt>
                <c:pt idx="132">
                  <c:v>2.63</c:v>
                </c:pt>
                <c:pt idx="133">
                  <c:v>2.64</c:v>
                </c:pt>
                <c:pt idx="134">
                  <c:v>2.65</c:v>
                </c:pt>
                <c:pt idx="135">
                  <c:v>2.66</c:v>
                </c:pt>
                <c:pt idx="136">
                  <c:v>2.67</c:v>
                </c:pt>
                <c:pt idx="137">
                  <c:v>2.68</c:v>
                </c:pt>
                <c:pt idx="138">
                  <c:v>2.69</c:v>
                </c:pt>
                <c:pt idx="139">
                  <c:v>2.7</c:v>
                </c:pt>
                <c:pt idx="140">
                  <c:v>2.71</c:v>
                </c:pt>
                <c:pt idx="141">
                  <c:v>2.72</c:v>
                </c:pt>
                <c:pt idx="142">
                  <c:v>2.73</c:v>
                </c:pt>
                <c:pt idx="143">
                  <c:v>2.74</c:v>
                </c:pt>
                <c:pt idx="144">
                  <c:v>2.75</c:v>
                </c:pt>
                <c:pt idx="145">
                  <c:v>2.76</c:v>
                </c:pt>
                <c:pt idx="146">
                  <c:v>2.77</c:v>
                </c:pt>
                <c:pt idx="147">
                  <c:v>2.78</c:v>
                </c:pt>
                <c:pt idx="148">
                  <c:v>2.79</c:v>
                </c:pt>
                <c:pt idx="149">
                  <c:v>2.8</c:v>
                </c:pt>
                <c:pt idx="150">
                  <c:v>2.81</c:v>
                </c:pt>
                <c:pt idx="151">
                  <c:v>2.82</c:v>
                </c:pt>
                <c:pt idx="152">
                  <c:v>2.83</c:v>
                </c:pt>
                <c:pt idx="153">
                  <c:v>2.84</c:v>
                </c:pt>
                <c:pt idx="154">
                  <c:v>2.85</c:v>
                </c:pt>
                <c:pt idx="155">
                  <c:v>2.86</c:v>
                </c:pt>
                <c:pt idx="156">
                  <c:v>2.87</c:v>
                </c:pt>
                <c:pt idx="157">
                  <c:v>2.88</c:v>
                </c:pt>
                <c:pt idx="158">
                  <c:v>2.89</c:v>
                </c:pt>
                <c:pt idx="159">
                  <c:v>2.9</c:v>
                </c:pt>
                <c:pt idx="160">
                  <c:v>2.91</c:v>
                </c:pt>
                <c:pt idx="161">
                  <c:v>2.92</c:v>
                </c:pt>
                <c:pt idx="162">
                  <c:v>2.93</c:v>
                </c:pt>
                <c:pt idx="163">
                  <c:v>2.94</c:v>
                </c:pt>
                <c:pt idx="164">
                  <c:v>2.95</c:v>
                </c:pt>
                <c:pt idx="165">
                  <c:v>2.96</c:v>
                </c:pt>
                <c:pt idx="166">
                  <c:v>2.97</c:v>
                </c:pt>
                <c:pt idx="167">
                  <c:v>2.98</c:v>
                </c:pt>
                <c:pt idx="168">
                  <c:v>2.99</c:v>
                </c:pt>
                <c:pt idx="169">
                  <c:v>3</c:v>
                </c:pt>
                <c:pt idx="170">
                  <c:v>3.01</c:v>
                </c:pt>
                <c:pt idx="171">
                  <c:v>3.02</c:v>
                </c:pt>
                <c:pt idx="172">
                  <c:v>3.03</c:v>
                </c:pt>
                <c:pt idx="173">
                  <c:v>3.04</c:v>
                </c:pt>
                <c:pt idx="174">
                  <c:v>3.05</c:v>
                </c:pt>
                <c:pt idx="175">
                  <c:v>3.06</c:v>
                </c:pt>
                <c:pt idx="176">
                  <c:v>3.07</c:v>
                </c:pt>
                <c:pt idx="177">
                  <c:v>3.08</c:v>
                </c:pt>
                <c:pt idx="178">
                  <c:v>3.09</c:v>
                </c:pt>
                <c:pt idx="179">
                  <c:v>3.1</c:v>
                </c:pt>
                <c:pt idx="180">
                  <c:v>3.11</c:v>
                </c:pt>
                <c:pt idx="181">
                  <c:v>3.12</c:v>
                </c:pt>
                <c:pt idx="182">
                  <c:v>3.13</c:v>
                </c:pt>
                <c:pt idx="183">
                  <c:v>3.14</c:v>
                </c:pt>
                <c:pt idx="184">
                  <c:v>3.15</c:v>
                </c:pt>
                <c:pt idx="185">
                  <c:v>3.16</c:v>
                </c:pt>
                <c:pt idx="186">
                  <c:v>3.17</c:v>
                </c:pt>
                <c:pt idx="187">
                  <c:v>3.18</c:v>
                </c:pt>
                <c:pt idx="188">
                  <c:v>3.19</c:v>
                </c:pt>
                <c:pt idx="189">
                  <c:v>3.2</c:v>
                </c:pt>
                <c:pt idx="190">
                  <c:v>3.21</c:v>
                </c:pt>
                <c:pt idx="191">
                  <c:v>3.22</c:v>
                </c:pt>
                <c:pt idx="192">
                  <c:v>3.23</c:v>
                </c:pt>
                <c:pt idx="193">
                  <c:v>3.24</c:v>
                </c:pt>
                <c:pt idx="194">
                  <c:v>3.25</c:v>
                </c:pt>
                <c:pt idx="195">
                  <c:v>3.26</c:v>
                </c:pt>
                <c:pt idx="196">
                  <c:v>3.27</c:v>
                </c:pt>
                <c:pt idx="197">
                  <c:v>3.28</c:v>
                </c:pt>
                <c:pt idx="198">
                  <c:v>3.29</c:v>
                </c:pt>
                <c:pt idx="199">
                  <c:v>3.3</c:v>
                </c:pt>
                <c:pt idx="200">
                  <c:v>3.31</c:v>
                </c:pt>
                <c:pt idx="201">
                  <c:v>3.32</c:v>
                </c:pt>
                <c:pt idx="202">
                  <c:v>3.33</c:v>
                </c:pt>
                <c:pt idx="203">
                  <c:v>3.34</c:v>
                </c:pt>
                <c:pt idx="204">
                  <c:v>3.35</c:v>
                </c:pt>
                <c:pt idx="205">
                  <c:v>3.36</c:v>
                </c:pt>
                <c:pt idx="206">
                  <c:v>3.37</c:v>
                </c:pt>
                <c:pt idx="207">
                  <c:v>3.38</c:v>
                </c:pt>
                <c:pt idx="208">
                  <c:v>3.39</c:v>
                </c:pt>
                <c:pt idx="209">
                  <c:v>3.4</c:v>
                </c:pt>
                <c:pt idx="210">
                  <c:v>3.41</c:v>
                </c:pt>
                <c:pt idx="211">
                  <c:v>3.42</c:v>
                </c:pt>
                <c:pt idx="212">
                  <c:v>3.43</c:v>
                </c:pt>
                <c:pt idx="213">
                  <c:v>3.44</c:v>
                </c:pt>
                <c:pt idx="214">
                  <c:v>3.45</c:v>
                </c:pt>
                <c:pt idx="215">
                  <c:v>3.46</c:v>
                </c:pt>
                <c:pt idx="216">
                  <c:v>3.47</c:v>
                </c:pt>
                <c:pt idx="217">
                  <c:v>3.48</c:v>
                </c:pt>
                <c:pt idx="218">
                  <c:v>3.49</c:v>
                </c:pt>
                <c:pt idx="219">
                  <c:v>3.5</c:v>
                </c:pt>
                <c:pt idx="220">
                  <c:v>3.51</c:v>
                </c:pt>
                <c:pt idx="221">
                  <c:v>3.52</c:v>
                </c:pt>
                <c:pt idx="222">
                  <c:v>3.53</c:v>
                </c:pt>
                <c:pt idx="223">
                  <c:v>3.54</c:v>
                </c:pt>
                <c:pt idx="224">
                  <c:v>3.55</c:v>
                </c:pt>
                <c:pt idx="225">
                  <c:v>3.56</c:v>
                </c:pt>
                <c:pt idx="226">
                  <c:v>3.57</c:v>
                </c:pt>
                <c:pt idx="227">
                  <c:v>3.58</c:v>
                </c:pt>
                <c:pt idx="228">
                  <c:v>3.59</c:v>
                </c:pt>
                <c:pt idx="229">
                  <c:v>3.6</c:v>
                </c:pt>
                <c:pt idx="230">
                  <c:v>3.61</c:v>
                </c:pt>
                <c:pt idx="231">
                  <c:v>3.62</c:v>
                </c:pt>
                <c:pt idx="232">
                  <c:v>3.63</c:v>
                </c:pt>
                <c:pt idx="233">
                  <c:v>3.64</c:v>
                </c:pt>
                <c:pt idx="234">
                  <c:v>3.65</c:v>
                </c:pt>
                <c:pt idx="235">
                  <c:v>3.66</c:v>
                </c:pt>
                <c:pt idx="236">
                  <c:v>3.67</c:v>
                </c:pt>
                <c:pt idx="237">
                  <c:v>3.68</c:v>
                </c:pt>
                <c:pt idx="238">
                  <c:v>3.69</c:v>
                </c:pt>
                <c:pt idx="239">
                  <c:v>3.7</c:v>
                </c:pt>
                <c:pt idx="240">
                  <c:v>3.71</c:v>
                </c:pt>
                <c:pt idx="241">
                  <c:v>3.72</c:v>
                </c:pt>
                <c:pt idx="242">
                  <c:v>3.73</c:v>
                </c:pt>
                <c:pt idx="243">
                  <c:v>3.74</c:v>
                </c:pt>
                <c:pt idx="244">
                  <c:v>3.75</c:v>
                </c:pt>
                <c:pt idx="245">
                  <c:v>3.76</c:v>
                </c:pt>
                <c:pt idx="246">
                  <c:v>3.77</c:v>
                </c:pt>
                <c:pt idx="247">
                  <c:v>3.78</c:v>
                </c:pt>
                <c:pt idx="248">
                  <c:v>3.79</c:v>
                </c:pt>
                <c:pt idx="249">
                  <c:v>3.8</c:v>
                </c:pt>
                <c:pt idx="250">
                  <c:v>3.81</c:v>
                </c:pt>
                <c:pt idx="251">
                  <c:v>3.82</c:v>
                </c:pt>
                <c:pt idx="252">
                  <c:v>3.83</c:v>
                </c:pt>
                <c:pt idx="253">
                  <c:v>3.84</c:v>
                </c:pt>
                <c:pt idx="254">
                  <c:v>3.85</c:v>
                </c:pt>
                <c:pt idx="255">
                  <c:v>3.86</c:v>
                </c:pt>
                <c:pt idx="256">
                  <c:v>3.87</c:v>
                </c:pt>
                <c:pt idx="257">
                  <c:v>3.88</c:v>
                </c:pt>
                <c:pt idx="258">
                  <c:v>3.89</c:v>
                </c:pt>
                <c:pt idx="259">
                  <c:v>3.9</c:v>
                </c:pt>
                <c:pt idx="260">
                  <c:v>3.91</c:v>
                </c:pt>
                <c:pt idx="261">
                  <c:v>3.92</c:v>
                </c:pt>
                <c:pt idx="262">
                  <c:v>3.93</c:v>
                </c:pt>
                <c:pt idx="263">
                  <c:v>3.94</c:v>
                </c:pt>
                <c:pt idx="264">
                  <c:v>3.95</c:v>
                </c:pt>
                <c:pt idx="265">
                  <c:v>3.96</c:v>
                </c:pt>
                <c:pt idx="266">
                  <c:v>3.97</c:v>
                </c:pt>
                <c:pt idx="267">
                  <c:v>3.98</c:v>
                </c:pt>
                <c:pt idx="268">
                  <c:v>3.99</c:v>
                </c:pt>
                <c:pt idx="269">
                  <c:v>4</c:v>
                </c:pt>
                <c:pt idx="270">
                  <c:v>4.01</c:v>
                </c:pt>
                <c:pt idx="271">
                  <c:v>4.0199999999999996</c:v>
                </c:pt>
                <c:pt idx="272">
                  <c:v>4.03</c:v>
                </c:pt>
                <c:pt idx="273">
                  <c:v>4.04</c:v>
                </c:pt>
                <c:pt idx="274">
                  <c:v>4.05</c:v>
                </c:pt>
                <c:pt idx="275">
                  <c:v>4.0599999999999996</c:v>
                </c:pt>
                <c:pt idx="276">
                  <c:v>4.07</c:v>
                </c:pt>
                <c:pt idx="277">
                  <c:v>4.08</c:v>
                </c:pt>
                <c:pt idx="278">
                  <c:v>4.09</c:v>
                </c:pt>
                <c:pt idx="279">
                  <c:v>4.0999999999999996</c:v>
                </c:pt>
                <c:pt idx="280">
                  <c:v>4.1100000000000003</c:v>
                </c:pt>
                <c:pt idx="281">
                  <c:v>4.12</c:v>
                </c:pt>
                <c:pt idx="282">
                  <c:v>4.13</c:v>
                </c:pt>
                <c:pt idx="283">
                  <c:v>4.1399999999999997</c:v>
                </c:pt>
                <c:pt idx="284">
                  <c:v>4.1500000000000004</c:v>
                </c:pt>
                <c:pt idx="285">
                  <c:v>4.16</c:v>
                </c:pt>
                <c:pt idx="286">
                  <c:v>4.17</c:v>
                </c:pt>
                <c:pt idx="287">
                  <c:v>4.18</c:v>
                </c:pt>
                <c:pt idx="288">
                  <c:v>4.1900000000000004</c:v>
                </c:pt>
                <c:pt idx="289">
                  <c:v>4.2</c:v>
                </c:pt>
                <c:pt idx="290">
                  <c:v>4.21</c:v>
                </c:pt>
                <c:pt idx="291">
                  <c:v>4.22</c:v>
                </c:pt>
                <c:pt idx="292">
                  <c:v>4.2300000000000004</c:v>
                </c:pt>
                <c:pt idx="293">
                  <c:v>4.24</c:v>
                </c:pt>
                <c:pt idx="294">
                  <c:v>4.25</c:v>
                </c:pt>
                <c:pt idx="295">
                  <c:v>4.26</c:v>
                </c:pt>
                <c:pt idx="296">
                  <c:v>4.2699999999999996</c:v>
                </c:pt>
                <c:pt idx="297">
                  <c:v>4.28</c:v>
                </c:pt>
                <c:pt idx="298">
                  <c:v>4.29</c:v>
                </c:pt>
                <c:pt idx="299">
                  <c:v>4.3</c:v>
                </c:pt>
                <c:pt idx="300">
                  <c:v>4.3099999999999996</c:v>
                </c:pt>
                <c:pt idx="301">
                  <c:v>4.32</c:v>
                </c:pt>
                <c:pt idx="302">
                  <c:v>4.33</c:v>
                </c:pt>
                <c:pt idx="303">
                  <c:v>4.34</c:v>
                </c:pt>
                <c:pt idx="304">
                  <c:v>4.3499999999999996</c:v>
                </c:pt>
                <c:pt idx="305">
                  <c:v>4.3600000000000003</c:v>
                </c:pt>
                <c:pt idx="306">
                  <c:v>4.37</c:v>
                </c:pt>
                <c:pt idx="307">
                  <c:v>4.38</c:v>
                </c:pt>
                <c:pt idx="308">
                  <c:v>4.3899999999999997</c:v>
                </c:pt>
                <c:pt idx="309">
                  <c:v>4.4000000000000004</c:v>
                </c:pt>
                <c:pt idx="310">
                  <c:v>4.41</c:v>
                </c:pt>
                <c:pt idx="311">
                  <c:v>4.42</c:v>
                </c:pt>
                <c:pt idx="312">
                  <c:v>4.43</c:v>
                </c:pt>
                <c:pt idx="313">
                  <c:v>4.4400000000000004</c:v>
                </c:pt>
                <c:pt idx="314">
                  <c:v>4.45</c:v>
                </c:pt>
                <c:pt idx="315">
                  <c:v>4.46</c:v>
                </c:pt>
                <c:pt idx="316">
                  <c:v>4.47</c:v>
                </c:pt>
                <c:pt idx="317">
                  <c:v>4.4800000000000004</c:v>
                </c:pt>
                <c:pt idx="318">
                  <c:v>4.49</c:v>
                </c:pt>
                <c:pt idx="319">
                  <c:v>4.5</c:v>
                </c:pt>
                <c:pt idx="320">
                  <c:v>4.51</c:v>
                </c:pt>
                <c:pt idx="321">
                  <c:v>4.5199999999999996</c:v>
                </c:pt>
                <c:pt idx="322">
                  <c:v>4.53</c:v>
                </c:pt>
                <c:pt idx="323">
                  <c:v>4.54</c:v>
                </c:pt>
                <c:pt idx="324">
                  <c:v>4.55</c:v>
                </c:pt>
                <c:pt idx="325">
                  <c:v>4.5599999999999996</c:v>
                </c:pt>
                <c:pt idx="326">
                  <c:v>4.57</c:v>
                </c:pt>
                <c:pt idx="327">
                  <c:v>4.58</c:v>
                </c:pt>
                <c:pt idx="328">
                  <c:v>4.59</c:v>
                </c:pt>
                <c:pt idx="329">
                  <c:v>4.5999999999999996</c:v>
                </c:pt>
                <c:pt idx="330">
                  <c:v>4.6100000000000003</c:v>
                </c:pt>
                <c:pt idx="331">
                  <c:v>4.62</c:v>
                </c:pt>
                <c:pt idx="332">
                  <c:v>4.63</c:v>
                </c:pt>
                <c:pt idx="333">
                  <c:v>4.6399999999999997</c:v>
                </c:pt>
                <c:pt idx="334">
                  <c:v>4.6500000000000004</c:v>
                </c:pt>
                <c:pt idx="335">
                  <c:v>4.66</c:v>
                </c:pt>
                <c:pt idx="336">
                  <c:v>4.67</c:v>
                </c:pt>
                <c:pt idx="337">
                  <c:v>4.68</c:v>
                </c:pt>
                <c:pt idx="338">
                  <c:v>4.6900000000000004</c:v>
                </c:pt>
                <c:pt idx="339">
                  <c:v>4.7</c:v>
                </c:pt>
                <c:pt idx="340">
                  <c:v>4.71</c:v>
                </c:pt>
                <c:pt idx="341">
                  <c:v>4.72</c:v>
                </c:pt>
                <c:pt idx="342">
                  <c:v>4.7300000000000004</c:v>
                </c:pt>
                <c:pt idx="343">
                  <c:v>4.74</c:v>
                </c:pt>
                <c:pt idx="344">
                  <c:v>4.75</c:v>
                </c:pt>
                <c:pt idx="345">
                  <c:v>4.76</c:v>
                </c:pt>
                <c:pt idx="346">
                  <c:v>4.7699999999999996</c:v>
                </c:pt>
                <c:pt idx="347">
                  <c:v>4.78</c:v>
                </c:pt>
                <c:pt idx="348">
                  <c:v>4.79</c:v>
                </c:pt>
                <c:pt idx="349">
                  <c:v>4.8</c:v>
                </c:pt>
                <c:pt idx="350">
                  <c:v>4.8099999999999996</c:v>
                </c:pt>
                <c:pt idx="351">
                  <c:v>4.82</c:v>
                </c:pt>
                <c:pt idx="352">
                  <c:v>4.83</c:v>
                </c:pt>
                <c:pt idx="353">
                  <c:v>4.84</c:v>
                </c:pt>
                <c:pt idx="354">
                  <c:v>4.8499999999999996</c:v>
                </c:pt>
                <c:pt idx="355">
                  <c:v>4.8600000000000003</c:v>
                </c:pt>
                <c:pt idx="356">
                  <c:v>4.87</c:v>
                </c:pt>
                <c:pt idx="357">
                  <c:v>4.88</c:v>
                </c:pt>
                <c:pt idx="358">
                  <c:v>4.8899999999999997</c:v>
                </c:pt>
                <c:pt idx="359">
                  <c:v>4.9000000000000004</c:v>
                </c:pt>
                <c:pt idx="360">
                  <c:v>4.91</c:v>
                </c:pt>
                <c:pt idx="361">
                  <c:v>4.92</c:v>
                </c:pt>
                <c:pt idx="362">
                  <c:v>4.93</c:v>
                </c:pt>
                <c:pt idx="363">
                  <c:v>4.9400000000000004</c:v>
                </c:pt>
                <c:pt idx="364">
                  <c:v>4.95</c:v>
                </c:pt>
                <c:pt idx="365">
                  <c:v>4.96</c:v>
                </c:pt>
                <c:pt idx="366">
                  <c:v>4.97</c:v>
                </c:pt>
                <c:pt idx="367">
                  <c:v>4.9800000000000004</c:v>
                </c:pt>
                <c:pt idx="368">
                  <c:v>4.99</c:v>
                </c:pt>
                <c:pt idx="369">
                  <c:v>5</c:v>
                </c:pt>
                <c:pt idx="370">
                  <c:v>5.01</c:v>
                </c:pt>
                <c:pt idx="371">
                  <c:v>5.0199999999999996</c:v>
                </c:pt>
                <c:pt idx="372">
                  <c:v>5.03</c:v>
                </c:pt>
                <c:pt idx="373">
                  <c:v>5.04</c:v>
                </c:pt>
                <c:pt idx="374">
                  <c:v>5.05</c:v>
                </c:pt>
                <c:pt idx="375">
                  <c:v>5.0599999999999996</c:v>
                </c:pt>
                <c:pt idx="376">
                  <c:v>5.07</c:v>
                </c:pt>
                <c:pt idx="377">
                  <c:v>5.08</c:v>
                </c:pt>
                <c:pt idx="378">
                  <c:v>5.09</c:v>
                </c:pt>
                <c:pt idx="379">
                  <c:v>5.0999999999999996</c:v>
                </c:pt>
                <c:pt idx="380">
                  <c:v>5.1100000000000003</c:v>
                </c:pt>
                <c:pt idx="381">
                  <c:v>5.12</c:v>
                </c:pt>
                <c:pt idx="382">
                  <c:v>5.13</c:v>
                </c:pt>
                <c:pt idx="383">
                  <c:v>5.14</c:v>
                </c:pt>
                <c:pt idx="384">
                  <c:v>5.15</c:v>
                </c:pt>
                <c:pt idx="385">
                  <c:v>5.16</c:v>
                </c:pt>
                <c:pt idx="386">
                  <c:v>5.17</c:v>
                </c:pt>
                <c:pt idx="387">
                  <c:v>5.18</c:v>
                </c:pt>
                <c:pt idx="388">
                  <c:v>5.19</c:v>
                </c:pt>
                <c:pt idx="389">
                  <c:v>5.2</c:v>
                </c:pt>
                <c:pt idx="390">
                  <c:v>5.21</c:v>
                </c:pt>
                <c:pt idx="391">
                  <c:v>5.22</c:v>
                </c:pt>
                <c:pt idx="392">
                  <c:v>5.23</c:v>
                </c:pt>
                <c:pt idx="393">
                  <c:v>5.24</c:v>
                </c:pt>
                <c:pt idx="394">
                  <c:v>5.25</c:v>
                </c:pt>
                <c:pt idx="395">
                  <c:v>5.26</c:v>
                </c:pt>
                <c:pt idx="396">
                  <c:v>5.27</c:v>
                </c:pt>
                <c:pt idx="397">
                  <c:v>5.28</c:v>
                </c:pt>
                <c:pt idx="398">
                  <c:v>5.29</c:v>
                </c:pt>
                <c:pt idx="399">
                  <c:v>5.3</c:v>
                </c:pt>
                <c:pt idx="400">
                  <c:v>5.31</c:v>
                </c:pt>
                <c:pt idx="401">
                  <c:v>5.32</c:v>
                </c:pt>
                <c:pt idx="402">
                  <c:v>5.33</c:v>
                </c:pt>
                <c:pt idx="403">
                  <c:v>5.34</c:v>
                </c:pt>
                <c:pt idx="404">
                  <c:v>5.35</c:v>
                </c:pt>
                <c:pt idx="405">
                  <c:v>5.36</c:v>
                </c:pt>
                <c:pt idx="406">
                  <c:v>5.37</c:v>
                </c:pt>
                <c:pt idx="407">
                  <c:v>5.38</c:v>
                </c:pt>
                <c:pt idx="408">
                  <c:v>5.39</c:v>
                </c:pt>
                <c:pt idx="409">
                  <c:v>5.4</c:v>
                </c:pt>
                <c:pt idx="410">
                  <c:v>5.41</c:v>
                </c:pt>
                <c:pt idx="411">
                  <c:v>5.42</c:v>
                </c:pt>
                <c:pt idx="412">
                  <c:v>5.43</c:v>
                </c:pt>
                <c:pt idx="413">
                  <c:v>5.44</c:v>
                </c:pt>
                <c:pt idx="414">
                  <c:v>5.45</c:v>
                </c:pt>
                <c:pt idx="415">
                  <c:v>5.46</c:v>
                </c:pt>
                <c:pt idx="416">
                  <c:v>5.47</c:v>
                </c:pt>
                <c:pt idx="417">
                  <c:v>5.48</c:v>
                </c:pt>
                <c:pt idx="418">
                  <c:v>5.49</c:v>
                </c:pt>
                <c:pt idx="419">
                  <c:v>5.5</c:v>
                </c:pt>
                <c:pt idx="420">
                  <c:v>5.51</c:v>
                </c:pt>
                <c:pt idx="421">
                  <c:v>5.52</c:v>
                </c:pt>
                <c:pt idx="422">
                  <c:v>5.53</c:v>
                </c:pt>
                <c:pt idx="423">
                  <c:v>5.54</c:v>
                </c:pt>
                <c:pt idx="424">
                  <c:v>5.55</c:v>
                </c:pt>
                <c:pt idx="425">
                  <c:v>5.56</c:v>
                </c:pt>
                <c:pt idx="426">
                  <c:v>5.57</c:v>
                </c:pt>
                <c:pt idx="427">
                  <c:v>5.58</c:v>
                </c:pt>
                <c:pt idx="428">
                  <c:v>5.59</c:v>
                </c:pt>
                <c:pt idx="429">
                  <c:v>5.6</c:v>
                </c:pt>
                <c:pt idx="430">
                  <c:v>5.61</c:v>
                </c:pt>
                <c:pt idx="431">
                  <c:v>5.62</c:v>
                </c:pt>
                <c:pt idx="432">
                  <c:v>5.63</c:v>
                </c:pt>
                <c:pt idx="433">
                  <c:v>5.64</c:v>
                </c:pt>
                <c:pt idx="434">
                  <c:v>5.65</c:v>
                </c:pt>
                <c:pt idx="435">
                  <c:v>5.66</c:v>
                </c:pt>
                <c:pt idx="436">
                  <c:v>5.67</c:v>
                </c:pt>
                <c:pt idx="437">
                  <c:v>5.68</c:v>
                </c:pt>
                <c:pt idx="438">
                  <c:v>5.69</c:v>
                </c:pt>
                <c:pt idx="439">
                  <c:v>5.7</c:v>
                </c:pt>
                <c:pt idx="440">
                  <c:v>5.71</c:v>
                </c:pt>
                <c:pt idx="441">
                  <c:v>5.72</c:v>
                </c:pt>
                <c:pt idx="442">
                  <c:v>5.73</c:v>
                </c:pt>
                <c:pt idx="443">
                  <c:v>5.74</c:v>
                </c:pt>
                <c:pt idx="444">
                  <c:v>5.75</c:v>
                </c:pt>
                <c:pt idx="445">
                  <c:v>5.76</c:v>
                </c:pt>
                <c:pt idx="446">
                  <c:v>5.77</c:v>
                </c:pt>
                <c:pt idx="447">
                  <c:v>5.78</c:v>
                </c:pt>
                <c:pt idx="448">
                  <c:v>5.79</c:v>
                </c:pt>
                <c:pt idx="449">
                  <c:v>5.8</c:v>
                </c:pt>
                <c:pt idx="450">
                  <c:v>5.81</c:v>
                </c:pt>
                <c:pt idx="451">
                  <c:v>5.82</c:v>
                </c:pt>
                <c:pt idx="452">
                  <c:v>5.83</c:v>
                </c:pt>
                <c:pt idx="453">
                  <c:v>5.84</c:v>
                </c:pt>
                <c:pt idx="454">
                  <c:v>5.85</c:v>
                </c:pt>
                <c:pt idx="455">
                  <c:v>5.86</c:v>
                </c:pt>
                <c:pt idx="456">
                  <c:v>5.87</c:v>
                </c:pt>
                <c:pt idx="457">
                  <c:v>5.88</c:v>
                </c:pt>
                <c:pt idx="458">
                  <c:v>5.89</c:v>
                </c:pt>
                <c:pt idx="459">
                  <c:v>5.9</c:v>
                </c:pt>
                <c:pt idx="460">
                  <c:v>5.91</c:v>
                </c:pt>
                <c:pt idx="461">
                  <c:v>5.92</c:v>
                </c:pt>
                <c:pt idx="462">
                  <c:v>5.93</c:v>
                </c:pt>
                <c:pt idx="463">
                  <c:v>5.94</c:v>
                </c:pt>
                <c:pt idx="464">
                  <c:v>5.95</c:v>
                </c:pt>
                <c:pt idx="465">
                  <c:v>5.96</c:v>
                </c:pt>
                <c:pt idx="466">
                  <c:v>5.97</c:v>
                </c:pt>
                <c:pt idx="467">
                  <c:v>5.98</c:v>
                </c:pt>
                <c:pt idx="468">
                  <c:v>5.99</c:v>
                </c:pt>
                <c:pt idx="469">
                  <c:v>6</c:v>
                </c:pt>
                <c:pt idx="470">
                  <c:v>6.01</c:v>
                </c:pt>
                <c:pt idx="471">
                  <c:v>6.02</c:v>
                </c:pt>
                <c:pt idx="472">
                  <c:v>6.03</c:v>
                </c:pt>
                <c:pt idx="473">
                  <c:v>6.04</c:v>
                </c:pt>
                <c:pt idx="474">
                  <c:v>6.05</c:v>
                </c:pt>
                <c:pt idx="475">
                  <c:v>6.06</c:v>
                </c:pt>
                <c:pt idx="476">
                  <c:v>6.07</c:v>
                </c:pt>
                <c:pt idx="477">
                  <c:v>6.08</c:v>
                </c:pt>
                <c:pt idx="478">
                  <c:v>6.09</c:v>
                </c:pt>
                <c:pt idx="479">
                  <c:v>6.1</c:v>
                </c:pt>
                <c:pt idx="480">
                  <c:v>6.11</c:v>
                </c:pt>
                <c:pt idx="481">
                  <c:v>6.12</c:v>
                </c:pt>
                <c:pt idx="482">
                  <c:v>6.13</c:v>
                </c:pt>
                <c:pt idx="483">
                  <c:v>6.14</c:v>
                </c:pt>
                <c:pt idx="484">
                  <c:v>6.15</c:v>
                </c:pt>
                <c:pt idx="485">
                  <c:v>6.16</c:v>
                </c:pt>
                <c:pt idx="486">
                  <c:v>6.17</c:v>
                </c:pt>
                <c:pt idx="487">
                  <c:v>6.18</c:v>
                </c:pt>
                <c:pt idx="488">
                  <c:v>6.19</c:v>
                </c:pt>
                <c:pt idx="489">
                  <c:v>6.2</c:v>
                </c:pt>
                <c:pt idx="490">
                  <c:v>6.21</c:v>
                </c:pt>
                <c:pt idx="491">
                  <c:v>6.22</c:v>
                </c:pt>
                <c:pt idx="492">
                  <c:v>6.23</c:v>
                </c:pt>
                <c:pt idx="493">
                  <c:v>6.24</c:v>
                </c:pt>
                <c:pt idx="494">
                  <c:v>6.25</c:v>
                </c:pt>
                <c:pt idx="495">
                  <c:v>6.26</c:v>
                </c:pt>
                <c:pt idx="496">
                  <c:v>6.27</c:v>
                </c:pt>
                <c:pt idx="497">
                  <c:v>6.28</c:v>
                </c:pt>
                <c:pt idx="498">
                  <c:v>6.29</c:v>
                </c:pt>
                <c:pt idx="499">
                  <c:v>6.3</c:v>
                </c:pt>
                <c:pt idx="500">
                  <c:v>6.31</c:v>
                </c:pt>
                <c:pt idx="501">
                  <c:v>6.32</c:v>
                </c:pt>
                <c:pt idx="502">
                  <c:v>6.33</c:v>
                </c:pt>
                <c:pt idx="503">
                  <c:v>6.34</c:v>
                </c:pt>
                <c:pt idx="504">
                  <c:v>6.35</c:v>
                </c:pt>
                <c:pt idx="505">
                  <c:v>6.36</c:v>
                </c:pt>
                <c:pt idx="506">
                  <c:v>6.37</c:v>
                </c:pt>
                <c:pt idx="507">
                  <c:v>6.38</c:v>
                </c:pt>
                <c:pt idx="508">
                  <c:v>6.39</c:v>
                </c:pt>
                <c:pt idx="509">
                  <c:v>6.4</c:v>
                </c:pt>
                <c:pt idx="510">
                  <c:v>6.41</c:v>
                </c:pt>
                <c:pt idx="511">
                  <c:v>6.42</c:v>
                </c:pt>
                <c:pt idx="512">
                  <c:v>6.43</c:v>
                </c:pt>
                <c:pt idx="513">
                  <c:v>6.44</c:v>
                </c:pt>
                <c:pt idx="514">
                  <c:v>6.45</c:v>
                </c:pt>
                <c:pt idx="515">
                  <c:v>6.46</c:v>
                </c:pt>
                <c:pt idx="516">
                  <c:v>6.47</c:v>
                </c:pt>
                <c:pt idx="517">
                  <c:v>6.48</c:v>
                </c:pt>
                <c:pt idx="518">
                  <c:v>6.49</c:v>
                </c:pt>
                <c:pt idx="519">
                  <c:v>6.5</c:v>
                </c:pt>
                <c:pt idx="520">
                  <c:v>6.51</c:v>
                </c:pt>
                <c:pt idx="521">
                  <c:v>6.52</c:v>
                </c:pt>
                <c:pt idx="522">
                  <c:v>6.53</c:v>
                </c:pt>
                <c:pt idx="523">
                  <c:v>6.54</c:v>
                </c:pt>
                <c:pt idx="524">
                  <c:v>6.55</c:v>
                </c:pt>
                <c:pt idx="525">
                  <c:v>6.56</c:v>
                </c:pt>
                <c:pt idx="526">
                  <c:v>6.57</c:v>
                </c:pt>
                <c:pt idx="527">
                  <c:v>6.58</c:v>
                </c:pt>
                <c:pt idx="528">
                  <c:v>6.59</c:v>
                </c:pt>
                <c:pt idx="529">
                  <c:v>6.6</c:v>
                </c:pt>
                <c:pt idx="530">
                  <c:v>6.61</c:v>
                </c:pt>
                <c:pt idx="531">
                  <c:v>6.62</c:v>
                </c:pt>
                <c:pt idx="532">
                  <c:v>6.63</c:v>
                </c:pt>
                <c:pt idx="533">
                  <c:v>6.64</c:v>
                </c:pt>
                <c:pt idx="534">
                  <c:v>6.65</c:v>
                </c:pt>
                <c:pt idx="535">
                  <c:v>6.66</c:v>
                </c:pt>
                <c:pt idx="536">
                  <c:v>6.67</c:v>
                </c:pt>
                <c:pt idx="537">
                  <c:v>6.68</c:v>
                </c:pt>
                <c:pt idx="538">
                  <c:v>6.69</c:v>
                </c:pt>
                <c:pt idx="539">
                  <c:v>6.7</c:v>
                </c:pt>
                <c:pt idx="540">
                  <c:v>6.71</c:v>
                </c:pt>
                <c:pt idx="541">
                  <c:v>6.72</c:v>
                </c:pt>
                <c:pt idx="542">
                  <c:v>6.73</c:v>
                </c:pt>
                <c:pt idx="543">
                  <c:v>6.74</c:v>
                </c:pt>
                <c:pt idx="544">
                  <c:v>6.75</c:v>
                </c:pt>
                <c:pt idx="545">
                  <c:v>6.76</c:v>
                </c:pt>
                <c:pt idx="546">
                  <c:v>6.77</c:v>
                </c:pt>
                <c:pt idx="547">
                  <c:v>6.78</c:v>
                </c:pt>
                <c:pt idx="548">
                  <c:v>6.79</c:v>
                </c:pt>
                <c:pt idx="549">
                  <c:v>6.8</c:v>
                </c:pt>
                <c:pt idx="550">
                  <c:v>6.81</c:v>
                </c:pt>
                <c:pt idx="551">
                  <c:v>6.82</c:v>
                </c:pt>
                <c:pt idx="552">
                  <c:v>6.83</c:v>
                </c:pt>
                <c:pt idx="553">
                  <c:v>6.84</c:v>
                </c:pt>
                <c:pt idx="554">
                  <c:v>6.85</c:v>
                </c:pt>
                <c:pt idx="555">
                  <c:v>6.86</c:v>
                </c:pt>
                <c:pt idx="556">
                  <c:v>6.87</c:v>
                </c:pt>
                <c:pt idx="557">
                  <c:v>6.88</c:v>
                </c:pt>
                <c:pt idx="558">
                  <c:v>6.89</c:v>
                </c:pt>
                <c:pt idx="559">
                  <c:v>6.9</c:v>
                </c:pt>
                <c:pt idx="560">
                  <c:v>6.91</c:v>
                </c:pt>
                <c:pt idx="561">
                  <c:v>6.92</c:v>
                </c:pt>
                <c:pt idx="562">
                  <c:v>6.93</c:v>
                </c:pt>
                <c:pt idx="563">
                  <c:v>6.94</c:v>
                </c:pt>
                <c:pt idx="564">
                  <c:v>6.95</c:v>
                </c:pt>
                <c:pt idx="565">
                  <c:v>6.96</c:v>
                </c:pt>
                <c:pt idx="566">
                  <c:v>6.97</c:v>
                </c:pt>
                <c:pt idx="567">
                  <c:v>6.98</c:v>
                </c:pt>
                <c:pt idx="568">
                  <c:v>6.99</c:v>
                </c:pt>
                <c:pt idx="569">
                  <c:v>7</c:v>
                </c:pt>
                <c:pt idx="570">
                  <c:v>7.01</c:v>
                </c:pt>
                <c:pt idx="571">
                  <c:v>7.02</c:v>
                </c:pt>
                <c:pt idx="572">
                  <c:v>7.03</c:v>
                </c:pt>
                <c:pt idx="573">
                  <c:v>7.04</c:v>
                </c:pt>
                <c:pt idx="574">
                  <c:v>7.05</c:v>
                </c:pt>
                <c:pt idx="575">
                  <c:v>7.06</c:v>
                </c:pt>
                <c:pt idx="576">
                  <c:v>7.07</c:v>
                </c:pt>
                <c:pt idx="577">
                  <c:v>7.08</c:v>
                </c:pt>
                <c:pt idx="578">
                  <c:v>7.09</c:v>
                </c:pt>
                <c:pt idx="579">
                  <c:v>7.1</c:v>
                </c:pt>
                <c:pt idx="580">
                  <c:v>7.11</c:v>
                </c:pt>
                <c:pt idx="581">
                  <c:v>7.12</c:v>
                </c:pt>
                <c:pt idx="582">
                  <c:v>7.13</c:v>
                </c:pt>
                <c:pt idx="583">
                  <c:v>7.14</c:v>
                </c:pt>
                <c:pt idx="584">
                  <c:v>7.15</c:v>
                </c:pt>
                <c:pt idx="585">
                  <c:v>7.16</c:v>
                </c:pt>
                <c:pt idx="586">
                  <c:v>7.17</c:v>
                </c:pt>
                <c:pt idx="587">
                  <c:v>7.18</c:v>
                </c:pt>
                <c:pt idx="588">
                  <c:v>7.19</c:v>
                </c:pt>
                <c:pt idx="589">
                  <c:v>7.2</c:v>
                </c:pt>
                <c:pt idx="590">
                  <c:v>7.21</c:v>
                </c:pt>
                <c:pt idx="591">
                  <c:v>7.22</c:v>
                </c:pt>
                <c:pt idx="592">
                  <c:v>7.23</c:v>
                </c:pt>
                <c:pt idx="593">
                  <c:v>7.24</c:v>
                </c:pt>
                <c:pt idx="594">
                  <c:v>7.25</c:v>
                </c:pt>
                <c:pt idx="595">
                  <c:v>7.26</c:v>
                </c:pt>
                <c:pt idx="596">
                  <c:v>7.27</c:v>
                </c:pt>
                <c:pt idx="597">
                  <c:v>7.28</c:v>
                </c:pt>
                <c:pt idx="598">
                  <c:v>7.29</c:v>
                </c:pt>
                <c:pt idx="599">
                  <c:v>7.3</c:v>
                </c:pt>
                <c:pt idx="600">
                  <c:v>7.31</c:v>
                </c:pt>
                <c:pt idx="601">
                  <c:v>7.32</c:v>
                </c:pt>
                <c:pt idx="602">
                  <c:v>7.33</c:v>
                </c:pt>
                <c:pt idx="603">
                  <c:v>7.34</c:v>
                </c:pt>
                <c:pt idx="604">
                  <c:v>7.35</c:v>
                </c:pt>
                <c:pt idx="605">
                  <c:v>7.36</c:v>
                </c:pt>
                <c:pt idx="606">
                  <c:v>7.37</c:v>
                </c:pt>
                <c:pt idx="607">
                  <c:v>7.38</c:v>
                </c:pt>
                <c:pt idx="608">
                  <c:v>7.39</c:v>
                </c:pt>
                <c:pt idx="609">
                  <c:v>7.4</c:v>
                </c:pt>
                <c:pt idx="610">
                  <c:v>7.41</c:v>
                </c:pt>
                <c:pt idx="611">
                  <c:v>7.42</c:v>
                </c:pt>
                <c:pt idx="612">
                  <c:v>7.43</c:v>
                </c:pt>
                <c:pt idx="613">
                  <c:v>7.44</c:v>
                </c:pt>
                <c:pt idx="614">
                  <c:v>7.45</c:v>
                </c:pt>
                <c:pt idx="615">
                  <c:v>7.46</c:v>
                </c:pt>
                <c:pt idx="616">
                  <c:v>7.47</c:v>
                </c:pt>
                <c:pt idx="617">
                  <c:v>7.48</c:v>
                </c:pt>
                <c:pt idx="618">
                  <c:v>7.49</c:v>
                </c:pt>
                <c:pt idx="619">
                  <c:v>7.5</c:v>
                </c:pt>
                <c:pt idx="620">
                  <c:v>7.51</c:v>
                </c:pt>
                <c:pt idx="621">
                  <c:v>7.52</c:v>
                </c:pt>
                <c:pt idx="622">
                  <c:v>7.53</c:v>
                </c:pt>
                <c:pt idx="623">
                  <c:v>7.54</c:v>
                </c:pt>
                <c:pt idx="624">
                  <c:v>7.55</c:v>
                </c:pt>
                <c:pt idx="625">
                  <c:v>7.56</c:v>
                </c:pt>
                <c:pt idx="626">
                  <c:v>7.57</c:v>
                </c:pt>
                <c:pt idx="627">
                  <c:v>7.58</c:v>
                </c:pt>
                <c:pt idx="628">
                  <c:v>7.59</c:v>
                </c:pt>
                <c:pt idx="629">
                  <c:v>7.6</c:v>
                </c:pt>
                <c:pt idx="630">
                  <c:v>7.61</c:v>
                </c:pt>
                <c:pt idx="631">
                  <c:v>7.62</c:v>
                </c:pt>
                <c:pt idx="632">
                  <c:v>7.63</c:v>
                </c:pt>
                <c:pt idx="633">
                  <c:v>7.64</c:v>
                </c:pt>
                <c:pt idx="634">
                  <c:v>7.65</c:v>
                </c:pt>
                <c:pt idx="635">
                  <c:v>7.66</c:v>
                </c:pt>
                <c:pt idx="636">
                  <c:v>7.67</c:v>
                </c:pt>
                <c:pt idx="637">
                  <c:v>7.68</c:v>
                </c:pt>
                <c:pt idx="638">
                  <c:v>7.69</c:v>
                </c:pt>
                <c:pt idx="639">
                  <c:v>7.7</c:v>
                </c:pt>
                <c:pt idx="640">
                  <c:v>7.71</c:v>
                </c:pt>
                <c:pt idx="641">
                  <c:v>7.72</c:v>
                </c:pt>
                <c:pt idx="642">
                  <c:v>7.73</c:v>
                </c:pt>
                <c:pt idx="643">
                  <c:v>7.74</c:v>
                </c:pt>
                <c:pt idx="644">
                  <c:v>7.75</c:v>
                </c:pt>
                <c:pt idx="645">
                  <c:v>7.76</c:v>
                </c:pt>
                <c:pt idx="646">
                  <c:v>7.77</c:v>
                </c:pt>
                <c:pt idx="647">
                  <c:v>7.78</c:v>
                </c:pt>
                <c:pt idx="648">
                  <c:v>7.79</c:v>
                </c:pt>
                <c:pt idx="649">
                  <c:v>7.8</c:v>
                </c:pt>
                <c:pt idx="650">
                  <c:v>7.81</c:v>
                </c:pt>
                <c:pt idx="651">
                  <c:v>7.82</c:v>
                </c:pt>
                <c:pt idx="652">
                  <c:v>7.83</c:v>
                </c:pt>
                <c:pt idx="653">
                  <c:v>7.84</c:v>
                </c:pt>
                <c:pt idx="654">
                  <c:v>7.85</c:v>
                </c:pt>
                <c:pt idx="655">
                  <c:v>7.86</c:v>
                </c:pt>
                <c:pt idx="656">
                  <c:v>7.87</c:v>
                </c:pt>
                <c:pt idx="657">
                  <c:v>7.88</c:v>
                </c:pt>
                <c:pt idx="658">
                  <c:v>7.89</c:v>
                </c:pt>
                <c:pt idx="659">
                  <c:v>7.9</c:v>
                </c:pt>
                <c:pt idx="660">
                  <c:v>7.91</c:v>
                </c:pt>
                <c:pt idx="661">
                  <c:v>7.92</c:v>
                </c:pt>
                <c:pt idx="662">
                  <c:v>7.93</c:v>
                </c:pt>
                <c:pt idx="663">
                  <c:v>7.94</c:v>
                </c:pt>
                <c:pt idx="664">
                  <c:v>7.95</c:v>
                </c:pt>
                <c:pt idx="665">
                  <c:v>7.96</c:v>
                </c:pt>
                <c:pt idx="666">
                  <c:v>7.97</c:v>
                </c:pt>
                <c:pt idx="667">
                  <c:v>7.98</c:v>
                </c:pt>
                <c:pt idx="668">
                  <c:v>7.99</c:v>
                </c:pt>
                <c:pt idx="669">
                  <c:v>8</c:v>
                </c:pt>
                <c:pt idx="670">
                  <c:v>8.01</c:v>
                </c:pt>
                <c:pt idx="671">
                  <c:v>8.02</c:v>
                </c:pt>
                <c:pt idx="672">
                  <c:v>8.0299999999999994</c:v>
                </c:pt>
                <c:pt idx="673">
                  <c:v>8.0399999999999991</c:v>
                </c:pt>
                <c:pt idx="674">
                  <c:v>8.0500000000000007</c:v>
                </c:pt>
                <c:pt idx="675">
                  <c:v>8.06</c:v>
                </c:pt>
                <c:pt idx="676">
                  <c:v>8.07</c:v>
                </c:pt>
                <c:pt idx="677">
                  <c:v>8.08</c:v>
                </c:pt>
                <c:pt idx="678">
                  <c:v>8.09</c:v>
                </c:pt>
                <c:pt idx="679">
                  <c:v>8.1</c:v>
                </c:pt>
                <c:pt idx="680">
                  <c:v>8.11</c:v>
                </c:pt>
                <c:pt idx="681">
                  <c:v>8.1199999999999992</c:v>
                </c:pt>
                <c:pt idx="682">
                  <c:v>8.1300000000000008</c:v>
                </c:pt>
                <c:pt idx="683">
                  <c:v>8.14</c:v>
                </c:pt>
                <c:pt idx="684">
                  <c:v>8.15</c:v>
                </c:pt>
                <c:pt idx="685">
                  <c:v>8.16</c:v>
                </c:pt>
                <c:pt idx="686">
                  <c:v>8.17</c:v>
                </c:pt>
                <c:pt idx="687">
                  <c:v>8.18</c:v>
                </c:pt>
                <c:pt idx="688">
                  <c:v>8.19</c:v>
                </c:pt>
                <c:pt idx="689">
                  <c:v>8.1999999999999993</c:v>
                </c:pt>
                <c:pt idx="690">
                  <c:v>8.2100000000000009</c:v>
                </c:pt>
                <c:pt idx="691">
                  <c:v>8.2200000000000006</c:v>
                </c:pt>
                <c:pt idx="692">
                  <c:v>8.23</c:v>
                </c:pt>
                <c:pt idx="693">
                  <c:v>8.24</c:v>
                </c:pt>
                <c:pt idx="694">
                  <c:v>8.25</c:v>
                </c:pt>
                <c:pt idx="695">
                  <c:v>8.26</c:v>
                </c:pt>
                <c:pt idx="696">
                  <c:v>8.27</c:v>
                </c:pt>
                <c:pt idx="697">
                  <c:v>8.2799999999999994</c:v>
                </c:pt>
                <c:pt idx="698">
                  <c:v>8.2899999999999991</c:v>
                </c:pt>
                <c:pt idx="699">
                  <c:v>8.3000000000000007</c:v>
                </c:pt>
                <c:pt idx="700">
                  <c:v>8.31</c:v>
                </c:pt>
                <c:pt idx="701">
                  <c:v>8.32</c:v>
                </c:pt>
                <c:pt idx="702">
                  <c:v>8.33</c:v>
                </c:pt>
                <c:pt idx="703">
                  <c:v>8.34</c:v>
                </c:pt>
                <c:pt idx="704">
                  <c:v>8.35</c:v>
                </c:pt>
                <c:pt idx="705">
                  <c:v>8.36</c:v>
                </c:pt>
                <c:pt idx="706">
                  <c:v>8.3699999999999992</c:v>
                </c:pt>
                <c:pt idx="707">
                  <c:v>8.3800000000000008</c:v>
                </c:pt>
                <c:pt idx="708">
                  <c:v>8.39</c:v>
                </c:pt>
                <c:pt idx="709">
                  <c:v>8.4</c:v>
                </c:pt>
                <c:pt idx="710">
                  <c:v>8.41</c:v>
                </c:pt>
                <c:pt idx="711">
                  <c:v>8.42</c:v>
                </c:pt>
                <c:pt idx="712">
                  <c:v>8.43</c:v>
                </c:pt>
                <c:pt idx="713">
                  <c:v>8.44</c:v>
                </c:pt>
                <c:pt idx="714">
                  <c:v>8.4499999999999993</c:v>
                </c:pt>
                <c:pt idx="715">
                  <c:v>8.4600000000000009</c:v>
                </c:pt>
                <c:pt idx="716">
                  <c:v>8.4700000000000006</c:v>
                </c:pt>
                <c:pt idx="717">
                  <c:v>8.48</c:v>
                </c:pt>
                <c:pt idx="718">
                  <c:v>8.49</c:v>
                </c:pt>
                <c:pt idx="719">
                  <c:v>8.5</c:v>
                </c:pt>
                <c:pt idx="720">
                  <c:v>8.51</c:v>
                </c:pt>
                <c:pt idx="721">
                  <c:v>8.52</c:v>
                </c:pt>
                <c:pt idx="722">
                  <c:v>8.5299999999999994</c:v>
                </c:pt>
                <c:pt idx="723">
                  <c:v>8.5399999999999991</c:v>
                </c:pt>
                <c:pt idx="724">
                  <c:v>8.5500000000000007</c:v>
                </c:pt>
                <c:pt idx="725">
                  <c:v>8.56</c:v>
                </c:pt>
                <c:pt idx="726">
                  <c:v>8.57</c:v>
                </c:pt>
                <c:pt idx="727">
                  <c:v>8.58</c:v>
                </c:pt>
                <c:pt idx="728">
                  <c:v>8.59</c:v>
                </c:pt>
                <c:pt idx="729">
                  <c:v>8.6</c:v>
                </c:pt>
                <c:pt idx="730">
                  <c:v>8.61</c:v>
                </c:pt>
                <c:pt idx="731">
                  <c:v>8.6199999999999992</c:v>
                </c:pt>
                <c:pt idx="732">
                  <c:v>8.6300000000000008</c:v>
                </c:pt>
                <c:pt idx="733">
                  <c:v>8.64</c:v>
                </c:pt>
                <c:pt idx="734">
                  <c:v>8.65</c:v>
                </c:pt>
                <c:pt idx="735">
                  <c:v>8.66</c:v>
                </c:pt>
                <c:pt idx="736">
                  <c:v>8.67</c:v>
                </c:pt>
                <c:pt idx="737">
                  <c:v>8.68</c:v>
                </c:pt>
                <c:pt idx="738">
                  <c:v>8.69</c:v>
                </c:pt>
                <c:pt idx="739">
                  <c:v>8.6999999999999993</c:v>
                </c:pt>
                <c:pt idx="740">
                  <c:v>8.7100000000000009</c:v>
                </c:pt>
                <c:pt idx="741">
                  <c:v>8.7200000000000006</c:v>
                </c:pt>
                <c:pt idx="742">
                  <c:v>8.73</c:v>
                </c:pt>
                <c:pt idx="743">
                  <c:v>8.74</c:v>
                </c:pt>
                <c:pt idx="744">
                  <c:v>8.75</c:v>
                </c:pt>
                <c:pt idx="745">
                  <c:v>8.76</c:v>
                </c:pt>
                <c:pt idx="746">
                  <c:v>8.77</c:v>
                </c:pt>
                <c:pt idx="747">
                  <c:v>8.7799999999999994</c:v>
                </c:pt>
                <c:pt idx="748">
                  <c:v>8.7899999999999991</c:v>
                </c:pt>
                <c:pt idx="749">
                  <c:v>8.8000000000000007</c:v>
                </c:pt>
                <c:pt idx="750">
                  <c:v>8.81</c:v>
                </c:pt>
                <c:pt idx="751">
                  <c:v>8.82</c:v>
                </c:pt>
                <c:pt idx="752">
                  <c:v>8.83</c:v>
                </c:pt>
                <c:pt idx="753">
                  <c:v>8.84</c:v>
                </c:pt>
                <c:pt idx="754">
                  <c:v>8.85</c:v>
                </c:pt>
                <c:pt idx="755">
                  <c:v>8.86</c:v>
                </c:pt>
                <c:pt idx="756">
                  <c:v>8.8699999999999992</c:v>
                </c:pt>
                <c:pt idx="757">
                  <c:v>8.8800000000000008</c:v>
                </c:pt>
                <c:pt idx="758">
                  <c:v>8.89</c:v>
                </c:pt>
                <c:pt idx="759">
                  <c:v>8.9</c:v>
                </c:pt>
                <c:pt idx="760">
                  <c:v>8.91</c:v>
                </c:pt>
                <c:pt idx="761">
                  <c:v>8.92</c:v>
                </c:pt>
                <c:pt idx="762">
                  <c:v>8.93</c:v>
                </c:pt>
                <c:pt idx="763">
                  <c:v>8.94</c:v>
                </c:pt>
                <c:pt idx="764">
                  <c:v>8.9499999999999993</c:v>
                </c:pt>
                <c:pt idx="765">
                  <c:v>8.9600000000000009</c:v>
                </c:pt>
                <c:pt idx="766">
                  <c:v>8.9700000000000006</c:v>
                </c:pt>
                <c:pt idx="767">
                  <c:v>8.98</c:v>
                </c:pt>
                <c:pt idx="768">
                  <c:v>8.99</c:v>
                </c:pt>
                <c:pt idx="769">
                  <c:v>9</c:v>
                </c:pt>
                <c:pt idx="770">
                  <c:v>9.01</c:v>
                </c:pt>
                <c:pt idx="771">
                  <c:v>9.02</c:v>
                </c:pt>
                <c:pt idx="772">
                  <c:v>9.0299999999999994</c:v>
                </c:pt>
                <c:pt idx="773">
                  <c:v>9.0399999999999991</c:v>
                </c:pt>
                <c:pt idx="774">
                  <c:v>9.0500000000000007</c:v>
                </c:pt>
                <c:pt idx="775">
                  <c:v>9.06</c:v>
                </c:pt>
                <c:pt idx="776">
                  <c:v>9.07</c:v>
                </c:pt>
                <c:pt idx="777">
                  <c:v>9.08</c:v>
                </c:pt>
                <c:pt idx="778">
                  <c:v>9.09</c:v>
                </c:pt>
                <c:pt idx="779">
                  <c:v>9.1</c:v>
                </c:pt>
                <c:pt idx="780">
                  <c:v>9.11</c:v>
                </c:pt>
                <c:pt idx="781">
                  <c:v>9.1199999999999992</c:v>
                </c:pt>
                <c:pt idx="782">
                  <c:v>9.1300000000000008</c:v>
                </c:pt>
                <c:pt idx="783">
                  <c:v>9.14</c:v>
                </c:pt>
                <c:pt idx="784">
                  <c:v>9.15</c:v>
                </c:pt>
                <c:pt idx="785">
                  <c:v>9.16</c:v>
                </c:pt>
                <c:pt idx="786">
                  <c:v>9.17</c:v>
                </c:pt>
                <c:pt idx="787">
                  <c:v>9.18</c:v>
                </c:pt>
                <c:pt idx="788">
                  <c:v>9.19</c:v>
                </c:pt>
                <c:pt idx="789">
                  <c:v>9.1999999999999993</c:v>
                </c:pt>
                <c:pt idx="790">
                  <c:v>9.2100000000000009</c:v>
                </c:pt>
                <c:pt idx="791">
                  <c:v>9.2200000000000006</c:v>
                </c:pt>
                <c:pt idx="792">
                  <c:v>9.23</c:v>
                </c:pt>
                <c:pt idx="793">
                  <c:v>9.24</c:v>
                </c:pt>
                <c:pt idx="794">
                  <c:v>9.25</c:v>
                </c:pt>
                <c:pt idx="795">
                  <c:v>9.26</c:v>
                </c:pt>
                <c:pt idx="796">
                  <c:v>9.27</c:v>
                </c:pt>
                <c:pt idx="797">
                  <c:v>9.2799999999999994</c:v>
                </c:pt>
                <c:pt idx="798">
                  <c:v>9.2899999999999991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99060</xdr:rowOff>
        </xdr:from>
        <xdr:to>
          <xdr:col>10</xdr:col>
          <xdr:colOff>441960</xdr:colOff>
          <xdr:row>7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WASB Titration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556260</xdr:colOff>
          <xdr:row>19</xdr:row>
          <xdr:rowOff>121920</xdr:rowOff>
        </xdr:from>
        <xdr:to>
          <xdr:col>20</xdr:col>
          <xdr:colOff>297180</xdr:colOff>
          <xdr:row>27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16</xdr:row>
          <xdr:rowOff>106680</xdr:rowOff>
        </xdr:from>
        <xdr:to>
          <xdr:col>10</xdr:col>
          <xdr:colOff>426720</xdr:colOff>
          <xdr:row>21</xdr:row>
          <xdr:rowOff>106680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SAWB Titration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106680</xdr:colOff>
      <xdr:row>0</xdr:row>
      <xdr:rowOff>72390</xdr:rowOff>
    </xdr:from>
    <xdr:to>
      <xdr:col>6</xdr:col>
      <xdr:colOff>533400</xdr:colOff>
      <xdr:row>14</xdr:row>
      <xdr:rowOff>30480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14</xdr:row>
      <xdr:rowOff>83820</xdr:rowOff>
    </xdr:from>
    <xdr:to>
      <xdr:col>6</xdr:col>
      <xdr:colOff>533400</xdr:colOff>
      <xdr:row>28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/>
  <dimension ref="D1:S27"/>
  <sheetViews>
    <sheetView tabSelected="1" workbookViewId="0"/>
  </sheetViews>
  <sheetFormatPr defaultRowHeight="14.4" x14ac:dyDescent="0.3"/>
  <cols>
    <col min="1" max="7" width="9.33203125" customWidth="1"/>
    <col min="8" max="8" width="21" bestFit="1" customWidth="1"/>
    <col min="9" max="9" width="10.44140625" bestFit="1" customWidth="1"/>
    <col min="10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25" t="s">
        <v>0</v>
      </c>
      <c r="I3" s="26"/>
      <c r="J3" s="12"/>
      <c r="N3" t="s">
        <v>19</v>
      </c>
    </row>
    <row r="4" spans="4:19" x14ac:dyDescent="0.3">
      <c r="D4" s="5"/>
      <c r="E4" s="5"/>
      <c r="H4" s="3" t="s">
        <v>1</v>
      </c>
      <c r="I4" s="19" t="s">
        <v>16</v>
      </c>
      <c r="O4" t="s">
        <v>20</v>
      </c>
    </row>
    <row r="5" spans="4:19" x14ac:dyDescent="0.3">
      <c r="H5" s="3" t="s">
        <v>2</v>
      </c>
      <c r="I5" s="20">
        <f>10^-6.27</f>
        <v>5.3703179637025244E-7</v>
      </c>
      <c r="O5" t="s">
        <v>24</v>
      </c>
    </row>
    <row r="6" spans="4:19" x14ac:dyDescent="0.3">
      <c r="H6" s="3" t="s">
        <v>4</v>
      </c>
      <c r="I6" s="21">
        <v>0.02</v>
      </c>
      <c r="O6" t="s">
        <v>23</v>
      </c>
    </row>
    <row r="7" spans="4:19" x14ac:dyDescent="0.3">
      <c r="H7" s="3" t="s">
        <v>5</v>
      </c>
      <c r="I7" s="21">
        <v>50</v>
      </c>
    </row>
    <row r="8" spans="4:19" x14ac:dyDescent="0.3">
      <c r="H8" s="3" t="s">
        <v>3</v>
      </c>
      <c r="I8" s="19" t="s">
        <v>9</v>
      </c>
      <c r="N8" t="s">
        <v>21</v>
      </c>
    </row>
    <row r="9" spans="4:19" x14ac:dyDescent="0.3">
      <c r="H9" s="3" t="s">
        <v>6</v>
      </c>
      <c r="I9" s="21">
        <v>0.1</v>
      </c>
      <c r="O9" t="s">
        <v>28</v>
      </c>
    </row>
    <row r="10" spans="4:19" x14ac:dyDescent="0.3">
      <c r="H10" s="16" t="s">
        <v>15</v>
      </c>
      <c r="I10" s="17">
        <f>0.5*I11</f>
        <v>5</v>
      </c>
      <c r="O10" t="s">
        <v>22</v>
      </c>
    </row>
    <row r="11" spans="4:19" x14ac:dyDescent="0.3">
      <c r="H11" s="15" t="s">
        <v>10</v>
      </c>
      <c r="I11" s="14">
        <f>(I6*I7)/I9</f>
        <v>10</v>
      </c>
      <c r="O11" t="s">
        <v>31</v>
      </c>
    </row>
    <row r="12" spans="4:19" ht="15" thickBot="1" x14ac:dyDescent="0.35">
      <c r="H12" s="7" t="s">
        <v>14</v>
      </c>
      <c r="I12" s="6">
        <f>2*I11</f>
        <v>20</v>
      </c>
      <c r="O12" t="s">
        <v>30</v>
      </c>
    </row>
    <row r="13" spans="4:19" x14ac:dyDescent="0.3">
      <c r="H13" s="5"/>
      <c r="I13" s="5"/>
    </row>
    <row r="14" spans="4:19" ht="15" customHeight="1" x14ac:dyDescent="0.3">
      <c r="H14" s="5"/>
      <c r="I14" s="5"/>
      <c r="N14" t="s">
        <v>25</v>
      </c>
      <c r="P14" s="12"/>
      <c r="Q14" s="12"/>
      <c r="R14" s="12"/>
      <c r="S14" s="12"/>
    </row>
    <row r="15" spans="4:19" x14ac:dyDescent="0.3">
      <c r="H15" s="5"/>
      <c r="I15" s="5"/>
      <c r="O15" s="12" t="s">
        <v>26</v>
      </c>
    </row>
    <row r="16" spans="4:19" ht="15" thickBot="1" x14ac:dyDescent="0.35">
      <c r="H16" s="5"/>
      <c r="I16" s="5"/>
      <c r="O16" t="s">
        <v>29</v>
      </c>
    </row>
    <row r="17" spans="8:15" x14ac:dyDescent="0.3">
      <c r="H17" s="25" t="s">
        <v>11</v>
      </c>
      <c r="I17" s="26"/>
      <c r="O17" t="s">
        <v>27</v>
      </c>
    </row>
    <row r="18" spans="8:15" x14ac:dyDescent="0.3">
      <c r="H18" s="3" t="s">
        <v>3</v>
      </c>
      <c r="I18" s="22" t="s">
        <v>17</v>
      </c>
    </row>
    <row r="19" spans="8:15" x14ac:dyDescent="0.3">
      <c r="H19" s="3" t="s">
        <v>8</v>
      </c>
      <c r="I19" s="23">
        <v>2.6000000000000001E-6</v>
      </c>
    </row>
    <row r="20" spans="8:15" x14ac:dyDescent="0.3">
      <c r="H20" s="3" t="s">
        <v>6</v>
      </c>
      <c r="I20" s="24">
        <v>0.1</v>
      </c>
    </row>
    <row r="21" spans="8:15" x14ac:dyDescent="0.3">
      <c r="H21" s="3" t="s">
        <v>7</v>
      </c>
      <c r="I21" s="24">
        <v>100</v>
      </c>
    </row>
    <row r="22" spans="8:15" x14ac:dyDescent="0.3">
      <c r="H22" s="3" t="s">
        <v>1</v>
      </c>
      <c r="I22" s="22" t="s">
        <v>18</v>
      </c>
    </row>
    <row r="23" spans="8:15" x14ac:dyDescent="0.3">
      <c r="H23" s="3" t="s">
        <v>4</v>
      </c>
      <c r="I23" s="24">
        <v>0.2</v>
      </c>
    </row>
    <row r="24" spans="8:15" x14ac:dyDescent="0.3">
      <c r="H24" s="16" t="s">
        <v>13</v>
      </c>
      <c r="I24" s="18">
        <f>0.5*I25</f>
        <v>25</v>
      </c>
    </row>
    <row r="25" spans="8:15" x14ac:dyDescent="0.3">
      <c r="H25" s="15" t="s">
        <v>10</v>
      </c>
      <c r="I25" s="4">
        <f>(I20*I21)/I23</f>
        <v>50</v>
      </c>
    </row>
    <row r="26" spans="8:15" ht="15" thickBot="1" x14ac:dyDescent="0.35">
      <c r="H26" s="7" t="s">
        <v>14</v>
      </c>
      <c r="I26" s="13">
        <f>2*I25</f>
        <v>100</v>
      </c>
    </row>
    <row r="27" spans="8:15" ht="15" thickBot="1" x14ac:dyDescent="0.35">
      <c r="N27" s="8" t="s">
        <v>12</v>
      </c>
      <c r="O27" s="9">
        <v>1.0099999999999999E-14</v>
      </c>
    </row>
  </sheetData>
  <mergeCells count="2">
    <mergeCell ref="H3:I3"/>
    <mergeCell ref="H17:I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ExtremesWASB">
                <anchor moveWithCells="1">
                  <from>
                    <xdr:col>9</xdr:col>
                    <xdr:colOff>152400</xdr:colOff>
                    <xdr:row>2</xdr:row>
                    <xdr:rowOff>99060</xdr:rowOff>
                  </from>
                  <to>
                    <xdr:col>10</xdr:col>
                    <xdr:colOff>441960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CalcSheet">
                <anchor moveWithCells="1">
                  <from>
                    <xdr:col>15</xdr:col>
                    <xdr:colOff>556260</xdr:colOff>
                    <xdr:row>19</xdr:row>
                    <xdr:rowOff>121920</xdr:rowOff>
                  </from>
                  <to>
                    <xdr:col>20</xdr:col>
                    <xdr:colOff>297180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ExtremesSAWB">
                <anchor moveWithCells="1">
                  <from>
                    <xdr:col>9</xdr:col>
                    <xdr:colOff>144780</xdr:colOff>
                    <xdr:row>16</xdr:row>
                    <xdr:rowOff>106680</xdr:rowOff>
                  </from>
                  <to>
                    <xdr:col>10</xdr:col>
                    <xdr:colOff>426720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/>
  <dimension ref="A1:ZZ1401"/>
  <sheetViews>
    <sheetView zoomScale="73" zoomScaleNormal="73" workbookViewId="0"/>
  </sheetViews>
  <sheetFormatPr defaultColWidth="9.44140625" defaultRowHeight="15" customHeight="1" x14ac:dyDescent="0.3"/>
  <cols>
    <col min="1" max="1" width="9.6640625" style="2" customWidth="1"/>
    <col min="2" max="8" width="10" style="1" customWidth="1"/>
    <col min="9" max="9" width="9.44140625" style="10"/>
    <col min="10" max="10" width="9.44140625" style="2"/>
    <col min="11" max="16" width="9.44140625" style="1"/>
    <col min="17" max="17" width="9.44140625" style="2"/>
    <col min="18" max="18" width="9.44140625" style="10"/>
    <col min="19" max="19" width="9.44140625" style="2"/>
    <col min="20" max="26" width="9.44140625" style="1"/>
    <col min="27" max="27" width="9.44140625" style="10"/>
    <col min="28" max="28" width="9.44140625" style="2"/>
    <col min="29" max="34" width="9.44140625" style="1"/>
    <col min="35" max="35" width="9.44140625" style="2"/>
    <col min="36" max="36" width="9.44140625" style="10"/>
    <col min="37" max="43" width="9.44140625" style="1"/>
    <col min="44" max="44" width="9.44140625" style="10"/>
    <col min="45" max="16384" width="9.44140625" style="1"/>
  </cols>
  <sheetData>
    <row r="1" spans="1:44" ht="15" customHeight="1" x14ac:dyDescent="0.3">
      <c r="A1" s="2">
        <v>0</v>
      </c>
      <c r="B1" s="1">
        <f>10^(-A1)</f>
        <v>1</v>
      </c>
      <c r="C1" s="1">
        <f t="shared" ref="C1:C2" si="0">Kw/B1</f>
        <v>1.0099999999999999E-14</v>
      </c>
      <c r="D1" s="1">
        <f t="shared" ref="D1:D2" si="1">((WASB_Ca*WASB_Va)-(WASB_Cb*H1))/(WASB_Va+H1)</f>
        <v>1.2199998582236828</v>
      </c>
      <c r="E1" s="1">
        <f t="shared" ref="E1:E2" si="2">(WASB_Ca*H1)/(WASB_Va+H1)</f>
        <v>-0.19999997637061379</v>
      </c>
      <c r="F1" s="1">
        <f t="shared" ref="F1:F2" si="3">WASB_Ka/(B1+WASB_Ka)</f>
        <v>5.3703150796725704E-7</v>
      </c>
      <c r="G1" s="1">
        <f t="shared" ref="G1:G2" si="4">(F1-((B1-C1)/WASB_Ca)) / (1 + ((B1-C1)/WASB_Cb))</f>
        <v>-4.5454544966334947</v>
      </c>
      <c r="H1" s="1">
        <f>G1*(WASB_Va * WASB_Ca)/WASB_Cb</f>
        <v>-45.454544966334943</v>
      </c>
      <c r="J1" s="2">
        <v>3.99</v>
      </c>
      <c r="K1" s="1">
        <v>1.0232929922807532E-4</v>
      </c>
      <c r="L1" s="1">
        <v>9.8700959316536969E-11</v>
      </c>
      <c r="M1" s="1">
        <v>1.9997501422969039E-2</v>
      </c>
      <c r="N1" s="1">
        <v>4.1642950515994998E-7</v>
      </c>
      <c r="O1" s="1">
        <v>5.2206761048241342E-3</v>
      </c>
      <c r="P1" s="1">
        <v>1.0410954400428212E-4</v>
      </c>
      <c r="Q1" s="2">
        <v>1.0410954400428211E-3</v>
      </c>
      <c r="S1" s="2">
        <v>0</v>
      </c>
      <c r="T1" s="1">
        <f>10^-S1</f>
        <v>1</v>
      </c>
      <c r="U1" s="1">
        <f t="shared" ref="U1:U2" si="5">Kw/T1</f>
        <v>1.0099999999999999E-14</v>
      </c>
      <c r="V1" s="1">
        <f t="shared" ref="V1:V2" si="6">((SAWB_Cb*SAWB_Vb)-(SAWB_Ca*Z1))/(Z1+SAWB_Vb)</f>
        <v>-1.0000006933321215</v>
      </c>
      <c r="W1" s="1">
        <f t="shared" ref="W1:W2" si="7">(SAWB_Cb*Z1)/(Z1+SAWB_Vb)</f>
        <v>0.36666689777737382</v>
      </c>
      <c r="X1" s="1">
        <f t="shared" ref="X1:X2" si="8">T1/(T1+SAWB_Ka)</f>
        <v>0.99999740000676007</v>
      </c>
      <c r="Y1" s="1">
        <f t="shared" ref="Y1:Y2" si="9">(X1+((T1-U1)/SAWB_Cb))/(1-((T1-U1)/SAWB_Ca))</f>
        <v>-2.7499993500016995</v>
      </c>
      <c r="Z1" s="1">
        <f t="shared" ref="Z1:Z2" si="10">(Y1*SAWB_Cb*SAWB_Vb)/SAWB_Ca</f>
        <v>-137.49996750008498</v>
      </c>
      <c r="AB1">
        <v>1.31</v>
      </c>
      <c r="AC1">
        <v>4.8977881936844603E-2</v>
      </c>
      <c r="AD1">
        <v>2.0621553241162252E-13</v>
      </c>
      <c r="AE1">
        <v>-4.897520968543894E-2</v>
      </c>
      <c r="AF1">
        <v>4.9658403228479649E-2</v>
      </c>
      <c r="AG1">
        <v>0.99994691763132604</v>
      </c>
      <c r="AH1">
        <v>1.9728576927688073</v>
      </c>
      <c r="AI1">
        <v>98.642884638440364</v>
      </c>
      <c r="AJ1"/>
      <c r="AK1"/>
      <c r="AL1"/>
      <c r="AM1"/>
      <c r="AN1"/>
      <c r="AO1"/>
      <c r="AP1"/>
      <c r="AQ1"/>
      <c r="AR1"/>
    </row>
    <row r="2" spans="1:44" ht="15" customHeight="1" x14ac:dyDescent="0.3">
      <c r="A2" s="2">
        <v>0.01</v>
      </c>
      <c r="B2" s="1">
        <f>10^(-A2)</f>
        <v>0.97723722095581067</v>
      </c>
      <c r="C2" s="1">
        <f t="shared" si="0"/>
        <v>1.0335259222035616E-14</v>
      </c>
      <c r="D2" s="1">
        <f t="shared" si="1"/>
        <v>1.1926845230704393</v>
      </c>
      <c r="E2" s="1">
        <f t="shared" si="2"/>
        <v>-0.19544742051173986</v>
      </c>
      <c r="F2" s="1">
        <f t="shared" si="3"/>
        <v>5.4954057186261813E-7</v>
      </c>
      <c r="G2" s="1">
        <f t="shared" si="4"/>
        <v>-4.5358496297496824</v>
      </c>
      <c r="H2" s="1">
        <f t="shared" ref="H2:H3" si="11">G2*(WASB_Va * WASB_Ca)/WASB_Cb</f>
        <v>-45.358496297496821</v>
      </c>
      <c r="J2" s="2">
        <v>4</v>
      </c>
      <c r="K2" s="1">
        <v>1E-4</v>
      </c>
      <c r="L2" s="1">
        <v>1.0099999999999999E-10</v>
      </c>
      <c r="M2" s="1">
        <v>1.9991809468088689E-2</v>
      </c>
      <c r="N2" s="1">
        <v>1.3650886518853494E-6</v>
      </c>
      <c r="O2" s="1">
        <v>5.3416317030123544E-3</v>
      </c>
      <c r="P2" s="1">
        <v>3.4129545789916328E-4</v>
      </c>
      <c r="Q2" s="2">
        <v>3.4129545789916326E-3</v>
      </c>
      <c r="S2" s="2">
        <v>0.01</v>
      </c>
      <c r="T2" s="1">
        <f>10^-S2</f>
        <v>0.97723722095581067</v>
      </c>
      <c r="U2" s="1">
        <f t="shared" si="5"/>
        <v>1.0335259222035616E-14</v>
      </c>
      <c r="V2" s="1">
        <f t="shared" si="6"/>
        <v>-0.97723791025045859</v>
      </c>
      <c r="W2" s="1">
        <f t="shared" si="7"/>
        <v>0.35907930341681954</v>
      </c>
      <c r="X2" s="1">
        <f t="shared" si="8"/>
        <v>0.99999733944529867</v>
      </c>
      <c r="Y2" s="1">
        <f t="shared" si="9"/>
        <v>-2.7719644038035338</v>
      </c>
      <c r="Z2" s="1">
        <f t="shared" si="10"/>
        <v>-138.5982201901767</v>
      </c>
      <c r="AB2">
        <v>1.32</v>
      </c>
      <c r="AC2">
        <v>4.7863009232263824E-2</v>
      </c>
      <c r="AD2">
        <v>2.1101890921625801E-13</v>
      </c>
      <c r="AE2">
        <v>-4.786025455185193E-2</v>
      </c>
      <c r="AF2">
        <v>4.9286751517283976E-2</v>
      </c>
      <c r="AG2">
        <v>0.99994568125128458</v>
      </c>
      <c r="AH2">
        <v>1.9437426310437114</v>
      </c>
      <c r="AI2">
        <v>97.187131552185562</v>
      </c>
      <c r="AJ2"/>
      <c r="AK2"/>
      <c r="AL2"/>
      <c r="AM2"/>
      <c r="AN2"/>
      <c r="AO2"/>
      <c r="AP2"/>
      <c r="AQ2"/>
      <c r="AR2"/>
    </row>
    <row r="3" spans="1:44" ht="15" customHeight="1" x14ac:dyDescent="0.3">
      <c r="A3" s="2">
        <v>0.02</v>
      </c>
      <c r="B3" s="1">
        <f t="shared" ref="B3:B66" si="12">10^(-A3)</f>
        <v>0.95499258602143589</v>
      </c>
      <c r="C3" s="1">
        <f t="shared" ref="C3:C66" si="13">Kw/B3</f>
        <v>1.0575998335314086E-14</v>
      </c>
      <c r="D3" s="1">
        <f t="shared" ref="D3:D66" si="14">((WASB_Ca*WASB_Va)-(WASB_Cb*H3))/(WASB_Va+H3)</f>
        <v>1.1659909608419823</v>
      </c>
      <c r="E3" s="1">
        <f t="shared" ref="E3:E66" si="15">(WASB_Ca*H3)/(WASB_Va+H3)</f>
        <v>-0.19099849347366374</v>
      </c>
      <c r="F3" s="1">
        <f t="shared" ref="F3:F66" si="16">WASB_Ka/(B3+WASB_Ka)</f>
        <v>5.6234100896276062E-7</v>
      </c>
      <c r="G3" s="1">
        <f t="shared" ref="G3:G66" si="17">(F3-((B3-C3)/WASB_Ca)) / (1 + ((B3-C3)/WASB_Cb))</f>
        <v>-4.5260629668311747</v>
      </c>
      <c r="H3" s="1">
        <f t="shared" si="11"/>
        <v>-45.260629668311744</v>
      </c>
      <c r="J3" s="2">
        <v>4.01</v>
      </c>
      <c r="K3" s="1">
        <v>9.7723722095581001E-5</v>
      </c>
      <c r="L3" s="1">
        <v>1.0335259222035623E-10</v>
      </c>
      <c r="M3" s="1">
        <v>1.9986114537788296E-2</v>
      </c>
      <c r="N3" s="1">
        <v>2.3142437019506516E-6</v>
      </c>
      <c r="O3" s="1">
        <v>5.465374273036611E-3</v>
      </c>
      <c r="P3" s="1">
        <v>5.7862787978399106E-4</v>
      </c>
      <c r="Q3" s="2">
        <v>5.7862787978399102E-3</v>
      </c>
      <c r="S3" s="2">
        <v>0.02</v>
      </c>
      <c r="T3" s="1">
        <f t="shared" ref="T3:T66" si="18">10^-S3</f>
        <v>0.95499258602143589</v>
      </c>
      <c r="U3" s="1">
        <f t="shared" ref="U3:U66" si="19">Kw/T3</f>
        <v>1.0575998335314086E-14</v>
      </c>
      <c r="V3" s="1">
        <f t="shared" ref="V3:V66" si="20">((SAWB_Cb*SAWB_Vb)-(SAWB_Ca*Z3))/(Z3+SAWB_Vb)</f>
        <v>-0.95499327118456712</v>
      </c>
      <c r="W3" s="1">
        <f t="shared" ref="W3:W66" si="21">(SAWB_Cb*Z3)/(Z3+SAWB_Vb)</f>
        <v>0.35166442372818907</v>
      </c>
      <c r="X3" s="1">
        <f t="shared" ref="X3:X66" si="22">T3/(T3+SAWB_Ka)</f>
        <v>0.99999727747318723</v>
      </c>
      <c r="Y3" s="1">
        <f t="shared" ref="Y3:Y66" si="23">(X3+((T3-U3)/SAWB_Cb))/(1-((T3-U3)/SAWB_Ca))</f>
        <v>-2.7947090694710619</v>
      </c>
      <c r="Z3" s="1">
        <f t="shared" ref="Z3:Z66" si="24">(Y3*SAWB_Cb*SAWB_Vb)/SAWB_Ca</f>
        <v>-139.73545347355306</v>
      </c>
      <c r="AB3">
        <v>1.33</v>
      </c>
      <c r="AC3">
        <v>4.6773514128719787E-2</v>
      </c>
      <c r="AD3">
        <v>2.1593417103972558E-13</v>
      </c>
      <c r="AE3">
        <v>-4.6770675099424161E-2</v>
      </c>
      <c r="AF3">
        <v>4.8923558366474718E-2</v>
      </c>
      <c r="AG3">
        <v>0.9999444160754174</v>
      </c>
      <c r="AH3">
        <v>1.915699559397753</v>
      </c>
      <c r="AI3">
        <v>95.784977969887663</v>
      </c>
      <c r="AJ3"/>
      <c r="AK3"/>
      <c r="AL3"/>
      <c r="AM3"/>
      <c r="AN3"/>
      <c r="AO3"/>
      <c r="AP3"/>
      <c r="AQ3"/>
      <c r="AR3"/>
    </row>
    <row r="4" spans="1:44" ht="15" customHeight="1" x14ac:dyDescent="0.3">
      <c r="A4" s="2">
        <v>0.03</v>
      </c>
      <c r="B4" s="1">
        <f t="shared" si="12"/>
        <v>0.93325430079699101</v>
      </c>
      <c r="C4" s="1">
        <f t="shared" si="13"/>
        <v>1.0822344982899825E-14</v>
      </c>
      <c r="D4" s="1">
        <f t="shared" si="14"/>
        <v>1.1399050182582853</v>
      </c>
      <c r="E4" s="1">
        <f t="shared" si="15"/>
        <v>-0.18665083637638089</v>
      </c>
      <c r="F4" s="1">
        <f t="shared" si="16"/>
        <v>5.7543960620622565E-7</v>
      </c>
      <c r="G4" s="1">
        <f t="shared" si="17"/>
        <v>-4.5160919657839358</v>
      </c>
      <c r="H4" s="1">
        <f t="shared" ref="H4:H67" si="25">G4*(WASB_Va * WASB_Ca)/WASB_Cb</f>
        <v>-45.160919657839358</v>
      </c>
      <c r="J4" s="2">
        <v>4.0199999999999996</v>
      </c>
      <c r="K4" s="1">
        <v>9.5499258602143526E-5</v>
      </c>
      <c r="L4" s="1">
        <v>1.0575998335314092E-10</v>
      </c>
      <c r="M4" s="1">
        <v>1.9980413673218372E-2</v>
      </c>
      <c r="N4" s="1">
        <v>3.2643877969383179E-6</v>
      </c>
      <c r="O4" s="1">
        <v>5.5919673088347796E-3</v>
      </c>
      <c r="P4" s="1">
        <v>8.1623017382552595E-4</v>
      </c>
      <c r="Q4" s="2">
        <v>8.1623017382552593E-3</v>
      </c>
      <c r="S4" s="2">
        <v>0.03</v>
      </c>
      <c r="T4" s="1">
        <f t="shared" si="18"/>
        <v>0.93325430079699101</v>
      </c>
      <c r="U4" s="1">
        <f t="shared" si="19"/>
        <v>1.0822344982899825E-14</v>
      </c>
      <c r="V4" s="1">
        <f t="shared" si="20"/>
        <v>-0.93325498173236876</v>
      </c>
      <c r="W4" s="1">
        <f t="shared" si="21"/>
        <v>0.34441832724412297</v>
      </c>
      <c r="X4" s="1">
        <f t="shared" si="22"/>
        <v>0.99999721405756792</v>
      </c>
      <c r="Y4" s="1">
        <f t="shared" si="23"/>
        <v>-2.818269244598183</v>
      </c>
      <c r="Z4" s="1">
        <f t="shared" si="24"/>
        <v>-140.91346222990916</v>
      </c>
      <c r="AB4">
        <v>1.34</v>
      </c>
      <c r="AC4">
        <v>4.5708818961487478E-2</v>
      </c>
      <c r="AD4">
        <v>2.2096392401890492E-13</v>
      </c>
      <c r="AE4">
        <v>-4.5705893618717505E-2</v>
      </c>
      <c r="AF4">
        <v>4.8568631206239173E-2</v>
      </c>
      <c r="AG4">
        <v>0.99994312143313269</v>
      </c>
      <c r="AH4">
        <v>1.8886773712361724</v>
      </c>
      <c r="AI4">
        <v>94.433868561808623</v>
      </c>
      <c r="AJ4"/>
      <c r="AK4"/>
      <c r="AL4"/>
      <c r="AM4"/>
      <c r="AN4"/>
      <c r="AO4"/>
      <c r="AP4"/>
      <c r="AQ4"/>
      <c r="AR4"/>
    </row>
    <row r="5" spans="1:44" ht="15" customHeight="1" x14ac:dyDescent="0.3">
      <c r="A5" s="2">
        <v>0.04</v>
      </c>
      <c r="B5" s="1">
        <f t="shared" si="12"/>
        <v>0.91201083935590965</v>
      </c>
      <c r="C5" s="1">
        <f t="shared" si="13"/>
        <v>1.107442978104617E-14</v>
      </c>
      <c r="D5" s="1">
        <f t="shared" si="14"/>
        <v>1.1144128642073012</v>
      </c>
      <c r="E5" s="1">
        <f t="shared" si="15"/>
        <v>-0.18240214403455018</v>
      </c>
      <c r="F5" s="1">
        <f t="shared" si="16"/>
        <v>5.8884330861894239E-7</v>
      </c>
      <c r="G5" s="1">
        <f t="shared" si="17"/>
        <v>-4.5059340874228591</v>
      </c>
      <c r="H5" s="1">
        <f t="shared" si="25"/>
        <v>-45.059340874228589</v>
      </c>
      <c r="J5" s="2">
        <v>4.03</v>
      </c>
      <c r="K5" s="1">
        <v>9.3325430079699046E-5</v>
      </c>
      <c r="L5" s="1">
        <v>1.0822344982899831E-10</v>
      </c>
      <c r="M5" s="1">
        <v>1.9974703915204312E-2</v>
      </c>
      <c r="N5" s="1">
        <v>4.2160141326151636E-6</v>
      </c>
      <c r="O5" s="1">
        <v>5.7214757170903846E-3</v>
      </c>
      <c r="P5" s="1">
        <v>1.0542257646899359E-3</v>
      </c>
      <c r="Q5" s="2">
        <v>1.0542257646899358E-2</v>
      </c>
      <c r="S5" s="2">
        <v>0.04</v>
      </c>
      <c r="T5" s="1">
        <f t="shared" si="18"/>
        <v>0.91201083935590965</v>
      </c>
      <c r="U5" s="1">
        <f t="shared" si="19"/>
        <v>1.107442978104617E-14</v>
      </c>
      <c r="V5" s="1">
        <f t="shared" si="20"/>
        <v>-0.91201151596505858</v>
      </c>
      <c r="W5" s="1">
        <f t="shared" si="21"/>
        <v>0.33733717198835284</v>
      </c>
      <c r="X5" s="1">
        <f t="shared" si="22"/>
        <v>0.9999971491648173</v>
      </c>
      <c r="Y5" s="1">
        <f t="shared" si="23"/>
        <v>-2.8426829995674461</v>
      </c>
      <c r="Z5" s="1">
        <f t="shared" si="24"/>
        <v>-142.13414997837231</v>
      </c>
      <c r="AB5">
        <v>1.35</v>
      </c>
      <c r="AC5">
        <v>4.4668359215096293E-2</v>
      </c>
      <c r="AD5">
        <v>2.2611083499540238E-13</v>
      </c>
      <c r="AE5">
        <v>-4.4665345548507145E-2</v>
      </c>
      <c r="AF5">
        <v>4.8221781849502376E-2</v>
      </c>
      <c r="AG5">
        <v>0.9999417966382258</v>
      </c>
      <c r="AH5">
        <v>1.8626280923511827</v>
      </c>
      <c r="AI5">
        <v>93.131404617559141</v>
      </c>
      <c r="AJ5"/>
      <c r="AK5"/>
      <c r="AL5"/>
      <c r="AM5"/>
      <c r="AN5"/>
      <c r="AO5"/>
      <c r="AP5"/>
      <c r="AQ5"/>
      <c r="AR5"/>
    </row>
    <row r="6" spans="1:44" ht="15" customHeight="1" x14ac:dyDescent="0.3">
      <c r="A6" s="2">
        <v>0.05</v>
      </c>
      <c r="B6" s="1">
        <f t="shared" si="12"/>
        <v>0.89125093813374545</v>
      </c>
      <c r="C6" s="1">
        <f t="shared" si="13"/>
        <v>1.133238638844983E-14</v>
      </c>
      <c r="D6" s="1">
        <f t="shared" si="14"/>
        <v>1.0895009824115232</v>
      </c>
      <c r="E6" s="1">
        <f t="shared" si="15"/>
        <v>-0.17825016373525387</v>
      </c>
      <c r="F6" s="1">
        <f t="shared" si="16"/>
        <v>6.025592229965215E-7</v>
      </c>
      <c r="G6" s="1">
        <f t="shared" si="17"/>
        <v>-4.4955867974286194</v>
      </c>
      <c r="H6" s="1">
        <f t="shared" si="25"/>
        <v>-44.955867974286193</v>
      </c>
      <c r="J6" s="2">
        <v>4.04</v>
      </c>
      <c r="K6" s="1">
        <v>9.1201083935590923E-5</v>
      </c>
      <c r="L6" s="1">
        <v>1.1074429781046174E-10</v>
      </c>
      <c r="M6" s="1">
        <v>1.9968982302807664E-2</v>
      </c>
      <c r="N6" s="1">
        <v>5.1696161987221474E-6</v>
      </c>
      <c r="O6" s="1">
        <v>5.8539658470786841E-3</v>
      </c>
      <c r="P6" s="1">
        <v>1.292738197696913E-3</v>
      </c>
      <c r="Q6" s="2">
        <v>1.2927381976969129E-2</v>
      </c>
      <c r="S6" s="2">
        <v>0.05</v>
      </c>
      <c r="T6" s="1">
        <f t="shared" si="18"/>
        <v>0.89125093813374545</v>
      </c>
      <c r="U6" s="1">
        <f t="shared" si="19"/>
        <v>1.133238638844983E-14</v>
      </c>
      <c r="V6" s="1">
        <f t="shared" si="20"/>
        <v>-0.8912516103158945</v>
      </c>
      <c r="W6" s="1">
        <f t="shared" si="21"/>
        <v>0.33041720343863157</v>
      </c>
      <c r="X6" s="1">
        <f t="shared" si="22"/>
        <v>0.99999708276052912</v>
      </c>
      <c r="Y6" s="1">
        <f t="shared" si="23"/>
        <v>-2.8679907446809514</v>
      </c>
      <c r="Z6" s="1">
        <f t="shared" si="24"/>
        <v>-143.39953723404756</v>
      </c>
      <c r="AB6">
        <v>1.36</v>
      </c>
      <c r="AC6">
        <v>4.3651583224016584E-2</v>
      </c>
      <c r="AD6">
        <v>2.3137763292954511E-13</v>
      </c>
      <c r="AE6">
        <v>-4.3648479176443739E-2</v>
      </c>
      <c r="AF6">
        <v>4.7882826392147915E-2</v>
      </c>
      <c r="AG6">
        <v>0.9999404409885152</v>
      </c>
      <c r="AH6">
        <v>1.8375066442564636</v>
      </c>
      <c r="AI6">
        <v>91.875332212823182</v>
      </c>
      <c r="AJ6"/>
      <c r="AK6"/>
      <c r="AL6"/>
      <c r="AM6"/>
      <c r="AN6"/>
      <c r="AO6"/>
      <c r="AP6"/>
      <c r="AQ6"/>
      <c r="AR6"/>
    </row>
    <row r="7" spans="1:44" ht="15" customHeight="1" x14ac:dyDescent="0.3">
      <c r="A7" s="2">
        <v>0.06</v>
      </c>
      <c r="B7" s="1">
        <f t="shared" si="12"/>
        <v>0.87096358995608059</v>
      </c>
      <c r="C7" s="1">
        <f t="shared" si="13"/>
        <v>1.1596351577118515E-14</v>
      </c>
      <c r="D7" s="1">
        <f t="shared" si="14"/>
        <v>1.0651561642614784</v>
      </c>
      <c r="E7" s="1">
        <f t="shared" si="15"/>
        <v>-0.1741926940435797</v>
      </c>
      <c r="F7" s="1">
        <f t="shared" si="16"/>
        <v>6.1659462167231993E-7</v>
      </c>
      <c r="G7" s="1">
        <f t="shared" si="17"/>
        <v>-4.4850475683829876</v>
      </c>
      <c r="H7" s="1">
        <f t="shared" si="25"/>
        <v>-44.85047568382987</v>
      </c>
      <c r="J7" s="2">
        <v>4.05</v>
      </c>
      <c r="K7" s="1">
        <v>8.912509381337452E-5</v>
      </c>
      <c r="L7" s="1">
        <v>1.1332386388449834E-10</v>
      </c>
      <c r="M7" s="1">
        <v>1.9963245871892427E-2</v>
      </c>
      <c r="N7" s="1">
        <v>6.125688017928845E-6</v>
      </c>
      <c r="O7" s="1">
        <v>5.9895055210679293E-3</v>
      </c>
      <c r="P7" s="1">
        <v>1.5318911988602927E-3</v>
      </c>
      <c r="Q7" s="2">
        <v>1.5318911988602926E-2</v>
      </c>
      <c r="S7" s="2">
        <v>0.06</v>
      </c>
      <c r="T7" s="1">
        <f t="shared" si="18"/>
        <v>0.87096358995608059</v>
      </c>
      <c r="U7" s="1">
        <f t="shared" si="19"/>
        <v>1.1596351577118515E-14</v>
      </c>
      <c r="V7" s="1">
        <f t="shared" si="20"/>
        <v>-0.87096425760811269</v>
      </c>
      <c r="W7" s="1">
        <f t="shared" si="21"/>
        <v>0.32365475253603754</v>
      </c>
      <c r="X7" s="1">
        <f t="shared" si="22"/>
        <v>0.99999701480949554</v>
      </c>
      <c r="Y7" s="1">
        <f t="shared" si="23"/>
        <v>-2.894235412984457</v>
      </c>
      <c r="Z7" s="1">
        <f t="shared" si="24"/>
        <v>-144.71177064922284</v>
      </c>
      <c r="AB7">
        <v>1.37</v>
      </c>
      <c r="AC7">
        <v>4.2657951880159237E-2</v>
      </c>
      <c r="AD7">
        <v>2.367671103473123E-13</v>
      </c>
      <c r="AE7">
        <v>-4.2654755346528281E-2</v>
      </c>
      <c r="AF7">
        <v>4.7551585115509429E-2</v>
      </c>
      <c r="AG7">
        <v>0.99993905376547165</v>
      </c>
      <c r="AH7">
        <v>1.8132706286828439</v>
      </c>
      <c r="AI7">
        <v>90.6635314341422</v>
      </c>
      <c r="AJ7"/>
      <c r="AK7"/>
      <c r="AL7"/>
      <c r="AM7"/>
      <c r="AN7"/>
      <c r="AO7"/>
      <c r="AP7"/>
      <c r="AQ7"/>
      <c r="AR7"/>
    </row>
    <row r="8" spans="1:44" ht="15" customHeight="1" x14ac:dyDescent="0.3">
      <c r="A8" s="2">
        <v>7.0000000000000007E-2</v>
      </c>
      <c r="B8" s="1">
        <f t="shared" si="12"/>
        <v>0.85113803820237643</v>
      </c>
      <c r="C8" s="1">
        <f t="shared" si="13"/>
        <v>1.1866465304889248E-14</v>
      </c>
      <c r="D8" s="1">
        <f t="shared" si="14"/>
        <v>1.0413655018123382</v>
      </c>
      <c r="E8" s="1">
        <f t="shared" si="15"/>
        <v>-0.1702275836353897</v>
      </c>
      <c r="F8" s="1">
        <f t="shared" si="16"/>
        <v>6.3095694637327352E-7</v>
      </c>
      <c r="G8" s="1">
        <f t="shared" si="17"/>
        <v>-4.4743138818833419</v>
      </c>
      <c r="H8" s="1">
        <f t="shared" si="25"/>
        <v>-44.743138818833415</v>
      </c>
      <c r="J8" s="2">
        <v>4.0599999999999996</v>
      </c>
      <c r="K8" s="1">
        <v>8.7096358995608029E-5</v>
      </c>
      <c r="L8" s="1">
        <v>1.159635157711852E-10</v>
      </c>
      <c r="M8" s="1">
        <v>1.9957491653695789E-2</v>
      </c>
      <c r="N8" s="1">
        <v>7.0847243840346865E-6</v>
      </c>
      <c r="O8" s="1">
        <v>6.1281640652824185E-3</v>
      </c>
      <c r="P8" s="1">
        <v>1.7718087348360489E-3</v>
      </c>
      <c r="Q8" s="2">
        <v>1.7718087348360487E-2</v>
      </c>
      <c r="S8" s="2">
        <v>7.0000000000000007E-2</v>
      </c>
      <c r="T8" s="1">
        <f t="shared" si="18"/>
        <v>0.85113803820237643</v>
      </c>
      <c r="U8" s="1">
        <f t="shared" si="19"/>
        <v>1.1866465304889248E-14</v>
      </c>
      <c r="V8" s="1">
        <f t="shared" si="20"/>
        <v>-0.85113870121877178</v>
      </c>
      <c r="W8" s="1">
        <f t="shared" si="21"/>
        <v>0.31704623373959062</v>
      </c>
      <c r="X8" s="1">
        <f t="shared" si="22"/>
        <v>0.99999694527568861</v>
      </c>
      <c r="Y8" s="1">
        <f t="shared" si="23"/>
        <v>-2.9214626605313851</v>
      </c>
      <c r="Z8" s="1">
        <f t="shared" si="24"/>
        <v>-146.07313302656925</v>
      </c>
      <c r="AB8">
        <v>1.38</v>
      </c>
      <c r="AC8">
        <v>4.1686938347033534E-2</v>
      </c>
      <c r="AD8">
        <v>2.4228212482096858E-13</v>
      </c>
      <c r="AE8">
        <v>-4.1683647173244513E-2</v>
      </c>
      <c r="AF8">
        <v>4.7227882391081506E-2</v>
      </c>
      <c r="AG8">
        <v>0.99993763423383686</v>
      </c>
      <c r="AH8">
        <v>1.7898801310599666</v>
      </c>
      <c r="AI8">
        <v>89.494006552998329</v>
      </c>
      <c r="AJ8"/>
      <c r="AK8"/>
      <c r="AL8"/>
      <c r="AM8"/>
      <c r="AN8"/>
      <c r="AO8"/>
      <c r="AP8"/>
      <c r="AQ8"/>
      <c r="AR8"/>
    </row>
    <row r="9" spans="1:44" ht="15" customHeight="1" x14ac:dyDescent="0.3">
      <c r="A9" s="2">
        <v>0.08</v>
      </c>
      <c r="B9" s="1">
        <f t="shared" si="12"/>
        <v>0.83176377110267097</v>
      </c>
      <c r="C9" s="1">
        <f t="shared" si="13"/>
        <v>1.214287078963587E-14</v>
      </c>
      <c r="D9" s="1">
        <f t="shared" si="14"/>
        <v>1.0181163809399685</v>
      </c>
      <c r="E9" s="1">
        <f t="shared" si="15"/>
        <v>-0.16635273015666141</v>
      </c>
      <c r="F9" s="1">
        <f t="shared" si="16"/>
        <v>6.4565381216554092E-7</v>
      </c>
      <c r="G9" s="1">
        <f t="shared" si="17"/>
        <v>-4.4633832307370396</v>
      </c>
      <c r="H9" s="1">
        <f t="shared" si="25"/>
        <v>-44.63383230737039</v>
      </c>
      <c r="J9" s="2">
        <v>4.07</v>
      </c>
      <c r="K9" s="1">
        <v>8.5113803820237487E-5</v>
      </c>
      <c r="L9" s="1">
        <v>1.1866465304889271E-10</v>
      </c>
      <c r="M9" s="1">
        <v>1.9951716673403019E-2</v>
      </c>
      <c r="N9" s="1">
        <v>8.0472210994968934E-6</v>
      </c>
      <c r="O9" s="1">
        <v>6.2700123414338492E-3</v>
      </c>
      <c r="P9" s="1">
        <v>2.0126150727981726E-3</v>
      </c>
      <c r="Q9" s="2">
        <v>2.0126150727981726E-2</v>
      </c>
      <c r="S9" s="2">
        <v>0.08</v>
      </c>
      <c r="T9" s="1">
        <f t="shared" si="18"/>
        <v>0.83176377110267097</v>
      </c>
      <c r="U9" s="1">
        <f t="shared" si="19"/>
        <v>1.214287078963587E-14</v>
      </c>
      <c r="V9" s="1">
        <f t="shared" si="20"/>
        <v>-0.83176442937545203</v>
      </c>
      <c r="W9" s="1">
        <f t="shared" si="21"/>
        <v>0.31058814312515065</v>
      </c>
      <c r="X9" s="1">
        <f t="shared" si="22"/>
        <v>0.99999687412224114</v>
      </c>
      <c r="Y9" s="1">
        <f t="shared" si="23"/>
        <v>-2.9497210860591605</v>
      </c>
      <c r="Z9" s="1">
        <f t="shared" si="24"/>
        <v>-147.48605430295802</v>
      </c>
      <c r="AB9">
        <v>1.39</v>
      </c>
      <c r="AC9">
        <v>4.0738027780411273E-2</v>
      </c>
      <c r="AD9">
        <v>2.4792560048418805E-13</v>
      </c>
      <c r="AE9">
        <v>-4.0734639762197183E-2</v>
      </c>
      <c r="AF9">
        <v>4.6911546587399065E-2</v>
      </c>
      <c r="AG9">
        <v>0.9999361816412351</v>
      </c>
      <c r="AH9">
        <v>1.7672975410605674</v>
      </c>
      <c r="AI9">
        <v>88.364877053028366</v>
      </c>
      <c r="AJ9"/>
      <c r="AK9"/>
      <c r="AL9"/>
      <c r="AM9"/>
      <c r="AN9"/>
      <c r="AO9"/>
      <c r="AP9"/>
      <c r="AQ9"/>
      <c r="AR9"/>
    </row>
    <row r="10" spans="1:44" ht="15" customHeight="1" x14ac:dyDescent="0.3">
      <c r="A10" s="2">
        <v>0.09</v>
      </c>
      <c r="B10" s="1">
        <f t="shared" si="12"/>
        <v>0.81283051616409918</v>
      </c>
      <c r="C10" s="1">
        <f t="shared" si="13"/>
        <v>1.2425714585205053E-14</v>
      </c>
      <c r="D10" s="1">
        <f t="shared" si="14"/>
        <v>0.99539647465274483</v>
      </c>
      <c r="E10" s="1">
        <f t="shared" si="15"/>
        <v>-0.16256607910879081</v>
      </c>
      <c r="F10" s="1">
        <f t="shared" si="16"/>
        <v>6.6069301149205185E-7</v>
      </c>
      <c r="G10" s="1">
        <f t="shared" si="17"/>
        <v>-4.4522531212361187</v>
      </c>
      <c r="H10" s="1">
        <f t="shared" si="25"/>
        <v>-44.522531212361187</v>
      </c>
      <c r="J10" s="2">
        <v>4.08</v>
      </c>
      <c r="K10" s="1">
        <v>8.3176377110266955E-5</v>
      </c>
      <c r="L10" s="1">
        <v>1.2142870789635891E-10</v>
      </c>
      <c r="M10" s="1">
        <v>1.9945917948725828E-2</v>
      </c>
      <c r="N10" s="1">
        <v>9.0136752123622269E-6</v>
      </c>
      <c r="O10" s="1">
        <v>6.4151227788272992E-3</v>
      </c>
      <c r="P10" s="1">
        <v>2.2544348402624352E-3</v>
      </c>
      <c r="Q10" s="2">
        <v>2.2544348402624349E-2</v>
      </c>
      <c r="S10" s="2">
        <v>0.09</v>
      </c>
      <c r="T10" s="1">
        <f t="shared" si="18"/>
        <v>0.81283051616409918</v>
      </c>
      <c r="U10" s="1">
        <f t="shared" si="19"/>
        <v>1.2425714585205053E-14</v>
      </c>
      <c r="V10" s="1">
        <f t="shared" si="20"/>
        <v>-0.81283116958277302</v>
      </c>
      <c r="W10" s="1">
        <f t="shared" si="21"/>
        <v>0.30427705652759102</v>
      </c>
      <c r="X10" s="1">
        <f t="shared" si="22"/>
        <v>0.99999680131142754</v>
      </c>
      <c r="Y10" s="1">
        <f t="shared" si="23"/>
        <v>-2.9790624723094474</v>
      </c>
      <c r="Z10" s="1">
        <f t="shared" si="24"/>
        <v>-148.95312361547238</v>
      </c>
      <c r="AB10">
        <v>1.4</v>
      </c>
      <c r="AC10">
        <v>3.9810717055349727E-2</v>
      </c>
      <c r="AD10">
        <v>2.5370052958246757E-13</v>
      </c>
      <c r="AE10">
        <v>-3.98072299371083E-2</v>
      </c>
      <c r="AF10">
        <v>4.66024099790361E-2</v>
      </c>
      <c r="AG10">
        <v>0.99993469521777389</v>
      </c>
      <c r="AH10">
        <v>1.7454873885034883</v>
      </c>
      <c r="AI10">
        <v>87.274369425174399</v>
      </c>
      <c r="AJ10"/>
      <c r="AK10"/>
      <c r="AL10"/>
      <c r="AM10"/>
      <c r="AN10"/>
      <c r="AO10"/>
      <c r="AP10"/>
      <c r="AQ10"/>
      <c r="AR10"/>
    </row>
    <row r="11" spans="1:44" ht="15" customHeight="1" x14ac:dyDescent="0.3">
      <c r="A11" s="2">
        <v>0.1</v>
      </c>
      <c r="B11" s="1">
        <f t="shared" si="12"/>
        <v>0.79432823472428149</v>
      </c>
      <c r="C11" s="1">
        <f t="shared" si="13"/>
        <v>1.2715146659121089E-14</v>
      </c>
      <c r="D11" s="1">
        <f t="shared" si="14"/>
        <v>0.97319373655561725</v>
      </c>
      <c r="E11" s="1">
        <f t="shared" si="15"/>
        <v>-0.15886562275926955</v>
      </c>
      <c r="F11" s="1">
        <f t="shared" si="16"/>
        <v>6.7608251830410079E-7</v>
      </c>
      <c r="G11" s="1">
        <f t="shared" si="17"/>
        <v>-4.44092107551272</v>
      </c>
      <c r="H11" s="1">
        <f t="shared" si="25"/>
        <v>-44.409210755127198</v>
      </c>
      <c r="J11" s="2">
        <v>4.09</v>
      </c>
      <c r="K11" s="1">
        <v>8.1283051616409918E-5</v>
      </c>
      <c r="L11" s="1">
        <v>1.2425714585205054E-10</v>
      </c>
      <c r="M11" s="1">
        <v>1.9940092488483926E-2</v>
      </c>
      <c r="N11" s="1">
        <v>9.9845852526785119E-6</v>
      </c>
      <c r="O11" s="1">
        <v>6.5635694070481591E-3</v>
      </c>
      <c r="P11" s="1">
        <v>2.4973930848778986E-3</v>
      </c>
      <c r="Q11" s="2">
        <v>2.4973930848778986E-2</v>
      </c>
      <c r="S11" s="2">
        <v>0.1</v>
      </c>
      <c r="T11" s="1">
        <f t="shared" si="18"/>
        <v>0.79432823472428149</v>
      </c>
      <c r="U11" s="1">
        <f t="shared" si="19"/>
        <v>1.2715146659121089E-14</v>
      </c>
      <c r="V11" s="1">
        <f t="shared" si="20"/>
        <v>-0.79432888317578232</v>
      </c>
      <c r="W11" s="1">
        <f t="shared" si="21"/>
        <v>0.29810962772526078</v>
      </c>
      <c r="X11" s="1">
        <f t="shared" si="22"/>
        <v>0.99999672680464324</v>
      </c>
      <c r="Y11" s="1">
        <f t="shared" si="23"/>
        <v>-3.009542051521902</v>
      </c>
      <c r="Z11" s="1">
        <f t="shared" si="24"/>
        <v>-150.47710257609509</v>
      </c>
      <c r="AB11">
        <v>1.41</v>
      </c>
      <c r="AC11">
        <v>3.8904514499428049E-2</v>
      </c>
      <c r="AD11">
        <v>2.5960997405965531E-13</v>
      </c>
      <c r="AE11">
        <v>-3.8900925973026475E-2</v>
      </c>
      <c r="AF11">
        <v>4.6300308657675496E-2</v>
      </c>
      <c r="AG11">
        <v>0.99993317417563732</v>
      </c>
      <c r="AH11">
        <v>1.7244161931032536</v>
      </c>
      <c r="AI11">
        <v>86.220809655162682</v>
      </c>
      <c r="AJ11"/>
      <c r="AK11"/>
      <c r="AL11"/>
      <c r="AM11"/>
      <c r="AN11"/>
      <c r="AO11"/>
      <c r="AP11"/>
      <c r="AQ11"/>
      <c r="AR11"/>
    </row>
    <row r="12" spans="1:44" ht="15" customHeight="1" x14ac:dyDescent="0.3">
      <c r="A12" s="2">
        <v>0.11</v>
      </c>
      <c r="B12" s="1">
        <f t="shared" si="12"/>
        <v>0.77624711662869172</v>
      </c>
      <c r="C12" s="1">
        <f t="shared" si="13"/>
        <v>1.3011320472100651E-14</v>
      </c>
      <c r="D12" s="1">
        <f t="shared" si="14"/>
        <v>0.95149639446296097</v>
      </c>
      <c r="E12" s="1">
        <f t="shared" si="15"/>
        <v>-0.15524939907716015</v>
      </c>
      <c r="F12" s="1">
        <f t="shared" si="16"/>
        <v>6.9183049228917488E-7</v>
      </c>
      <c r="G12" s="1">
        <f t="shared" si="17"/>
        <v>-4.4293846339754284</v>
      </c>
      <c r="H12" s="1">
        <f t="shared" si="25"/>
        <v>-44.293846339754282</v>
      </c>
      <c r="J12" s="2">
        <v>4.0999999999999996</v>
      </c>
      <c r="K12" s="1">
        <v>7.9432823472428153E-5</v>
      </c>
      <c r="L12" s="1">
        <v>1.2715146659121088E-10</v>
      </c>
      <c r="M12" s="1">
        <v>1.9934237291189254E-2</v>
      </c>
      <c r="N12" s="1">
        <v>1.0960451468457569E-5</v>
      </c>
      <c r="O12" s="1">
        <v>6.7154278892359648E-3</v>
      </c>
      <c r="P12" s="1">
        <v>2.7416153342051789E-3</v>
      </c>
      <c r="Q12" s="2">
        <v>2.7416153342051788E-2</v>
      </c>
      <c r="S12" s="2">
        <v>0.11</v>
      </c>
      <c r="T12" s="1">
        <f t="shared" si="18"/>
        <v>0.77624711662869172</v>
      </c>
      <c r="U12" s="1">
        <f t="shared" si="19"/>
        <v>1.3011320472100651E-14</v>
      </c>
      <c r="V12" s="1">
        <f t="shared" si="20"/>
        <v>-0.77624775999731965</v>
      </c>
      <c r="W12" s="1">
        <f t="shared" si="21"/>
        <v>0.29208258666577325</v>
      </c>
      <c r="X12" s="1">
        <f t="shared" si="22"/>
        <v>0.9999966505623844</v>
      </c>
      <c r="Y12" s="1">
        <f t="shared" si="23"/>
        <v>-3.0412187979746603</v>
      </c>
      <c r="Z12" s="1">
        <f t="shared" si="24"/>
        <v>-152.06093989873304</v>
      </c>
      <c r="AB12">
        <v>1.42</v>
      </c>
      <c r="AC12">
        <v>3.801893963205611E-2</v>
      </c>
      <c r="AD12">
        <v>2.656570671814336E-13</v>
      </c>
      <c r="AE12">
        <v>-3.8015247335607814E-2</v>
      </c>
      <c r="AF12">
        <v>4.6005082445202607E-2</v>
      </c>
      <c r="AG12">
        <v>0.99993161770866834</v>
      </c>
      <c r="AH12">
        <v>1.7040523267218171</v>
      </c>
      <c r="AI12">
        <v>85.202616336090855</v>
      </c>
      <c r="AJ12"/>
      <c r="AK12"/>
      <c r="AL12"/>
      <c r="AM12"/>
      <c r="AN12"/>
      <c r="AO12"/>
      <c r="AP12"/>
      <c r="AQ12"/>
      <c r="AR12"/>
    </row>
    <row r="13" spans="1:44" ht="15" customHeight="1" x14ac:dyDescent="0.3">
      <c r="A13" s="2">
        <v>0.12</v>
      </c>
      <c r="B13" s="1">
        <f t="shared" si="12"/>
        <v>0.75857757502918366</v>
      </c>
      <c r="C13" s="1">
        <f t="shared" si="13"/>
        <v>1.3314393059419712E-14</v>
      </c>
      <c r="D13" s="1">
        <f t="shared" si="14"/>
        <v>0.93029294415679831</v>
      </c>
      <c r="E13" s="1">
        <f t="shared" si="15"/>
        <v>-0.15171549069279971</v>
      </c>
      <c r="F13" s="1">
        <f t="shared" si="16"/>
        <v>7.079452831972588E-7</v>
      </c>
      <c r="G13" s="1">
        <f t="shared" si="17"/>
        <v>-4.4176413578265885</v>
      </c>
      <c r="H13" s="1">
        <f t="shared" si="25"/>
        <v>-44.17641357826588</v>
      </c>
      <c r="J13" s="2">
        <v>4.1100000000000003</v>
      </c>
      <c r="K13" s="1">
        <v>7.7624711662869057E-5</v>
      </c>
      <c r="L13" s="1">
        <v>1.3011320472100673E-10</v>
      </c>
      <c r="M13" s="1">
        <v>1.9928349343632443E-2</v>
      </c>
      <c r="N13" s="1">
        <v>1.1941776061259763E-5</v>
      </c>
      <c r="O13" s="1">
        <v>6.8707755559509753E-3</v>
      </c>
      <c r="P13" s="1">
        <v>2.9872276555002403E-3</v>
      </c>
      <c r="Q13" s="2">
        <v>2.9872276555002401E-2</v>
      </c>
      <c r="S13" s="2">
        <v>0.12</v>
      </c>
      <c r="T13" s="1">
        <f t="shared" si="18"/>
        <v>0.75857757502918366</v>
      </c>
      <c r="U13" s="1">
        <f t="shared" si="19"/>
        <v>1.3314393059419712E-14</v>
      </c>
      <c r="V13" s="1">
        <f t="shared" si="20"/>
        <v>-0.75857821319654417</v>
      </c>
      <c r="W13" s="1">
        <f t="shared" si="21"/>
        <v>0.2861927377321814</v>
      </c>
      <c r="X13" s="1">
        <f t="shared" si="22"/>
        <v>0.99999657254422725</v>
      </c>
      <c r="Y13" s="1">
        <f t="shared" si="23"/>
        <v>-3.0741557508417912</v>
      </c>
      <c r="Z13" s="1">
        <f t="shared" si="24"/>
        <v>-153.70778754208956</v>
      </c>
      <c r="AB13">
        <v>1.43</v>
      </c>
      <c r="AC13">
        <v>3.7153522909717254E-2</v>
      </c>
      <c r="AD13">
        <v>2.7184501519661849E-13</v>
      </c>
      <c r="AE13">
        <v>-3.7149724426330265E-2</v>
      </c>
      <c r="AF13">
        <v>4.5716574808776757E-2</v>
      </c>
      <c r="AG13">
        <v>0.99993002499194239</v>
      </c>
      <c r="AH13">
        <v>1.6843658869252187</v>
      </c>
      <c r="AI13">
        <v>84.218294346260933</v>
      </c>
      <c r="AJ13"/>
      <c r="AK13"/>
      <c r="AL13"/>
      <c r="AM13"/>
      <c r="AN13"/>
      <c r="AO13"/>
      <c r="AP13"/>
      <c r="AQ13"/>
      <c r="AR13"/>
    </row>
    <row r="14" spans="1:44" ht="15" customHeight="1" x14ac:dyDescent="0.3">
      <c r="A14" s="2">
        <v>0.13</v>
      </c>
      <c r="B14" s="1">
        <f t="shared" si="12"/>
        <v>0.74131024130091738</v>
      </c>
      <c r="C14" s="1">
        <f t="shared" si="13"/>
        <v>1.3624525114175703E-14</v>
      </c>
      <c r="D14" s="1">
        <f t="shared" si="14"/>
        <v>0.90957214328711589</v>
      </c>
      <c r="E14" s="1">
        <f t="shared" si="15"/>
        <v>-0.14826202388118598</v>
      </c>
      <c r="F14" s="1">
        <f t="shared" si="16"/>
        <v>7.2443543526790975E-7</v>
      </c>
      <c r="G14" s="1">
        <f t="shared" si="17"/>
        <v>-4.4056888316604796</v>
      </c>
      <c r="H14" s="1">
        <f t="shared" si="25"/>
        <v>-44.056888316604791</v>
      </c>
      <c r="J14" s="2">
        <v>4.12</v>
      </c>
      <c r="K14" s="1">
        <v>7.5857757502918263E-5</v>
      </c>
      <c r="L14" s="1">
        <v>1.3314393059419731E-10</v>
      </c>
      <c r="M14" s="1">
        <v>1.992242561947119E-2</v>
      </c>
      <c r="N14" s="1">
        <v>1.2929063421468167E-5</v>
      </c>
      <c r="O14" s="1">
        <v>7.0296914396392471E-3</v>
      </c>
      <c r="P14" s="1">
        <v>3.2343567155221739E-3</v>
      </c>
      <c r="Q14" s="2">
        <v>3.2343567155221735E-2</v>
      </c>
      <c r="S14" s="2">
        <v>0.13</v>
      </c>
      <c r="T14" s="1">
        <f t="shared" si="18"/>
        <v>0.74131024130091738</v>
      </c>
      <c r="U14" s="1">
        <f t="shared" si="19"/>
        <v>1.3624525114175703E-14</v>
      </c>
      <c r="V14" s="1">
        <f t="shared" si="20"/>
        <v>-0.74131087414585783</v>
      </c>
      <c r="W14" s="1">
        <f t="shared" si="21"/>
        <v>0.28043695804861929</v>
      </c>
      <c r="X14" s="1">
        <f t="shared" si="22"/>
        <v>0.99999649270880642</v>
      </c>
      <c r="Y14" s="1">
        <f t="shared" si="23"/>
        <v>-3.1084203710977518</v>
      </c>
      <c r="Z14" s="1">
        <f t="shared" si="24"/>
        <v>-155.42101855488758</v>
      </c>
      <c r="AB14">
        <v>1.44</v>
      </c>
      <c r="AC14">
        <v>3.6307805477010131E-2</v>
      </c>
      <c r="AD14">
        <v>2.7817709903715482E-13</v>
      </c>
      <c r="AE14">
        <v>-3.6303898333506363E-2</v>
      </c>
      <c r="AF14">
        <v>4.5434632777835451E-2</v>
      </c>
      <c r="AG14">
        <v>0.99992839518133048</v>
      </c>
      <c r="AH14">
        <v>1.6653285807771427</v>
      </c>
      <c r="AI14">
        <v>83.26642903885714</v>
      </c>
      <c r="AJ14"/>
      <c r="AK14"/>
      <c r="AL14"/>
      <c r="AM14"/>
      <c r="AN14"/>
      <c r="AO14"/>
      <c r="AP14"/>
      <c r="AQ14"/>
      <c r="AR14"/>
    </row>
    <row r="15" spans="1:44" ht="15" customHeight="1" x14ac:dyDescent="0.3">
      <c r="A15" s="2">
        <v>0.14000000000000001</v>
      </c>
      <c r="B15" s="1">
        <f t="shared" si="12"/>
        <v>0.72443596007499</v>
      </c>
      <c r="C15" s="1">
        <f t="shared" si="13"/>
        <v>1.3941881072489138E-14</v>
      </c>
      <c r="D15" s="1">
        <f t="shared" si="14"/>
        <v>0.88932300541102438</v>
      </c>
      <c r="E15" s="1">
        <f t="shared" si="15"/>
        <v>-0.14488716756850403</v>
      </c>
      <c r="F15" s="1">
        <f t="shared" si="16"/>
        <v>7.4130969176045072E-7</v>
      </c>
      <c r="G15" s="1">
        <f t="shared" si="17"/>
        <v>-4.3935246661420519</v>
      </c>
      <c r="H15" s="1">
        <f t="shared" si="25"/>
        <v>-43.935246661420514</v>
      </c>
      <c r="J15" s="2">
        <v>4.13</v>
      </c>
      <c r="K15" s="1">
        <v>7.4131024130091641E-5</v>
      </c>
      <c r="L15" s="1">
        <v>1.362452511417572E-10</v>
      </c>
      <c r="M15" s="1">
        <v>1.9916463077820096E-2</v>
      </c>
      <c r="N15" s="1">
        <v>1.3922820363317183E-5</v>
      </c>
      <c r="O15" s="1">
        <v>7.1922563097016664E-3</v>
      </c>
      <c r="P15" s="1">
        <v>3.4831298403827835E-3</v>
      </c>
      <c r="Q15" s="2">
        <v>3.4831298403827836E-2</v>
      </c>
      <c r="S15" s="2">
        <v>0.14000000000000001</v>
      </c>
      <c r="T15" s="1">
        <f t="shared" si="18"/>
        <v>0.72443596007499</v>
      </c>
      <c r="U15" s="1">
        <f t="shared" si="19"/>
        <v>1.3941881072489138E-14</v>
      </c>
      <c r="V15" s="1">
        <f t="shared" si="20"/>
        <v>-0.72443658747353568</v>
      </c>
      <c r="W15" s="1">
        <f t="shared" si="21"/>
        <v>0.27481219582451188</v>
      </c>
      <c r="X15" s="1">
        <f t="shared" si="22"/>
        <v>0.999996411013793</v>
      </c>
      <c r="Y15" s="1">
        <f t="shared" si="23"/>
        <v>-3.1440849367327512</v>
      </c>
      <c r="Z15" s="1">
        <f t="shared" si="24"/>
        <v>-157.20424683663757</v>
      </c>
      <c r="AB15">
        <v>1.45</v>
      </c>
      <c r="AC15">
        <v>3.548133892335753E-2</v>
      </c>
      <c r="AD15">
        <v>2.8465667605770992E-13</v>
      </c>
      <c r="AE15">
        <v>-3.5477320588962219E-2</v>
      </c>
      <c r="AF15">
        <v>4.5159106862987408E-2</v>
      </c>
      <c r="AG15">
        <v>0.99992672741305255</v>
      </c>
      <c r="AH15">
        <v>1.6469136179151369</v>
      </c>
      <c r="AI15">
        <v>82.345680895756843</v>
      </c>
      <c r="AJ15"/>
      <c r="AK15"/>
      <c r="AL15"/>
      <c r="AM15"/>
      <c r="AN15"/>
      <c r="AO15"/>
      <c r="AP15"/>
      <c r="AQ15"/>
      <c r="AR15"/>
    </row>
    <row r="16" spans="1:44" ht="15" customHeight="1" x14ac:dyDescent="0.3">
      <c r="A16" s="2">
        <v>0.15</v>
      </c>
      <c r="B16" s="1">
        <f t="shared" si="12"/>
        <v>0.70794578438413791</v>
      </c>
      <c r="C16" s="1">
        <f t="shared" si="13"/>
        <v>1.4266629200689818E-14</v>
      </c>
      <c r="D16" s="1">
        <f t="shared" si="14"/>
        <v>0.86953479416758883</v>
      </c>
      <c r="E16" s="1">
        <f t="shared" si="15"/>
        <v>-0.1415891323612648</v>
      </c>
      <c r="F16" s="1">
        <f t="shared" si="16"/>
        <v>7.5857699958968255E-7</v>
      </c>
      <c r="G16" s="1">
        <f t="shared" si="17"/>
        <v>-4.3811465007657198</v>
      </c>
      <c r="H16" s="1">
        <f t="shared" si="25"/>
        <v>-43.811465007657198</v>
      </c>
      <c r="J16" s="2">
        <v>4.1399999999999997</v>
      </c>
      <c r="K16" s="1">
        <v>7.2443596007499048E-5</v>
      </c>
      <c r="L16" s="1">
        <v>1.3941881072489127E-10</v>
      </c>
      <c r="M16" s="1">
        <v>1.991045866184158E-2</v>
      </c>
      <c r="N16" s="1">
        <v>1.4923556359736883E-5</v>
      </c>
      <c r="O16" s="1">
        <v>7.358552708171962E-3</v>
      </c>
      <c r="P16" s="1">
        <v>3.7336750754550963E-3</v>
      </c>
      <c r="Q16" s="2">
        <v>3.7336750754550958E-2</v>
      </c>
      <c r="S16" s="2">
        <v>0.15</v>
      </c>
      <c r="T16" s="1">
        <f t="shared" si="18"/>
        <v>0.70794578438413791</v>
      </c>
      <c r="U16" s="1">
        <f t="shared" si="19"/>
        <v>1.4266629200689818E-14</v>
      </c>
      <c r="V16" s="1">
        <f t="shared" si="20"/>
        <v>-0.7079464062094265</v>
      </c>
      <c r="W16" s="1">
        <f t="shared" si="21"/>
        <v>0.26931546873647549</v>
      </c>
      <c r="X16" s="1">
        <f t="shared" si="22"/>
        <v>0.99999632741587197</v>
      </c>
      <c r="Y16" s="1">
        <f t="shared" si="23"/>
        <v>-3.1812269811642682</v>
      </c>
      <c r="Z16" s="1">
        <f t="shared" si="24"/>
        <v>-159.06134905821341</v>
      </c>
      <c r="AB16">
        <v>1.46</v>
      </c>
      <c r="AC16">
        <v>3.4673685045253158E-2</v>
      </c>
      <c r="AD16">
        <v>2.9128718181578725E-13</v>
      </c>
      <c r="AE16">
        <v>-3.4669552930253686E-2</v>
      </c>
      <c r="AF16">
        <v>4.488985097675123E-2</v>
      </c>
      <c r="AG16">
        <v>0.99992502080322021</v>
      </c>
      <c r="AH16">
        <v>1.6290956120555578</v>
      </c>
      <c r="AI16">
        <v>81.454780602777888</v>
      </c>
      <c r="AJ16"/>
      <c r="AK16"/>
      <c r="AL16"/>
      <c r="AM16"/>
      <c r="AN16"/>
      <c r="AO16"/>
      <c r="AP16"/>
      <c r="AQ16"/>
      <c r="AR16"/>
    </row>
    <row r="17" spans="1:44" ht="15" customHeight="1" x14ac:dyDescent="0.3">
      <c r="A17" s="2">
        <v>0.16</v>
      </c>
      <c r="B17" s="1">
        <f t="shared" si="12"/>
        <v>0.69183097091893653</v>
      </c>
      <c r="C17" s="1">
        <f t="shared" si="13"/>
        <v>1.4598941684533865E-14</v>
      </c>
      <c r="D17" s="1">
        <f t="shared" si="14"/>
        <v>0.85019701758528154</v>
      </c>
      <c r="E17" s="1">
        <f t="shared" si="15"/>
        <v>-0.13836616959754691</v>
      </c>
      <c r="F17" s="1">
        <f t="shared" si="16"/>
        <v>7.7624651406957289E-7</v>
      </c>
      <c r="G17" s="1">
        <f t="shared" si="17"/>
        <v>-4.3685520066935499</v>
      </c>
      <c r="H17" s="1">
        <f t="shared" si="25"/>
        <v>-43.685520066935496</v>
      </c>
      <c r="J17" s="2">
        <v>4.1500000000000004</v>
      </c>
      <c r="K17" s="1">
        <v>7.0794578438413704E-5</v>
      </c>
      <c r="L17" s="1">
        <v>1.4266629200689834E-10</v>
      </c>
      <c r="M17" s="1">
        <v>1.9904409297337555E-2</v>
      </c>
      <c r="N17" s="1">
        <v>1.5931783777073859E-5</v>
      </c>
      <c r="O17" s="1">
        <v>7.5286649860089056E-3</v>
      </c>
      <c r="P17" s="1">
        <v>3.9861212453579774E-3</v>
      </c>
      <c r="Q17" s="2">
        <v>3.9861212453579771E-2</v>
      </c>
      <c r="S17" s="2">
        <v>0.16</v>
      </c>
      <c r="T17" s="1">
        <f t="shared" si="18"/>
        <v>0.69183097091893653</v>
      </c>
      <c r="U17" s="1">
        <f t="shared" si="19"/>
        <v>1.4598941684533865E-14</v>
      </c>
      <c r="V17" s="1">
        <f t="shared" si="20"/>
        <v>-0.69183158704115133</v>
      </c>
      <c r="W17" s="1">
        <f t="shared" si="21"/>
        <v>0.26394386234705042</v>
      </c>
      <c r="X17" s="1">
        <f t="shared" si="22"/>
        <v>0.99999624187071967</v>
      </c>
      <c r="Y17" s="1">
        <f t="shared" si="23"/>
        <v>-3.2199297804551099</v>
      </c>
      <c r="Z17" s="1">
        <f t="shared" si="24"/>
        <v>-160.9964890227555</v>
      </c>
      <c r="AB17">
        <v>1.47</v>
      </c>
      <c r="AC17">
        <v>3.3884415613920249E-2</v>
      </c>
      <c r="AD17">
        <v>2.9807213189330497E-13</v>
      </c>
      <c r="AE17">
        <v>-3.388016706829395E-2</v>
      </c>
      <c r="AF17">
        <v>4.4626722356097985E-2</v>
      </c>
      <c r="AG17">
        <v>0.99992327444736884</v>
      </c>
      <c r="AH17">
        <v>1.6118504901619273</v>
      </c>
      <c r="AI17">
        <v>80.592524508096375</v>
      </c>
      <c r="AJ17"/>
      <c r="AK17"/>
      <c r="AL17"/>
      <c r="AM17"/>
      <c r="AN17"/>
      <c r="AO17"/>
      <c r="AP17"/>
      <c r="AQ17"/>
      <c r="AR17"/>
    </row>
    <row r="18" spans="1:44" ht="15" customHeight="1" x14ac:dyDescent="0.3">
      <c r="A18" s="2">
        <v>0.17</v>
      </c>
      <c r="B18" s="1">
        <f t="shared" si="12"/>
        <v>0.67608297539198181</v>
      </c>
      <c r="C18" s="1">
        <f t="shared" si="13"/>
        <v>1.4938994720498893E-14</v>
      </c>
      <c r="D18" s="1">
        <f t="shared" si="14"/>
        <v>0.83129942251899236</v>
      </c>
      <c r="E18" s="1">
        <f t="shared" si="15"/>
        <v>-0.13521657041983207</v>
      </c>
      <c r="F18" s="1">
        <f t="shared" si="16"/>
        <v>7.9432760376743772E-7</v>
      </c>
      <c r="G18" s="1">
        <f t="shared" si="17"/>
        <v>-4.3557388896719047</v>
      </c>
      <c r="H18" s="1">
        <f t="shared" si="25"/>
        <v>-43.557388896719047</v>
      </c>
      <c r="J18" s="2">
        <v>4.16</v>
      </c>
      <c r="K18" s="1">
        <v>6.9183097091893571E-5</v>
      </c>
      <c r="L18" s="1">
        <v>1.4598941684533883E-10</v>
      </c>
      <c r="M18" s="1">
        <v>1.9898311891341544E-2</v>
      </c>
      <c r="N18" s="1">
        <v>1.6948018109742914E-5</v>
      </c>
      <c r="O18" s="1">
        <v>7.702679340006964E-3</v>
      </c>
      <c r="P18" s="1">
        <v>4.2405980140326266E-3</v>
      </c>
      <c r="Q18" s="2">
        <v>4.240598014032626E-2</v>
      </c>
      <c r="S18" s="2">
        <v>0.17</v>
      </c>
      <c r="T18" s="1">
        <f t="shared" si="18"/>
        <v>0.67608297539198181</v>
      </c>
      <c r="U18" s="1">
        <f t="shared" si="19"/>
        <v>1.4938994720498893E-14</v>
      </c>
      <c r="V18" s="1">
        <f t="shared" si="20"/>
        <v>-0.67608358567828131</v>
      </c>
      <c r="W18" s="1">
        <f t="shared" si="21"/>
        <v>0.25869452855942709</v>
      </c>
      <c r="X18" s="1">
        <f t="shared" si="22"/>
        <v>0.99999615433298006</v>
      </c>
      <c r="Y18" s="1">
        <f t="shared" si="23"/>
        <v>-3.2602828957969083</v>
      </c>
      <c r="Z18" s="1">
        <f t="shared" si="24"/>
        <v>-163.01414478984543</v>
      </c>
      <c r="AB18">
        <v>1.48</v>
      </c>
      <c r="AC18">
        <v>3.3113112148259106E-2</v>
      </c>
      <c r="AD18">
        <v>3.0501512376060365E-13</v>
      </c>
      <c r="AE18">
        <v>-3.3108744460268957E-2</v>
      </c>
      <c r="AF18">
        <v>4.4369581486756321E-2</v>
      </c>
      <c r="AG18">
        <v>0.99992148741997877</v>
      </c>
      <c r="AH18">
        <v>1.5951554085897612</v>
      </c>
      <c r="AI18">
        <v>79.757770429488062</v>
      </c>
      <c r="AJ18"/>
      <c r="AK18"/>
      <c r="AL18"/>
      <c r="AM18"/>
      <c r="AN18"/>
      <c r="AO18"/>
      <c r="AP18"/>
      <c r="AQ18"/>
      <c r="AR18"/>
    </row>
    <row r="19" spans="1:44" ht="15" customHeight="1" x14ac:dyDescent="0.3">
      <c r="A19" s="2">
        <v>0.18</v>
      </c>
      <c r="B19" s="1">
        <f t="shared" si="12"/>
        <v>0.660693448007596</v>
      </c>
      <c r="C19" s="1">
        <f t="shared" si="13"/>
        <v>1.5286968609205701E-14</v>
      </c>
      <c r="D19" s="1">
        <f t="shared" si="14"/>
        <v>0.81283198921367761</v>
      </c>
      <c r="E19" s="1">
        <f t="shared" si="15"/>
        <v>-0.13213866486894627</v>
      </c>
      <c r="F19" s="1">
        <f t="shared" si="16"/>
        <v>8.1282985547118787E-7</v>
      </c>
      <c r="G19" s="1">
        <f t="shared" si="17"/>
        <v>-4.342704893025445</v>
      </c>
      <c r="H19" s="1">
        <f t="shared" si="25"/>
        <v>-43.42704893025445</v>
      </c>
      <c r="J19" s="2">
        <v>4.17</v>
      </c>
      <c r="K19" s="1">
        <v>6.7608297539198107E-5</v>
      </c>
      <c r="L19" s="1">
        <v>1.493899472049891E-10</v>
      </c>
      <c r="M19" s="1">
        <v>1.9892163330710803E-2</v>
      </c>
      <c r="N19" s="1">
        <v>1.797277821486628E-5</v>
      </c>
      <c r="O19" s="1">
        <v>7.8806838503302883E-3</v>
      </c>
      <c r="P19" s="1">
        <v>4.4972359449274753E-3</v>
      </c>
      <c r="Q19" s="2">
        <v>4.4972359449274753E-2</v>
      </c>
      <c r="S19" s="2">
        <v>0.18</v>
      </c>
      <c r="T19" s="1">
        <f t="shared" si="18"/>
        <v>0.660693448007596</v>
      </c>
      <c r="U19" s="1">
        <f t="shared" si="19"/>
        <v>1.5286968609205701E-14</v>
      </c>
      <c r="V19" s="1">
        <f t="shared" si="20"/>
        <v>-0.66069405232204559</v>
      </c>
      <c r="W19" s="1">
        <f t="shared" si="21"/>
        <v>0.25356468410734856</v>
      </c>
      <c r="X19" s="1">
        <f t="shared" si="22"/>
        <v>0.99999606475624037</v>
      </c>
      <c r="Y19" s="1">
        <f t="shared" si="23"/>
        <v>-3.3023827787135693</v>
      </c>
      <c r="Z19" s="1">
        <f t="shared" si="24"/>
        <v>-165.11913893567845</v>
      </c>
      <c r="AB19">
        <v>1.49</v>
      </c>
      <c r="AC19">
        <v>3.2359365692962813E-2</v>
      </c>
      <c r="AD19">
        <v>3.1211983868387276E-13</v>
      </c>
      <c r="AE19">
        <v>-3.2354876087720558E-2</v>
      </c>
      <c r="AF19">
        <v>4.4118292029240183E-2</v>
      </c>
      <c r="AG19">
        <v>0.99991965877398592</v>
      </c>
      <c r="AH19">
        <v>1.578988675590415</v>
      </c>
      <c r="AI19">
        <v>78.949433779520746</v>
      </c>
      <c r="AJ19"/>
      <c r="AK19"/>
      <c r="AL19"/>
      <c r="AM19"/>
      <c r="AN19"/>
      <c r="AO19"/>
      <c r="AP19"/>
      <c r="AQ19"/>
      <c r="AR19"/>
    </row>
    <row r="20" spans="1:44" ht="15" customHeight="1" x14ac:dyDescent="0.3">
      <c r="A20" s="2">
        <v>0.19</v>
      </c>
      <c r="B20" s="1">
        <f t="shared" si="12"/>
        <v>0.64565422903465541</v>
      </c>
      <c r="C20" s="1">
        <f t="shared" si="13"/>
        <v>1.5643047851016064E-14</v>
      </c>
      <c r="D20" s="1">
        <f t="shared" si="14"/>
        <v>0.79478492599175321</v>
      </c>
      <c r="E20" s="1">
        <f t="shared" si="15"/>
        <v>-0.12913082099862555</v>
      </c>
      <c r="F20" s="1">
        <f t="shared" si="16"/>
        <v>8.3176307927227517E-7</v>
      </c>
      <c r="G20" s="1">
        <f t="shared" si="17"/>
        <v>-4.3294478007271104</v>
      </c>
      <c r="H20" s="1">
        <f t="shared" si="25"/>
        <v>-43.294478007271103</v>
      </c>
      <c r="J20" s="2">
        <v>4.18</v>
      </c>
      <c r="K20" s="1">
        <v>6.6069344800759539E-5</v>
      </c>
      <c r="L20" s="1">
        <v>1.5286968609205716E-10</v>
      </c>
      <c r="M20" s="1">
        <v>1.9885960480718314E-2</v>
      </c>
      <c r="N20" s="1">
        <v>1.9006586546947853E-5</v>
      </c>
      <c r="O20" s="1">
        <v>8.0627685186735448E-3</v>
      </c>
      <c r="P20" s="1">
        <v>4.7561665613059211E-3</v>
      </c>
      <c r="Q20" s="2">
        <v>4.7561665613059211E-2</v>
      </c>
      <c r="S20" s="2">
        <v>0.19</v>
      </c>
      <c r="T20" s="1">
        <f t="shared" si="18"/>
        <v>0.64565422903465541</v>
      </c>
      <c r="U20" s="1">
        <f t="shared" si="19"/>
        <v>1.5643047851016064E-14</v>
      </c>
      <c r="V20" s="1">
        <f t="shared" si="20"/>
        <v>-0.64565482723815337</v>
      </c>
      <c r="W20" s="1">
        <f t="shared" si="21"/>
        <v>0.24855160907938445</v>
      </c>
      <c r="X20" s="1">
        <f t="shared" si="22"/>
        <v>0.99999597309300692</v>
      </c>
      <c r="Y20" s="1">
        <f t="shared" si="23"/>
        <v>-3.346333447610939</v>
      </c>
      <c r="Z20" s="1">
        <f t="shared" si="24"/>
        <v>-167.31667238054692</v>
      </c>
      <c r="AB20">
        <v>1.5</v>
      </c>
      <c r="AC20">
        <v>3.1622776601683784E-2</v>
      </c>
      <c r="AD20">
        <v>3.193900436770064E-13</v>
      </c>
      <c r="AE20">
        <v>-3.1618162239679594E-2</v>
      </c>
      <c r="AF20">
        <v>4.3872720746559866E-2</v>
      </c>
      <c r="AG20">
        <v>0.99991778754027993</v>
      </c>
      <c r="AH20">
        <v>1.5633296796181626</v>
      </c>
      <c r="AI20">
        <v>78.16648398090814</v>
      </c>
      <c r="AJ20"/>
      <c r="AK20"/>
      <c r="AL20"/>
      <c r="AM20"/>
      <c r="AN20"/>
      <c r="AO20"/>
      <c r="AP20"/>
      <c r="AQ20"/>
      <c r="AR20"/>
    </row>
    <row r="21" spans="1:44" ht="15" customHeight="1" x14ac:dyDescent="0.3">
      <c r="A21" s="2">
        <v>0.2</v>
      </c>
      <c r="B21" s="1">
        <f t="shared" si="12"/>
        <v>0.63095734448019325</v>
      </c>
      <c r="C21" s="1">
        <f t="shared" si="13"/>
        <v>1.6007421243857246E-14</v>
      </c>
      <c r="D21" s="1">
        <f t="shared" si="14"/>
        <v>0.77714866406142036</v>
      </c>
      <c r="E21" s="1">
        <f t="shared" si="15"/>
        <v>-0.12619144401023671</v>
      </c>
      <c r="F21" s="1">
        <f t="shared" si="16"/>
        <v>8.5113731376703252E-7</v>
      </c>
      <c r="G21" s="1">
        <f t="shared" si="17"/>
        <v>-4.3159654405424872</v>
      </c>
      <c r="H21" s="1">
        <f t="shared" si="25"/>
        <v>-43.159654405424867</v>
      </c>
      <c r="J21" s="2">
        <v>4.1900000000000004</v>
      </c>
      <c r="K21" s="1">
        <v>6.4565422903465383E-5</v>
      </c>
      <c r="L21" s="1">
        <v>1.5643047851016101E-10</v>
      </c>
      <c r="M21" s="1">
        <v>1.9879700183644211E-2</v>
      </c>
      <c r="N21" s="1">
        <v>2.0049969392631787E-5</v>
      </c>
      <c r="O21" s="1">
        <v>8.249025307053565E-3</v>
      </c>
      <c r="P21" s="1">
        <v>5.0175224066919986E-3</v>
      </c>
      <c r="Q21" s="2">
        <v>5.0175224066919981E-2</v>
      </c>
      <c r="S21" s="2">
        <v>0.2</v>
      </c>
      <c r="T21" s="1">
        <f t="shared" si="18"/>
        <v>0.63095734448019325</v>
      </c>
      <c r="U21" s="1">
        <f t="shared" si="19"/>
        <v>1.6007421243857246E-14</v>
      </c>
      <c r="V21" s="1">
        <f t="shared" si="20"/>
        <v>-0.63095793643039799</v>
      </c>
      <c r="W21" s="1">
        <f t="shared" si="21"/>
        <v>0.24365264547679935</v>
      </c>
      <c r="X21" s="1">
        <f t="shared" si="22"/>
        <v>0.99999587929467992</v>
      </c>
      <c r="Y21" s="1">
        <f t="shared" si="23"/>
        <v>-3.3922472456819541</v>
      </c>
      <c r="Z21" s="1">
        <f t="shared" si="24"/>
        <v>-169.61236228409769</v>
      </c>
      <c r="AB21">
        <v>1.51</v>
      </c>
      <c r="AC21">
        <v>3.0902954325135901E-2</v>
      </c>
      <c r="AD21">
        <v>3.2682959349892458E-13</v>
      </c>
      <c r="AE21">
        <v>-3.089821230073371E-2</v>
      </c>
      <c r="AF21">
        <v>4.3632737433577908E-2</v>
      </c>
      <c r="AG21">
        <v>0.99991587272719185</v>
      </c>
      <c r="AH21">
        <v>1.5481588229395358</v>
      </c>
      <c r="AI21">
        <v>77.407941146976796</v>
      </c>
      <c r="AJ21"/>
      <c r="AK21"/>
      <c r="AL21"/>
      <c r="AM21"/>
      <c r="AN21"/>
      <c r="AO21"/>
      <c r="AP21"/>
      <c r="AQ21"/>
      <c r="AR21"/>
    </row>
    <row r="22" spans="1:44" ht="15" customHeight="1" x14ac:dyDescent="0.3">
      <c r="A22" s="2">
        <v>0.21</v>
      </c>
      <c r="B22" s="1">
        <f t="shared" si="12"/>
        <v>0.61659500186148219</v>
      </c>
      <c r="C22" s="1">
        <f t="shared" si="13"/>
        <v>1.6380281983325192E-14</v>
      </c>
      <c r="D22" s="1">
        <f t="shared" si="14"/>
        <v>0.75991385244315801</v>
      </c>
      <c r="E22" s="1">
        <f t="shared" si="15"/>
        <v>-0.12331897540719299</v>
      </c>
      <c r="F22" s="1">
        <f t="shared" si="16"/>
        <v>8.7096283137916579E-7</v>
      </c>
      <c r="G22" s="1">
        <f t="shared" si="17"/>
        <v>-4.302255687246693</v>
      </c>
      <c r="H22" s="1">
        <f t="shared" si="25"/>
        <v>-43.022556872466929</v>
      </c>
      <c r="J22" s="2">
        <v>4.2</v>
      </c>
      <c r="K22" s="1">
        <v>6.3095734448019279E-5</v>
      </c>
      <c r="L22" s="1">
        <v>1.6007421243857255E-10</v>
      </c>
      <c r="M22" s="1">
        <v>1.9873379257366468E-2</v>
      </c>
      <c r="N22" s="1">
        <v>2.1103457105588486E-5</v>
      </c>
      <c r="O22" s="1">
        <v>8.4395481772349054E-3</v>
      </c>
      <c r="P22" s="1">
        <v>5.2814371054676771E-3</v>
      </c>
      <c r="Q22" s="2">
        <v>5.2814371054676769E-2</v>
      </c>
      <c r="S22" s="2">
        <v>0.21</v>
      </c>
      <c r="T22" s="1">
        <f t="shared" si="18"/>
        <v>0.61659500186148219</v>
      </c>
      <c r="U22" s="1">
        <f t="shared" si="19"/>
        <v>1.6380281983325192E-14</v>
      </c>
      <c r="V22" s="1">
        <f t="shared" si="20"/>
        <v>-0.61659558741273601</v>
      </c>
      <c r="W22" s="1">
        <f t="shared" si="21"/>
        <v>0.23886519580424537</v>
      </c>
      <c r="X22" s="1">
        <f t="shared" si="22"/>
        <v>0.9999957833115275</v>
      </c>
      <c r="Y22" s="1">
        <f t="shared" si="23"/>
        <v>-3.4402456918142024</v>
      </c>
      <c r="Z22" s="1">
        <f t="shared" si="24"/>
        <v>-172.01228459071012</v>
      </c>
      <c r="AB22">
        <v>1.52</v>
      </c>
      <c r="AC22">
        <v>3.0199517204020147E-2</v>
      </c>
      <c r="AD22">
        <v>3.3444243269741716E-13</v>
      </c>
      <c r="AE22">
        <v>-3.019464454391815E-2</v>
      </c>
      <c r="AF22">
        <v>4.3398214847972717E-2</v>
      </c>
      <c r="AG22">
        <v>0.99991391331996904</v>
      </c>
      <c r="AH22">
        <v>1.5334574600927877</v>
      </c>
      <c r="AI22">
        <v>76.672873004639385</v>
      </c>
      <c r="AJ22"/>
      <c r="AK22"/>
      <c r="AL22"/>
      <c r="AM22"/>
      <c r="AN22"/>
      <c r="AO22"/>
      <c r="AP22"/>
      <c r="AQ22"/>
      <c r="AR22"/>
    </row>
    <row r="23" spans="1:44" ht="15" customHeight="1" x14ac:dyDescent="0.3">
      <c r="A23" s="2">
        <v>0.22</v>
      </c>
      <c r="B23" s="1">
        <f t="shared" si="12"/>
        <v>0.60255958607435778</v>
      </c>
      <c r="C23" s="1">
        <f t="shared" si="13"/>
        <v>1.6761827765119362E-14</v>
      </c>
      <c r="D23" s="1">
        <f t="shared" si="14"/>
        <v>0.7430713530117159</v>
      </c>
      <c r="E23" s="1">
        <f t="shared" si="15"/>
        <v>-0.12051189216861929</v>
      </c>
      <c r="F23" s="1">
        <f t="shared" si="16"/>
        <v>8.9125014380621827E-7</v>
      </c>
      <c r="G23" s="1">
        <f t="shared" si="17"/>
        <v>-4.2883164659116799</v>
      </c>
      <c r="H23" s="1">
        <f t="shared" si="25"/>
        <v>-42.883164659116794</v>
      </c>
      <c r="J23" s="2">
        <v>4.21</v>
      </c>
      <c r="K23" s="1">
        <v>6.1659500186148184E-5</v>
      </c>
      <c r="L23" s="1">
        <v>1.6380281983325201E-10</v>
      </c>
      <c r="M23" s="1">
        <v>1.9866994493950577E-2</v>
      </c>
      <c r="N23" s="1">
        <v>2.2167584341570627E-5</v>
      </c>
      <c r="O23" s="1">
        <v>8.6344331307924987E-3</v>
      </c>
      <c r="P23" s="1">
        <v>5.548045423635622E-3</v>
      </c>
      <c r="Q23" s="2">
        <v>5.5480454236356218E-2</v>
      </c>
      <c r="S23" s="2">
        <v>0.22</v>
      </c>
      <c r="T23" s="1">
        <f t="shared" si="18"/>
        <v>0.60255958607435778</v>
      </c>
      <c r="U23" s="1">
        <f t="shared" si="19"/>
        <v>1.6761827765119362E-14</v>
      </c>
      <c r="V23" s="1">
        <f t="shared" si="20"/>
        <v>-0.60256016507761123</v>
      </c>
      <c r="W23" s="1">
        <f t="shared" si="21"/>
        <v>0.23418672169253707</v>
      </c>
      <c r="X23" s="1">
        <f t="shared" si="22"/>
        <v>0.99999568509265924</v>
      </c>
      <c r="Y23" s="1">
        <f t="shared" si="23"/>
        <v>-3.4904604380920881</v>
      </c>
      <c r="Z23" s="1">
        <f t="shared" si="24"/>
        <v>-174.52302190460443</v>
      </c>
      <c r="AB23">
        <v>1.53</v>
      </c>
      <c r="AC23">
        <v>2.9512092266663844E-2</v>
      </c>
      <c r="AD23">
        <v>3.4223259770059469E-13</v>
      </c>
      <c r="AE23">
        <v>-2.9507085928319049E-2</v>
      </c>
      <c r="AF23">
        <v>4.316902864277302E-2</v>
      </c>
      <c r="AG23">
        <v>0.99991190828023857</v>
      </c>
      <c r="AH23">
        <v>1.5192078407888541</v>
      </c>
      <c r="AI23">
        <v>75.960392039442709</v>
      </c>
      <c r="AJ23"/>
      <c r="AK23"/>
      <c r="AL23"/>
      <c r="AM23"/>
      <c r="AN23"/>
      <c r="AO23"/>
      <c r="AP23"/>
      <c r="AQ23"/>
      <c r="AR23"/>
    </row>
    <row r="24" spans="1:44" ht="15" customHeight="1" x14ac:dyDescent="0.3">
      <c r="A24" s="2">
        <v>0.23</v>
      </c>
      <c r="B24" s="1">
        <f t="shared" si="12"/>
        <v>0.58884365535558891</v>
      </c>
      <c r="C24" s="1">
        <f t="shared" si="13"/>
        <v>1.7152260889863618E-14</v>
      </c>
      <c r="D24" s="1">
        <f t="shared" si="14"/>
        <v>0.72661223565095956</v>
      </c>
      <c r="E24" s="1">
        <f t="shared" si="15"/>
        <v>-0.11776870594182659</v>
      </c>
      <c r="F24" s="1">
        <f t="shared" si="16"/>
        <v>9.120100075928968E-7</v>
      </c>
      <c r="G24" s="1">
        <f t="shared" si="17"/>
        <v>-4.2741457552615367</v>
      </c>
      <c r="H24" s="1">
        <f t="shared" si="25"/>
        <v>-42.741457552615366</v>
      </c>
      <c r="J24" s="2">
        <v>4.22</v>
      </c>
      <c r="K24" s="1">
        <v>6.0255958607435738E-5</v>
      </c>
      <c r="L24" s="1">
        <v>1.6761827765119372E-10</v>
      </c>
      <c r="M24" s="1">
        <v>1.9860542658237959E-2</v>
      </c>
      <c r="N24" s="1">
        <v>2.3242890293673933E-5</v>
      </c>
      <c r="O24" s="1">
        <v>8.8337782498133406E-3</v>
      </c>
      <c r="P24" s="1">
        <v>5.8174833297594273E-3</v>
      </c>
      <c r="Q24" s="2">
        <v>5.8174833297594271E-2</v>
      </c>
      <c r="S24" s="2">
        <v>0.23</v>
      </c>
      <c r="T24" s="1">
        <f t="shared" si="18"/>
        <v>0.58884365535558891</v>
      </c>
      <c r="U24" s="1">
        <f t="shared" si="19"/>
        <v>1.7152260889863618E-14</v>
      </c>
      <c r="V24" s="1">
        <f t="shared" si="20"/>
        <v>-0.58884422765832067</v>
      </c>
      <c r="W24" s="1">
        <f t="shared" si="21"/>
        <v>0.22961474255277356</v>
      </c>
      <c r="X24" s="1">
        <f t="shared" si="22"/>
        <v>0.99999558458599958</v>
      </c>
      <c r="Y24" s="1">
        <f t="shared" si="23"/>
        <v>-3.5430343498045258</v>
      </c>
      <c r="Z24" s="1">
        <f t="shared" si="24"/>
        <v>-177.1517174902263</v>
      </c>
      <c r="AB24">
        <v>1.54</v>
      </c>
      <c r="AC24">
        <v>2.8840315031266047E-2</v>
      </c>
      <c r="AD24">
        <v>3.502042189570571E-13</v>
      </c>
      <c r="AE24">
        <v>-2.883517190128217E-2</v>
      </c>
      <c r="AF24">
        <v>4.2945057300427393E-2</v>
      </c>
      <c r="AG24">
        <v>0.99990985654545739</v>
      </c>
      <c r="AH24">
        <v>1.505393056884065</v>
      </c>
      <c r="AI24">
        <v>75.26965284420325</v>
      </c>
      <c r="AJ24"/>
      <c r="AK24"/>
      <c r="AL24"/>
      <c r="AM24"/>
      <c r="AN24"/>
      <c r="AO24"/>
      <c r="AP24"/>
      <c r="AQ24"/>
      <c r="AR24"/>
    </row>
    <row r="25" spans="1:44" ht="15" customHeight="1" x14ac:dyDescent="0.3">
      <c r="A25" s="2">
        <v>0.24</v>
      </c>
      <c r="B25" s="1">
        <f t="shared" si="12"/>
        <v>0.57543993733715693</v>
      </c>
      <c r="C25" s="1">
        <f t="shared" si="13"/>
        <v>1.7551788370368691E-14</v>
      </c>
      <c r="D25" s="1">
        <f t="shared" si="14"/>
        <v>0.71052777351900287</v>
      </c>
      <c r="E25" s="1">
        <f t="shared" si="15"/>
        <v>-0.11508796225316714</v>
      </c>
      <c r="F25" s="1">
        <f t="shared" si="16"/>
        <v>9.3325342983421339E-7</v>
      </c>
      <c r="G25" s="1">
        <f t="shared" si="17"/>
        <v>-4.2597415910931362</v>
      </c>
      <c r="H25" s="1">
        <f t="shared" si="25"/>
        <v>-42.59741591093136</v>
      </c>
      <c r="J25" s="2">
        <v>4.2300000000000004</v>
      </c>
      <c r="K25" s="1">
        <v>5.8884365535558766E-5</v>
      </c>
      <c r="L25" s="1">
        <v>1.7152260889863656E-10</v>
      </c>
      <c r="M25" s="1">
        <v>1.9854020486432963E-2</v>
      </c>
      <c r="N25" s="1">
        <v>2.4329918927839313E-5</v>
      </c>
      <c r="O25" s="1">
        <v>9.0376837382396616E-3</v>
      </c>
      <c r="P25" s="1">
        <v>6.0898880560940477E-3</v>
      </c>
      <c r="Q25" s="2">
        <v>6.0898880560940477E-2</v>
      </c>
      <c r="S25" s="2">
        <v>0.24</v>
      </c>
      <c r="T25" s="1">
        <f t="shared" si="18"/>
        <v>0.57543993733715693</v>
      </c>
      <c r="U25" s="1">
        <f t="shared" si="19"/>
        <v>1.7551788370368691E-14</v>
      </c>
      <c r="V25" s="1">
        <f t="shared" si="20"/>
        <v>-0.57544050278329251</v>
      </c>
      <c r="W25" s="1">
        <f t="shared" si="21"/>
        <v>0.22514683426109749</v>
      </c>
      <c r="X25" s="1">
        <f t="shared" si="22"/>
        <v>0.99999548173826014</v>
      </c>
      <c r="Y25" s="1">
        <f t="shared" si="23"/>
        <v>-3.5981227266423228</v>
      </c>
      <c r="Z25" s="1">
        <f t="shared" si="24"/>
        <v>-179.90613633211615</v>
      </c>
      <c r="AB25">
        <v>1.55</v>
      </c>
      <c r="AC25">
        <v>2.8183829312644532E-2</v>
      </c>
      <c r="AD25">
        <v>3.5836152312591127E-13</v>
      </c>
      <c r="AE25">
        <v>-2.8178546205122421E-2</v>
      </c>
      <c r="AF25">
        <v>4.2726182068374141E-2</v>
      </c>
      <c r="AG25">
        <v>0.99990775702835011</v>
      </c>
      <c r="AH25">
        <v>1.4919969930896222</v>
      </c>
      <c r="AI25">
        <v>74.599849654481119</v>
      </c>
      <c r="AJ25"/>
      <c r="AK25"/>
      <c r="AL25"/>
      <c r="AM25"/>
      <c r="AN25"/>
      <c r="AO25"/>
      <c r="AP25"/>
      <c r="AQ25"/>
      <c r="AR25"/>
    </row>
    <row r="26" spans="1:44" ht="15" customHeight="1" x14ac:dyDescent="0.3">
      <c r="A26" s="2">
        <v>0.25</v>
      </c>
      <c r="B26" s="1">
        <f t="shared" si="12"/>
        <v>0.56234132519034907</v>
      </c>
      <c r="C26" s="1">
        <f t="shared" si="13"/>
        <v>1.796062204139312E-14</v>
      </c>
      <c r="D26" s="1">
        <f t="shared" si="14"/>
        <v>0.69480943842111842</v>
      </c>
      <c r="E26" s="1">
        <f t="shared" si="15"/>
        <v>-0.11246823973685306</v>
      </c>
      <c r="F26" s="1">
        <f t="shared" si="16"/>
        <v>9.5499167401146696E-7</v>
      </c>
      <c r="G26" s="1">
        <f t="shared" si="17"/>
        <v>-4.2451020697591435</v>
      </c>
      <c r="H26" s="1">
        <f t="shared" si="25"/>
        <v>-42.451020697591431</v>
      </c>
      <c r="J26" s="2">
        <v>4.24</v>
      </c>
      <c r="K26" s="1">
        <v>5.7543993733715576E-5</v>
      </c>
      <c r="L26" s="1">
        <v>1.7551788370368726E-10</v>
      </c>
      <c r="M26" s="1">
        <v>1.9847424684688249E-2</v>
      </c>
      <c r="N26" s="1">
        <v>2.5429219218624624E-5</v>
      </c>
      <c r="O26" s="1">
        <v>9.2462519638547239E-3</v>
      </c>
      <c r="P26" s="1">
        <v>6.3653981599172743E-3</v>
      </c>
      <c r="Q26" s="2">
        <v>6.3653981599172738E-2</v>
      </c>
      <c r="S26" s="2">
        <v>0.25</v>
      </c>
      <c r="T26" s="1">
        <f t="shared" si="18"/>
        <v>0.56234132519034907</v>
      </c>
      <c r="U26" s="1">
        <f t="shared" si="19"/>
        <v>1.796062204139312E-14</v>
      </c>
      <c r="V26" s="1">
        <f t="shared" si="20"/>
        <v>-0.56234188362017867</v>
      </c>
      <c r="W26" s="1">
        <f t="shared" si="21"/>
        <v>0.22078062787339289</v>
      </c>
      <c r="X26" s="1">
        <f t="shared" si="22"/>
        <v>0.99999537649491088</v>
      </c>
      <c r="Y26" s="1">
        <f t="shared" si="23"/>
        <v>-3.6558946870987294</v>
      </c>
      <c r="Z26" s="1">
        <f t="shared" si="24"/>
        <v>-182.79473435493648</v>
      </c>
      <c r="AB26">
        <v>1.56</v>
      </c>
      <c r="AC26">
        <v>2.7542287033381647E-2</v>
      </c>
      <c r="AD26">
        <v>3.6670883531780257E-13</v>
      </c>
      <c r="AE26">
        <v>-2.7536860688231274E-2</v>
      </c>
      <c r="AF26">
        <v>4.2512286896077091E-2</v>
      </c>
      <c r="AG26">
        <v>0.99990560861633426</v>
      </c>
      <c r="AH26">
        <v>1.4790042811139792</v>
      </c>
      <c r="AI26">
        <v>73.95021405569895</v>
      </c>
      <c r="AJ26"/>
      <c r="AK26"/>
      <c r="AL26"/>
      <c r="AM26"/>
      <c r="AN26"/>
      <c r="AO26"/>
      <c r="AP26"/>
      <c r="AQ26"/>
      <c r="AR26"/>
    </row>
    <row r="27" spans="1:44" ht="15" customHeight="1" x14ac:dyDescent="0.3">
      <c r="A27" s="2">
        <v>0.26</v>
      </c>
      <c r="B27" s="1">
        <f t="shared" si="12"/>
        <v>0.54954087385762451</v>
      </c>
      <c r="C27" s="1">
        <f t="shared" si="13"/>
        <v>1.8378978671960833E-14</v>
      </c>
      <c r="D27" s="1">
        <f t="shared" si="14"/>
        <v>0.67944889628798144</v>
      </c>
      <c r="E27" s="1">
        <f t="shared" si="15"/>
        <v>-0.10990814938133023</v>
      </c>
      <c r="F27" s="1">
        <f t="shared" si="16"/>
        <v>9.7723626596415737E-7</v>
      </c>
      <c r="G27" s="1">
        <f t="shared" si="17"/>
        <v>-4.2302253517101409</v>
      </c>
      <c r="H27" s="1">
        <f t="shared" si="25"/>
        <v>-42.302253517101406</v>
      </c>
      <c r="J27" s="2">
        <v>4.25</v>
      </c>
      <c r="K27" s="1">
        <v>5.6234132519034887E-5</v>
      </c>
      <c r="L27" s="1">
        <v>1.7960622041393126E-10</v>
      </c>
      <c r="M27" s="1">
        <v>1.9840751927688353E-2</v>
      </c>
      <c r="N27" s="1">
        <v>2.6541345385274053E-5</v>
      </c>
      <c r="O27" s="1">
        <v>9.459587500912435E-3</v>
      </c>
      <c r="P27" s="1">
        <v>6.6441535850732267E-3</v>
      </c>
      <c r="Q27" s="2">
        <v>6.6441535850732258E-2</v>
      </c>
      <c r="S27" s="2">
        <v>0.26</v>
      </c>
      <c r="T27" s="1">
        <f t="shared" si="18"/>
        <v>0.54954087385762451</v>
      </c>
      <c r="U27" s="1">
        <f t="shared" si="19"/>
        <v>1.8378978671960833E-14</v>
      </c>
      <c r="V27" s="1">
        <f t="shared" si="20"/>
        <v>-0.54954142510771853</v>
      </c>
      <c r="W27" s="1">
        <f t="shared" si="21"/>
        <v>0.2165138083692395</v>
      </c>
      <c r="X27" s="1">
        <f t="shared" si="22"/>
        <v>0.99999526880015199</v>
      </c>
      <c r="Y27" s="1">
        <f t="shared" si="23"/>
        <v>-3.7165347420984438</v>
      </c>
      <c r="Z27" s="1">
        <f t="shared" si="24"/>
        <v>-185.82673710492219</v>
      </c>
      <c r="AB27">
        <v>1.57</v>
      </c>
      <c r="AC27">
        <v>2.6915348039269142E-2</v>
      </c>
      <c r="AD27">
        <v>3.7525058138814444E-13</v>
      </c>
      <c r="AE27">
        <v>-2.6909775120482333E-2</v>
      </c>
      <c r="AF27">
        <v>4.2303258373494114E-2</v>
      </c>
      <c r="AG27">
        <v>0.9999034101709311</v>
      </c>
      <c r="AH27">
        <v>1.4664002569621712</v>
      </c>
      <c r="AI27">
        <v>73.320012848108547</v>
      </c>
      <c r="AJ27"/>
      <c r="AK27"/>
      <c r="AL27"/>
      <c r="AM27"/>
      <c r="AN27"/>
      <c r="AO27"/>
      <c r="AP27"/>
      <c r="AQ27"/>
      <c r="AR27"/>
    </row>
    <row r="28" spans="1:44" ht="15" customHeight="1" x14ac:dyDescent="0.3">
      <c r="A28" s="2">
        <v>0.27</v>
      </c>
      <c r="B28" s="1">
        <f t="shared" si="12"/>
        <v>0.53703179637025267</v>
      </c>
      <c r="C28" s="1">
        <f t="shared" si="13"/>
        <v>1.8807080080294961E-14</v>
      </c>
      <c r="D28" s="1">
        <f t="shared" si="14"/>
        <v>0.66443800275683362</v>
      </c>
      <c r="E28" s="1">
        <f t="shared" si="15"/>
        <v>-0.10740633379280559</v>
      </c>
      <c r="F28" s="1">
        <f t="shared" si="16"/>
        <v>9.9999900000099964E-7</v>
      </c>
      <c r="G28" s="1">
        <f t="shared" si="17"/>
        <v>-4.2151096650922799</v>
      </c>
      <c r="H28" s="1">
        <f t="shared" si="25"/>
        <v>-42.151096650922796</v>
      </c>
      <c r="J28" s="2">
        <v>4.26</v>
      </c>
      <c r="K28" s="1">
        <v>5.4954087385762447E-5</v>
      </c>
      <c r="L28" s="1">
        <v>1.8378978671960834E-10</v>
      </c>
      <c r="M28" s="1">
        <v>1.9833998857231364E-2</v>
      </c>
      <c r="N28" s="1">
        <v>2.7666857128106239E-5</v>
      </c>
      <c r="O28" s="1">
        <v>9.6777971734109229E-3</v>
      </c>
      <c r="P28" s="1">
        <v>6.9262957237373416E-3</v>
      </c>
      <c r="Q28" s="2">
        <v>6.9262957237373413E-2</v>
      </c>
      <c r="S28" s="2">
        <v>0.27</v>
      </c>
      <c r="T28" s="1">
        <f t="shared" si="18"/>
        <v>0.53703179637025267</v>
      </c>
      <c r="U28" s="1">
        <f t="shared" si="19"/>
        <v>1.8807080080294961E-14</v>
      </c>
      <c r="V28" s="1">
        <f t="shared" si="20"/>
        <v>-0.53703234027337454</v>
      </c>
      <c r="W28" s="1">
        <f t="shared" si="21"/>
        <v>0.21234411342445816</v>
      </c>
      <c r="X28" s="1">
        <f t="shared" si="22"/>
        <v>0.99999515859688404</v>
      </c>
      <c r="Y28" s="1">
        <f t="shared" si="23"/>
        <v>-3.7802445887339071</v>
      </c>
      <c r="Z28" s="1">
        <f t="shared" si="24"/>
        <v>-189.01222943669538</v>
      </c>
      <c r="AB28">
        <v>1.58</v>
      </c>
      <c r="AC28">
        <v>2.6302679918953804E-2</v>
      </c>
      <c r="AD28">
        <v>3.83991290283767E-13</v>
      </c>
      <c r="AE28">
        <v>-2.6296957012836849E-2</v>
      </c>
      <c r="AF28">
        <v>4.2098985670945617E-2</v>
      </c>
      <c r="AG28">
        <v>0.99990116052716382</v>
      </c>
      <c r="AH28">
        <v>1.4541709211412068</v>
      </c>
      <c r="AI28">
        <v>72.708546057060346</v>
      </c>
      <c r="AJ28"/>
      <c r="AK28"/>
      <c r="AL28"/>
      <c r="AM28"/>
      <c r="AN28"/>
      <c r="AO28"/>
      <c r="AP28"/>
      <c r="AQ28"/>
      <c r="AR28"/>
    </row>
    <row r="29" spans="1:44" ht="15" customHeight="1" x14ac:dyDescent="0.3">
      <c r="A29" s="2">
        <v>0.28000000000000003</v>
      </c>
      <c r="B29" s="1">
        <f t="shared" si="12"/>
        <v>0.52480746024977254</v>
      </c>
      <c r="C29" s="1">
        <f t="shared" si="13"/>
        <v>1.9245153251428798E-14</v>
      </c>
      <c r="D29" s="1">
        <f t="shared" si="14"/>
        <v>0.64976879885322969</v>
      </c>
      <c r="E29" s="1">
        <f t="shared" si="15"/>
        <v>-0.10496146647553828</v>
      </c>
      <c r="F29" s="1">
        <f t="shared" si="16"/>
        <v>1.0232919451532771E-6</v>
      </c>
      <c r="G29" s="1">
        <f t="shared" si="17"/>
        <v>-4.199753309396578</v>
      </c>
      <c r="H29" s="1">
        <f t="shared" si="25"/>
        <v>-41.997533093965778</v>
      </c>
      <c r="J29" s="2">
        <v>4.2699999999999996</v>
      </c>
      <c r="K29" s="1">
        <v>5.370317963702527E-5</v>
      </c>
      <c r="L29" s="1">
        <v>1.880708008029496E-10</v>
      </c>
      <c r="M29" s="1">
        <v>1.982716208080856E-2</v>
      </c>
      <c r="N29" s="1">
        <v>2.8806319865239759E-5</v>
      </c>
      <c r="O29" s="1">
        <v>9.9009900990098959E-3</v>
      </c>
      <c r="P29" s="1">
        <v>7.2119674784119825E-3</v>
      </c>
      <c r="Q29" s="2">
        <v>7.2119674784119819E-2</v>
      </c>
      <c r="S29" s="2">
        <v>0.28000000000000003</v>
      </c>
      <c r="T29" s="1">
        <f t="shared" si="18"/>
        <v>0.52480746024977254</v>
      </c>
      <c r="U29" s="1">
        <f t="shared" si="19"/>
        <v>1.9245153251428798E-14</v>
      </c>
      <c r="V29" s="1">
        <f t="shared" si="20"/>
        <v>-0.52480799663479072</v>
      </c>
      <c r="W29" s="1">
        <f t="shared" si="21"/>
        <v>0.20826933221159691</v>
      </c>
      <c r="X29" s="1">
        <f t="shared" si="22"/>
        <v>0.99999504582667731</v>
      </c>
      <c r="Y29" s="1">
        <f t="shared" si="23"/>
        <v>-3.8472451608838658</v>
      </c>
      <c r="Z29" s="1">
        <f t="shared" si="24"/>
        <v>-192.36225804419328</v>
      </c>
      <c r="AB29">
        <v>1.59</v>
      </c>
      <c r="AC29">
        <v>2.5703957827688629E-2</v>
      </c>
      <c r="AD29">
        <v>3.929355964442235E-13</v>
      </c>
      <c r="AE29">
        <v>-2.5698081441053556E-2</v>
      </c>
      <c r="AF29">
        <v>4.1899360480351186E-2</v>
      </c>
      <c r="AG29">
        <v>0.99989885849294069</v>
      </c>
      <c r="AH29">
        <v>1.4423029015431548</v>
      </c>
      <c r="AI29">
        <v>72.115145077157734</v>
      </c>
      <c r="AJ29"/>
      <c r="AK29"/>
      <c r="AL29"/>
      <c r="AM29"/>
      <c r="AN29"/>
      <c r="AO29"/>
      <c r="AP29"/>
      <c r="AQ29"/>
      <c r="AR29"/>
    </row>
    <row r="30" spans="1:44" ht="15" customHeight="1" x14ac:dyDescent="0.3">
      <c r="A30" s="2">
        <v>0.28999999999999998</v>
      </c>
      <c r="B30" s="1">
        <f t="shared" si="12"/>
        <v>0.51286138399136483</v>
      </c>
      <c r="C30" s="1">
        <f t="shared" si="13"/>
        <v>1.9693430457556257E-14</v>
      </c>
      <c r="D30" s="1">
        <f t="shared" si="14"/>
        <v>0.63543350677109101</v>
      </c>
      <c r="E30" s="1">
        <f t="shared" si="15"/>
        <v>-0.10257225112851516</v>
      </c>
      <c r="F30" s="1">
        <f t="shared" si="16"/>
        <v>1.0471274515738511E-6</v>
      </c>
      <c r="G30" s="1">
        <f t="shared" si="17"/>
        <v>-4.1841546591556726</v>
      </c>
      <c r="H30" s="1">
        <f t="shared" si="25"/>
        <v>-41.841546591556721</v>
      </c>
      <c r="J30" s="2">
        <v>4.28</v>
      </c>
      <c r="K30" s="1">
        <v>5.2480746024977172E-5</v>
      </c>
      <c r="L30" s="1">
        <v>1.9245153251428827E-10</v>
      </c>
      <c r="M30" s="1">
        <v>1.9820238170181973E-2</v>
      </c>
      <c r="N30" s="1">
        <v>2.9960304969671137E-5</v>
      </c>
      <c r="O30" s="1">
        <v>1.0129277733591062E-2</v>
      </c>
      <c r="P30" s="1">
        <v>7.5013133241610304E-3</v>
      </c>
      <c r="Q30" s="2">
        <v>7.5013133241610297E-2</v>
      </c>
      <c r="S30" s="2">
        <v>0.28999999999999998</v>
      </c>
      <c r="T30" s="1">
        <f t="shared" si="18"/>
        <v>0.51286138399136483</v>
      </c>
      <c r="U30" s="1">
        <f t="shared" si="19"/>
        <v>1.9693430457556257E-14</v>
      </c>
      <c r="V30" s="1">
        <f t="shared" si="20"/>
        <v>-0.51286191268316106</v>
      </c>
      <c r="W30" s="1">
        <f t="shared" si="21"/>
        <v>0.20428730422772035</v>
      </c>
      <c r="X30" s="1">
        <f t="shared" si="22"/>
        <v>0.99999493042974141</v>
      </c>
      <c r="Y30" s="1">
        <f t="shared" si="23"/>
        <v>-3.917778980682852</v>
      </c>
      <c r="Z30" s="1">
        <f t="shared" si="24"/>
        <v>-195.8889490341426</v>
      </c>
      <c r="AB30">
        <v>1.6</v>
      </c>
      <c r="AC30">
        <v>2.511886431509578E-2</v>
      </c>
      <c r="AD30">
        <v>4.0208824225903255E-13</v>
      </c>
      <c r="AE30">
        <v>-2.5112830873409847E-2</v>
      </c>
      <c r="AF30">
        <v>4.170427695780328E-2</v>
      </c>
      <c r="AG30">
        <v>0.99989650284842524</v>
      </c>
      <c r="AH30">
        <v>1.4307834187978454</v>
      </c>
      <c r="AI30">
        <v>71.539170939892273</v>
      </c>
      <c r="AJ30"/>
      <c r="AK30"/>
      <c r="AL30"/>
      <c r="AM30"/>
      <c r="AN30"/>
      <c r="AO30"/>
      <c r="AP30"/>
      <c r="AQ30"/>
      <c r="AR30"/>
    </row>
    <row r="31" spans="1:44" ht="15" customHeight="1" x14ac:dyDescent="0.3">
      <c r="A31" s="2">
        <v>0.3</v>
      </c>
      <c r="B31" s="1">
        <f t="shared" si="12"/>
        <v>0.50118723362727224</v>
      </c>
      <c r="C31" s="1">
        <f t="shared" si="13"/>
        <v>2.0152149381185686E-14</v>
      </c>
      <c r="D31" s="1">
        <f t="shared" si="14"/>
        <v>0.6214245257488068</v>
      </c>
      <c r="E31" s="1">
        <f t="shared" si="15"/>
        <v>-0.10023742095813447</v>
      </c>
      <c r="F31" s="1">
        <f t="shared" si="16"/>
        <v>1.0715181570852146E-6</v>
      </c>
      <c r="G31" s="1">
        <f t="shared" si="17"/>
        <v>-4.168312167683478</v>
      </c>
      <c r="H31" s="1">
        <f t="shared" si="25"/>
        <v>-41.68312167683478</v>
      </c>
      <c r="J31" s="2">
        <v>4.29</v>
      </c>
      <c r="K31" s="1">
        <v>5.12861383991364E-5</v>
      </c>
      <c r="L31" s="1">
        <v>1.9693430457556288E-10</v>
      </c>
      <c r="M31" s="1">
        <v>1.981322365995972E-2</v>
      </c>
      <c r="N31" s="1">
        <v>3.11293900067134E-5</v>
      </c>
      <c r="O31" s="1">
        <v>1.0362773916459785E-2</v>
      </c>
      <c r="P31" s="1">
        <v>7.7944793710904483E-3</v>
      </c>
      <c r="Q31" s="2">
        <v>7.7944793710904473E-2</v>
      </c>
      <c r="S31" s="2">
        <v>0.3</v>
      </c>
      <c r="T31" s="1">
        <f t="shared" si="18"/>
        <v>0.50118723362727224</v>
      </c>
      <c r="U31" s="1">
        <f t="shared" si="19"/>
        <v>2.0152149381185686E-14</v>
      </c>
      <c r="V31" s="1">
        <f t="shared" si="20"/>
        <v>-0.50118775444664954</v>
      </c>
      <c r="W31" s="1">
        <f t="shared" si="21"/>
        <v>0.20039591814888319</v>
      </c>
      <c r="X31" s="1">
        <f t="shared" si="22"/>
        <v>0.99999481234489307</v>
      </c>
      <c r="Y31" s="1">
        <f t="shared" si="23"/>
        <v>-3.9921128636266654</v>
      </c>
      <c r="Z31" s="1">
        <f t="shared" si="24"/>
        <v>-199.60564318133328</v>
      </c>
      <c r="AB31">
        <v>1.61</v>
      </c>
      <c r="AC31">
        <v>2.4547089156850287E-2</v>
      </c>
      <c r="AD31">
        <v>4.1145408058215411E-13</v>
      </c>
      <c r="AE31">
        <v>-2.4540895002342113E-2</v>
      </c>
      <c r="AF31">
        <v>4.151363166744737E-2</v>
      </c>
      <c r="AG31">
        <v>0.99989409234539028</v>
      </c>
      <c r="AH31">
        <v>1.4196002539053705</v>
      </c>
      <c r="AI31">
        <v>70.980012695268528</v>
      </c>
      <c r="AJ31"/>
      <c r="AK31"/>
      <c r="AL31"/>
      <c r="AM31"/>
      <c r="AN31"/>
      <c r="AO31"/>
      <c r="AP31"/>
      <c r="AQ31"/>
      <c r="AR31"/>
    </row>
    <row r="32" spans="1:44" ht="15" customHeight="1" x14ac:dyDescent="0.3">
      <c r="A32" s="2">
        <v>0.31</v>
      </c>
      <c r="B32" s="1">
        <f t="shared" si="12"/>
        <v>0.48977881936844614</v>
      </c>
      <c r="C32" s="1">
        <f t="shared" si="13"/>
        <v>2.0621553241162247E-14</v>
      </c>
      <c r="D32" s="1">
        <f t="shared" si="14"/>
        <v>0.60773442803920708</v>
      </c>
      <c r="E32" s="1">
        <f t="shared" si="15"/>
        <v>-9.7955738006534523E-2</v>
      </c>
      <c r="F32" s="1">
        <f t="shared" si="16"/>
        <v>1.0964769938800682E-6</v>
      </c>
      <c r="G32" s="1">
        <f t="shared" si="17"/>
        <v>-4.1522243708529025</v>
      </c>
      <c r="H32" s="1">
        <f t="shared" si="25"/>
        <v>-41.522243708529025</v>
      </c>
      <c r="J32" s="2">
        <v>4.3</v>
      </c>
      <c r="K32" s="1">
        <v>5.0118723362727238E-5</v>
      </c>
      <c r="L32" s="1">
        <v>2.0152149381185678E-10</v>
      </c>
      <c r="M32" s="1">
        <v>1.9806115046169186E-2</v>
      </c>
      <c r="N32" s="1">
        <v>3.2314158971802203E-5</v>
      </c>
      <c r="O32" s="1">
        <v>1.0601594916186036E-2</v>
      </c>
      <c r="P32" s="1">
        <v>8.0916134270816054E-3</v>
      </c>
      <c r="Q32" s="2">
        <v>8.0916134270816051E-2</v>
      </c>
      <c r="S32" s="2">
        <v>0.31</v>
      </c>
      <c r="T32" s="1">
        <f t="shared" si="18"/>
        <v>0.48977881936844614</v>
      </c>
      <c r="U32" s="1">
        <f t="shared" si="19"/>
        <v>2.0621553241162247E-14</v>
      </c>
      <c r="V32" s="1">
        <f t="shared" si="20"/>
        <v>-0.48977933213203373</v>
      </c>
      <c r="W32" s="1">
        <f t="shared" si="21"/>
        <v>0.19659311071067789</v>
      </c>
      <c r="X32" s="1">
        <f t="shared" si="22"/>
        <v>0.99999469150952403</v>
      </c>
      <c r="Y32" s="1">
        <f t="shared" si="23"/>
        <v>-4.0705410409553249</v>
      </c>
      <c r="Z32" s="1">
        <f t="shared" si="24"/>
        <v>-203.52705204776626</v>
      </c>
      <c r="AB32">
        <v>1.62</v>
      </c>
      <c r="AC32">
        <v>2.3988329190194894E-2</v>
      </c>
      <c r="AD32">
        <v>4.2103807730503893E-13</v>
      </c>
      <c r="AE32">
        <v>-2.3981970579916717E-2</v>
      </c>
      <c r="AF32">
        <v>4.1327323526638905E-2</v>
      </c>
      <c r="AG32">
        <v>0.99989162570655821</v>
      </c>
      <c r="AH32">
        <v>1.4087417179750636</v>
      </c>
      <c r="AI32">
        <v>70.437085898753182</v>
      </c>
      <c r="AJ32"/>
      <c r="AK32"/>
      <c r="AL32"/>
      <c r="AM32"/>
      <c r="AN32"/>
      <c r="AO32"/>
      <c r="AP32"/>
      <c r="AQ32"/>
      <c r="AR32"/>
    </row>
    <row r="33" spans="1:44" ht="15" customHeight="1" x14ac:dyDescent="0.3">
      <c r="A33" s="2">
        <v>0.32</v>
      </c>
      <c r="B33" s="1">
        <f t="shared" si="12"/>
        <v>0.47863009232263831</v>
      </c>
      <c r="C33" s="1">
        <f t="shared" si="13"/>
        <v>2.1101890921625798E-14</v>
      </c>
      <c r="D33" s="1">
        <f t="shared" si="14"/>
        <v>0.5943559549712758</v>
      </c>
      <c r="E33" s="1">
        <f t="shared" si="15"/>
        <v>-9.5725992495212631E-2</v>
      </c>
      <c r="F33" s="1">
        <f t="shared" si="16"/>
        <v>1.1220171953779637E-6</v>
      </c>
      <c r="G33" s="1">
        <f t="shared" si="17"/>
        <v>-4.1358898909064292</v>
      </c>
      <c r="H33" s="1">
        <f t="shared" si="25"/>
        <v>-41.358898909064287</v>
      </c>
      <c r="J33" s="2">
        <v>4.3099999999999996</v>
      </c>
      <c r="K33" s="1">
        <v>4.8977881936844635E-5</v>
      </c>
      <c r="L33" s="1">
        <v>2.0621553241162238E-10</v>
      </c>
      <c r="M33" s="1">
        <v>1.9798908784827991E-2</v>
      </c>
      <c r="N33" s="1">
        <v>3.3515202528668444E-5</v>
      </c>
      <c r="O33" s="1">
        <v>1.0845859477081315E-2</v>
      </c>
      <c r="P33" s="1">
        <v>8.3928650607825069E-3</v>
      </c>
      <c r="Q33" s="2">
        <v>8.3928650607825062E-2</v>
      </c>
      <c r="S33" s="2">
        <v>0.32</v>
      </c>
      <c r="T33" s="1">
        <f t="shared" si="18"/>
        <v>0.47863009232263831</v>
      </c>
      <c r="U33" s="1">
        <f t="shared" si="19"/>
        <v>2.1101890921625798E-14</v>
      </c>
      <c r="V33" s="1">
        <f t="shared" si="20"/>
        <v>-0.47863059684279396</v>
      </c>
      <c r="W33" s="1">
        <f t="shared" si="21"/>
        <v>0.19287686561426465</v>
      </c>
      <c r="X33" s="1">
        <f t="shared" si="22"/>
        <v>0.99999456785956808</v>
      </c>
      <c r="Y33" s="1">
        <f t="shared" si="23"/>
        <v>-4.1533887763895709</v>
      </c>
      <c r="Z33" s="1">
        <f t="shared" si="24"/>
        <v>-207.66943881947856</v>
      </c>
      <c r="AB33">
        <v>1.63</v>
      </c>
      <c r="AC33">
        <v>2.3442288153199219E-2</v>
      </c>
      <c r="AD33">
        <v>4.3084531398960859E-13</v>
      </c>
      <c r="AE33">
        <v>-2.3435761257044073E-2</v>
      </c>
      <c r="AF33">
        <v>4.1145253752348024E-2</v>
      </c>
      <c r="AG33">
        <v>0.99988910162492528</v>
      </c>
      <c r="AH33">
        <v>1.398196623912537</v>
      </c>
      <c r="AI33">
        <v>69.90983119562685</v>
      </c>
      <c r="AJ33"/>
      <c r="AK33"/>
      <c r="AL33"/>
      <c r="AM33"/>
      <c r="AN33"/>
      <c r="AO33"/>
      <c r="AP33"/>
      <c r="AQ33"/>
      <c r="AR33"/>
    </row>
    <row r="34" spans="1:44" ht="15" customHeight="1" x14ac:dyDescent="0.3">
      <c r="A34" s="2">
        <v>0.33</v>
      </c>
      <c r="B34" s="1">
        <f t="shared" si="12"/>
        <v>0.46773514128719818</v>
      </c>
      <c r="C34" s="1">
        <f t="shared" si="13"/>
        <v>2.1593417103972542E-14</v>
      </c>
      <c r="D34" s="1">
        <f t="shared" si="14"/>
        <v>0.58128201310150851</v>
      </c>
      <c r="E34" s="1">
        <f t="shared" si="15"/>
        <v>-9.3547002183584749E-2</v>
      </c>
      <c r="F34" s="1">
        <f t="shared" si="16"/>
        <v>1.1481523032416572E-6</v>
      </c>
      <c r="G34" s="1">
        <f t="shared" si="17"/>
        <v>-4.1193074402940359</v>
      </c>
      <c r="H34" s="1">
        <f t="shared" si="25"/>
        <v>-41.193074402940354</v>
      </c>
      <c r="J34" s="2">
        <v>4.32</v>
      </c>
      <c r="K34" s="1">
        <v>4.786300923226377E-5</v>
      </c>
      <c r="L34" s="1">
        <v>2.1101890921625825E-10</v>
      </c>
      <c r="M34" s="1">
        <v>1.9791601290512759E-2</v>
      </c>
      <c r="N34" s="1">
        <v>3.4733118247873042E-5</v>
      </c>
      <c r="O34" s="1">
        <v>1.1095688866307742E-2</v>
      </c>
      <c r="P34" s="1">
        <v>8.6983856648614223E-3</v>
      </c>
      <c r="Q34" s="2">
        <v>8.6983856648614216E-2</v>
      </c>
      <c r="S34" s="2">
        <v>0.33</v>
      </c>
      <c r="T34" s="1">
        <f t="shared" si="18"/>
        <v>0.46773514128719818</v>
      </c>
      <c r="U34" s="1">
        <f t="shared" si="19"/>
        <v>2.1593417103972542E-14</v>
      </c>
      <c r="V34" s="1">
        <f t="shared" si="20"/>
        <v>-0.46773563737190932</v>
      </c>
      <c r="W34" s="1">
        <f t="shared" si="21"/>
        <v>0.18924521245730311</v>
      </c>
      <c r="X34" s="1">
        <f t="shared" si="22"/>
        <v>0.99999444132946624</v>
      </c>
      <c r="Y34" s="1">
        <f t="shared" si="23"/>
        <v>-4.2410165710086067</v>
      </c>
      <c r="Z34" s="1">
        <f t="shared" si="24"/>
        <v>-212.05082855043034</v>
      </c>
      <c r="AB34">
        <v>1.64</v>
      </c>
      <c r="AC34">
        <v>2.2908676527677724E-2</v>
      </c>
      <c r="AD34">
        <v>4.4088099056256771E-13</v>
      </c>
      <c r="AE34">
        <v>-2.2901977426350365E-2</v>
      </c>
      <c r="AF34">
        <v>4.0967325808783456E-2</v>
      </c>
      <c r="AG34">
        <v>0.99988651876307033</v>
      </c>
      <c r="AH34">
        <v>1.38795425990981</v>
      </c>
      <c r="AI34">
        <v>69.397712995490508</v>
      </c>
      <c r="AJ34"/>
      <c r="AK34"/>
      <c r="AL34"/>
      <c r="AM34"/>
      <c r="AN34"/>
      <c r="AO34"/>
      <c r="AP34"/>
      <c r="AQ34"/>
      <c r="AR34"/>
    </row>
    <row r="35" spans="1:44" ht="15" customHeight="1" x14ac:dyDescent="0.3">
      <c r="A35" s="2">
        <v>0.34</v>
      </c>
      <c r="B35" s="1">
        <f t="shared" si="12"/>
        <v>0.45708818961487502</v>
      </c>
      <c r="C35" s="1">
        <f t="shared" si="13"/>
        <v>2.2096392401890481E-14</v>
      </c>
      <c r="D35" s="1">
        <f t="shared" si="14"/>
        <v>0.56850567045287237</v>
      </c>
      <c r="E35" s="1">
        <f t="shared" si="15"/>
        <v>-9.1417611742145383E-2</v>
      </c>
      <c r="F35" s="1">
        <f t="shared" si="16"/>
        <v>1.1748961745568861E-6</v>
      </c>
      <c r="G35" s="1">
        <f t="shared" si="17"/>
        <v>-4.1024758255325855</v>
      </c>
      <c r="H35" s="1">
        <f t="shared" si="25"/>
        <v>-41.02475825532585</v>
      </c>
      <c r="J35" s="2">
        <v>4.33</v>
      </c>
      <c r="K35" s="1">
        <v>4.6773514128719762E-5</v>
      </c>
      <c r="L35" s="1">
        <v>2.1593417103972569E-10</v>
      </c>
      <c r="M35" s="1">
        <v>1.9784188934925832E-2</v>
      </c>
      <c r="N35" s="1">
        <v>3.596851084569473E-5</v>
      </c>
      <c r="O35" s="1">
        <v>1.1351206921614712E-2</v>
      </c>
      <c r="P35" s="1">
        <v>9.0083285195264925E-3</v>
      </c>
      <c r="Q35" s="2">
        <v>9.0083285195264914E-2</v>
      </c>
      <c r="S35" s="2">
        <v>0.34</v>
      </c>
      <c r="T35" s="1">
        <f t="shared" si="18"/>
        <v>0.45708818961487502</v>
      </c>
      <c r="U35" s="1">
        <f t="shared" si="19"/>
        <v>2.2096392401890481E-14</v>
      </c>
      <c r="V35" s="1">
        <f t="shared" si="20"/>
        <v>-0.45708867706765621</v>
      </c>
      <c r="W35" s="1">
        <f t="shared" si="21"/>
        <v>0.18569622568921873</v>
      </c>
      <c r="X35" s="1">
        <f t="shared" si="22"/>
        <v>0.99999431185213294</v>
      </c>
      <c r="Y35" s="1">
        <f t="shared" si="23"/>
        <v>-4.3338250709583068</v>
      </c>
      <c r="Z35" s="1">
        <f t="shared" si="24"/>
        <v>-216.69125354791535</v>
      </c>
      <c r="AB35">
        <v>1.65</v>
      </c>
      <c r="AC35">
        <v>2.2387211385683389E-2</v>
      </c>
      <c r="AD35">
        <v>4.5115042807247287E-13</v>
      </c>
      <c r="AE35">
        <v>-2.2380336068624058E-2</v>
      </c>
      <c r="AF35">
        <v>4.0793445356208019E-2</v>
      </c>
      <c r="AG35">
        <v>0.99988387575244775</v>
      </c>
      <c r="AH35">
        <v>1.3780043646057814</v>
      </c>
      <c r="AI35">
        <v>68.900218230289056</v>
      </c>
      <c r="AJ35"/>
      <c r="AK35"/>
      <c r="AL35"/>
      <c r="AM35"/>
      <c r="AN35"/>
      <c r="AO35"/>
      <c r="AP35"/>
      <c r="AQ35"/>
      <c r="AR35"/>
    </row>
    <row r="36" spans="1:44" ht="15" customHeight="1" x14ac:dyDescent="0.3">
      <c r="A36" s="2">
        <v>0.35</v>
      </c>
      <c r="B36" s="1">
        <f t="shared" si="12"/>
        <v>0.44668359215096315</v>
      </c>
      <c r="C36" s="1">
        <f t="shared" si="13"/>
        <v>2.2611083499540228E-14</v>
      </c>
      <c r="D36" s="1">
        <f t="shared" si="14"/>
        <v>0.55602015283937867</v>
      </c>
      <c r="E36" s="1">
        <f t="shared" si="15"/>
        <v>-8.9336692139896451E-2</v>
      </c>
      <c r="F36" s="1">
        <f t="shared" si="16"/>
        <v>1.2022629891793791E-6</v>
      </c>
      <c r="G36" s="1">
        <f t="shared" si="17"/>
        <v>-4.0853939510804862</v>
      </c>
      <c r="H36" s="1">
        <f t="shared" si="25"/>
        <v>-40.853939510804857</v>
      </c>
      <c r="J36" s="2">
        <v>4.34</v>
      </c>
      <c r="K36" s="1">
        <v>4.5708818961487455E-5</v>
      </c>
      <c r="L36" s="1">
        <v>2.2096392401890503E-10</v>
      </c>
      <c r="M36" s="1">
        <v>1.9776668045459862E-2</v>
      </c>
      <c r="N36" s="1">
        <v>3.7221992423356264E-5</v>
      </c>
      <c r="O36" s="1">
        <v>1.1612540099697583E-2</v>
      </c>
      <c r="P36" s="1">
        <v>9.3228488563137559E-3</v>
      </c>
      <c r="Q36" s="2">
        <v>9.3228488563137549E-2</v>
      </c>
      <c r="S36" s="2">
        <v>0.35</v>
      </c>
      <c r="T36" s="1">
        <f t="shared" si="18"/>
        <v>0.44668359215096315</v>
      </c>
      <c r="U36" s="1">
        <f t="shared" si="19"/>
        <v>2.2611083499540228E-14</v>
      </c>
      <c r="V36" s="1">
        <f t="shared" si="20"/>
        <v>-0.44668407077075267</v>
      </c>
      <c r="W36" s="1">
        <f t="shared" si="21"/>
        <v>0.18222802359025089</v>
      </c>
      <c r="X36" s="1">
        <f t="shared" si="22"/>
        <v>0.99999417935891977</v>
      </c>
      <c r="Y36" s="1">
        <f t="shared" si="23"/>
        <v>-4.4322608189711179</v>
      </c>
      <c r="Z36" s="1">
        <f t="shared" si="24"/>
        <v>-221.61304094855589</v>
      </c>
      <c r="AB36">
        <v>1.66</v>
      </c>
      <c r="AC36">
        <v>2.1877616239495523E-2</v>
      </c>
      <c r="AD36">
        <v>4.6165907151102381E-13</v>
      </c>
      <c r="AE36">
        <v>-2.1870560602755523E-2</v>
      </c>
      <c r="AF36">
        <v>4.0623520200918507E-2</v>
      </c>
      <c r="AG36">
        <v>0.99988117119266373</v>
      </c>
      <c r="AH36">
        <v>1.3683371037953287</v>
      </c>
      <c r="AI36">
        <v>68.416855189766437</v>
      </c>
      <c r="AJ36"/>
      <c r="AK36"/>
      <c r="AL36"/>
      <c r="AM36"/>
      <c r="AN36"/>
      <c r="AO36"/>
      <c r="AP36"/>
      <c r="AQ36"/>
      <c r="AR36"/>
    </row>
    <row r="37" spans="1:44" ht="15" customHeight="1" x14ac:dyDescent="0.3">
      <c r="A37" s="2">
        <v>0.36</v>
      </c>
      <c r="B37" s="1">
        <f t="shared" si="12"/>
        <v>0.43651583224016594</v>
      </c>
      <c r="C37" s="1">
        <f t="shared" si="13"/>
        <v>2.3137763292954508E-14</v>
      </c>
      <c r="D37" s="1">
        <f t="shared" si="14"/>
        <v>0.54381884027432303</v>
      </c>
      <c r="E37" s="1">
        <f t="shared" si="15"/>
        <v>-8.7303140045720498E-2</v>
      </c>
      <c r="F37" s="1">
        <f t="shared" si="16"/>
        <v>1.2302672572529946E-6</v>
      </c>
      <c r="G37" s="1">
        <f t="shared" si="17"/>
        <v>-4.0680608232210984</v>
      </c>
      <c r="H37" s="1">
        <f t="shared" si="25"/>
        <v>-40.680608232210979</v>
      </c>
      <c r="J37" s="2">
        <v>4.3499999999999996</v>
      </c>
      <c r="K37" s="1">
        <v>4.4668359215096341E-5</v>
      </c>
      <c r="L37" s="1">
        <v>2.2611083499540212E-10</v>
      </c>
      <c r="M37" s="1">
        <v>1.9769034903760599E-2</v>
      </c>
      <c r="N37" s="1">
        <v>3.8494182706566925E-5</v>
      </c>
      <c r="O37" s="1">
        <v>1.1879817525171532E-2</v>
      </c>
      <c r="P37" s="1">
        <v>9.6421039221444692E-3</v>
      </c>
      <c r="Q37" s="2">
        <v>9.6421039221444682E-2</v>
      </c>
      <c r="S37" s="2">
        <v>0.36</v>
      </c>
      <c r="T37" s="1">
        <f t="shared" si="18"/>
        <v>0.43651583224016594</v>
      </c>
      <c r="U37" s="1">
        <f t="shared" si="19"/>
        <v>2.3137763292954508E-14</v>
      </c>
      <c r="V37" s="1">
        <f t="shared" si="20"/>
        <v>-0.4365163018212182</v>
      </c>
      <c r="W37" s="1">
        <f t="shared" si="21"/>
        <v>0.1788387672737394</v>
      </c>
      <c r="X37" s="1">
        <f t="shared" si="22"/>
        <v>0.99999404377957957</v>
      </c>
      <c r="Y37" s="1">
        <f t="shared" si="23"/>
        <v>-4.5368230239518024</v>
      </c>
      <c r="Z37" s="1">
        <f t="shared" si="24"/>
        <v>-226.84115119759014</v>
      </c>
      <c r="AB37">
        <v>1.67</v>
      </c>
      <c r="AC37">
        <v>2.1379620895022322E-2</v>
      </c>
      <c r="AD37">
        <v>4.7241249270007014E-13</v>
      </c>
      <c r="AE37">
        <v>-2.1372380739089938E-2</v>
      </c>
      <c r="AF37">
        <v>4.0457460246363319E-2</v>
      </c>
      <c r="AG37">
        <v>0.99987840365073566</v>
      </c>
      <c r="AH37">
        <v>1.3589430485753604</v>
      </c>
      <c r="AI37">
        <v>67.947152428768007</v>
      </c>
      <c r="AJ37"/>
      <c r="AK37"/>
      <c r="AL37"/>
      <c r="AM37"/>
      <c r="AN37"/>
      <c r="AO37"/>
      <c r="AP37"/>
      <c r="AQ37"/>
      <c r="AR37"/>
    </row>
    <row r="38" spans="1:44" ht="15" customHeight="1" x14ac:dyDescent="0.3">
      <c r="A38" s="2">
        <v>0.37</v>
      </c>
      <c r="B38" s="1">
        <f t="shared" si="12"/>
        <v>0.42657951880159267</v>
      </c>
      <c r="C38" s="1">
        <f t="shared" si="13"/>
        <v>2.3676711034731209E-14</v>
      </c>
      <c r="D38" s="1">
        <f t="shared" si="14"/>
        <v>0.53189526346028249</v>
      </c>
      <c r="E38" s="1">
        <f t="shared" si="15"/>
        <v>-8.5315877243380397E-2</v>
      </c>
      <c r="F38" s="1">
        <f t="shared" si="16"/>
        <v>1.2589238269029693E-6</v>
      </c>
      <c r="G38" s="1">
        <f t="shared" si="17"/>
        <v>-4.0504755539480115</v>
      </c>
      <c r="H38" s="1">
        <f t="shared" si="25"/>
        <v>-40.504755539480115</v>
      </c>
      <c r="J38" s="2">
        <v>4.3600000000000003</v>
      </c>
      <c r="K38" s="1">
        <v>4.3651583224016559E-5</v>
      </c>
      <c r="L38" s="1">
        <v>2.3137763292954526E-10</v>
      </c>
      <c r="M38" s="1">
        <v>1.9761285744287854E-2</v>
      </c>
      <c r="N38" s="1">
        <v>3.9785709285357118E-5</v>
      </c>
      <c r="O38" s="1">
        <v>1.2153171040153399E-2</v>
      </c>
      <c r="P38" s="1">
        <v>9.9662530436522324E-3</v>
      </c>
      <c r="Q38" s="2">
        <v>9.9662530436522317E-2</v>
      </c>
      <c r="S38" s="2">
        <v>0.37</v>
      </c>
      <c r="T38" s="1">
        <f t="shared" si="18"/>
        <v>0.42657951880159267</v>
      </c>
      <c r="U38" s="1">
        <f t="shared" si="19"/>
        <v>2.3676711034731209E-14</v>
      </c>
      <c r="V38" s="1">
        <f t="shared" si="20"/>
        <v>-0.42657997913337048</v>
      </c>
      <c r="W38" s="1">
        <f t="shared" si="21"/>
        <v>0.17552665971112349</v>
      </c>
      <c r="X38" s="1">
        <f t="shared" si="22"/>
        <v>0.99999390504222885</v>
      </c>
      <c r="Y38" s="1">
        <f t="shared" si="23"/>
        <v>-4.6480715652587534</v>
      </c>
      <c r="Z38" s="1">
        <f t="shared" si="24"/>
        <v>-232.40357826293766</v>
      </c>
      <c r="AB38">
        <v>1.68</v>
      </c>
      <c r="AC38">
        <v>2.0892961308540386E-2</v>
      </c>
      <c r="AD38">
        <v>4.8341639324586493E-13</v>
      </c>
      <c r="AE38">
        <v>-2.0885532336116498E-2</v>
      </c>
      <c r="AF38">
        <v>4.0295177445372171E-2</v>
      </c>
      <c r="AG38">
        <v>0.99987557166033458</v>
      </c>
      <c r="AH38">
        <v>1.3498131548252563</v>
      </c>
      <c r="AI38">
        <v>67.490657741262822</v>
      </c>
      <c r="AJ38"/>
      <c r="AK38"/>
      <c r="AL38"/>
      <c r="AM38"/>
      <c r="AN38"/>
      <c r="AO38"/>
      <c r="AP38"/>
      <c r="AQ38"/>
      <c r="AR38"/>
    </row>
    <row r="39" spans="1:44" ht="15" customHeight="1" x14ac:dyDescent="0.3">
      <c r="A39" s="2">
        <v>0.38</v>
      </c>
      <c r="B39" s="1">
        <f t="shared" si="12"/>
        <v>0.41686938347033536</v>
      </c>
      <c r="C39" s="1">
        <f t="shared" si="13"/>
        <v>2.4228212482096853E-14</v>
      </c>
      <c r="D39" s="1">
        <f t="shared" si="14"/>
        <v>0.52024310035900057</v>
      </c>
      <c r="E39" s="1">
        <f t="shared" si="15"/>
        <v>-8.3373850059833429E-2</v>
      </c>
      <c r="F39" s="1">
        <f t="shared" si="16"/>
        <v>1.288247892108364E-6</v>
      </c>
      <c r="G39" s="1">
        <f t="shared" si="17"/>
        <v>-4.0326373648449838</v>
      </c>
      <c r="H39" s="1">
        <f t="shared" si="25"/>
        <v>-40.326373648449838</v>
      </c>
      <c r="J39" s="2">
        <v>4.37</v>
      </c>
      <c r="K39" s="1">
        <v>4.265795188015923E-5</v>
      </c>
      <c r="L39" s="1">
        <v>2.367671103473123E-10</v>
      </c>
      <c r="M39" s="1">
        <v>1.975341675287498E-2</v>
      </c>
      <c r="N39" s="1">
        <v>4.1097207854170321E-5</v>
      </c>
      <c r="O39" s="1">
        <v>1.2432735254442408E-2</v>
      </c>
      <c r="P39" s="1">
        <v>1.0295457691778221E-2</v>
      </c>
      <c r="Q39" s="2">
        <v>0.1029545769177822</v>
      </c>
      <c r="S39" s="2">
        <v>0.38</v>
      </c>
      <c r="T39" s="1">
        <f t="shared" si="18"/>
        <v>0.41686938347033536</v>
      </c>
      <c r="U39" s="1">
        <f t="shared" si="19"/>
        <v>2.4228212482096853E-14</v>
      </c>
      <c r="V39" s="1">
        <f t="shared" si="20"/>
        <v>-0.4168698343373971</v>
      </c>
      <c r="W39" s="1">
        <f t="shared" si="21"/>
        <v>0.17228994477913237</v>
      </c>
      <c r="X39" s="1">
        <f t="shared" si="22"/>
        <v>0.99999376307331</v>
      </c>
      <c r="Y39" s="1">
        <f t="shared" si="23"/>
        <v>-4.7666365026430775</v>
      </c>
      <c r="Z39" s="1">
        <f t="shared" si="24"/>
        <v>-238.33182513215391</v>
      </c>
      <c r="AB39">
        <v>1.69</v>
      </c>
      <c r="AC39">
        <v>2.0417379446695288E-2</v>
      </c>
      <c r="AD39">
        <v>4.9467660756213072E-13</v>
      </c>
      <c r="AE39">
        <v>-2.0409757260416956E-2</v>
      </c>
      <c r="AF39">
        <v>4.0136585753472322E-2</v>
      </c>
      <c r="AG39">
        <v>0.99987267372101007</v>
      </c>
      <c r="AH39">
        <v>1.3409387439274032</v>
      </c>
      <c r="AI39">
        <v>67.046937196370152</v>
      </c>
      <c r="AJ39"/>
      <c r="AK39"/>
      <c r="AL39"/>
      <c r="AM39"/>
      <c r="AN39"/>
      <c r="AO39"/>
      <c r="AP39"/>
      <c r="AQ39"/>
      <c r="AR39"/>
    </row>
    <row r="40" spans="1:44" ht="15" customHeight="1" x14ac:dyDescent="0.3">
      <c r="A40" s="2">
        <v>0.39</v>
      </c>
      <c r="B40" s="1">
        <f t="shared" si="12"/>
        <v>0.40738027780411268</v>
      </c>
      <c r="C40" s="1">
        <f t="shared" si="13"/>
        <v>2.4792560048418809E-14</v>
      </c>
      <c r="D40" s="1">
        <f t="shared" si="14"/>
        <v>0.50885617283936635</v>
      </c>
      <c r="E40" s="1">
        <f t="shared" si="15"/>
        <v>-8.1476028806561074E-2</v>
      </c>
      <c r="F40" s="1">
        <f t="shared" si="16"/>
        <v>1.3182550007578687E-6</v>
      </c>
      <c r="G40" s="1">
        <f t="shared" si="17"/>
        <v>-4.014545590953059</v>
      </c>
      <c r="H40" s="1">
        <f t="shared" si="25"/>
        <v>-40.14545590953059</v>
      </c>
      <c r="J40" s="2">
        <v>4.38</v>
      </c>
      <c r="K40" s="1">
        <v>4.1686938347033504E-5</v>
      </c>
      <c r="L40" s="1">
        <v>2.4228212482096872E-10</v>
      </c>
      <c r="M40" s="1">
        <v>1.9745424065286933E-2</v>
      </c>
      <c r="N40" s="1">
        <v>4.2429322452177342E-5</v>
      </c>
      <c r="O40" s="1">
        <v>1.27186475962907E-2</v>
      </c>
      <c r="P40" s="1">
        <v>1.0629881546632863E-2</v>
      </c>
      <c r="Q40" s="2">
        <v>0.10629881546632862</v>
      </c>
      <c r="S40" s="2">
        <v>0.39</v>
      </c>
      <c r="T40" s="1">
        <f t="shared" si="18"/>
        <v>0.40738027780411268</v>
      </c>
      <c r="U40" s="1">
        <f t="shared" si="19"/>
        <v>2.4792560048418809E-14</v>
      </c>
      <c r="V40" s="1">
        <f t="shared" si="20"/>
        <v>-0.4073807189859987</v>
      </c>
      <c r="W40" s="1">
        <f t="shared" si="21"/>
        <v>0.16912690632866623</v>
      </c>
      <c r="X40" s="1">
        <f t="shared" si="22"/>
        <v>0.99999361779755191</v>
      </c>
      <c r="Y40" s="1">
        <f t="shared" si="23"/>
        <v>-4.8932294329662778</v>
      </c>
      <c r="Z40" s="1">
        <f t="shared" si="24"/>
        <v>-244.66147164831389</v>
      </c>
      <c r="AB40">
        <v>1.7</v>
      </c>
      <c r="AC40">
        <v>1.9952623149688792E-2</v>
      </c>
      <c r="AD40">
        <v>5.0619910596354508E-13</v>
      </c>
      <c r="AE40">
        <v>-1.9944803249800209E-2</v>
      </c>
      <c r="AF40">
        <v>3.9981601083266739E-2</v>
      </c>
      <c r="AG40">
        <v>0.99986970829739685</v>
      </c>
      <c r="AH40">
        <v>1.33231148464108</v>
      </c>
      <c r="AI40">
        <v>66.615574232053987</v>
      </c>
      <c r="AJ40"/>
      <c r="AK40"/>
      <c r="AL40"/>
      <c r="AM40"/>
      <c r="AN40"/>
      <c r="AO40"/>
      <c r="AP40"/>
      <c r="AQ40"/>
      <c r="AR40"/>
    </row>
    <row r="41" spans="1:44" ht="15" customHeight="1" x14ac:dyDescent="0.3">
      <c r="A41" s="2">
        <v>0.4</v>
      </c>
      <c r="B41" s="1">
        <f t="shared" si="12"/>
        <v>0.3981071705534972</v>
      </c>
      <c r="C41" s="1">
        <f t="shared" si="13"/>
        <v>2.537005295824676E-14</v>
      </c>
      <c r="D41" s="1">
        <f t="shared" si="14"/>
        <v>0.49772844340168665</v>
      </c>
      <c r="E41" s="1">
        <f t="shared" si="15"/>
        <v>-7.9621407233614439E-2</v>
      </c>
      <c r="F41" s="1">
        <f t="shared" si="16"/>
        <v>1.3489610628932491E-6</v>
      </c>
      <c r="G41" s="1">
        <f t="shared" si="17"/>
        <v>-3.9961996846170047</v>
      </c>
      <c r="H41" s="1">
        <f t="shared" si="25"/>
        <v>-39.961996846170045</v>
      </c>
      <c r="J41" s="2">
        <v>4.3899999999999997</v>
      </c>
      <c r="K41" s="1">
        <v>4.0738027780411247E-5</v>
      </c>
      <c r="L41" s="1">
        <v>2.4792560048418819E-10</v>
      </c>
      <c r="M41" s="1">
        <v>1.9737303765777411E-2</v>
      </c>
      <c r="N41" s="1">
        <v>4.3782705703764646E-5</v>
      </c>
      <c r="O41" s="1">
        <v>1.3011048363752078E-2</v>
      </c>
      <c r="P41" s="1">
        <v>1.0969690562619388E-2</v>
      </c>
      <c r="Q41" s="2">
        <v>0.10969690562619387</v>
      </c>
      <c r="S41" s="2">
        <v>0.4</v>
      </c>
      <c r="T41" s="1">
        <f t="shared" si="18"/>
        <v>0.3981071705534972</v>
      </c>
      <c r="U41" s="1">
        <f t="shared" si="19"/>
        <v>2.537005295824676E-14</v>
      </c>
      <c r="V41" s="1">
        <f t="shared" si="20"/>
        <v>-0.39810760182461263</v>
      </c>
      <c r="W41" s="1">
        <f t="shared" si="21"/>
        <v>0.16603586727487088</v>
      </c>
      <c r="X41" s="1">
        <f t="shared" si="22"/>
        <v>0.99999346913793041</v>
      </c>
      <c r="Y41" s="1">
        <f t="shared" si="23"/>
        <v>-5.028657126096495</v>
      </c>
      <c r="Z41" s="1">
        <f t="shared" si="24"/>
        <v>-251.43285630482475</v>
      </c>
      <c r="AB41">
        <v>1.71</v>
      </c>
      <c r="AC41">
        <v>1.9498445997580452E-2</v>
      </c>
      <c r="AD41">
        <v>5.1798999783127854E-13</v>
      </c>
      <c r="AE41">
        <v>-1.9490423779549421E-2</v>
      </c>
      <c r="AF41">
        <v>3.9830141259849808E-2</v>
      </c>
      <c r="AG41">
        <v>0.99986667381840333</v>
      </c>
      <c r="AH41">
        <v>1.3239233760498068</v>
      </c>
      <c r="AI41">
        <v>66.196168802490334</v>
      </c>
      <c r="AJ41"/>
      <c r="AK41"/>
      <c r="AL41"/>
      <c r="AM41"/>
      <c r="AN41"/>
      <c r="AO41"/>
      <c r="AP41"/>
      <c r="AQ41"/>
      <c r="AR41"/>
    </row>
    <row r="42" spans="1:44" ht="15" customHeight="1" x14ac:dyDescent="0.3">
      <c r="A42" s="2">
        <v>0.41</v>
      </c>
      <c r="B42" s="1">
        <f t="shared" si="12"/>
        <v>0.38904514499428056</v>
      </c>
      <c r="C42" s="1">
        <f t="shared" si="13"/>
        <v>2.5960997405965525E-14</v>
      </c>
      <c r="D42" s="1">
        <f t="shared" si="14"/>
        <v>0.48685401197652062</v>
      </c>
      <c r="E42" s="1">
        <f t="shared" si="15"/>
        <v>-7.7809001996086757E-2</v>
      </c>
      <c r="F42" s="1">
        <f t="shared" si="16"/>
        <v>1.3803823591447965E-6</v>
      </c>
      <c r="G42" s="1">
        <f t="shared" si="17"/>
        <v>-3.9775992193029341</v>
      </c>
      <c r="H42" s="1">
        <f t="shared" si="25"/>
        <v>-39.775992193029339</v>
      </c>
      <c r="J42" s="2">
        <v>4.4000000000000004</v>
      </c>
      <c r="K42" s="1">
        <v>3.9810717055349634E-5</v>
      </c>
      <c r="L42" s="1">
        <v>2.5370052958246817E-10</v>
      </c>
      <c r="M42" s="1">
        <v>1.9729051885645117E-2</v>
      </c>
      <c r="N42" s="1">
        <v>4.5158019059147493E-5</v>
      </c>
      <c r="O42" s="1">
        <v>1.3310080776597295E-2</v>
      </c>
      <c r="P42" s="1">
        <v>1.1315053033814687E-2</v>
      </c>
      <c r="Q42" s="2">
        <v>0.11315053033814687</v>
      </c>
      <c r="S42" s="2">
        <v>0.41</v>
      </c>
      <c r="T42" s="1">
        <f t="shared" si="18"/>
        <v>0.38904514499428056</v>
      </c>
      <c r="U42" s="1">
        <f t="shared" si="19"/>
        <v>2.5960997405965525E-14</v>
      </c>
      <c r="V42" s="1">
        <f t="shared" si="20"/>
        <v>-0.38904556612377589</v>
      </c>
      <c r="W42" s="1">
        <f t="shared" si="21"/>
        <v>0.16301518870792531</v>
      </c>
      <c r="X42" s="1">
        <f t="shared" si="22"/>
        <v>0.99999331701562733</v>
      </c>
      <c r="Y42" s="1">
        <f t="shared" si="23"/>
        <v>-5.1738379920910456</v>
      </c>
      <c r="Z42" s="1">
        <f t="shared" si="24"/>
        <v>-258.6918996045523</v>
      </c>
      <c r="AB42">
        <v>1.72</v>
      </c>
      <c r="AC42">
        <v>1.9054607179632463E-2</v>
      </c>
      <c r="AD42">
        <v>5.300555348522705E-13</v>
      </c>
      <c r="AE42">
        <v>-1.9046377931711614E-2</v>
      </c>
      <c r="AF42">
        <v>3.9682125977237206E-2</v>
      </c>
      <c r="AG42">
        <v>0.99986356867638104</v>
      </c>
      <c r="AH42">
        <v>1.3157667315085388</v>
      </c>
      <c r="AI42">
        <v>65.788336575426939</v>
      </c>
      <c r="AJ42"/>
      <c r="AK42"/>
      <c r="AL42"/>
      <c r="AM42"/>
      <c r="AN42"/>
      <c r="AO42"/>
      <c r="AP42"/>
      <c r="AQ42"/>
      <c r="AR42"/>
    </row>
    <row r="43" spans="1:44" ht="15" customHeight="1" x14ac:dyDescent="0.3">
      <c r="A43" s="2">
        <v>0.42</v>
      </c>
      <c r="B43" s="1">
        <f t="shared" si="12"/>
        <v>0.38018939632056115</v>
      </c>
      <c r="C43" s="1">
        <f t="shared" si="13"/>
        <v>2.656570671814336E-14</v>
      </c>
      <c r="D43" s="1">
        <f t="shared" si="14"/>
        <v>0.47622711279638474</v>
      </c>
      <c r="E43" s="1">
        <f t="shared" si="15"/>
        <v>-7.6037852132730788E-2</v>
      </c>
      <c r="F43" s="1">
        <f t="shared" si="16"/>
        <v>1.4125355493632572E-6</v>
      </c>
      <c r="G43" s="1">
        <f t="shared" si="17"/>
        <v>-3.9587438933786938</v>
      </c>
      <c r="H43" s="1">
        <f t="shared" si="25"/>
        <v>-39.587438933786935</v>
      </c>
      <c r="J43" s="2">
        <v>4.41</v>
      </c>
      <c r="K43" s="1">
        <v>3.8904514499428046E-5</v>
      </c>
      <c r="L43" s="1">
        <v>2.5960997405965533E-10</v>
      </c>
      <c r="M43" s="1">
        <v>1.9720664401789715E-2</v>
      </c>
      <c r="N43" s="1">
        <v>4.655593303504776E-5</v>
      </c>
      <c r="O43" s="1">
        <v>1.3615891028782063E-2</v>
      </c>
      <c r="P43" s="1">
        <v>1.1666139659600434E-2</v>
      </c>
      <c r="Q43" s="2">
        <v>0.11666139659600433</v>
      </c>
      <c r="S43" s="2">
        <v>0.42</v>
      </c>
      <c r="T43" s="1">
        <f t="shared" si="18"/>
        <v>0.38018939632056115</v>
      </c>
      <c r="U43" s="1">
        <f t="shared" si="19"/>
        <v>2.656570671814336E-14</v>
      </c>
      <c r="V43" s="1">
        <f t="shared" si="20"/>
        <v>-0.38018980707221001</v>
      </c>
      <c r="W43" s="1">
        <f t="shared" si="21"/>
        <v>0.16006326902407</v>
      </c>
      <c r="X43" s="1">
        <f t="shared" si="22"/>
        <v>0.9999931613499885</v>
      </c>
      <c r="Y43" s="1">
        <f t="shared" si="23"/>
        <v>-5.329822090100544</v>
      </c>
      <c r="Z43" s="1">
        <f t="shared" si="24"/>
        <v>-266.49110450502718</v>
      </c>
      <c r="AB43">
        <v>1.73</v>
      </c>
      <c r="AC43">
        <v>1.8620871366628669E-2</v>
      </c>
      <c r="AD43">
        <v>5.4240211433395534E-13</v>
      </c>
      <c r="AE43">
        <v>-1.8612430267359821E-2</v>
      </c>
      <c r="AF43">
        <v>3.9537476755786609E-2</v>
      </c>
      <c r="AG43">
        <v>0.99986039122627501</v>
      </c>
      <c r="AH43">
        <v>1.3078341635227924</v>
      </c>
      <c r="AI43">
        <v>65.391708176139616</v>
      </c>
      <c r="AJ43"/>
      <c r="AK43"/>
      <c r="AL43"/>
      <c r="AM43"/>
      <c r="AN43"/>
      <c r="AO43"/>
      <c r="AP43"/>
      <c r="AQ43"/>
      <c r="AR43"/>
    </row>
    <row r="44" spans="1:44" ht="15" customHeight="1" x14ac:dyDescent="0.3">
      <c r="A44" s="2">
        <v>0.43</v>
      </c>
      <c r="B44" s="1">
        <f t="shared" si="12"/>
        <v>0.37153522909717251</v>
      </c>
      <c r="C44" s="1">
        <f t="shared" si="13"/>
        <v>2.7184501519661848E-14</v>
      </c>
      <c r="D44" s="1">
        <f t="shared" si="14"/>
        <v>0.4658421113386727</v>
      </c>
      <c r="E44" s="1">
        <f t="shared" si="15"/>
        <v>-7.4307018556445448E-2</v>
      </c>
      <c r="F44" s="1">
        <f t="shared" si="16"/>
        <v>1.4454376814528159E-6</v>
      </c>
      <c r="G44" s="1">
        <f t="shared" si="17"/>
        <v>-3.9396335338483093</v>
      </c>
      <c r="H44" s="1">
        <f t="shared" si="25"/>
        <v>-39.396335338483091</v>
      </c>
      <c r="J44" s="2">
        <v>4.42</v>
      </c>
      <c r="K44" s="1">
        <v>3.8018939632056103E-5</v>
      </c>
      <c r="L44" s="1">
        <v>2.6565706718143368E-10</v>
      </c>
      <c r="M44" s="1">
        <v>1.9712137235267761E-2</v>
      </c>
      <c r="N44" s="1">
        <v>4.7977127455373117E-5</v>
      </c>
      <c r="O44" s="1">
        <v>1.3928628341453546E-2</v>
      </c>
      <c r="P44" s="1">
        <v>1.2023123610537E-2</v>
      </c>
      <c r="Q44" s="2">
        <v>0.12023123610537</v>
      </c>
      <c r="S44" s="2">
        <v>0.43</v>
      </c>
      <c r="T44" s="1">
        <f t="shared" si="18"/>
        <v>0.37153522909717251</v>
      </c>
      <c r="U44" s="1">
        <f t="shared" si="19"/>
        <v>2.7184501519661848E-14</v>
      </c>
      <c r="V44" s="1">
        <f t="shared" si="20"/>
        <v>-0.37153562922924588</v>
      </c>
      <c r="W44" s="1">
        <f t="shared" si="21"/>
        <v>0.15717854307641529</v>
      </c>
      <c r="X44" s="1">
        <f t="shared" si="22"/>
        <v>0.9999930020584813</v>
      </c>
      <c r="Y44" s="1">
        <f t="shared" si="23"/>
        <v>-5.4978156007352856</v>
      </c>
      <c r="Z44" s="1">
        <f t="shared" si="24"/>
        <v>-274.89078003676428</v>
      </c>
      <c r="AB44">
        <v>1.74</v>
      </c>
      <c r="AC44">
        <v>1.8197008586099829E-2</v>
      </c>
      <c r="AD44">
        <v>5.550362825962009E-13</v>
      </c>
      <c r="AE44">
        <v>-1.8188350701760485E-2</v>
      </c>
      <c r="AF44">
        <v>3.9396116900586829E-2</v>
      </c>
      <c r="AG44">
        <v>0.99985713978475421</v>
      </c>
      <c r="AH44">
        <v>1.3001185694970196</v>
      </c>
      <c r="AI44">
        <v>65.005928474850975</v>
      </c>
      <c r="AJ44"/>
      <c r="AK44"/>
      <c r="AL44"/>
      <c r="AM44"/>
      <c r="AN44"/>
      <c r="AO44"/>
      <c r="AP44"/>
      <c r="AQ44"/>
      <c r="AR44"/>
    </row>
    <row r="45" spans="1:44" ht="15" customHeight="1" x14ac:dyDescent="0.3">
      <c r="A45" s="2">
        <v>0.44</v>
      </c>
      <c r="B45" s="1">
        <f t="shared" si="12"/>
        <v>0.36307805477010135</v>
      </c>
      <c r="C45" s="1">
        <f t="shared" si="13"/>
        <v>2.7817709903715479E-14</v>
      </c>
      <c r="D45" s="1">
        <f t="shared" si="14"/>
        <v>0.45569350133814807</v>
      </c>
      <c r="E45" s="1">
        <f t="shared" si="15"/>
        <v>-7.2615583556358013E-2</v>
      </c>
      <c r="F45" s="1">
        <f t="shared" si="16"/>
        <v>1.4791062004098185E-6</v>
      </c>
      <c r="G45" s="1">
        <f t="shared" si="17"/>
        <v>-3.9202681000314761</v>
      </c>
      <c r="H45" s="1">
        <f t="shared" si="25"/>
        <v>-39.202681000314762</v>
      </c>
      <c r="J45" s="2">
        <v>4.43</v>
      </c>
      <c r="K45" s="1">
        <v>3.7153522909717237E-5</v>
      </c>
      <c r="L45" s="1">
        <v>2.7184501519661858E-10</v>
      </c>
      <c r="M45" s="1">
        <v>1.9703466249849078E-2</v>
      </c>
      <c r="N45" s="1">
        <v>4.9422291691820677E-5</v>
      </c>
      <c r="O45" s="1">
        <v>1.4248445016478232E-2</v>
      </c>
      <c r="P45" s="1">
        <v>1.238618059446954E-2</v>
      </c>
      <c r="Q45" s="2">
        <v>0.1238618059446954</v>
      </c>
      <c r="S45" s="2">
        <v>0.44</v>
      </c>
      <c r="T45" s="1">
        <f t="shared" si="18"/>
        <v>0.36307805477010135</v>
      </c>
      <c r="U45" s="1">
        <f t="shared" si="19"/>
        <v>2.7817709903715479E-14</v>
      </c>
      <c r="V45" s="1">
        <f t="shared" si="20"/>
        <v>-0.36307844403523998</v>
      </c>
      <c r="W45" s="1">
        <f t="shared" si="21"/>
        <v>0.15435948134508001</v>
      </c>
      <c r="X45" s="1">
        <f t="shared" si="22"/>
        <v>0.99999283905665071</v>
      </c>
      <c r="Y45" s="1">
        <f t="shared" si="23"/>
        <v>-5.6792109683751022</v>
      </c>
      <c r="Z45" s="1">
        <f t="shared" si="24"/>
        <v>-283.96054841875508</v>
      </c>
      <c r="AB45">
        <v>1.75</v>
      </c>
      <c r="AC45">
        <v>1.7782794100389226E-2</v>
      </c>
      <c r="AD45">
        <v>5.6796473844225257E-13</v>
      </c>
      <c r="AE45">
        <v>-1.7773914382379484E-2</v>
      </c>
      <c r="AF45">
        <v>3.9257971460793163E-2</v>
      </c>
      <c r="AG45">
        <v>0.99985381262932249</v>
      </c>
      <c r="AH45">
        <v>1.2926131182943135</v>
      </c>
      <c r="AI45">
        <v>64.630655914715661</v>
      </c>
      <c r="AJ45"/>
      <c r="AK45"/>
      <c r="AL45"/>
      <c r="AM45"/>
      <c r="AN45"/>
      <c r="AO45"/>
      <c r="AP45"/>
      <c r="AQ45"/>
      <c r="AR45"/>
    </row>
    <row r="46" spans="1:44" ht="15" customHeight="1" x14ac:dyDescent="0.3">
      <c r="A46" s="2">
        <v>0.45</v>
      </c>
      <c r="B46" s="1">
        <f t="shared" si="12"/>
        <v>0.35481338923357542</v>
      </c>
      <c r="C46" s="1">
        <f t="shared" si="13"/>
        <v>2.8465667605770986E-14</v>
      </c>
      <c r="D46" s="1">
        <f t="shared" si="14"/>
        <v>0.44577590186745508</v>
      </c>
      <c r="E46" s="1">
        <f t="shared" si="15"/>
        <v>-7.0962650311242506E-2</v>
      </c>
      <c r="F46" s="1">
        <f t="shared" si="16"/>
        <v>1.5135589575720222E-6</v>
      </c>
      <c r="G46" s="1">
        <f t="shared" si="17"/>
        <v>-3.9006476871789157</v>
      </c>
      <c r="H46" s="1">
        <f t="shared" si="25"/>
        <v>-39.006476871789154</v>
      </c>
      <c r="J46" s="2">
        <v>4.4400000000000004</v>
      </c>
      <c r="K46" s="1">
        <v>3.6307805477010065E-5</v>
      </c>
      <c r="L46" s="1">
        <v>2.7817709903715533E-10</v>
      </c>
      <c r="M46" s="1">
        <v>1.9694647250574033E-2</v>
      </c>
      <c r="N46" s="1">
        <v>5.0892124904327935E-5</v>
      </c>
      <c r="O46" s="1">
        <v>1.4575496490474326E-2</v>
      </c>
      <c r="P46" s="1">
        <v>1.2755488922855872E-2</v>
      </c>
      <c r="Q46" s="2">
        <v>0.1275548892285587</v>
      </c>
      <c r="S46" s="2">
        <v>0.45</v>
      </c>
      <c r="T46" s="1">
        <f t="shared" si="18"/>
        <v>0.35481338923357542</v>
      </c>
      <c r="U46" s="1">
        <f t="shared" si="19"/>
        <v>2.8465667605770986E-14</v>
      </c>
      <c r="V46" s="1">
        <f t="shared" si="20"/>
        <v>-0.35481376737865816</v>
      </c>
      <c r="W46" s="1">
        <f t="shared" si="21"/>
        <v>0.15160458912621941</v>
      </c>
      <c r="X46" s="1">
        <f t="shared" si="22"/>
        <v>0.99999267225807487</v>
      </c>
      <c r="Y46" s="1">
        <f t="shared" si="23"/>
        <v>-5.8756243075750705</v>
      </c>
      <c r="Z46" s="1">
        <f t="shared" si="24"/>
        <v>-293.78121537875347</v>
      </c>
      <c r="AB46">
        <v>1.76</v>
      </c>
      <c r="AC46">
        <v>1.7378008287493755E-2</v>
      </c>
      <c r="AD46">
        <v>5.8119433671052845E-13</v>
      </c>
      <c r="AE46">
        <v>-1.7368901569662608E-2</v>
      </c>
      <c r="AF46">
        <v>3.9122967189887538E-2</v>
      </c>
      <c r="AG46">
        <v>0.99985040799740765</v>
      </c>
      <c r="AH46">
        <v>1.2853112375539009</v>
      </c>
      <c r="AI46">
        <v>64.265561877695035</v>
      </c>
      <c r="AJ46"/>
      <c r="AK46"/>
      <c r="AL46"/>
      <c r="AM46"/>
      <c r="AN46"/>
      <c r="AO46"/>
      <c r="AP46"/>
      <c r="AQ46"/>
      <c r="AR46"/>
    </row>
    <row r="47" spans="1:44" ht="15" customHeight="1" x14ac:dyDescent="0.3">
      <c r="A47" s="2">
        <v>0.46</v>
      </c>
      <c r="B47" s="1">
        <f t="shared" si="12"/>
        <v>0.34673685045253166</v>
      </c>
      <c r="C47" s="1">
        <f t="shared" si="13"/>
        <v>2.9128718181578717E-14</v>
      </c>
      <c r="D47" s="1">
        <f t="shared" si="14"/>
        <v>0.43608405448408161</v>
      </c>
      <c r="E47" s="1">
        <f t="shared" si="15"/>
        <v>-6.9347342414013594E-2</v>
      </c>
      <c r="F47" s="1">
        <f t="shared" si="16"/>
        <v>1.5488142200832767E-6</v>
      </c>
      <c r="G47" s="1">
        <f t="shared" si="17"/>
        <v>-3.880772530014104</v>
      </c>
      <c r="H47" s="1">
        <f t="shared" si="25"/>
        <v>-38.807725300141037</v>
      </c>
      <c r="J47" s="2">
        <v>4.45</v>
      </c>
      <c r="K47" s="1">
        <v>3.5481338923357479E-5</v>
      </c>
      <c r="L47" s="1">
        <v>2.8465667605771037E-10</v>
      </c>
      <c r="M47" s="1">
        <v>1.9685675982312328E-2</v>
      </c>
      <c r="N47" s="1">
        <v>5.2387336281279033E-5</v>
      </c>
      <c r="O47" s="1">
        <v>1.4909941389328673E-2</v>
      </c>
      <c r="P47" s="1">
        <v>1.3131229577302398E-2</v>
      </c>
      <c r="Q47" s="2">
        <v>0.13131229577302397</v>
      </c>
      <c r="S47" s="2">
        <v>0.46</v>
      </c>
      <c r="T47" s="1">
        <f t="shared" si="18"/>
        <v>0.34673685045253166</v>
      </c>
      <c r="U47" s="1">
        <f t="shared" si="19"/>
        <v>2.9128718181578717E-14</v>
      </c>
      <c r="V47" s="1">
        <f t="shared" si="20"/>
        <v>-0.34673721721854178</v>
      </c>
      <c r="W47" s="1">
        <f t="shared" si="21"/>
        <v>0.14891240573951395</v>
      </c>
      <c r="X47" s="1">
        <f t="shared" si="22"/>
        <v>0.99999250157431863</v>
      </c>
      <c r="Y47" s="1">
        <f t="shared" si="23"/>
        <v>-6.0889422013939054</v>
      </c>
      <c r="Z47" s="1">
        <f t="shared" si="24"/>
        <v>-304.44711006969527</v>
      </c>
      <c r="AB47">
        <v>1.77</v>
      </c>
      <c r="AC47">
        <v>1.6982436524617429E-2</v>
      </c>
      <c r="AD47">
        <v>5.9473209190914532E-13</v>
      </c>
      <c r="AE47">
        <v>-1.6973097520526767E-2</v>
      </c>
      <c r="AF47">
        <v>3.8991032506842258E-2</v>
      </c>
      <c r="AG47">
        <v>0.99984692408543074</v>
      </c>
      <c r="AH47">
        <v>1.2782066017168758</v>
      </c>
      <c r="AI47">
        <v>63.910330085843796</v>
      </c>
      <c r="AJ47"/>
      <c r="AK47"/>
      <c r="AL47"/>
      <c r="AM47"/>
      <c r="AN47"/>
      <c r="AO47"/>
      <c r="AP47"/>
      <c r="AQ47"/>
      <c r="AR47"/>
    </row>
    <row r="48" spans="1:44" ht="15" customHeight="1" x14ac:dyDescent="0.3">
      <c r="A48" s="2">
        <v>0.47</v>
      </c>
      <c r="B48" s="1">
        <f t="shared" si="12"/>
        <v>0.33884415613920255</v>
      </c>
      <c r="C48" s="1">
        <f t="shared" si="13"/>
        <v>2.9807213189330497E-14</v>
      </c>
      <c r="D48" s="1">
        <f t="shared" si="14"/>
        <v>0.42661282044225673</v>
      </c>
      <c r="E48" s="1">
        <f t="shared" si="15"/>
        <v>-6.7768803407042805E-2</v>
      </c>
      <c r="F48" s="1">
        <f t="shared" si="16"/>
        <v>1.5848906805786621E-6</v>
      </c>
      <c r="G48" s="1">
        <f t="shared" si="17"/>
        <v>-3.8606430061917001</v>
      </c>
      <c r="H48" s="1">
        <f t="shared" si="25"/>
        <v>-38.606430061916996</v>
      </c>
      <c r="J48" s="2">
        <v>4.46</v>
      </c>
      <c r="K48" s="1">
        <v>3.4673685045253161E-5</v>
      </c>
      <c r="L48" s="1">
        <v>2.9128718181578721E-10</v>
      </c>
      <c r="M48" s="1">
        <v>1.9676548128323777E-2</v>
      </c>
      <c r="N48" s="1">
        <v>5.3908645279370809E-5</v>
      </c>
      <c r="O48" s="1">
        <v>1.5251941583177728E-2</v>
      </c>
      <c r="P48" s="1">
        <v>1.3513586276293746E-2</v>
      </c>
      <c r="Q48" s="2">
        <v>0.13513586276293746</v>
      </c>
      <c r="S48" s="2">
        <v>0.47</v>
      </c>
      <c r="T48" s="1">
        <f t="shared" si="18"/>
        <v>0.33884415613920255</v>
      </c>
      <c r="U48" s="1">
        <f t="shared" si="19"/>
        <v>2.9807213189330497E-14</v>
      </c>
      <c r="V48" s="1">
        <f t="shared" si="20"/>
        <v>-0.33884451126109022</v>
      </c>
      <c r="W48" s="1">
        <f t="shared" si="21"/>
        <v>0.14628150375369675</v>
      </c>
      <c r="X48" s="1">
        <f t="shared" si="22"/>
        <v>0.99999232691488726</v>
      </c>
      <c r="Y48" s="1">
        <f t="shared" si="23"/>
        <v>-6.3213807629149263</v>
      </c>
      <c r="Z48" s="1">
        <f t="shared" si="24"/>
        <v>-316.06903814574633</v>
      </c>
      <c r="AB48">
        <v>1.78</v>
      </c>
      <c r="AC48">
        <v>1.6595869074375592E-2</v>
      </c>
      <c r="AD48">
        <v>6.0858518193510182E-13</v>
      </c>
      <c r="AE48">
        <v>-1.6586292374500565E-2</v>
      </c>
      <c r="AF48">
        <v>3.8862097458166857E-2</v>
      </c>
      <c r="AG48">
        <v>0.99984335904785271</v>
      </c>
      <c r="AH48">
        <v>1.2712931207142986</v>
      </c>
      <c r="AI48">
        <v>63.564656035714933</v>
      </c>
      <c r="AJ48"/>
      <c r="AK48"/>
      <c r="AL48"/>
      <c r="AM48"/>
      <c r="AN48"/>
      <c r="AO48"/>
      <c r="AP48"/>
      <c r="AQ48"/>
      <c r="AR48"/>
    </row>
    <row r="49" spans="1:44" ht="15" customHeight="1" x14ac:dyDescent="0.3">
      <c r="A49" s="2">
        <v>0.48</v>
      </c>
      <c r="B49" s="1">
        <f t="shared" si="12"/>
        <v>0.33113112148259105</v>
      </c>
      <c r="C49" s="1">
        <f t="shared" si="13"/>
        <v>3.0501512376060364E-14</v>
      </c>
      <c r="D49" s="1">
        <f t="shared" si="14"/>
        <v>0.4173571779683255</v>
      </c>
      <c r="E49" s="1">
        <f t="shared" si="15"/>
        <v>-6.6226196328054251E-2</v>
      </c>
      <c r="F49" s="1">
        <f t="shared" si="16"/>
        <v>1.6218074670952033E-6</v>
      </c>
      <c r="G49" s="1">
        <f t="shared" si="17"/>
        <v>-3.8402596396628441</v>
      </c>
      <c r="H49" s="1">
        <f t="shared" si="25"/>
        <v>-38.402596396628439</v>
      </c>
      <c r="J49" s="2">
        <v>4.47</v>
      </c>
      <c r="K49" s="1">
        <v>3.3884415613920256E-5</v>
      </c>
      <c r="L49" s="1">
        <v>2.9807213189330492E-10</v>
      </c>
      <c r="M49" s="1">
        <v>1.9667259308821811E-2</v>
      </c>
      <c r="N49" s="1">
        <v>5.5456781863031518E-5</v>
      </c>
      <c r="O49" s="1">
        <v>1.5601662241829593E-2</v>
      </c>
      <c r="P49" s="1">
        <v>1.3902745542099153E-2</v>
      </c>
      <c r="Q49" s="2">
        <v>0.13902745542099151</v>
      </c>
      <c r="S49" s="2">
        <v>0.48</v>
      </c>
      <c r="T49" s="1">
        <f t="shared" si="18"/>
        <v>0.33113112148259105</v>
      </c>
      <c r="U49" s="1">
        <f t="shared" si="19"/>
        <v>3.0501512376060364E-14</v>
      </c>
      <c r="V49" s="1">
        <f t="shared" si="20"/>
        <v>-0.33113146468913252</v>
      </c>
      <c r="W49" s="1">
        <f t="shared" si="21"/>
        <v>0.14371048822971083</v>
      </c>
      <c r="X49" s="1">
        <f t="shared" si="22"/>
        <v>0.9999921481871783</v>
      </c>
      <c r="Y49" s="1">
        <f t="shared" si="23"/>
        <v>-6.5755608802387222</v>
      </c>
      <c r="Z49" s="1">
        <f t="shared" si="24"/>
        <v>-328.77804401193612</v>
      </c>
      <c r="AB49">
        <v>1.79</v>
      </c>
      <c r="AC49">
        <v>1.6218100973589288E-2</v>
      </c>
      <c r="AD49">
        <v>6.2276095188009743E-13</v>
      </c>
      <c r="AE49">
        <v>-1.6208281042453716E-2</v>
      </c>
      <c r="AF49">
        <v>3.8736093680817908E-2</v>
      </c>
      <c r="AG49">
        <v>0.99983971099619973</v>
      </c>
      <c r="AH49">
        <v>1.2645649292751482</v>
      </c>
      <c r="AI49">
        <v>63.228246463757408</v>
      </c>
      <c r="AJ49"/>
      <c r="AK49"/>
      <c r="AL49"/>
      <c r="AM49"/>
      <c r="AN49"/>
      <c r="AO49"/>
      <c r="AP49"/>
      <c r="AQ49"/>
      <c r="AR49"/>
    </row>
    <row r="50" spans="1:44" ht="15" customHeight="1" x14ac:dyDescent="0.3">
      <c r="A50" s="2">
        <v>0.49</v>
      </c>
      <c r="B50" s="1">
        <f t="shared" si="12"/>
        <v>0.32359365692962827</v>
      </c>
      <c r="C50" s="1">
        <f t="shared" si="13"/>
        <v>3.1211983868387263E-14</v>
      </c>
      <c r="D50" s="1">
        <f t="shared" si="14"/>
        <v>0.40831221959813507</v>
      </c>
      <c r="E50" s="1">
        <f t="shared" si="15"/>
        <v>-6.4718703266355856E-2</v>
      </c>
      <c r="F50" s="1">
        <f t="shared" si="16"/>
        <v>1.6595841532134273E-6</v>
      </c>
      <c r="G50" s="1">
        <f t="shared" si="17"/>
        <v>-3.8196231039372774</v>
      </c>
      <c r="H50" s="1">
        <f t="shared" si="25"/>
        <v>-38.196231039372769</v>
      </c>
      <c r="J50" s="2">
        <v>4.4800000000000004</v>
      </c>
      <c r="K50" s="1">
        <v>3.3113112148259056E-5</v>
      </c>
      <c r="L50" s="1">
        <v>3.0501512376060411E-10</v>
      </c>
      <c r="M50" s="1">
        <v>1.965780507954034E-2</v>
      </c>
      <c r="N50" s="1">
        <v>5.7032486743276542E-5</v>
      </c>
      <c r="O50" s="1">
        <v>1.5959271890602561E-2</v>
      </c>
      <c r="P50" s="1">
        <v>1.4298896767836895E-2</v>
      </c>
      <c r="Q50" s="2">
        <v>0.14298896767836894</v>
      </c>
      <c r="S50" s="2">
        <v>0.49</v>
      </c>
      <c r="T50" s="1">
        <f t="shared" si="18"/>
        <v>0.32359365692962827</v>
      </c>
      <c r="U50" s="1">
        <f t="shared" si="19"/>
        <v>3.1211983868387263E-14</v>
      </c>
      <c r="V50" s="1">
        <f t="shared" si="20"/>
        <v>-0.32359398794328231</v>
      </c>
      <c r="W50" s="1">
        <f t="shared" si="21"/>
        <v>0.14119799598109409</v>
      </c>
      <c r="X50" s="1">
        <f t="shared" si="22"/>
        <v>0.99999196529643242</v>
      </c>
      <c r="Y50" s="1">
        <f t="shared" si="23"/>
        <v>-6.8546050660274984</v>
      </c>
      <c r="Z50" s="1">
        <f t="shared" si="24"/>
        <v>-342.730253301375</v>
      </c>
      <c r="AB50">
        <v>1.8</v>
      </c>
      <c r="AC50">
        <v>1.5848931924611124E-2</v>
      </c>
      <c r="AD50">
        <v>6.3726691792499559E-13</v>
      </c>
      <c r="AE50">
        <v>-1.5838863097856131E-2</v>
      </c>
      <c r="AF50">
        <v>3.8612954365952044E-2</v>
      </c>
      <c r="AG50">
        <v>0.99983597799806578</v>
      </c>
      <c r="AH50">
        <v>1.258016376814707</v>
      </c>
      <c r="AI50">
        <v>62.900818840735347</v>
      </c>
      <c r="AJ50"/>
      <c r="AK50"/>
      <c r="AL50"/>
      <c r="AM50"/>
      <c r="AN50"/>
      <c r="AO50"/>
      <c r="AP50"/>
      <c r="AQ50"/>
      <c r="AR50"/>
    </row>
    <row r="51" spans="1:44" ht="15" customHeight="1" x14ac:dyDescent="0.3">
      <c r="A51" s="2">
        <v>0.5</v>
      </c>
      <c r="B51" s="1">
        <f t="shared" si="12"/>
        <v>0.31622776601683794</v>
      </c>
      <c r="C51" s="1">
        <f t="shared" si="13"/>
        <v>3.193900436770063E-14</v>
      </c>
      <c r="D51" s="1">
        <f t="shared" si="14"/>
        <v>0.39947314957503416</v>
      </c>
      <c r="E51" s="1">
        <f t="shared" si="15"/>
        <v>-6.3245524929172361E-2</v>
      </c>
      <c r="F51" s="1">
        <f t="shared" si="16"/>
        <v>1.6982407684351382E-6</v>
      </c>
      <c r="G51" s="1">
        <f t="shared" si="17"/>
        <v>-3.7987342252321334</v>
      </c>
      <c r="H51" s="1">
        <f t="shared" si="25"/>
        <v>-37.987342252321334</v>
      </c>
      <c r="J51" s="2">
        <v>4.49</v>
      </c>
      <c r="K51" s="1">
        <v>3.2359365692962775E-5</v>
      </c>
      <c r="L51" s="1">
        <v>3.121198386838731E-10</v>
      </c>
      <c r="M51" s="1">
        <v>1.9648180930304734E-2</v>
      </c>
      <c r="N51" s="1">
        <v>5.8636511615877375E-5</v>
      </c>
      <c r="O51" s="1">
        <v>1.6324942466553981E-2</v>
      </c>
      <c r="P51" s="1">
        <v>1.4702232284676332E-2</v>
      </c>
      <c r="Q51" s="2">
        <v>0.14702232284676331</v>
      </c>
      <c r="S51" s="2">
        <v>0.5</v>
      </c>
      <c r="T51" s="1">
        <f t="shared" si="18"/>
        <v>0.31622776601683794</v>
      </c>
      <c r="U51" s="1">
        <f t="shared" si="19"/>
        <v>3.193900436770063E-14</v>
      </c>
      <c r="V51" s="1">
        <f t="shared" si="20"/>
        <v>-0.31622808455359896</v>
      </c>
      <c r="W51" s="1">
        <f t="shared" si="21"/>
        <v>0.13874269485119967</v>
      </c>
      <c r="X51" s="1">
        <f t="shared" si="22"/>
        <v>0.99999177814568296</v>
      </c>
      <c r="Y51" s="1">
        <f t="shared" si="23"/>
        <v>-7.1622635123381739</v>
      </c>
      <c r="Z51" s="1">
        <f t="shared" si="24"/>
        <v>-358.11317561690868</v>
      </c>
      <c r="AB51">
        <v>1.81</v>
      </c>
      <c r="AC51">
        <v>1.5488166189124804E-2</v>
      </c>
      <c r="AD51">
        <v>6.5211077132500242E-13</v>
      </c>
      <c r="AE51">
        <v>-1.5477842670509384E-2</v>
      </c>
      <c r="AF51">
        <v>3.8492614223503127E-2</v>
      </c>
      <c r="AG51">
        <v>0.99983215807609149</v>
      </c>
      <c r="AH51">
        <v>1.2516420178668</v>
      </c>
      <c r="AI51">
        <v>62.582100893339998</v>
      </c>
      <c r="AJ51"/>
      <c r="AK51"/>
      <c r="AL51"/>
      <c r="AM51"/>
      <c r="AN51"/>
      <c r="AO51"/>
      <c r="AP51"/>
      <c r="AQ51"/>
      <c r="AR51"/>
    </row>
    <row r="52" spans="1:44" ht="15" customHeight="1" x14ac:dyDescent="0.3">
      <c r="A52" s="2">
        <v>0.51</v>
      </c>
      <c r="B52" s="1">
        <f t="shared" si="12"/>
        <v>0.30902954325135895</v>
      </c>
      <c r="C52" s="1">
        <f t="shared" si="13"/>
        <v>3.2682959349892461E-14</v>
      </c>
      <c r="D52" s="1">
        <f t="shared" si="14"/>
        <v>0.39083528130709638</v>
      </c>
      <c r="E52" s="1">
        <f t="shared" si="15"/>
        <v>-6.1805880217849399E-2</v>
      </c>
      <c r="F52" s="1">
        <f t="shared" si="16"/>
        <v>1.7377978088029027E-6</v>
      </c>
      <c r="G52" s="1">
        <f t="shared" si="17"/>
        <v>-3.7775939854971359</v>
      </c>
      <c r="H52" s="1">
        <f t="shared" si="25"/>
        <v>-37.775939854971355</v>
      </c>
      <c r="J52" s="2">
        <v>4.5</v>
      </c>
      <c r="K52" s="1">
        <v>3.1622776601683748E-5</v>
      </c>
      <c r="L52" s="1">
        <v>3.1939004367700672E-10</v>
      </c>
      <c r="M52" s="1">
        <v>1.9638382283607737E-2</v>
      </c>
      <c r="N52" s="1">
        <v>6.0269619398710255E-5</v>
      </c>
      <c r="O52" s="1">
        <v>1.6698849375071167E-2</v>
      </c>
      <c r="P52" s="1">
        <v>1.511294742915496E-2</v>
      </c>
      <c r="Q52" s="2">
        <v>0.15112947429154958</v>
      </c>
      <c r="S52" s="2">
        <v>0.51</v>
      </c>
      <c r="T52" s="1">
        <f t="shared" si="18"/>
        <v>0.30902954325135895</v>
      </c>
      <c r="U52" s="1">
        <f t="shared" si="19"/>
        <v>3.2682959349892461E-14</v>
      </c>
      <c r="V52" s="1">
        <f t="shared" si="20"/>
        <v>-0.30902984902060582</v>
      </c>
      <c r="W52" s="1">
        <f t="shared" si="21"/>
        <v>0.1363432830068686</v>
      </c>
      <c r="X52" s="1">
        <f t="shared" si="22"/>
        <v>0.99999158663570509</v>
      </c>
      <c r="Y52" s="1">
        <f t="shared" si="23"/>
        <v>-7.5030801692351652</v>
      </c>
      <c r="Z52" s="1">
        <f t="shared" si="24"/>
        <v>-375.15400846175828</v>
      </c>
      <c r="AB52">
        <v>1.82</v>
      </c>
      <c r="AC52">
        <v>1.5135612484362076E-2</v>
      </c>
      <c r="AD52">
        <v>6.6730038248767213E-13</v>
      </c>
      <c r="AE52">
        <v>-1.5125028342693855E-2</v>
      </c>
      <c r="AF52">
        <v>3.8375009447564619E-2</v>
      </c>
      <c r="AG52">
        <v>0.99982824920692015</v>
      </c>
      <c r="AH52">
        <v>1.2454366030259152</v>
      </c>
      <c r="AI52">
        <v>62.271830151295759</v>
      </c>
      <c r="AJ52"/>
      <c r="AK52"/>
      <c r="AL52"/>
      <c r="AM52"/>
      <c r="AN52"/>
      <c r="AO52"/>
      <c r="AP52"/>
      <c r="AQ52"/>
      <c r="AR52"/>
    </row>
    <row r="53" spans="1:44" ht="15" customHeight="1" x14ac:dyDescent="0.3">
      <c r="A53" s="2">
        <v>0.52</v>
      </c>
      <c r="B53" s="1">
        <f t="shared" si="12"/>
        <v>0.30199517204020154</v>
      </c>
      <c r="C53" s="1">
        <f t="shared" si="13"/>
        <v>3.3444243269741704E-14</v>
      </c>
      <c r="D53" s="1">
        <f t="shared" si="14"/>
        <v>0.38239403488223067</v>
      </c>
      <c r="E53" s="1">
        <f t="shared" si="15"/>
        <v>-6.0399005813705116E-2</v>
      </c>
      <c r="F53" s="1">
        <f t="shared" si="16"/>
        <v>1.7782762477668855E-6</v>
      </c>
      <c r="G53" s="1">
        <f t="shared" si="17"/>
        <v>-3.7562035253058612</v>
      </c>
      <c r="H53" s="1">
        <f t="shared" si="25"/>
        <v>-37.56203525305861</v>
      </c>
      <c r="J53" s="2">
        <v>4.51</v>
      </c>
      <c r="K53" s="1">
        <v>3.090295432513586E-5</v>
      </c>
      <c r="L53" s="1">
        <v>3.2682959349892501E-10</v>
      </c>
      <c r="M53" s="1">
        <v>1.9628404493191171E-2</v>
      </c>
      <c r="N53" s="1">
        <v>6.1932584468138197E-5</v>
      </c>
      <c r="O53" s="1">
        <v>1.7081171546793492E-2</v>
      </c>
      <c r="P53" s="1">
        <v>1.5531240610585048E-2</v>
      </c>
      <c r="Q53" s="2">
        <v>0.15531240610585048</v>
      </c>
      <c r="S53" s="2">
        <v>0.52</v>
      </c>
      <c r="T53" s="1">
        <f t="shared" si="18"/>
        <v>0.30199517204020154</v>
      </c>
      <c r="U53" s="1">
        <f t="shared" si="19"/>
        <v>3.3444243269741704E-14</v>
      </c>
      <c r="V53" s="1">
        <f t="shared" si="20"/>
        <v>-0.30199546474454425</v>
      </c>
      <c r="W53" s="1">
        <f t="shared" si="21"/>
        <v>0.13399848824818142</v>
      </c>
      <c r="X53" s="1">
        <f t="shared" si="22"/>
        <v>0.99999139066496268</v>
      </c>
      <c r="Y53" s="1">
        <f t="shared" si="23"/>
        <v>-7.8826145015638467</v>
      </c>
      <c r="Z53" s="1">
        <f t="shared" si="24"/>
        <v>-394.13072507819237</v>
      </c>
      <c r="AB53">
        <v>1.83</v>
      </c>
      <c r="AC53">
        <v>1.4791083881682071E-2</v>
      </c>
      <c r="AD53">
        <v>6.8284380514590172E-13</v>
      </c>
      <c r="AE53">
        <v>-1.4780233047676769E-2</v>
      </c>
      <c r="AF53">
        <v>3.8260077682558923E-2</v>
      </c>
      <c r="AG53">
        <v>0.99982424932012914</v>
      </c>
      <c r="AH53">
        <v>1.2393950703676453</v>
      </c>
      <c r="AI53">
        <v>61.969753518382269</v>
      </c>
      <c r="AJ53"/>
      <c r="AK53"/>
      <c r="AL53"/>
      <c r="AM53"/>
      <c r="AN53"/>
      <c r="AO53"/>
      <c r="AP53"/>
      <c r="AQ53"/>
      <c r="AR53"/>
    </row>
    <row r="54" spans="1:44" ht="15" customHeight="1" x14ac:dyDescent="0.3">
      <c r="A54" s="2">
        <v>0.53</v>
      </c>
      <c r="B54" s="1">
        <f t="shared" si="12"/>
        <v>0.29512092266663847</v>
      </c>
      <c r="C54" s="1">
        <f t="shared" si="13"/>
        <v>3.4223259770059464E-14</v>
      </c>
      <c r="D54" s="1">
        <f t="shared" si="14"/>
        <v>0.3741449346398501</v>
      </c>
      <c r="E54" s="1">
        <f t="shared" si="15"/>
        <v>-5.902415577330835E-2</v>
      </c>
      <c r="F54" s="1">
        <f t="shared" si="16"/>
        <v>1.8196975473047938E-6</v>
      </c>
      <c r="G54" s="1">
        <f t="shared" si="17"/>
        <v>-3.7345641466026702</v>
      </c>
      <c r="H54" s="1">
        <f t="shared" si="25"/>
        <v>-37.345641466026699</v>
      </c>
      <c r="J54" s="2">
        <v>4.5199999999999996</v>
      </c>
      <c r="K54" s="1">
        <v>3.0199517204020178E-5</v>
      </c>
      <c r="L54" s="1">
        <v>3.344424326974168E-10</v>
      </c>
      <c r="M54" s="1">
        <v>1.9618242842634363E-2</v>
      </c>
      <c r="N54" s="1">
        <v>6.3626192894272878E-5</v>
      </c>
      <c r="O54" s="1">
        <v>1.7472091494833426E-2</v>
      </c>
      <c r="P54" s="1">
        <v>1.5957313378523033E-2</v>
      </c>
      <c r="Q54" s="2">
        <v>0.15957313378523033</v>
      </c>
      <c r="S54" s="2">
        <v>0.53</v>
      </c>
      <c r="T54" s="1">
        <f t="shared" si="18"/>
        <v>0.29512092266663847</v>
      </c>
      <c r="U54" s="1">
        <f t="shared" si="19"/>
        <v>3.4223259770059464E-14</v>
      </c>
      <c r="V54" s="1">
        <f t="shared" si="20"/>
        <v>-0.29512120200175962</v>
      </c>
      <c r="W54" s="1">
        <f t="shared" si="21"/>
        <v>0.13170706733391987</v>
      </c>
      <c r="X54" s="1">
        <f t="shared" si="22"/>
        <v>0.99999119012955484</v>
      </c>
      <c r="Y54" s="1">
        <f t="shared" si="23"/>
        <v>-8.3077419899393288</v>
      </c>
      <c r="Z54" s="1">
        <f t="shared" si="24"/>
        <v>-415.38709949696641</v>
      </c>
      <c r="AB54">
        <v>1.84</v>
      </c>
      <c r="AC54">
        <v>1.4454397707459272E-2</v>
      </c>
      <c r="AD54">
        <v>6.9874928062812589E-13</v>
      </c>
      <c r="AE54">
        <v>-1.4443273970527059E-2</v>
      </c>
      <c r="AF54">
        <v>3.8147757990175689E-2</v>
      </c>
      <c r="AG54">
        <v>0.99982015629713639</v>
      </c>
      <c r="AH54">
        <v>1.2335125373180968</v>
      </c>
      <c r="AI54">
        <v>61.675626865904839</v>
      </c>
      <c r="AJ54"/>
      <c r="AK54"/>
      <c r="AL54"/>
      <c r="AM54"/>
      <c r="AN54"/>
      <c r="AO54"/>
      <c r="AP54"/>
      <c r="AQ54"/>
      <c r="AR54"/>
    </row>
    <row r="55" spans="1:44" ht="15" customHeight="1" x14ac:dyDescent="0.3">
      <c r="A55" s="2">
        <v>0.54</v>
      </c>
      <c r="B55" s="1">
        <f t="shared" si="12"/>
        <v>0.28840315031266056</v>
      </c>
      <c r="C55" s="1">
        <f t="shared" si="13"/>
        <v>3.5020421895705695E-14</v>
      </c>
      <c r="D55" s="1">
        <f t="shared" si="14"/>
        <v>0.36608360679781599</v>
      </c>
      <c r="E55" s="1">
        <f t="shared" si="15"/>
        <v>-5.7680601132969328E-2</v>
      </c>
      <c r="F55" s="1">
        <f t="shared" si="16"/>
        <v>1.8620836693008188E-6</v>
      </c>
      <c r="G55" s="1">
        <f t="shared" si="17"/>
        <v>-3.7126773152949015</v>
      </c>
      <c r="H55" s="1">
        <f t="shared" si="25"/>
        <v>-37.126773152949013</v>
      </c>
      <c r="J55" s="2">
        <v>4.53</v>
      </c>
      <c r="K55" s="1">
        <v>2.9512092266663827E-5</v>
      </c>
      <c r="L55" s="1">
        <v>3.4223259770059487E-10</v>
      </c>
      <c r="M55" s="1">
        <v>1.9607892543950289E-2</v>
      </c>
      <c r="N55" s="1">
        <v>6.5351242674951916E-5</v>
      </c>
      <c r="O55" s="1">
        <v>1.7871795372261776E-2</v>
      </c>
      <c r="P55" s="1">
        <v>1.6391370490272221E-2</v>
      </c>
      <c r="Q55" s="2">
        <v>0.1639137049027222</v>
      </c>
      <c r="S55" s="2">
        <v>0.54</v>
      </c>
      <c r="T55" s="1">
        <f t="shared" si="18"/>
        <v>0.28840315031266056</v>
      </c>
      <c r="U55" s="1">
        <f t="shared" si="19"/>
        <v>3.5020421895705695E-14</v>
      </c>
      <c r="V55" s="1">
        <f t="shared" si="20"/>
        <v>-0.2884034159671548</v>
      </c>
      <c r="W55" s="1">
        <f t="shared" si="21"/>
        <v>0.12946780532238494</v>
      </c>
      <c r="X55" s="1">
        <f t="shared" si="22"/>
        <v>0.99999098492316052</v>
      </c>
      <c r="Y55" s="1">
        <f t="shared" si="23"/>
        <v>-8.7870680497563889</v>
      </c>
      <c r="Z55" s="1">
        <f t="shared" si="24"/>
        <v>-439.35340248781944</v>
      </c>
      <c r="AB55">
        <v>1.85</v>
      </c>
      <c r="AC55">
        <v>1.4125375446227528E-2</v>
      </c>
      <c r="AD55">
        <v>7.1502524222798001E-13</v>
      </c>
      <c r="AE55">
        <v>-1.4113972451184786E-2</v>
      </c>
      <c r="AF55">
        <v>3.80379908170616E-2</v>
      </c>
      <c r="AG55">
        <v>0.9998159679700821</v>
      </c>
      <c r="AH55">
        <v>1.2277842929449605</v>
      </c>
      <c r="AI55">
        <v>61.389214647248032</v>
      </c>
      <c r="AJ55"/>
      <c r="AK55"/>
      <c r="AL55"/>
      <c r="AM55"/>
      <c r="AN55"/>
      <c r="AO55"/>
      <c r="AP55"/>
      <c r="AQ55"/>
      <c r="AR55"/>
    </row>
    <row r="56" spans="1:44" ht="15" customHeight="1" x14ac:dyDescent="0.3">
      <c r="A56" s="2">
        <v>0.55000000000000004</v>
      </c>
      <c r="B56" s="1">
        <f t="shared" si="12"/>
        <v>0.28183829312644532</v>
      </c>
      <c r="C56" s="1">
        <f t="shared" si="13"/>
        <v>3.5836152312591126E-14</v>
      </c>
      <c r="D56" s="1">
        <f t="shared" si="14"/>
        <v>0.3582057771334024</v>
      </c>
      <c r="E56" s="1">
        <f t="shared" si="15"/>
        <v>-5.6367629522233731E-2</v>
      </c>
      <c r="F56" s="1">
        <f t="shared" si="16"/>
        <v>1.9054570871896173E-6</v>
      </c>
      <c r="G56" s="1">
        <f t="shared" si="17"/>
        <v>-3.6905446636799701</v>
      </c>
      <c r="H56" s="1">
        <f t="shared" si="25"/>
        <v>-36.905446636799702</v>
      </c>
      <c r="J56" s="2">
        <v>4.54</v>
      </c>
      <c r="K56" s="1">
        <v>2.8840315031266029E-5</v>
      </c>
      <c r="L56" s="1">
        <v>3.5020421895705731E-10</v>
      </c>
      <c r="M56" s="1">
        <v>1.9597348736190491E-2</v>
      </c>
      <c r="N56" s="1">
        <v>6.7108543968251338E-5</v>
      </c>
      <c r="O56" s="1">
        <v>1.8280473029819295E-2</v>
      </c>
      <c r="P56" s="1">
        <v>1.6833619978386054E-2</v>
      </c>
      <c r="Q56" s="2">
        <v>0.16833619978386052</v>
      </c>
      <c r="S56" s="2">
        <v>0.55000000000000004</v>
      </c>
      <c r="T56" s="1">
        <f t="shared" si="18"/>
        <v>0.28183829312644532</v>
      </c>
      <c r="U56" s="1">
        <f t="shared" si="19"/>
        <v>3.5836152312591126E-14</v>
      </c>
      <c r="V56" s="1">
        <f t="shared" si="20"/>
        <v>-0.28183854478165377</v>
      </c>
      <c r="W56" s="1">
        <f t="shared" si="21"/>
        <v>0.12727951492721792</v>
      </c>
      <c r="X56" s="1">
        <f t="shared" si="22"/>
        <v>0.99999077493698241</v>
      </c>
      <c r="Y56" s="1">
        <f t="shared" si="23"/>
        <v>-9.3315086625844526</v>
      </c>
      <c r="Z56" s="1">
        <f t="shared" si="24"/>
        <v>-466.57543312922263</v>
      </c>
      <c r="AB56">
        <v>1.86</v>
      </c>
      <c r="AC56">
        <v>1.3803842646028837E-2</v>
      </c>
      <c r="AD56">
        <v>7.3168031967574057E-13</v>
      </c>
      <c r="AE56">
        <v>-1.3792153889733325E-2</v>
      </c>
      <c r="AF56">
        <v>3.7930717963244438E-2</v>
      </c>
      <c r="AG56">
        <v>0.99981168212068383</v>
      </c>
      <c r="AH56">
        <v>1.2222057906448156</v>
      </c>
      <c r="AI56">
        <v>61.110289532240785</v>
      </c>
      <c r="AJ56"/>
      <c r="AK56"/>
      <c r="AL56"/>
      <c r="AM56"/>
      <c r="AN56"/>
      <c r="AO56"/>
      <c r="AP56"/>
      <c r="AQ56"/>
      <c r="AR56"/>
    </row>
    <row r="57" spans="1:44" ht="15" customHeight="1" x14ac:dyDescent="0.3">
      <c r="A57" s="2">
        <v>0.56000000000000005</v>
      </c>
      <c r="B57" s="1">
        <f t="shared" si="12"/>
        <v>0.27542287033381663</v>
      </c>
      <c r="C57" s="1">
        <f t="shared" si="13"/>
        <v>3.6670883531780238E-14</v>
      </c>
      <c r="D57" s="1">
        <f t="shared" si="14"/>
        <v>0.35050726871704546</v>
      </c>
      <c r="E57" s="1">
        <f t="shared" si="15"/>
        <v>-5.5084544786174243E-2</v>
      </c>
      <c r="F57" s="1">
        <f t="shared" si="16"/>
        <v>1.9498407978714944E-6</v>
      </c>
      <c r="G57" s="1">
        <f t="shared" si="17"/>
        <v>-3.668167992697033</v>
      </c>
      <c r="H57" s="1">
        <f t="shared" si="25"/>
        <v>-36.681679926970325</v>
      </c>
      <c r="J57" s="2">
        <v>4.55</v>
      </c>
      <c r="K57" s="1">
        <v>2.8183829312644511E-5</v>
      </c>
      <c r="L57" s="1">
        <v>3.5836152312591154E-10</v>
      </c>
      <c r="M57" s="1">
        <v>1.9586606484059899E-2</v>
      </c>
      <c r="N57" s="1">
        <v>6.8898919323350048E-5</v>
      </c>
      <c r="O57" s="1">
        <v>1.8698318073816091E-2</v>
      </c>
      <c r="P57" s="1">
        <v>1.7284273218138475E-2</v>
      </c>
      <c r="Q57" s="2">
        <v>0.17284273218138474</v>
      </c>
      <c r="S57" s="2">
        <v>0.56000000000000005</v>
      </c>
      <c r="T57" s="1">
        <f t="shared" si="18"/>
        <v>0.27542287033381663</v>
      </c>
      <c r="U57" s="1">
        <f t="shared" si="19"/>
        <v>3.6670883531780238E-14</v>
      </c>
      <c r="V57" s="1">
        <f t="shared" si="20"/>
        <v>-0.27542310766365802</v>
      </c>
      <c r="W57" s="1">
        <f t="shared" si="21"/>
        <v>0.12514103588788603</v>
      </c>
      <c r="X57" s="1">
        <f t="shared" si="22"/>
        <v>0.99999056005968923</v>
      </c>
      <c r="Y57" s="1">
        <f t="shared" si="23"/>
        <v>-9.955121693946122</v>
      </c>
      <c r="Z57" s="1">
        <f t="shared" si="24"/>
        <v>-497.75608469730611</v>
      </c>
      <c r="AB57">
        <v>1.87</v>
      </c>
      <c r="AC57">
        <v>1.3489628825916524E-2</v>
      </c>
      <c r="AD57">
        <v>7.4872334371392725E-13</v>
      </c>
      <c r="AE57">
        <v>-1.3477647653824478E-2</v>
      </c>
      <c r="AF57">
        <v>3.782588255127483E-2</v>
      </c>
      <c r="AG57">
        <v>0.99980729647906608</v>
      </c>
      <c r="AH57">
        <v>1.2167726412029805</v>
      </c>
      <c r="AI57">
        <v>60.838632060149024</v>
      </c>
      <c r="AJ57"/>
      <c r="AK57"/>
      <c r="AL57"/>
      <c r="AM57"/>
      <c r="AN57"/>
      <c r="AO57"/>
      <c r="AP57"/>
      <c r="AQ57"/>
      <c r="AR57"/>
    </row>
    <row r="58" spans="1:44" ht="15" customHeight="1" x14ac:dyDescent="0.3">
      <c r="A58" s="2">
        <v>0.56999999999999995</v>
      </c>
      <c r="B58" s="1">
        <f t="shared" si="12"/>
        <v>0.26915348039269155</v>
      </c>
      <c r="C58" s="1">
        <f t="shared" si="13"/>
        <v>3.7525058138814426E-14</v>
      </c>
      <c r="D58" s="1">
        <f t="shared" si="14"/>
        <v>0.34298399969768156</v>
      </c>
      <c r="E58" s="1">
        <f t="shared" si="15"/>
        <v>-5.3830666616280269E-2</v>
      </c>
      <c r="F58" s="1">
        <f t="shared" si="16"/>
        <v>1.9952583339051162E-6</v>
      </c>
      <c r="G58" s="1">
        <f t="shared" si="17"/>
        <v>-3.6455492739930215</v>
      </c>
      <c r="H58" s="1">
        <f t="shared" si="25"/>
        <v>-36.455492739930214</v>
      </c>
      <c r="J58" s="2">
        <v>4.5599999999999996</v>
      </c>
      <c r="K58" s="1">
        <v>2.754228703338164E-5</v>
      </c>
      <c r="L58" s="1">
        <v>3.6670883531780264E-10</v>
      </c>
      <c r="M58" s="1">
        <v>1.9575660776542752E-2</v>
      </c>
      <c r="N58" s="1">
        <v>7.0723203909541725E-5</v>
      </c>
      <c r="O58" s="1">
        <v>1.9125527924175701E-2</v>
      </c>
      <c r="P58" s="1">
        <v>1.7743544994923133E-2</v>
      </c>
      <c r="Q58" s="2">
        <v>0.17743544994923133</v>
      </c>
      <c r="S58" s="2">
        <v>0.56999999999999995</v>
      </c>
      <c r="T58" s="1">
        <f t="shared" si="18"/>
        <v>0.26915348039269155</v>
      </c>
      <c r="U58" s="1">
        <f t="shared" si="19"/>
        <v>3.7525058138814426E-14</v>
      </c>
      <c r="V58" s="1">
        <f t="shared" si="20"/>
        <v>-0.26915370306348957</v>
      </c>
      <c r="W58" s="1">
        <f t="shared" si="21"/>
        <v>0.12305123435449652</v>
      </c>
      <c r="X58" s="1">
        <f t="shared" si="22"/>
        <v>0.99999034017735644</v>
      </c>
      <c r="Y58" s="1">
        <f t="shared" si="23"/>
        <v>-10.676324960489012</v>
      </c>
      <c r="Z58" s="1">
        <f t="shared" si="24"/>
        <v>-533.8162480244506</v>
      </c>
      <c r="AB58">
        <v>1.88</v>
      </c>
      <c r="AC58">
        <v>1.3182567385564075E-2</v>
      </c>
      <c r="AD58">
        <v>7.6616335077947531E-13</v>
      </c>
      <c r="AE58">
        <v>-1.3170286988207157E-2</v>
      </c>
      <c r="AF58">
        <v>3.7723428996069057E-2</v>
      </c>
      <c r="AG58">
        <v>0.99980280872256144</v>
      </c>
      <c r="AH58">
        <v>1.2114806062038295</v>
      </c>
      <c r="AI58">
        <v>60.574030310191475</v>
      </c>
      <c r="AJ58"/>
      <c r="AK58"/>
      <c r="AL58"/>
      <c r="AM58"/>
      <c r="AN58"/>
      <c r="AO58"/>
      <c r="AP58"/>
      <c r="AQ58"/>
      <c r="AR58"/>
    </row>
    <row r="59" spans="1:44" ht="15" customHeight="1" x14ac:dyDescent="0.3">
      <c r="A59" s="2">
        <v>0.57999999999999996</v>
      </c>
      <c r="B59" s="1">
        <f t="shared" si="12"/>
        <v>0.2630267991895382</v>
      </c>
      <c r="C59" s="1">
        <f t="shared" si="13"/>
        <v>3.8399129028376676E-14</v>
      </c>
      <c r="D59" s="1">
        <f t="shared" si="14"/>
        <v>0.33563198113849374</v>
      </c>
      <c r="E59" s="1">
        <f t="shared" si="15"/>
        <v>-5.2605330189748951E-2</v>
      </c>
      <c r="F59" s="1">
        <f t="shared" si="16"/>
        <v>2.0417337759842049E-6</v>
      </c>
      <c r="G59" s="1">
        <f t="shared" si="17"/>
        <v>-3.6226906517929609</v>
      </c>
      <c r="H59" s="1">
        <f t="shared" si="25"/>
        <v>-36.226906517929606</v>
      </c>
      <c r="J59" s="2">
        <v>4.57</v>
      </c>
      <c r="K59" s="1">
        <v>2.6915348039269089E-5</v>
      </c>
      <c r="L59" s="1">
        <v>3.7525058138814521E-10</v>
      </c>
      <c r="M59" s="1">
        <v>1.9564506525540894E-2</v>
      </c>
      <c r="N59" s="1">
        <v>7.2582245743184202E-5</v>
      </c>
      <c r="O59" s="1">
        <v>1.9562303872579557E-2</v>
      </c>
      <c r="P59" s="1">
        <v>1.8211653571542023E-2</v>
      </c>
      <c r="Q59" s="2">
        <v>0.18211653571542022</v>
      </c>
      <c r="S59" s="2">
        <v>0.57999999999999996</v>
      </c>
      <c r="T59" s="1">
        <f t="shared" si="18"/>
        <v>0.2630267991895382</v>
      </c>
      <c r="U59" s="1">
        <f t="shared" si="19"/>
        <v>3.8399129028376676E-14</v>
      </c>
      <c r="V59" s="1">
        <f t="shared" si="20"/>
        <v>-0.26302700685984431</v>
      </c>
      <c r="W59" s="1">
        <f t="shared" si="21"/>
        <v>0.12100900228661478</v>
      </c>
      <c r="X59" s="1">
        <f t="shared" si="22"/>
        <v>0.9999901151734063</v>
      </c>
      <c r="Y59" s="1">
        <f t="shared" si="23"/>
        <v>-11.519728603553148</v>
      </c>
      <c r="Z59" s="1">
        <f t="shared" si="24"/>
        <v>-575.98643017765733</v>
      </c>
      <c r="AB59">
        <v>1.89</v>
      </c>
      <c r="AC59">
        <v>1.2882495516931332E-2</v>
      </c>
      <c r="AD59">
        <v>7.8400958779497902E-13</v>
      </c>
      <c r="AE59">
        <v>-1.2869908926311747E-2</v>
      </c>
      <c r="AF59">
        <v>3.7623302975437249E-2</v>
      </c>
      <c r="AG59">
        <v>0.9997982164744853</v>
      </c>
      <c r="AH59">
        <v>1.2063255917709752</v>
      </c>
      <c r="AI59">
        <v>60.316279588548767</v>
      </c>
      <c r="AJ59"/>
      <c r="AK59"/>
      <c r="AL59"/>
      <c r="AM59"/>
      <c r="AN59"/>
      <c r="AO59"/>
      <c r="AP59"/>
      <c r="AQ59"/>
      <c r="AR59"/>
    </row>
    <row r="60" spans="1:44" ht="15" customHeight="1" x14ac:dyDescent="0.3">
      <c r="A60" s="2">
        <v>0.59</v>
      </c>
      <c r="B60" s="1">
        <f t="shared" si="12"/>
        <v>0.25703957827688634</v>
      </c>
      <c r="C60" s="1">
        <f t="shared" si="13"/>
        <v>3.9293559644422347E-14</v>
      </c>
      <c r="D60" s="1">
        <f t="shared" si="14"/>
        <v>0.32844731490192702</v>
      </c>
      <c r="E60" s="1">
        <f t="shared" si="15"/>
        <v>-5.1407885816987832E-2</v>
      </c>
      <c r="F60" s="1">
        <f t="shared" si="16"/>
        <v>2.0892917657048366E-6</v>
      </c>
      <c r="G60" s="1">
        <f t="shared" si="17"/>
        <v>-3.599594444564691</v>
      </c>
      <c r="H60" s="1">
        <f t="shared" si="25"/>
        <v>-35.995944445646906</v>
      </c>
      <c r="J60" s="2">
        <v>4.58</v>
      </c>
      <c r="K60" s="1">
        <v>2.6302679918953804E-5</v>
      </c>
      <c r="L60" s="1">
        <v>3.8399129028376699E-10</v>
      </c>
      <c r="M60" s="1">
        <v>1.9553138564525844E-2</v>
      </c>
      <c r="N60" s="1">
        <v>7.447690591235942E-5</v>
      </c>
      <c r="O60" s="1">
        <v>2.0008851140663916E-2</v>
      </c>
      <c r="P60" s="1">
        <v>1.8688820755340278E-2</v>
      </c>
      <c r="Q60" s="2">
        <v>0.18688820755340277</v>
      </c>
      <c r="S60" s="2">
        <v>0.59</v>
      </c>
      <c r="T60" s="1">
        <f t="shared" si="18"/>
        <v>0.25703957827688634</v>
      </c>
      <c r="U60" s="1">
        <f t="shared" si="19"/>
        <v>3.9293559644422347E-14</v>
      </c>
      <c r="V60" s="1">
        <f t="shared" si="20"/>
        <v>-0.25703977059729882</v>
      </c>
      <c r="W60" s="1">
        <f t="shared" si="21"/>
        <v>0.11901325686576626</v>
      </c>
      <c r="X60" s="1">
        <f t="shared" si="22"/>
        <v>0.99998988492854579</v>
      </c>
      <c r="Y60" s="1">
        <f t="shared" si="23"/>
        <v>-12.518976386423512</v>
      </c>
      <c r="Z60" s="1">
        <f t="shared" si="24"/>
        <v>-625.94881932117562</v>
      </c>
      <c r="AB60">
        <v>1.9</v>
      </c>
      <c r="AC60">
        <v>1.2589254117941664E-2</v>
      </c>
      <c r="AD60">
        <v>8.0227151707152477E-13</v>
      </c>
      <c r="AE60">
        <v>-1.2576354203843449E-2</v>
      </c>
      <c r="AF60">
        <v>3.7525451401281149E-2</v>
      </c>
      <c r="AG60">
        <v>0.99979351730288113</v>
      </c>
      <c r="AH60">
        <v>1.2013036426180972</v>
      </c>
      <c r="AI60">
        <v>60.065182130904859</v>
      </c>
      <c r="AJ60"/>
      <c r="AK60"/>
      <c r="AL60"/>
      <c r="AM60"/>
      <c r="AN60"/>
      <c r="AO60"/>
      <c r="AP60"/>
      <c r="AQ60"/>
      <c r="AR60"/>
    </row>
    <row r="61" spans="1:44" ht="15" customHeight="1" x14ac:dyDescent="0.3">
      <c r="A61" s="2">
        <v>0.6</v>
      </c>
      <c r="B61" s="1">
        <f t="shared" si="12"/>
        <v>0.25118864315095801</v>
      </c>
      <c r="C61" s="1">
        <f t="shared" si="13"/>
        <v>4.0208824225903217E-14</v>
      </c>
      <c r="D61" s="1">
        <f t="shared" si="14"/>
        <v>0.32142619158284225</v>
      </c>
      <c r="E61" s="1">
        <f t="shared" si="15"/>
        <v>-5.0237698597140369E-2</v>
      </c>
      <c r="F61" s="1">
        <f t="shared" si="16"/>
        <v>2.1379575186301073E-6</v>
      </c>
      <c r="G61" s="1">
        <f t="shared" si="17"/>
        <v>-3.5762631464683077</v>
      </c>
      <c r="H61" s="1">
        <f t="shared" si="25"/>
        <v>-35.762631464683075</v>
      </c>
      <c r="J61" s="2">
        <v>4.59</v>
      </c>
      <c r="K61" s="1">
        <v>2.5703957827688621E-5</v>
      </c>
      <c r="L61" s="1">
        <v>3.9293559644422365E-10</v>
      </c>
      <c r="M61" s="1">
        <v>1.9541551647205949E-2</v>
      </c>
      <c r="N61" s="1">
        <v>7.6408058799008716E-5</v>
      </c>
      <c r="O61" s="1">
        <v>2.0465378938219557E-2</v>
      </c>
      <c r="P61" s="1">
        <v>1.9175271965142154E-2</v>
      </c>
      <c r="Q61" s="2">
        <v>0.19175271965142154</v>
      </c>
      <c r="S61" s="2">
        <v>0.6</v>
      </c>
      <c r="T61" s="1">
        <f t="shared" si="18"/>
        <v>0.25118864315095801</v>
      </c>
      <c r="U61" s="1">
        <f t="shared" si="19"/>
        <v>4.0208824225903217E-14</v>
      </c>
      <c r="V61" s="1">
        <f t="shared" si="20"/>
        <v>-0.25118881976393681</v>
      </c>
      <c r="W61" s="1">
        <f t="shared" si="21"/>
        <v>0.11706293992131227</v>
      </c>
      <c r="X61" s="1">
        <f t="shared" si="22"/>
        <v>0.99998964932070322</v>
      </c>
      <c r="Y61" s="1">
        <f t="shared" si="23"/>
        <v>-13.72130951186157</v>
      </c>
      <c r="Z61" s="1">
        <f t="shared" si="24"/>
        <v>-686.06547559307853</v>
      </c>
      <c r="AB61">
        <v>1.91</v>
      </c>
      <c r="AC61">
        <v>1.2302687708123809E-2</v>
      </c>
      <c r="AD61">
        <v>8.2095882132574056E-13</v>
      </c>
      <c r="AE61">
        <v>-1.2289467174338405E-2</v>
      </c>
      <c r="AF61">
        <v>3.7429822391446134E-2</v>
      </c>
      <c r="AG61">
        <v>0.99978870871923753</v>
      </c>
      <c r="AH61">
        <v>1.1964109363924569</v>
      </c>
      <c r="AI61">
        <v>59.820546819622841</v>
      </c>
      <c r="AJ61"/>
      <c r="AK61"/>
      <c r="AL61"/>
      <c r="AM61"/>
      <c r="AN61"/>
      <c r="AO61"/>
      <c r="AP61"/>
      <c r="AQ61"/>
      <c r="AR61"/>
    </row>
    <row r="62" spans="1:44" ht="15" customHeight="1" x14ac:dyDescent="0.3">
      <c r="A62" s="2">
        <v>0.61</v>
      </c>
      <c r="B62" s="1">
        <f t="shared" si="12"/>
        <v>0.24547089156850299</v>
      </c>
      <c r="C62" s="1">
        <f t="shared" si="13"/>
        <v>4.1145408058215392E-14</v>
      </c>
      <c r="D62" s="1">
        <f t="shared" si="14"/>
        <v>0.31456488848872022</v>
      </c>
      <c r="E62" s="1">
        <f t="shared" si="15"/>
        <v>-4.9094148081453362E-2</v>
      </c>
      <c r="F62" s="1">
        <f t="shared" si="16"/>
        <v>2.1877568376590997E-6</v>
      </c>
      <c r="G62" s="1">
        <f t="shared" si="17"/>
        <v>-3.552699428580949</v>
      </c>
      <c r="H62" s="1">
        <f t="shared" si="25"/>
        <v>-35.526994285809486</v>
      </c>
      <c r="J62" s="2">
        <v>4.5999999999999996</v>
      </c>
      <c r="K62" s="1">
        <v>2.5118864315095791E-5</v>
      </c>
      <c r="L62" s="1">
        <v>4.0208824225903234E-10</v>
      </c>
      <c r="M62" s="1">
        <v>1.9529740446210284E-2</v>
      </c>
      <c r="N62" s="1">
        <v>7.8376592298286029E-5</v>
      </c>
      <c r="O62" s="1">
        <v>2.0932100521339578E-2</v>
      </c>
      <c r="P62" s="1">
        <v>1.9671236297937846E-2</v>
      </c>
      <c r="Q62" s="2">
        <v>0.19671236297937844</v>
      </c>
      <c r="S62" s="2">
        <v>0.61</v>
      </c>
      <c r="T62" s="1">
        <f t="shared" si="18"/>
        <v>0.24547089156850299</v>
      </c>
      <c r="U62" s="1">
        <f t="shared" si="19"/>
        <v>4.1145408058215392E-14</v>
      </c>
      <c r="V62" s="1">
        <f t="shared" si="20"/>
        <v>-0.24547105210818004</v>
      </c>
      <c r="W62" s="1">
        <f t="shared" si="21"/>
        <v>0.11515701736939335</v>
      </c>
      <c r="X62" s="1">
        <f t="shared" si="22"/>
        <v>0.99998940822496396</v>
      </c>
      <c r="Y62" s="1">
        <f t="shared" si="23"/>
        <v>-15.195208207906468</v>
      </c>
      <c r="Z62" s="1">
        <f t="shared" si="24"/>
        <v>-759.76041039532345</v>
      </c>
      <c r="AB62">
        <v>1.92</v>
      </c>
      <c r="AC62">
        <v>1.2022644346174125E-2</v>
      </c>
      <c r="AD62">
        <v>8.4008140881369797E-13</v>
      </c>
      <c r="AE62">
        <v>-1.2009095726638228E-2</v>
      </c>
      <c r="AF62">
        <v>3.7336365242212739E-2</v>
      </c>
      <c r="AG62">
        <v>0.99978378817717517</v>
      </c>
      <c r="AH62">
        <v>1.1916437782943297</v>
      </c>
      <c r="AI62">
        <v>59.582188914716475</v>
      </c>
      <c r="AJ62"/>
      <c r="AK62"/>
      <c r="AL62"/>
      <c r="AM62"/>
      <c r="AN62"/>
      <c r="AO62"/>
      <c r="AP62"/>
      <c r="AQ62"/>
      <c r="AR62"/>
    </row>
    <row r="63" spans="1:44" ht="15" customHeight="1" x14ac:dyDescent="0.3">
      <c r="A63" s="2">
        <v>0.62</v>
      </c>
      <c r="B63" s="1">
        <f t="shared" si="12"/>
        <v>0.23988329190194901</v>
      </c>
      <c r="C63" s="1">
        <f t="shared" si="13"/>
        <v>4.210380773050388E-14</v>
      </c>
      <c r="D63" s="1">
        <f t="shared" si="14"/>
        <v>0.3078597676658405</v>
      </c>
      <c r="E63" s="1">
        <f t="shared" si="15"/>
        <v>-4.7976627944306738E-2</v>
      </c>
      <c r="F63" s="1">
        <f t="shared" si="16"/>
        <v>2.2387161267072226E-6</v>
      </c>
      <c r="G63" s="1">
        <f t="shared" si="17"/>
        <v>-3.5289061398878157</v>
      </c>
      <c r="H63" s="1">
        <f t="shared" si="25"/>
        <v>-35.289061398878154</v>
      </c>
      <c r="J63" s="2">
        <v>4.6100000000000003</v>
      </c>
      <c r="K63" s="1">
        <v>2.4547089156850252E-5</v>
      </c>
      <c r="L63" s="1">
        <v>4.1145408058215471E-10</v>
      </c>
      <c r="M63" s="1">
        <v>1.9517699551790783E-2</v>
      </c>
      <c r="N63" s="1">
        <v>8.0383408034869543E-5</v>
      </c>
      <c r="O63" s="1">
        <v>2.1409233250460145E-2</v>
      </c>
      <c r="P63" s="1">
        <v>2.017694659527066E-2</v>
      </c>
      <c r="Q63" s="2">
        <v>0.20176946595270659</v>
      </c>
      <c r="S63" s="2">
        <v>0.62</v>
      </c>
      <c r="T63" s="1">
        <f t="shared" si="18"/>
        <v>0.23988329190194901</v>
      </c>
      <c r="U63" s="1">
        <f t="shared" si="19"/>
        <v>4.210380773050388E-14</v>
      </c>
      <c r="V63" s="1">
        <f t="shared" si="20"/>
        <v>-0.23988343599393439</v>
      </c>
      <c r="W63" s="1">
        <f t="shared" si="21"/>
        <v>0.1132944786646448</v>
      </c>
      <c r="X63" s="1">
        <f t="shared" si="22"/>
        <v>0.99998916151350392</v>
      </c>
      <c r="Y63" s="1">
        <f t="shared" si="23"/>
        <v>-17.043839254252074</v>
      </c>
      <c r="Z63" s="1">
        <f t="shared" si="24"/>
        <v>-852.19196271260364</v>
      </c>
      <c r="AB63">
        <v>1.93</v>
      </c>
      <c r="AC63">
        <v>1.1748975549395293E-2</v>
      </c>
      <c r="AD63">
        <v>8.5964941858440034E-13</v>
      </c>
      <c r="AE63">
        <v>-1.1735091204238959E-2</v>
      </c>
      <c r="AF63">
        <v>3.7245030401412992E-2</v>
      </c>
      <c r="AG63">
        <v>0.99977875307110342</v>
      </c>
      <c r="AH63">
        <v>1.1869985959566647</v>
      </c>
      <c r="AI63">
        <v>59.349929797833241</v>
      </c>
      <c r="AJ63"/>
      <c r="AK63"/>
      <c r="AL63"/>
      <c r="AM63"/>
      <c r="AN63"/>
      <c r="AO63"/>
      <c r="AP63"/>
      <c r="AQ63"/>
      <c r="AR63"/>
    </row>
    <row r="64" spans="1:44" ht="15" customHeight="1" x14ac:dyDescent="0.3">
      <c r="A64" s="2">
        <v>0.63</v>
      </c>
      <c r="B64" s="1">
        <f t="shared" si="12"/>
        <v>0.23442288153199217</v>
      </c>
      <c r="C64" s="1">
        <f t="shared" si="13"/>
        <v>4.3084531398960864E-14</v>
      </c>
      <c r="D64" s="1">
        <f t="shared" si="14"/>
        <v>0.30130727397038959</v>
      </c>
      <c r="E64" s="1">
        <f t="shared" si="15"/>
        <v>-4.68845456617316E-2</v>
      </c>
      <c r="F64" s="1">
        <f t="shared" si="16"/>
        <v>2.2908624047051921E-6</v>
      </c>
      <c r="G64" s="1">
        <f t="shared" si="17"/>
        <v>-3.5048863080307116</v>
      </c>
      <c r="H64" s="1">
        <f t="shared" si="25"/>
        <v>-35.048863080307115</v>
      </c>
      <c r="J64" s="2">
        <v>4.62</v>
      </c>
      <c r="K64" s="1">
        <v>2.3988329190194856E-5</v>
      </c>
      <c r="L64" s="1">
        <v>4.2103807730503957E-10</v>
      </c>
      <c r="M64" s="1">
        <v>1.9505423470544327E-2</v>
      </c>
      <c r="N64" s="1">
        <v>8.2429421575945451E-5</v>
      </c>
      <c r="O64" s="1">
        <v>2.1896998648233402E-2</v>
      </c>
      <c r="P64" s="1">
        <v>2.069263950926779E-2</v>
      </c>
      <c r="Q64" s="2">
        <v>0.20692639509267788</v>
      </c>
      <c r="S64" s="2">
        <v>0.63</v>
      </c>
      <c r="T64" s="1">
        <f t="shared" si="18"/>
        <v>0.23442288153199217</v>
      </c>
      <c r="U64" s="1">
        <f t="shared" si="19"/>
        <v>4.3084531398960864E-14</v>
      </c>
      <c r="V64" s="1">
        <f t="shared" si="20"/>
        <v>-0.23442300879317554</v>
      </c>
      <c r="W64" s="1">
        <f t="shared" si="21"/>
        <v>0.11147433626439185</v>
      </c>
      <c r="X64" s="1">
        <f t="shared" si="22"/>
        <v>0.99998890905552162</v>
      </c>
      <c r="Y64" s="1">
        <f t="shared" si="23"/>
        <v>-19.430202095493527</v>
      </c>
      <c r="Z64" s="1">
        <f t="shared" si="24"/>
        <v>-971.51010477467628</v>
      </c>
      <c r="AB64">
        <v>1.94</v>
      </c>
      <c r="AC64">
        <v>1.1481536214968826E-2</v>
      </c>
      <c r="AD64">
        <v>8.7967322585564147E-13</v>
      </c>
      <c r="AE64">
        <v>-1.1467308326471682E-2</v>
      </c>
      <c r="AF64">
        <v>3.7155769442157226E-2</v>
      </c>
      <c r="AG64">
        <v>0.99977360073484578</v>
      </c>
      <c r="AH64">
        <v>1.1824719345703023</v>
      </c>
      <c r="AI64">
        <v>59.123596728515118</v>
      </c>
      <c r="AJ64"/>
      <c r="AK64"/>
      <c r="AL64"/>
      <c r="AM64"/>
      <c r="AN64"/>
      <c r="AO64"/>
      <c r="AP64"/>
      <c r="AQ64"/>
      <c r="AR64"/>
    </row>
    <row r="65" spans="1:44" ht="15" customHeight="1" x14ac:dyDescent="0.3">
      <c r="A65" s="2">
        <v>0.64</v>
      </c>
      <c r="B65" s="1">
        <f t="shared" si="12"/>
        <v>0.22908676527677729</v>
      </c>
      <c r="C65" s="1">
        <f t="shared" si="13"/>
        <v>4.4088099056256763E-14</v>
      </c>
      <c r="D65" s="1">
        <f t="shared" si="14"/>
        <v>0.29490393318347796</v>
      </c>
      <c r="E65" s="1">
        <f t="shared" si="15"/>
        <v>-4.5817322197246317E-2</v>
      </c>
      <c r="F65" s="1">
        <f t="shared" si="16"/>
        <v>2.344223319924065E-6</v>
      </c>
      <c r="G65" s="1">
        <f t="shared" si="17"/>
        <v>-3.4806431398057729</v>
      </c>
      <c r="H65" s="1">
        <f t="shared" si="25"/>
        <v>-34.806431398057725</v>
      </c>
      <c r="J65" s="2">
        <v>4.63</v>
      </c>
      <c r="K65" s="1">
        <v>2.3442288153199218E-5</v>
      </c>
      <c r="L65" s="1">
        <v>4.3084531398960858E-10</v>
      </c>
      <c r="M65" s="1">
        <v>1.9492906624156557E-2</v>
      </c>
      <c r="N65" s="1">
        <v>8.4515562640573847E-5</v>
      </c>
      <c r="O65" s="1">
        <v>2.239562245717041E-2</v>
      </c>
      <c r="P65" s="1">
        <v>2.1218555568257039E-2</v>
      </c>
      <c r="Q65" s="2">
        <v>0.21218555568257039</v>
      </c>
      <c r="S65" s="2">
        <v>0.64</v>
      </c>
      <c r="T65" s="1">
        <f t="shared" si="18"/>
        <v>0.22908676527677729</v>
      </c>
      <c r="U65" s="1">
        <f t="shared" si="19"/>
        <v>4.4088099056256763E-14</v>
      </c>
      <c r="V65" s="1">
        <f t="shared" si="20"/>
        <v>-0.22908687531512478</v>
      </c>
      <c r="W65" s="1">
        <f t="shared" si="21"/>
        <v>0.10969562510504159</v>
      </c>
      <c r="X65" s="1">
        <f t="shared" si="22"/>
        <v>0.99998865071716947</v>
      </c>
      <c r="Y65" s="1">
        <f t="shared" si="23"/>
        <v>-22.62786028061284</v>
      </c>
      <c r="Z65" s="1">
        <f t="shared" si="24"/>
        <v>-1131.393014030642</v>
      </c>
      <c r="AB65">
        <v>1.95</v>
      </c>
      <c r="AC65">
        <v>1.1220184543019634E-2</v>
      </c>
      <c r="AD65">
        <v>9.0016344751508294E-13</v>
      </c>
      <c r="AE65">
        <v>-1.1205605111473149E-2</v>
      </c>
      <c r="AF65">
        <v>3.7068535037157721E-2</v>
      </c>
      <c r="AG65">
        <v>0.99976832844023389</v>
      </c>
      <c r="AH65">
        <v>1.1780604522410127</v>
      </c>
      <c r="AI65">
        <v>58.903022612050634</v>
      </c>
      <c r="AJ65"/>
      <c r="AK65"/>
      <c r="AL65"/>
      <c r="AM65"/>
      <c r="AN65"/>
      <c r="AO65"/>
      <c r="AP65"/>
      <c r="AQ65"/>
      <c r="AR65"/>
    </row>
    <row r="66" spans="1:44" ht="15" customHeight="1" x14ac:dyDescent="0.3">
      <c r="A66" s="2">
        <v>0.65</v>
      </c>
      <c r="B66" s="1">
        <f t="shared" si="12"/>
        <v>0.22387211385683392</v>
      </c>
      <c r="C66" s="1">
        <f t="shared" si="13"/>
        <v>4.5115042807247282E-14</v>
      </c>
      <c r="D66" s="1">
        <f t="shared" si="14"/>
        <v>0.28864635016906193</v>
      </c>
      <c r="E66" s="1">
        <f t="shared" si="15"/>
        <v>-4.4774391694843658E-2</v>
      </c>
      <c r="F66" s="1">
        <f t="shared" si="16"/>
        <v>2.39882716463392E-6</v>
      </c>
      <c r="G66" s="1">
        <f t="shared" si="17"/>
        <v>-3.4561800214024947</v>
      </c>
      <c r="H66" s="1">
        <f t="shared" si="25"/>
        <v>-34.561800214024942</v>
      </c>
      <c r="J66" s="2">
        <v>4.6399999999999997</v>
      </c>
      <c r="K66" s="1">
        <v>2.2908676527677729E-5</v>
      </c>
      <c r="L66" s="1">
        <v>4.4088099056256765E-10</v>
      </c>
      <c r="M66" s="1">
        <v>1.9480143348169263E-2</v>
      </c>
      <c r="N66" s="1">
        <v>8.6642775305122486E-5</v>
      </c>
      <c r="O66" s="1">
        <v>2.2905334696986968E-2</v>
      </c>
      <c r="P66" s="1">
        <v>2.1754939241906281E-2</v>
      </c>
      <c r="Q66" s="2">
        <v>0.21754939241906279</v>
      </c>
      <c r="S66" s="2">
        <v>0.65</v>
      </c>
      <c r="T66" s="1">
        <f t="shared" si="18"/>
        <v>0.22387211385683392</v>
      </c>
      <c r="U66" s="1">
        <f t="shared" si="19"/>
        <v>4.5115042807247282E-14</v>
      </c>
      <c r="V66" s="1">
        <f t="shared" si="20"/>
        <v>-0.22387220627118026</v>
      </c>
      <c r="W66" s="1">
        <f t="shared" si="21"/>
        <v>0.10795740209039342</v>
      </c>
      <c r="X66" s="1">
        <f t="shared" si="22"/>
        <v>0.99998838636148224</v>
      </c>
      <c r="Y66" s="1">
        <f t="shared" si="23"/>
        <v>-27.133831083067964</v>
      </c>
      <c r="Z66" s="1">
        <f t="shared" si="24"/>
        <v>-1356.6915541533983</v>
      </c>
      <c r="AB66">
        <v>1.96</v>
      </c>
      <c r="AC66">
        <v>1.0964781961431851E-2</v>
      </c>
      <c r="AD66">
        <v>9.2113094774946882E-13</v>
      </c>
      <c r="AE66">
        <v>-1.0949842800905567E-2</v>
      </c>
      <c r="AF66">
        <v>3.698328093363519E-2</v>
      </c>
      <c r="AG66">
        <v>0.9997629333956688</v>
      </c>
      <c r="AH66">
        <v>1.1737609155655018</v>
      </c>
      <c r="AI66">
        <v>58.68804577827509</v>
      </c>
      <c r="AJ66"/>
      <c r="AK66"/>
      <c r="AL66"/>
      <c r="AM66"/>
      <c r="AN66"/>
      <c r="AO66"/>
      <c r="AP66"/>
      <c r="AQ66"/>
      <c r="AR66"/>
    </row>
    <row r="67" spans="1:44" ht="15" customHeight="1" x14ac:dyDescent="0.3">
      <c r="A67" s="2">
        <v>0.66</v>
      </c>
      <c r="B67" s="1">
        <f t="shared" ref="B67:B130" si="26">10^(-A67)</f>
        <v>0.21877616239495523</v>
      </c>
      <c r="C67" s="1">
        <f t="shared" ref="C67:C130" si="27">Kw/B67</f>
        <v>4.616590715110238E-14</v>
      </c>
      <c r="D67" s="1">
        <f t="shared" ref="D67:D130" si="28">((WASB_Ca*WASB_Va)-(WASB_Cb*H67))/(WASB_Va+H67)</f>
        <v>0.28253120707379892</v>
      </c>
      <c r="E67" s="1">
        <f t="shared" ref="E67:E130" si="29">(WASB_Ca*H67)/(WASB_Va+H67)</f>
        <v>-4.3755201178966481E-2</v>
      </c>
      <c r="F67" s="1">
        <f t="shared" ref="F67:F130" si="30">WASB_Ka/(B67+WASB_Ka)</f>
        <v>2.4547028901039598E-6</v>
      </c>
      <c r="G67" s="1">
        <f t="shared" ref="G67:G130" si="31">(F67-((B67-C67)/WASB_Ca)) / (1 + ((B67-C67)/WASB_Cb))</f>
        <v>-3.4315005183766711</v>
      </c>
      <c r="H67" s="1">
        <f t="shared" si="25"/>
        <v>-34.315005183766708</v>
      </c>
      <c r="J67" s="2">
        <v>4.6500000000000004</v>
      </c>
      <c r="K67" s="1">
        <v>2.2387211385683359E-5</v>
      </c>
      <c r="L67" s="1">
        <v>4.5115042807247348E-10</v>
      </c>
      <c r="M67" s="1">
        <v>1.9467127890773341E-2</v>
      </c>
      <c r="N67" s="1">
        <v>8.8812018204443096E-5</v>
      </c>
      <c r="O67" s="1">
        <v>2.3426369721582397E-2</v>
      </c>
      <c r="P67" s="1">
        <v>2.2302039005819826E-2</v>
      </c>
      <c r="Q67" s="2">
        <v>0.22302039005819826</v>
      </c>
      <c r="S67" s="2">
        <v>0.66</v>
      </c>
      <c r="T67" s="1">
        <f t="shared" ref="T67:T130" si="32">10^-S67</f>
        <v>0.21877616239495523</v>
      </c>
      <c r="U67" s="1">
        <f t="shared" ref="U67:U130" si="33">Kw/T67</f>
        <v>4.616590715110238E-14</v>
      </c>
      <c r="V67" s="1">
        <f t="shared" ref="V67:V130" si="34">((SAWB_Cb*SAWB_Vb)-(SAWB_Ca*Z67))/(Z67+SAWB_Vb)</f>
        <v>-0.21877623677479111</v>
      </c>
      <c r="W67" s="1">
        <f t="shared" ref="W67:W130" si="35">(SAWB_Cb*Z67)/(Z67+SAWB_Vb)</f>
        <v>0.10625874559159704</v>
      </c>
      <c r="X67" s="1">
        <f t="shared" ref="X67:X130" si="36">T67/(T67+SAWB_Ka)</f>
        <v>0.99998811584830483</v>
      </c>
      <c r="Y67" s="1">
        <f t="shared" ref="Y67:Y130" si="37">(X67+((T67-U67)/SAWB_Cb))/(1-((T67-U67)/SAWB_Ca))</f>
        <v>-33.955285140287408</v>
      </c>
      <c r="Z67" s="1">
        <f t="shared" ref="Z67:Z130" si="38">(Y67*SAWB_Cb*SAWB_Vb)/SAWB_Ca</f>
        <v>-1697.7642570143705</v>
      </c>
      <c r="AB67">
        <v>1.97</v>
      </c>
      <c r="AC67">
        <v>1.0715193052376056E-2</v>
      </c>
      <c r="AD67">
        <v>9.4258684380496159E-13</v>
      </c>
      <c r="AE67">
        <v>-1.0699885786385217E-2</v>
      </c>
      <c r="AF67">
        <v>3.6899961928795078E-2</v>
      </c>
      <c r="AG67">
        <v>0.99975741274464858</v>
      </c>
      <c r="AH67">
        <v>1.1695701954143194</v>
      </c>
      <c r="AI67">
        <v>58.478509770715966</v>
      </c>
      <c r="AJ67"/>
      <c r="AK67"/>
      <c r="AL67"/>
      <c r="AM67"/>
      <c r="AN67"/>
      <c r="AO67"/>
      <c r="AP67"/>
      <c r="AQ67"/>
      <c r="AR67"/>
    </row>
    <row r="68" spans="1:44" ht="15" customHeight="1" x14ac:dyDescent="0.3">
      <c r="A68" s="2">
        <v>0.67</v>
      </c>
      <c r="B68" s="1">
        <f t="shared" si="26"/>
        <v>0.21379620895022314</v>
      </c>
      <c r="C68" s="1">
        <f t="shared" si="27"/>
        <v>4.724124927000703E-14</v>
      </c>
      <c r="D68" s="1">
        <f t="shared" si="28"/>
        <v>0.27655526156787574</v>
      </c>
      <c r="E68" s="1">
        <f t="shared" si="29"/>
        <v>-4.275921026131263E-2</v>
      </c>
      <c r="F68" s="1">
        <f t="shared" si="30"/>
        <v>2.5118801219519835E-6</v>
      </c>
      <c r="G68" s="1">
        <f t="shared" si="31"/>
        <v>-3.4066083753503804</v>
      </c>
      <c r="H68" s="1">
        <f t="shared" ref="H68:H131" si="39">G68*(WASB_Va * WASB_Ca)/WASB_Cb</f>
        <v>-34.066083753503804</v>
      </c>
      <c r="J68" s="2">
        <v>4.66</v>
      </c>
      <c r="K68" s="1">
        <v>2.1877616239495489E-5</v>
      </c>
      <c r="L68" s="1">
        <v>4.616590715110245E-10</v>
      </c>
      <c r="M68" s="1">
        <v>1.9453854411629307E-2</v>
      </c>
      <c r="N68" s="1">
        <v>9.1024264728448596E-5</v>
      </c>
      <c r="O68" s="1">
        <v>2.3958966275577753E-2</v>
      </c>
      <c r="P68" s="1">
        <v>2.28601074055222E-2</v>
      </c>
      <c r="Q68" s="2">
        <v>0.22860107405522198</v>
      </c>
      <c r="S68" s="2">
        <v>0.67</v>
      </c>
      <c r="T68" s="1">
        <f t="shared" si="32"/>
        <v>0.21379620895022314</v>
      </c>
      <c r="U68" s="1">
        <f t="shared" si="33"/>
        <v>4.724124927000703E-14</v>
      </c>
      <c r="V68" s="1">
        <f t="shared" si="34"/>
        <v>-0.21379626487547759</v>
      </c>
      <c r="W68" s="1">
        <f t="shared" si="35"/>
        <v>0.10459875495849252</v>
      </c>
      <c r="X68" s="1">
        <f t="shared" si="36"/>
        <v>0.99998783903421751</v>
      </c>
      <c r="Y68" s="1">
        <f t="shared" si="37"/>
        <v>-45.490031933678019</v>
      </c>
      <c r="Z68" s="1">
        <f t="shared" si="38"/>
        <v>-2274.5015966839005</v>
      </c>
      <c r="AB68">
        <v>1.98</v>
      </c>
      <c r="AC68">
        <v>1.0471285480508989E-2</v>
      </c>
      <c r="AD68">
        <v>9.6454251188165087E-13</v>
      </c>
      <c r="AE68">
        <v>-1.0455601537581693E-2</v>
      </c>
      <c r="AF68">
        <v>3.6818533845860563E-2</v>
      </c>
      <c r="AG68">
        <v>0.99975176356426287</v>
      </c>
      <c r="AH68">
        <v>1.1654852629103902</v>
      </c>
      <c r="AI68">
        <v>58.274263145519512</v>
      </c>
      <c r="AJ68"/>
      <c r="AK68"/>
      <c r="AL68"/>
      <c r="AM68"/>
      <c r="AN68"/>
      <c r="AO68"/>
      <c r="AP68"/>
      <c r="AQ68"/>
      <c r="AR68"/>
    </row>
    <row r="69" spans="1:44" ht="15" customHeight="1" x14ac:dyDescent="0.3">
      <c r="A69" s="2">
        <v>0.68</v>
      </c>
      <c r="B69" s="1">
        <f t="shared" si="26"/>
        <v>0.20892961308540392</v>
      </c>
      <c r="C69" s="1">
        <f t="shared" si="27"/>
        <v>4.8341639324586476E-14</v>
      </c>
      <c r="D69" s="1">
        <f t="shared" si="28"/>
        <v>0.27071534512588458</v>
      </c>
      <c r="E69" s="1">
        <f t="shared" si="29"/>
        <v>-4.1785890854314098E-2</v>
      </c>
      <c r="F69" s="1">
        <f t="shared" si="30"/>
        <v>2.5703891758513653E-6</v>
      </c>
      <c r="G69" s="1">
        <f t="shared" si="31"/>
        <v>-3.3815075154327463</v>
      </c>
      <c r="H69" s="1">
        <f t="shared" si="39"/>
        <v>-33.815075154327459</v>
      </c>
      <c r="J69" s="2">
        <v>4.67</v>
      </c>
      <c r="K69" s="1">
        <v>2.1379620895022286E-5</v>
      </c>
      <c r="L69" s="1">
        <v>4.7241249270007091E-10</v>
      </c>
      <c r="M69" s="1">
        <v>1.9440316980717604E-2</v>
      </c>
      <c r="N69" s="1">
        <v>9.3280503213732864E-5</v>
      </c>
      <c r="O69" s="1">
        <v>2.4503367550336014E-2</v>
      </c>
      <c r="P69" s="1">
        <v>2.3429401119755576E-2</v>
      </c>
      <c r="Q69" s="2">
        <v>0.23429401119755575</v>
      </c>
      <c r="S69" s="2">
        <v>0.68</v>
      </c>
      <c r="T69" s="1">
        <f t="shared" si="32"/>
        <v>0.20892961308540392</v>
      </c>
      <c r="U69" s="1">
        <f t="shared" si="33"/>
        <v>4.8341639324586476E-14</v>
      </c>
      <c r="V69" s="1">
        <f t="shared" si="34"/>
        <v>-0.20892965012622158</v>
      </c>
      <c r="W69" s="1">
        <f t="shared" si="35"/>
        <v>0.10297655004207386</v>
      </c>
      <c r="X69" s="1">
        <f t="shared" si="36"/>
        <v>0.99998755577246035</v>
      </c>
      <c r="Y69" s="1">
        <f t="shared" si="37"/>
        <v>-69.191882270742468</v>
      </c>
      <c r="Z69" s="1">
        <f t="shared" si="38"/>
        <v>-3459.5941135371236</v>
      </c>
      <c r="AB69">
        <v>1.99</v>
      </c>
      <c r="AC69">
        <v>1.0232929922807535E-2</v>
      </c>
      <c r="AD69">
        <v>9.8700959316536932E-13</v>
      </c>
      <c r="AE69">
        <v>-1.021686053194891E-2</v>
      </c>
      <c r="AF69">
        <v>3.6738953510649638E-2</v>
      </c>
      <c r="AG69">
        <v>0.99974598286365157</v>
      </c>
      <c r="AH69">
        <v>1.1615031855925566</v>
      </c>
      <c r="AI69">
        <v>58.075159279627833</v>
      </c>
      <c r="AJ69"/>
      <c r="AK69"/>
      <c r="AL69"/>
      <c r="AM69"/>
      <c r="AN69"/>
      <c r="AO69"/>
      <c r="AP69"/>
      <c r="AQ69"/>
      <c r="AR69"/>
    </row>
    <row r="70" spans="1:44" ht="15" customHeight="1" x14ac:dyDescent="0.3">
      <c r="A70" s="2">
        <v>0.69</v>
      </c>
      <c r="B70" s="1">
        <f t="shared" si="26"/>
        <v>0.20417379446695291</v>
      </c>
      <c r="C70" s="1">
        <f t="shared" si="27"/>
        <v>4.9467660756213065E-14</v>
      </c>
      <c r="D70" s="1">
        <f t="shared" si="28"/>
        <v>0.26500836134682709</v>
      </c>
      <c r="E70" s="1">
        <f t="shared" si="29"/>
        <v>-4.0834726891137846E-2</v>
      </c>
      <c r="F70" s="1">
        <f t="shared" si="30"/>
        <v>2.6302610736038686E-6</v>
      </c>
      <c r="G70" s="1">
        <f t="shared" si="31"/>
        <v>-3.3562020393557885</v>
      </c>
      <c r="H70" s="1">
        <f t="shared" si="39"/>
        <v>-33.56202039355788</v>
      </c>
      <c r="J70" s="2">
        <v>4.68</v>
      </c>
      <c r="K70" s="1">
        <v>2.0892961308540399E-5</v>
      </c>
      <c r="L70" s="1">
        <v>4.834163932458646E-10</v>
      </c>
      <c r="M70" s="1">
        <v>1.9426509577220873E-2</v>
      </c>
      <c r="N70" s="1">
        <v>9.5581737129854299E-5</v>
      </c>
      <c r="O70" s="1">
        <v>2.5059821239382125E-2</v>
      </c>
      <c r="P70" s="1">
        <v>2.401018102301267E-2</v>
      </c>
      <c r="Q70" s="2">
        <v>0.24010181023012669</v>
      </c>
      <c r="S70" s="2">
        <v>0.69</v>
      </c>
      <c r="T70" s="1">
        <f t="shared" si="32"/>
        <v>0.20417379446695291</v>
      </c>
      <c r="U70" s="1">
        <f t="shared" si="33"/>
        <v>4.9467660756213065E-14</v>
      </c>
      <c r="V70" s="1">
        <f t="shared" si="34"/>
        <v>-0.20417381218346617</v>
      </c>
      <c r="W70" s="1">
        <f t="shared" si="35"/>
        <v>0.10139127072782206</v>
      </c>
      <c r="X70" s="1">
        <f t="shared" si="36"/>
        <v>0.99998726591285547</v>
      </c>
      <c r="Y70" s="1">
        <f t="shared" si="37"/>
        <v>-145.75347371326396</v>
      </c>
      <c r="Z70" s="1">
        <f t="shared" si="38"/>
        <v>-7287.6736856631969</v>
      </c>
      <c r="AB70">
        <v>2</v>
      </c>
      <c r="AC70">
        <v>0.01</v>
      </c>
      <c r="AD70">
        <v>1.0099999999999999E-12</v>
      </c>
      <c r="AE70">
        <v>-9.983536186050827E-3</v>
      </c>
      <c r="AF70">
        <v>3.6661178728683609E-2</v>
      </c>
      <c r="AG70">
        <v>0.9997400675824285</v>
      </c>
      <c r="AH70">
        <v>1.1576211237541922</v>
      </c>
      <c r="AI70">
        <v>57.881056187709611</v>
      </c>
      <c r="AJ70"/>
      <c r="AK70"/>
      <c r="AL70"/>
      <c r="AM70"/>
      <c r="AN70"/>
      <c r="AO70"/>
      <c r="AP70"/>
      <c r="AQ70"/>
      <c r="AR70"/>
    </row>
    <row r="71" spans="1:44" ht="15" customHeight="1" x14ac:dyDescent="0.3">
      <c r="A71" s="2">
        <v>0.7</v>
      </c>
      <c r="B71" s="1">
        <f t="shared" si="26"/>
        <v>0.19952623149688795</v>
      </c>
      <c r="C71" s="1">
        <f t="shared" si="27"/>
        <v>5.0619910596354503E-14</v>
      </c>
      <c r="D71" s="1">
        <f t="shared" si="28"/>
        <v>0.25943128431236329</v>
      </c>
      <c r="E71" s="1">
        <f t="shared" si="29"/>
        <v>-3.9905214052060552E-2</v>
      </c>
      <c r="F71" s="1">
        <f t="shared" si="30"/>
        <v>2.6915275595868123E-6</v>
      </c>
      <c r="G71" s="1">
        <f t="shared" si="31"/>
        <v>-3.3306962243203886</v>
      </c>
      <c r="H71" s="1">
        <f t="shared" si="39"/>
        <v>-33.306962243203884</v>
      </c>
      <c r="J71" s="2">
        <v>4.6900000000000004</v>
      </c>
      <c r="K71" s="1">
        <v>2.0417379446695267E-5</v>
      </c>
      <c r="L71" s="1">
        <v>4.9467660756213122E-10</v>
      </c>
      <c r="M71" s="1">
        <v>1.941242608844064E-2</v>
      </c>
      <c r="N71" s="1">
        <v>9.7928985259893136E-5</v>
      </c>
      <c r="O71" s="1">
        <v>2.5628579593138093E-2</v>
      </c>
      <c r="P71" s="1">
        <v>2.4602712247223876E-2</v>
      </c>
      <c r="Q71" s="2">
        <v>0.24602712247223874</v>
      </c>
      <c r="S71" s="2">
        <v>0.7</v>
      </c>
      <c r="T71" s="1">
        <f t="shared" si="32"/>
        <v>0.19952623149688795</v>
      </c>
      <c r="U71" s="1">
        <f t="shared" si="33"/>
        <v>5.0619910596354503E-14</v>
      </c>
      <c r="V71" s="1">
        <f t="shared" si="34"/>
        <v>-0.19952622943898357</v>
      </c>
      <c r="W71" s="1">
        <f t="shared" si="35"/>
        <v>9.9842076479661201E-2</v>
      </c>
      <c r="X71" s="1">
        <f t="shared" si="36"/>
        <v>0.99998696930172704</v>
      </c>
      <c r="Y71" s="1">
        <f t="shared" si="37"/>
        <v>1264.4358011454808</v>
      </c>
      <c r="Z71" s="1">
        <f t="shared" si="38"/>
        <v>63221.790057274033</v>
      </c>
      <c r="AB71">
        <v>2.0099999999999998</v>
      </c>
      <c r="AC71">
        <v>9.7723722095581049E-3</v>
      </c>
      <c r="AD71">
        <v>1.0335259222035619E-12</v>
      </c>
      <c r="AE71">
        <v>-9.7555047884458363E-3</v>
      </c>
      <c r="AF71">
        <v>3.6585168262815278E-2</v>
      </c>
      <c r="AG71">
        <v>0.99973401458906885</v>
      </c>
      <c r="AH71">
        <v>1.1538363269475564</v>
      </c>
      <c r="AI71">
        <v>57.691816347377824</v>
      </c>
      <c r="AJ71"/>
      <c r="AK71"/>
      <c r="AL71"/>
      <c r="AM71"/>
      <c r="AN71"/>
      <c r="AO71"/>
      <c r="AP71"/>
      <c r="AQ71"/>
      <c r="AR71"/>
    </row>
    <row r="72" spans="1:44" ht="15" customHeight="1" x14ac:dyDescent="0.3">
      <c r="A72" s="2">
        <v>0.71</v>
      </c>
      <c r="B72" s="1">
        <f t="shared" si="26"/>
        <v>0.19498445997580449</v>
      </c>
      <c r="C72" s="1">
        <f t="shared" si="27"/>
        <v>5.1798999783127857E-14</v>
      </c>
      <c r="D72" s="1">
        <f t="shared" si="28"/>
        <v>0.25398115698242768</v>
      </c>
      <c r="E72" s="1">
        <f t="shared" si="29"/>
        <v>-3.8996859497071275E-2</v>
      </c>
      <c r="F72" s="1">
        <f t="shared" si="30"/>
        <v>2.7542211175833081E-6</v>
      </c>
      <c r="G72" s="1">
        <f t="shared" si="31"/>
        <v>-3.3049945225480317</v>
      </c>
      <c r="H72" s="1">
        <f t="shared" si="39"/>
        <v>-33.049945225480315</v>
      </c>
      <c r="J72" s="2">
        <v>4.7</v>
      </c>
      <c r="K72" s="1">
        <v>1.9952623149688769E-5</v>
      </c>
      <c r="L72" s="1">
        <v>5.0619910596354569E-10</v>
      </c>
      <c r="M72" s="1">
        <v>1.9398060308750801E-2</v>
      </c>
      <c r="N72" s="1">
        <v>1.0032328187486665E-4</v>
      </c>
      <c r="O72" s="1">
        <v>2.6209899472882294E-2</v>
      </c>
      <c r="P72" s="1">
        <v>2.5207264242511445E-2</v>
      </c>
      <c r="Q72" s="2">
        <v>0.25207264242511446</v>
      </c>
      <c r="S72" s="2">
        <v>0.71</v>
      </c>
      <c r="T72" s="1">
        <f t="shared" si="32"/>
        <v>0.19498445997580449</v>
      </c>
      <c r="U72" s="1">
        <f t="shared" si="33"/>
        <v>5.1798999783127857E-14</v>
      </c>
      <c r="V72" s="1">
        <f t="shared" si="34"/>
        <v>-0.19498443768288529</v>
      </c>
      <c r="W72" s="1">
        <f t="shared" si="35"/>
        <v>9.8328145894295088E-2</v>
      </c>
      <c r="X72" s="1">
        <f t="shared" si="36"/>
        <v>0.99998666578182005</v>
      </c>
      <c r="Y72" s="1">
        <f t="shared" si="37"/>
        <v>117.62766327368834</v>
      </c>
      <c r="Z72" s="1">
        <f t="shared" si="38"/>
        <v>5881.3831636844179</v>
      </c>
      <c r="AB72">
        <v>2.02</v>
      </c>
      <c r="AC72">
        <v>9.5499258602143571E-3</v>
      </c>
      <c r="AD72">
        <v>1.0575998335314087E-12</v>
      </c>
      <c r="AE72">
        <v>-9.5326454340936874E-3</v>
      </c>
      <c r="AF72">
        <v>3.6510881811364568E-2</v>
      </c>
      <c r="AG72">
        <v>0.99972782067925836</v>
      </c>
      <c r="AH72">
        <v>1.15014613064511</v>
      </c>
      <c r="AI72">
        <v>57.507306532255498</v>
      </c>
      <c r="AJ72"/>
      <c r="AK72"/>
      <c r="AL72"/>
      <c r="AM72"/>
      <c r="AN72"/>
      <c r="AO72"/>
      <c r="AP72"/>
      <c r="AQ72"/>
      <c r="AR72"/>
    </row>
    <row r="73" spans="1:44" ht="15" customHeight="1" x14ac:dyDescent="0.3">
      <c r="A73" s="2">
        <v>0.72</v>
      </c>
      <c r="B73" s="1">
        <f t="shared" si="26"/>
        <v>0.19054607179632471</v>
      </c>
      <c r="C73" s="1">
        <f t="shared" si="27"/>
        <v>5.3005553485227029E-14</v>
      </c>
      <c r="D73" s="1">
        <f t="shared" si="28"/>
        <v>0.24865508962736926</v>
      </c>
      <c r="E73" s="1">
        <f t="shared" si="29"/>
        <v>-3.8109181604561546E-2</v>
      </c>
      <c r="F73" s="1">
        <f t="shared" si="30"/>
        <v>2.8183749880044921E-6</v>
      </c>
      <c r="G73" s="1">
        <f t="shared" si="31"/>
        <v>-3.2791015595347837</v>
      </c>
      <c r="H73" s="1">
        <f t="shared" si="39"/>
        <v>-32.791015595347837</v>
      </c>
      <c r="J73" s="2">
        <v>4.71</v>
      </c>
      <c r="K73" s="1">
        <v>1.9498445997580432E-5</v>
      </c>
      <c r="L73" s="1">
        <v>5.1798999783127904E-10</v>
      </c>
      <c r="M73" s="1">
        <v>1.9383405938590531E-2</v>
      </c>
      <c r="N73" s="1">
        <v>1.0276567690157836E-4</v>
      </c>
      <c r="O73" s="1">
        <v>2.6804042403840177E-2</v>
      </c>
      <c r="P73" s="1">
        <v>2.582411083692147E-2</v>
      </c>
      <c r="Q73" s="2">
        <v>0.25824110836921471</v>
      </c>
      <c r="S73" s="2">
        <v>0.72</v>
      </c>
      <c r="T73" s="1">
        <f t="shared" si="32"/>
        <v>0.19054607179632471</v>
      </c>
      <c r="U73" s="1">
        <f t="shared" si="33"/>
        <v>5.3005553485227029E-14</v>
      </c>
      <c r="V73" s="1">
        <f t="shared" si="34"/>
        <v>-0.19054602879706509</v>
      </c>
      <c r="W73" s="1">
        <f t="shared" si="35"/>
        <v>9.6848676265688369E-2</v>
      </c>
      <c r="X73" s="1">
        <f t="shared" si="36"/>
        <v>0.9999863551922169</v>
      </c>
      <c r="Y73" s="1">
        <f t="shared" si="37"/>
        <v>61.465393232183132</v>
      </c>
      <c r="Z73" s="1">
        <f t="shared" si="38"/>
        <v>3073.2696616091566</v>
      </c>
      <c r="AB73">
        <v>2.0299999999999998</v>
      </c>
      <c r="AC73">
        <v>9.3325430079699099E-3</v>
      </c>
      <c r="AD73">
        <v>1.0822344982899825E-12</v>
      </c>
      <c r="AE73">
        <v>-9.3148399602505372E-3</v>
      </c>
      <c r="AF73">
        <v>3.6438279986750179E-2</v>
      </c>
      <c r="AG73">
        <v>0.99972148257420579</v>
      </c>
      <c r="AH73">
        <v>1.1465479530495526</v>
      </c>
      <c r="AI73">
        <v>57.327397652477622</v>
      </c>
      <c r="AJ73"/>
      <c r="AK73"/>
      <c r="AL73"/>
      <c r="AM73"/>
      <c r="AN73"/>
      <c r="AO73"/>
      <c r="AP73"/>
      <c r="AQ73"/>
      <c r="AR73"/>
    </row>
    <row r="74" spans="1:44" ht="15" customHeight="1" x14ac:dyDescent="0.3">
      <c r="A74" s="2">
        <v>0.73</v>
      </c>
      <c r="B74" s="1">
        <f t="shared" si="26"/>
        <v>0.18620871366628672</v>
      </c>
      <c r="C74" s="1">
        <f t="shared" si="27"/>
        <v>5.4240211433395528E-14</v>
      </c>
      <c r="D74" s="1">
        <f t="shared" si="28"/>
        <v>0.24345025829577729</v>
      </c>
      <c r="E74" s="1">
        <f t="shared" si="29"/>
        <v>-3.7241709715962884E-2</v>
      </c>
      <c r="F74" s="1">
        <f t="shared" si="30"/>
        <v>2.8840231855128822E-6</v>
      </c>
      <c r="G74" s="1">
        <f t="shared" si="31"/>
        <v>-3.2530221320046775</v>
      </c>
      <c r="H74" s="1">
        <f t="shared" si="39"/>
        <v>-32.53022132004677</v>
      </c>
      <c r="J74" s="2">
        <v>4.72</v>
      </c>
      <c r="K74" s="1">
        <v>1.9054607179632454E-5</v>
      </c>
      <c r="L74" s="1">
        <v>5.3005553485227081E-10</v>
      </c>
      <c r="M74" s="1">
        <v>1.9368456583499314E-2</v>
      </c>
      <c r="N74" s="1">
        <v>1.0525723608344763E-4</v>
      </c>
      <c r="O74" s="1">
        <v>2.7411274627306519E-2</v>
      </c>
      <c r="P74" s="1">
        <v>2.6453530295037175E-2</v>
      </c>
      <c r="Q74" s="2">
        <v>0.26453530295037175</v>
      </c>
      <c r="S74" s="2">
        <v>0.73</v>
      </c>
      <c r="T74" s="1">
        <f t="shared" si="32"/>
        <v>0.18620871366628672</v>
      </c>
      <c r="U74" s="1">
        <f t="shared" si="33"/>
        <v>5.4240211433395528E-14</v>
      </c>
      <c r="V74" s="1">
        <f t="shared" si="34"/>
        <v>-0.18620864947838295</v>
      </c>
      <c r="W74" s="1">
        <f t="shared" si="35"/>
        <v>9.5402883159460994E-2</v>
      </c>
      <c r="X74" s="1">
        <f t="shared" si="36"/>
        <v>0.9999860373682522</v>
      </c>
      <c r="Y74" s="1">
        <f t="shared" si="37"/>
        <v>41.505528995114602</v>
      </c>
      <c r="Z74" s="1">
        <f t="shared" si="38"/>
        <v>2075.27644975573</v>
      </c>
      <c r="AB74">
        <v>2.04</v>
      </c>
      <c r="AC74">
        <v>9.1201083935590881E-3</v>
      </c>
      <c r="AD74">
        <v>1.1074429781046179E-12</v>
      </c>
      <c r="AE74">
        <v>-9.1019728838179614E-3</v>
      </c>
      <c r="AF74">
        <v>3.6367324294605992E-2</v>
      </c>
      <c r="AG74">
        <v>0.99971499691891541</v>
      </c>
      <c r="AH74">
        <v>1.1430392920448322</v>
      </c>
      <c r="AI74">
        <v>57.151964602241613</v>
      </c>
      <c r="AJ74"/>
      <c r="AK74"/>
      <c r="AL74"/>
      <c r="AM74"/>
      <c r="AN74"/>
      <c r="AO74"/>
      <c r="AP74"/>
      <c r="AQ74"/>
      <c r="AR74"/>
    </row>
    <row r="75" spans="1:44" ht="15" customHeight="1" x14ac:dyDescent="0.3">
      <c r="A75" s="2">
        <v>0.74</v>
      </c>
      <c r="B75" s="1">
        <f t="shared" si="26"/>
        <v>0.18197008586099833</v>
      </c>
      <c r="C75" s="1">
        <f t="shared" si="27"/>
        <v>5.5503628259620082E-14</v>
      </c>
      <c r="D75" s="1">
        <f t="shared" si="28"/>
        <v>0.2383639033171859</v>
      </c>
      <c r="E75" s="1">
        <f t="shared" si="29"/>
        <v>-3.6393983886197655E-2</v>
      </c>
      <c r="F75" s="1">
        <f t="shared" si="30"/>
        <v>2.9512005170561887E-6</v>
      </c>
      <c r="G75" s="1">
        <f t="shared" si="31"/>
        <v>-3.226761205560531</v>
      </c>
      <c r="H75" s="1">
        <f t="shared" si="39"/>
        <v>-32.267612055605305</v>
      </c>
      <c r="J75" s="2">
        <v>4.7300000000000004</v>
      </c>
      <c r="K75" s="1">
        <v>1.8620871366628623E-5</v>
      </c>
      <c r="L75" s="1">
        <v>5.4240211433395667E-10</v>
      </c>
      <c r="M75" s="1">
        <v>1.9353205753196871E-2</v>
      </c>
      <c r="N75" s="1">
        <v>1.0779904113385461E-4</v>
      </c>
      <c r="O75" s="1">
        <v>2.8031867151696591E-2</v>
      </c>
      <c r="P75" s="1">
        <v>2.7095805375374399E-2</v>
      </c>
      <c r="Q75" s="2">
        <v>0.27095805375374399</v>
      </c>
      <c r="S75" s="2">
        <v>0.74</v>
      </c>
      <c r="T75" s="1">
        <f t="shared" si="32"/>
        <v>0.18197008586099833</v>
      </c>
      <c r="U75" s="1">
        <f t="shared" si="33"/>
        <v>5.5503628259620082E-14</v>
      </c>
      <c r="V75" s="1">
        <f t="shared" si="34"/>
        <v>-0.18196999999091273</v>
      </c>
      <c r="W75" s="1">
        <f t="shared" si="35"/>
        <v>9.3989999996970913E-2</v>
      </c>
      <c r="X75" s="1">
        <f t="shared" si="36"/>
        <v>0.99998571214142562</v>
      </c>
      <c r="Y75" s="1">
        <f t="shared" si="37"/>
        <v>31.27787019953384</v>
      </c>
      <c r="Z75" s="1">
        <f t="shared" si="38"/>
        <v>1563.8935099766923</v>
      </c>
      <c r="AB75">
        <v>2.0499999999999998</v>
      </c>
      <c r="AC75">
        <v>8.9125093813374554E-3</v>
      </c>
      <c r="AD75">
        <v>1.1332386388449829E-12</v>
      </c>
      <c r="AE75">
        <v>-8.8939313401128779E-3</v>
      </c>
      <c r="AF75">
        <v>3.6297977113370961E-2</v>
      </c>
      <c r="AG75">
        <v>0.99970836028041976</v>
      </c>
      <c r="AH75">
        <v>1.1396177222808366</v>
      </c>
      <c r="AI75">
        <v>56.98088611404183</v>
      </c>
      <c r="AJ75"/>
      <c r="AK75"/>
      <c r="AL75"/>
      <c r="AM75"/>
      <c r="AN75"/>
      <c r="AO75"/>
      <c r="AP75"/>
      <c r="AQ75"/>
      <c r="AR75"/>
    </row>
    <row r="76" spans="1:44" ht="15" customHeight="1" x14ac:dyDescent="0.3">
      <c r="A76" s="2">
        <v>0.75</v>
      </c>
      <c r="B76" s="1">
        <f t="shared" si="26"/>
        <v>0.17782794100389224</v>
      </c>
      <c r="C76" s="1">
        <f t="shared" si="27"/>
        <v>5.6796473844225264E-14</v>
      </c>
      <c r="D76" s="1">
        <f t="shared" si="28"/>
        <v>0.23339332783885988</v>
      </c>
      <c r="E76" s="1">
        <f t="shared" si="29"/>
        <v>-3.5565554639809982E-2</v>
      </c>
      <c r="F76" s="1">
        <f t="shared" si="30"/>
        <v>3.019942600321164E-6</v>
      </c>
      <c r="G76" s="1">
        <f t="shared" si="31"/>
        <v>-3.200323912031017</v>
      </c>
      <c r="H76" s="1">
        <f t="shared" si="39"/>
        <v>-32.00323912031017</v>
      </c>
      <c r="J76" s="2">
        <v>4.74</v>
      </c>
      <c r="K76" s="1">
        <v>1.8197008586099817E-5</v>
      </c>
      <c r="L76" s="1">
        <v>5.5503628259620132E-10</v>
      </c>
      <c r="M76" s="1">
        <v>1.933764686071093E-2</v>
      </c>
      <c r="N76" s="1">
        <v>1.1039218988151166E-4</v>
      </c>
      <c r="O76" s="1">
        <v>2.8666095802417885E-2</v>
      </c>
      <c r="P76" s="1">
        <v>2.7751223386454003E-2</v>
      </c>
      <c r="Q76" s="2">
        <v>0.27751223386453999</v>
      </c>
      <c r="S76" s="2">
        <v>0.75</v>
      </c>
      <c r="T76" s="1">
        <f t="shared" si="32"/>
        <v>0.17782794100389224</v>
      </c>
      <c r="U76" s="1">
        <f t="shared" si="33"/>
        <v>5.6796473844225264E-14</v>
      </c>
      <c r="V76" s="1">
        <f t="shared" si="34"/>
        <v>-0.17782783294659169</v>
      </c>
      <c r="W76" s="1">
        <f t="shared" si="35"/>
        <v>9.2609277648863897E-2</v>
      </c>
      <c r="X76" s="1">
        <f t="shared" si="36"/>
        <v>0.99998537933931197</v>
      </c>
      <c r="Y76" s="1">
        <f t="shared" si="37"/>
        <v>25.060954328673439</v>
      </c>
      <c r="Z76" s="1">
        <f t="shared" si="38"/>
        <v>1253.0477164336719</v>
      </c>
      <c r="AB76">
        <v>2.06</v>
      </c>
      <c r="AC76">
        <v>8.7096358995608011E-3</v>
      </c>
      <c r="AD76">
        <v>1.1596351577118522E-12</v>
      </c>
      <c r="AE76">
        <v>-8.6906050230256444E-3</v>
      </c>
      <c r="AF76">
        <v>3.6230201674341878E-2</v>
      </c>
      <c r="AG76">
        <v>0.99970156914597186</v>
      </c>
      <c r="AH76">
        <v>1.1362808923848977</v>
      </c>
      <c r="AI76">
        <v>56.814044619244882</v>
      </c>
      <c r="AJ76"/>
      <c r="AK76"/>
      <c r="AL76"/>
      <c r="AM76"/>
      <c r="AN76"/>
      <c r="AO76"/>
      <c r="AP76"/>
      <c r="AQ76"/>
      <c r="AR76"/>
    </row>
    <row r="77" spans="1:44" ht="15" customHeight="1" x14ac:dyDescent="0.3">
      <c r="A77" s="2">
        <v>0.76</v>
      </c>
      <c r="B77" s="1">
        <f t="shared" si="26"/>
        <v>0.17378008287493749</v>
      </c>
      <c r="C77" s="1">
        <f t="shared" si="27"/>
        <v>5.8119433671052863E-14</v>
      </c>
      <c r="D77" s="1">
        <f t="shared" si="28"/>
        <v>0.22853589639588667</v>
      </c>
      <c r="E77" s="1">
        <f t="shared" si="29"/>
        <v>-3.475598273264778E-2</v>
      </c>
      <c r="F77" s="1">
        <f t="shared" si="30"/>
        <v>3.0902858826172419E-6</v>
      </c>
      <c r="G77" s="1">
        <f t="shared" si="31"/>
        <v>-3.1737155465136806</v>
      </c>
      <c r="H77" s="1">
        <f t="shared" si="39"/>
        <v>-31.737155465136805</v>
      </c>
      <c r="J77" s="2">
        <v>4.75</v>
      </c>
      <c r="K77" s="1">
        <v>1.7782794100389215E-5</v>
      </c>
      <c r="L77" s="1">
        <v>5.6796473844225295E-10</v>
      </c>
      <c r="M77" s="1">
        <v>1.9321773221555847E-2</v>
      </c>
      <c r="N77" s="1">
        <v>1.1303779640735836E-4</v>
      </c>
      <c r="O77" s="1">
        <v>2.9314241270450399E-2</v>
      </c>
      <c r="P77" s="1">
        <v>2.8420076241442684E-2</v>
      </c>
      <c r="Q77" s="2">
        <v>0.28420076241442682</v>
      </c>
      <c r="S77" s="2">
        <v>0.76</v>
      </c>
      <c r="T77" s="1">
        <f t="shared" si="32"/>
        <v>0.17378008287493749</v>
      </c>
      <c r="U77" s="1">
        <f t="shared" si="33"/>
        <v>5.8119433671052863E-14</v>
      </c>
      <c r="V77" s="1">
        <f t="shared" si="34"/>
        <v>-0.17377995211362557</v>
      </c>
      <c r="W77" s="1">
        <f t="shared" si="35"/>
        <v>9.1259984037875191E-2</v>
      </c>
      <c r="X77" s="1">
        <f t="shared" si="36"/>
        <v>0.99998503878547063</v>
      </c>
      <c r="Y77" s="1">
        <f t="shared" si="37"/>
        <v>20.883253402134216</v>
      </c>
      <c r="Z77" s="1">
        <f t="shared" si="38"/>
        <v>1044.1626701067107</v>
      </c>
      <c r="AB77">
        <v>2.0699999999999998</v>
      </c>
      <c r="AC77">
        <v>8.5113803820237675E-3</v>
      </c>
      <c r="AD77">
        <v>1.1866465304889244E-12</v>
      </c>
      <c r="AE77">
        <v>-8.4918861265350191E-3</v>
      </c>
      <c r="AF77">
        <v>3.6163962042178338E-2</v>
      </c>
      <c r="AG77">
        <v>0.99969461992119579</v>
      </c>
      <c r="AH77">
        <v>1.1330265222936589</v>
      </c>
      <c r="AI77">
        <v>56.651326114682945</v>
      </c>
      <c r="AJ77"/>
      <c r="AK77"/>
      <c r="AL77"/>
      <c r="AM77"/>
      <c r="AN77"/>
      <c r="AO77"/>
      <c r="AP77"/>
      <c r="AQ77"/>
      <c r="AR77"/>
    </row>
    <row r="78" spans="1:44" ht="15" customHeight="1" x14ac:dyDescent="0.3">
      <c r="A78" s="2">
        <v>0.77</v>
      </c>
      <c r="B78" s="1">
        <f t="shared" si="26"/>
        <v>0.16982436524617442</v>
      </c>
      <c r="C78" s="1">
        <f t="shared" si="27"/>
        <v>5.9473209190914482E-14</v>
      </c>
      <c r="D78" s="1">
        <f t="shared" si="28"/>
        <v>0.22378903351382004</v>
      </c>
      <c r="E78" s="1">
        <f t="shared" si="29"/>
        <v>-3.3964838918970001E-2</v>
      </c>
      <c r="F78" s="1">
        <f t="shared" si="30"/>
        <v>3.1622676602000008E-6</v>
      </c>
      <c r="G78" s="1">
        <f t="shared" si="31"/>
        <v>-3.1469415641144911</v>
      </c>
      <c r="H78" s="1">
        <f t="shared" si="39"/>
        <v>-31.469415641144909</v>
      </c>
      <c r="J78" s="2">
        <v>4.76</v>
      </c>
      <c r="K78" s="1">
        <v>1.7378008287493744E-5</v>
      </c>
      <c r="L78" s="1">
        <v>5.8119433671052887E-10</v>
      </c>
      <c r="M78" s="1">
        <v>1.9305578052965327E-2</v>
      </c>
      <c r="N78" s="1">
        <v>1.1573699117244568E-4</v>
      </c>
      <c r="O78" s="1">
        <v>2.997658915951602E-2</v>
      </c>
      <c r="P78" s="1">
        <v>2.9102660511245656E-2</v>
      </c>
      <c r="Q78" s="2">
        <v>0.29102660511245654</v>
      </c>
      <c r="S78" s="2">
        <v>0.77</v>
      </c>
      <c r="T78" s="1">
        <f t="shared" si="32"/>
        <v>0.16982436524617442</v>
      </c>
      <c r="U78" s="1">
        <f t="shared" si="33"/>
        <v>5.9473209190914482E-14</v>
      </c>
      <c r="V78" s="1">
        <f t="shared" si="34"/>
        <v>-0.16982421125201741</v>
      </c>
      <c r="W78" s="1">
        <f t="shared" si="35"/>
        <v>8.9941403750672472E-2</v>
      </c>
      <c r="X78" s="1">
        <f t="shared" si="36"/>
        <v>0.99998469029935133</v>
      </c>
      <c r="Y78" s="1">
        <f t="shared" si="37"/>
        <v>17.883490205044371</v>
      </c>
      <c r="Z78" s="1">
        <f t="shared" si="38"/>
        <v>894.17451025221862</v>
      </c>
      <c r="AB78">
        <v>2.08</v>
      </c>
      <c r="AC78">
        <v>8.3176377110267055E-3</v>
      </c>
      <c r="AD78">
        <v>1.2142870789635876E-12</v>
      </c>
      <c r="AE78">
        <v>-8.2976692875483971E-3</v>
      </c>
      <c r="AF78">
        <v>3.6099223095849467E-2</v>
      </c>
      <c r="AG78">
        <v>0.99968750892819391</v>
      </c>
      <c r="AH78">
        <v>1.129852400699207</v>
      </c>
      <c r="AI78">
        <v>56.492620034960353</v>
      </c>
      <c r="AJ78"/>
      <c r="AK78"/>
      <c r="AL78"/>
      <c r="AM78"/>
      <c r="AN78"/>
      <c r="AO78"/>
      <c r="AP78"/>
      <c r="AQ78"/>
      <c r="AR78"/>
    </row>
    <row r="79" spans="1:44" ht="15" customHeight="1" x14ac:dyDescent="0.3">
      <c r="A79" s="2">
        <v>0.78</v>
      </c>
      <c r="B79" s="1">
        <f t="shared" si="26"/>
        <v>0.16595869074375599</v>
      </c>
      <c r="C79" s="1">
        <f t="shared" si="27"/>
        <v>6.0858518193510149E-14</v>
      </c>
      <c r="D79" s="1">
        <f t="shared" si="28"/>
        <v>0.21915022234312745</v>
      </c>
      <c r="E79" s="1">
        <f t="shared" si="29"/>
        <v>-3.3191703723854576E-2</v>
      </c>
      <c r="F79" s="1">
        <f t="shared" si="30"/>
        <v>3.2359260980446863E-6</v>
      </c>
      <c r="G79" s="1">
        <f t="shared" si="31"/>
        <v>-3.1200075763853832</v>
      </c>
      <c r="H79" s="1">
        <f t="shared" si="39"/>
        <v>-31.200075763853832</v>
      </c>
      <c r="J79" s="2">
        <v>4.7699999999999996</v>
      </c>
      <c r="K79" s="1">
        <v>1.6982436524617432E-5</v>
      </c>
      <c r="L79" s="1">
        <v>5.9473209190914524E-10</v>
      </c>
      <c r="M79" s="1">
        <v>1.9289054473182392E-2</v>
      </c>
      <c r="N79" s="1">
        <v>1.184909211362681E-4</v>
      </c>
      <c r="O79" s="1">
        <v>3.0653430031715511E-2</v>
      </c>
      <c r="P79" s="1">
        <v>2.9799277475932952E-2</v>
      </c>
      <c r="Q79" s="2">
        <v>0.2979927747593295</v>
      </c>
      <c r="S79" s="2">
        <v>0.78</v>
      </c>
      <c r="T79" s="1">
        <f t="shared" si="32"/>
        <v>0.16595869074375599</v>
      </c>
      <c r="U79" s="1">
        <f t="shared" si="33"/>
        <v>6.0858518193510149E-14</v>
      </c>
      <c r="V79" s="1">
        <f t="shared" si="34"/>
        <v>-0.1659585129756026</v>
      </c>
      <c r="W79" s="1">
        <f t="shared" si="35"/>
        <v>8.8652837658534198E-2</v>
      </c>
      <c r="X79" s="1">
        <f t="shared" si="36"/>
        <v>0.99998433369619899</v>
      </c>
      <c r="Y79" s="1">
        <f t="shared" si="37"/>
        <v>15.625552008641169</v>
      </c>
      <c r="Z79" s="1">
        <f t="shared" si="38"/>
        <v>781.27760043205853</v>
      </c>
      <c r="AB79">
        <v>2.09</v>
      </c>
      <c r="AC79">
        <v>8.1283051616409894E-3</v>
      </c>
      <c r="AD79">
        <v>1.2425714585205058E-12</v>
      </c>
      <c r="AE79">
        <v>-8.1078515300377421E-3</v>
      </c>
      <c r="AF79">
        <v>3.6035950510012585E-2</v>
      </c>
      <c r="AG79">
        <v>0.99968023240361159</v>
      </c>
      <c r="AH79">
        <v>1.1267563826037452</v>
      </c>
      <c r="AI79">
        <v>56.337819130187263</v>
      </c>
      <c r="AJ79"/>
      <c r="AK79"/>
      <c r="AL79"/>
      <c r="AM79"/>
      <c r="AN79"/>
      <c r="AO79"/>
      <c r="AP79"/>
      <c r="AQ79"/>
      <c r="AR79"/>
    </row>
    <row r="80" spans="1:44" ht="15" customHeight="1" x14ac:dyDescent="0.3">
      <c r="A80" s="2">
        <v>0.79</v>
      </c>
      <c r="B80" s="1">
        <f t="shared" si="26"/>
        <v>0.16218100973589297</v>
      </c>
      <c r="C80" s="1">
        <f t="shared" si="27"/>
        <v>6.2276095188009702E-14</v>
      </c>
      <c r="D80" s="1">
        <f t="shared" si="28"/>
        <v>0.2146170033247245</v>
      </c>
      <c r="E80" s="1">
        <f t="shared" si="29"/>
        <v>-3.2436167220787418E-2</v>
      </c>
      <c r="F80" s="1">
        <f t="shared" si="30"/>
        <v>3.3113002500802562E-6</v>
      </c>
      <c r="G80" s="1">
        <f t="shared" si="31"/>
        <v>-3.092919347462209</v>
      </c>
      <c r="H80" s="1">
        <f t="shared" si="39"/>
        <v>-30.929193474622089</v>
      </c>
      <c r="J80" s="2">
        <v>4.78</v>
      </c>
      <c r="K80" s="1">
        <v>1.6595869074375568E-5</v>
      </c>
      <c r="L80" s="1">
        <v>6.085851819351027E-10</v>
      </c>
      <c r="M80" s="1">
        <v>1.927219550081017E-2</v>
      </c>
      <c r="N80" s="1">
        <v>1.2130074986497138E-4</v>
      </c>
      <c r="O80" s="1">
        <v>3.1345059451504002E-2</v>
      </c>
      <c r="P80" s="1">
        <v>3.0510233174373177E-2</v>
      </c>
      <c r="Q80" s="2">
        <v>0.30510233174373175</v>
      </c>
      <c r="S80" s="2">
        <v>0.79</v>
      </c>
      <c r="T80" s="1">
        <f t="shared" si="32"/>
        <v>0.16218100973589297</v>
      </c>
      <c r="U80" s="1">
        <f t="shared" si="33"/>
        <v>6.2276095188009702E-14</v>
      </c>
      <c r="V80" s="1">
        <f t="shared" si="34"/>
        <v>-0.16218080763998738</v>
      </c>
      <c r="W80" s="1">
        <f t="shared" si="35"/>
        <v>8.7393602546662452E-2</v>
      </c>
      <c r="X80" s="1">
        <f t="shared" si="36"/>
        <v>0.99998396878695561</v>
      </c>
      <c r="Y80" s="1">
        <f t="shared" si="37"/>
        <v>13.864960686849519</v>
      </c>
      <c r="Z80" s="1">
        <f t="shared" si="38"/>
        <v>693.24803434247599</v>
      </c>
      <c r="AB80">
        <v>2.1</v>
      </c>
      <c r="AC80">
        <v>7.9432823472428121E-3</v>
      </c>
      <c r="AD80">
        <v>1.2715146659121093E-12</v>
      </c>
      <c r="AE80">
        <v>-7.9223322104407835E-3</v>
      </c>
      <c r="AF80">
        <v>3.5974110736813593E-2</v>
      </c>
      <c r="AG80">
        <v>0.99967278649665603</v>
      </c>
      <c r="AH80">
        <v>1.1237363869773842</v>
      </c>
      <c r="AI80">
        <v>56.186819348869207</v>
      </c>
      <c r="AJ80"/>
      <c r="AK80"/>
      <c r="AL80"/>
      <c r="AM80"/>
      <c r="AN80"/>
      <c r="AO80"/>
      <c r="AP80"/>
      <c r="AQ80"/>
      <c r="AR80"/>
    </row>
    <row r="81" spans="1:44" ht="15" customHeight="1" x14ac:dyDescent="0.3">
      <c r="A81" s="2">
        <v>0.8</v>
      </c>
      <c r="B81" s="1">
        <f t="shared" si="26"/>
        <v>0.15848931924611132</v>
      </c>
      <c r="C81" s="1">
        <f t="shared" si="27"/>
        <v>6.3726691792499529E-14</v>
      </c>
      <c r="D81" s="1">
        <f t="shared" si="28"/>
        <v>0.21018697288588323</v>
      </c>
      <c r="E81" s="1">
        <f t="shared" si="29"/>
        <v>-3.1697828814313871E-2</v>
      </c>
      <c r="F81" s="1">
        <f t="shared" si="30"/>
        <v>3.3884300798947137E-6</v>
      </c>
      <c r="G81" s="1">
        <f t="shared" si="31"/>
        <v>-3.0656827899064027</v>
      </c>
      <c r="H81" s="1">
        <f t="shared" si="39"/>
        <v>-30.656827899064027</v>
      </c>
      <c r="J81" s="2">
        <v>4.79</v>
      </c>
      <c r="K81" s="1">
        <v>1.6218100973589292E-5</v>
      </c>
      <c r="L81" s="1">
        <v>6.2276095188009729E-10</v>
      </c>
      <c r="M81" s="1">
        <v>1.9254994054226933E-2</v>
      </c>
      <c r="N81" s="1">
        <v>1.2416765762884486E-4</v>
      </c>
      <c r="O81" s="1">
        <v>3.2051778027871104E-2</v>
      </c>
      <c r="P81" s="1">
        <v>3.1235838451943755E-2</v>
      </c>
      <c r="Q81" s="2">
        <v>0.31235838451943754</v>
      </c>
      <c r="S81" s="2">
        <v>0.8</v>
      </c>
      <c r="T81" s="1">
        <f t="shared" si="32"/>
        <v>0.15848931924611132</v>
      </c>
      <c r="U81" s="1">
        <f t="shared" si="33"/>
        <v>6.3726691792499529E-14</v>
      </c>
      <c r="V81" s="1">
        <f t="shared" si="34"/>
        <v>-0.15848909225579966</v>
      </c>
      <c r="W81" s="1">
        <f t="shared" si="35"/>
        <v>8.6163030751933226E-2</v>
      </c>
      <c r="X81" s="1">
        <f t="shared" si="36"/>
        <v>0.99998359537815962</v>
      </c>
      <c r="Y81" s="1">
        <f t="shared" si="37"/>
        <v>12.454032267791794</v>
      </c>
      <c r="Z81" s="1">
        <f t="shared" si="38"/>
        <v>622.70161338958962</v>
      </c>
      <c r="AB81">
        <v>2.11</v>
      </c>
      <c r="AC81">
        <v>7.7624711662869156E-3</v>
      </c>
      <c r="AD81">
        <v>1.3011320472100655E-12</v>
      </c>
      <c r="AE81">
        <v>-7.7410129642993151E-3</v>
      </c>
      <c r="AF81">
        <v>3.591367098809977E-2</v>
      </c>
      <c r="AG81">
        <v>0.99966516726707044</v>
      </c>
      <c r="AH81">
        <v>1.1207903945139668</v>
      </c>
      <c r="AI81">
        <v>56.039519725698348</v>
      </c>
      <c r="AJ81"/>
      <c r="AK81"/>
      <c r="AL81"/>
      <c r="AM81"/>
      <c r="AN81"/>
      <c r="AO81"/>
      <c r="AP81"/>
      <c r="AQ81"/>
      <c r="AR81"/>
    </row>
    <row r="82" spans="1:44" ht="15" customHeight="1" x14ac:dyDescent="0.3">
      <c r="A82" s="2">
        <v>0.81</v>
      </c>
      <c r="B82" s="1">
        <f t="shared" si="26"/>
        <v>0.15488166189124808</v>
      </c>
      <c r="C82" s="1">
        <f t="shared" si="27"/>
        <v>6.5211077132500229E-14</v>
      </c>
      <c r="D82" s="1">
        <f t="shared" si="28"/>
        <v>0.20585778216582673</v>
      </c>
      <c r="E82" s="1">
        <f t="shared" si="29"/>
        <v>-3.0976297027637784E-2</v>
      </c>
      <c r="F82" s="1">
        <f t="shared" si="30"/>
        <v>3.4673564819226565E-6</v>
      </c>
      <c r="G82" s="1">
        <f t="shared" si="31"/>
        <v>-3.0383039602546442</v>
      </c>
      <c r="H82" s="1">
        <f t="shared" si="39"/>
        <v>-30.38303960254644</v>
      </c>
      <c r="J82" s="2">
        <v>4.8</v>
      </c>
      <c r="K82" s="1">
        <v>1.5848931924611131E-5</v>
      </c>
      <c r="L82" s="1">
        <v>6.3726691792499525E-10</v>
      </c>
      <c r="M82" s="1">
        <v>1.923744295106905E-2</v>
      </c>
      <c r="N82" s="1">
        <v>1.2709284148849155E-4</v>
      </c>
      <c r="O82" s="1">
        <v>3.2773891454587492E-2</v>
      </c>
      <c r="P82" s="1">
        <v>3.1976409006182586E-2</v>
      </c>
      <c r="Q82" s="2">
        <v>0.31976409006182582</v>
      </c>
      <c r="S82" s="2">
        <v>0.81</v>
      </c>
      <c r="T82" s="1">
        <f t="shared" si="32"/>
        <v>0.15488166189124808</v>
      </c>
      <c r="U82" s="1">
        <f t="shared" si="33"/>
        <v>6.5211077132500229E-14</v>
      </c>
      <c r="V82" s="1">
        <f t="shared" si="34"/>
        <v>-0.15488140942667797</v>
      </c>
      <c r="W82" s="1">
        <f t="shared" si="35"/>
        <v>8.4960469808892658E-2</v>
      </c>
      <c r="X82" s="1">
        <f t="shared" si="36"/>
        <v>0.99998321327184414</v>
      </c>
      <c r="Y82" s="1">
        <f t="shared" si="37"/>
        <v>11.298287742941401</v>
      </c>
      <c r="Z82" s="1">
        <f t="shared" si="38"/>
        <v>564.9143871470701</v>
      </c>
      <c r="AB82">
        <v>2.12</v>
      </c>
      <c r="AC82">
        <v>7.5857757502918299E-3</v>
      </c>
      <c r="AD82">
        <v>1.3314393059419724E-12</v>
      </c>
      <c r="AE82">
        <v>-7.5637976541056721E-3</v>
      </c>
      <c r="AF82">
        <v>3.585459921803523E-2</v>
      </c>
      <c r="AG82">
        <v>0.99965737068306082</v>
      </c>
      <c r="AH82">
        <v>1.1179164454800994</v>
      </c>
      <c r="AI82">
        <v>55.895822274004964</v>
      </c>
      <c r="AJ82"/>
      <c r="AK82"/>
      <c r="AL82"/>
      <c r="AM82"/>
      <c r="AN82"/>
      <c r="AO82"/>
      <c r="AP82"/>
      <c r="AQ82"/>
      <c r="AR82"/>
    </row>
    <row r="83" spans="1:44" ht="15" customHeight="1" x14ac:dyDescent="0.3">
      <c r="A83" s="2">
        <v>0.82</v>
      </c>
      <c r="B83" s="1">
        <f t="shared" si="26"/>
        <v>0.15135612484362079</v>
      </c>
      <c r="C83" s="1">
        <f t="shared" si="27"/>
        <v>6.6730038248767201E-14</v>
      </c>
      <c r="D83" s="1">
        <f t="shared" si="28"/>
        <v>0.20162713577033162</v>
      </c>
      <c r="E83" s="1">
        <f t="shared" si="29"/>
        <v>-3.0271189295055265E-2</v>
      </c>
      <c r="F83" s="1">
        <f t="shared" si="30"/>
        <v>3.5481213031263035E-6</v>
      </c>
      <c r="G83" s="1">
        <f t="shared" si="31"/>
        <v>-3.0107890542817115</v>
      </c>
      <c r="H83" s="1">
        <f t="shared" si="39"/>
        <v>-30.107890542817113</v>
      </c>
      <c r="J83" s="2">
        <v>4.8099999999999996</v>
      </c>
      <c r="K83" s="1">
        <v>1.5488166189124811E-5</v>
      </c>
      <c r="L83" s="1">
        <v>6.5211077132500215E-10</v>
      </c>
      <c r="M83" s="1">
        <v>1.9219534907785791E-2</v>
      </c>
      <c r="N83" s="1">
        <v>1.3007751536903457E-4</v>
      </c>
      <c r="O83" s="1">
        <v>3.3511710548371237E-2</v>
      </c>
      <c r="P83" s="1">
        <v>3.2732265430236891E-2</v>
      </c>
      <c r="Q83" s="2">
        <v>0.3273226543023689</v>
      </c>
      <c r="S83" s="2">
        <v>0.82</v>
      </c>
      <c r="T83" s="1">
        <f t="shared" si="32"/>
        <v>0.15135612484362079</v>
      </c>
      <c r="U83" s="1">
        <f t="shared" si="33"/>
        <v>6.6730038248767201E-14</v>
      </c>
      <c r="V83" s="1">
        <f t="shared" si="34"/>
        <v>-0.15135584631143392</v>
      </c>
      <c r="W83" s="1">
        <f t="shared" si="35"/>
        <v>8.3785282103811309E-2</v>
      </c>
      <c r="X83" s="1">
        <f t="shared" si="36"/>
        <v>0.99998282226543145</v>
      </c>
      <c r="Y83" s="1">
        <f t="shared" si="37"/>
        <v>10.334472994254835</v>
      </c>
      <c r="Z83" s="1">
        <f t="shared" si="38"/>
        <v>516.72364971274169</v>
      </c>
      <c r="AB83">
        <v>2.13</v>
      </c>
      <c r="AC83">
        <v>7.4131024130091741E-3</v>
      </c>
      <c r="AD83">
        <v>1.3624525114175703E-12</v>
      </c>
      <c r="AE83">
        <v>-7.3905923183302351E-3</v>
      </c>
      <c r="AF83">
        <v>3.5796864106110077E-2</v>
      </c>
      <c r="AG83">
        <v>0.9996493926191754</v>
      </c>
      <c r="AH83">
        <v>1.1151126376528531</v>
      </c>
      <c r="AI83">
        <v>55.755631882642653</v>
      </c>
      <c r="AJ83"/>
      <c r="AK83"/>
      <c r="AL83"/>
      <c r="AM83"/>
      <c r="AN83"/>
      <c r="AO83"/>
      <c r="AP83"/>
      <c r="AQ83"/>
      <c r="AR83"/>
    </row>
    <row r="84" spans="1:44" ht="15" customHeight="1" x14ac:dyDescent="0.3">
      <c r="A84" s="2">
        <v>0.83</v>
      </c>
      <c r="B84" s="1">
        <f t="shared" si="26"/>
        <v>0.14791083881682074</v>
      </c>
      <c r="C84" s="1">
        <f t="shared" si="27"/>
        <v>6.8284380514590157E-14</v>
      </c>
      <c r="D84" s="1">
        <f t="shared" si="28"/>
        <v>0.19749279055467986</v>
      </c>
      <c r="E84" s="1">
        <f t="shared" si="29"/>
        <v>-2.9582131759113305E-2</v>
      </c>
      <c r="F84" s="1">
        <f t="shared" si="30"/>
        <v>3.6307673651814888E-6</v>
      </c>
      <c r="G84" s="1">
        <f t="shared" si="31"/>
        <v>-2.9831444019826807</v>
      </c>
      <c r="H84" s="1">
        <f t="shared" si="39"/>
        <v>-29.831444019826804</v>
      </c>
      <c r="J84" s="2">
        <v>4.82</v>
      </c>
      <c r="K84" s="1">
        <v>1.5135612484362051E-5</v>
      </c>
      <c r="L84" s="1">
        <v>6.6730038248767331E-10</v>
      </c>
      <c r="M84" s="1">
        <v>1.9201262539269726E-2</v>
      </c>
      <c r="N84" s="1">
        <v>1.3312291012171207E-4</v>
      </c>
      <c r="O84" s="1">
        <v>3.426555128482503E-2</v>
      </c>
      <c r="P84" s="1">
        <v>3.3503733253963483E-2</v>
      </c>
      <c r="Q84" s="2">
        <v>0.3350373325396348</v>
      </c>
      <c r="S84" s="2">
        <v>0.83</v>
      </c>
      <c r="T84" s="1">
        <f t="shared" si="32"/>
        <v>0.14791083881682074</v>
      </c>
      <c r="U84" s="1">
        <f t="shared" si="33"/>
        <v>6.8284380514590157E-14</v>
      </c>
      <c r="V84" s="1">
        <f t="shared" si="34"/>
        <v>-0.14791053360983844</v>
      </c>
      <c r="W84" s="1">
        <f t="shared" si="35"/>
        <v>8.2636844536612811E-2</v>
      </c>
      <c r="X84" s="1">
        <f t="shared" si="36"/>
        <v>0.99998242215162603</v>
      </c>
      <c r="Y84" s="1">
        <f t="shared" si="37"/>
        <v>9.5186436256779405</v>
      </c>
      <c r="Z84" s="1">
        <f t="shared" si="38"/>
        <v>475.93218128389697</v>
      </c>
      <c r="AB84">
        <v>2.14</v>
      </c>
      <c r="AC84">
        <v>7.244359600749894E-3</v>
      </c>
      <c r="AD84">
        <v>1.394188107248915E-12</v>
      </c>
      <c r="AE84">
        <v>-7.2213051216023939E-3</v>
      </c>
      <c r="AF84">
        <v>3.5740435040534133E-2</v>
      </c>
      <c r="AG84">
        <v>0.99964122885413476</v>
      </c>
      <c r="AH84">
        <v>1.1123771243418392</v>
      </c>
      <c r="AI84">
        <v>55.61885621709196</v>
      </c>
      <c r="AJ84"/>
      <c r="AK84"/>
      <c r="AL84"/>
      <c r="AM84"/>
      <c r="AN84"/>
      <c r="AO84"/>
      <c r="AP84"/>
      <c r="AQ84"/>
      <c r="AR84"/>
    </row>
    <row r="85" spans="1:44" ht="15" customHeight="1" x14ac:dyDescent="0.3">
      <c r="A85" s="2">
        <v>0.84</v>
      </c>
      <c r="B85" s="1">
        <f t="shared" si="26"/>
        <v>0.14454397707459271</v>
      </c>
      <c r="C85" s="1">
        <f t="shared" si="27"/>
        <v>6.9874928062812594E-14</v>
      </c>
      <c r="D85" s="1">
        <f t="shared" si="28"/>
        <v>0.19345255443431345</v>
      </c>
      <c r="E85" s="1">
        <f t="shared" si="29"/>
        <v>-2.8908759072385576E-2</v>
      </c>
      <c r="F85" s="1">
        <f t="shared" si="30"/>
        <v>3.7153384871803644E-6</v>
      </c>
      <c r="G85" s="1">
        <f t="shared" si="31"/>
        <v>-2.9553764622815568</v>
      </c>
      <c r="H85" s="1">
        <f t="shared" si="39"/>
        <v>-29.553764622815567</v>
      </c>
      <c r="J85" s="2">
        <v>4.83</v>
      </c>
      <c r="K85" s="1">
        <v>1.4791083881682046E-5</v>
      </c>
      <c r="L85" s="1">
        <v>6.8284380514590286E-10</v>
      </c>
      <c r="M85" s="1">
        <v>1.9182618358566935E-2</v>
      </c>
      <c r="N85" s="1">
        <v>1.3623027357217716E-4</v>
      </c>
      <c r="O85" s="1">
        <v>3.5035734831986319E-2</v>
      </c>
      <c r="P85" s="1">
        <v>3.4291142982524891E-2</v>
      </c>
      <c r="Q85" s="2">
        <v>0.34291142982524891</v>
      </c>
      <c r="S85" s="2">
        <v>0.84</v>
      </c>
      <c r="T85" s="1">
        <f t="shared" si="32"/>
        <v>0.14454397707459271</v>
      </c>
      <c r="U85" s="1">
        <f t="shared" si="33"/>
        <v>6.9874928062812594E-14</v>
      </c>
      <c r="V85" s="1">
        <f t="shared" si="34"/>
        <v>-0.14454364457149388</v>
      </c>
      <c r="W85" s="1">
        <f t="shared" si="35"/>
        <v>8.1514548190497971E-2</v>
      </c>
      <c r="X85" s="1">
        <f t="shared" si="36"/>
        <v>0.99998201271830434</v>
      </c>
      <c r="Y85" s="1">
        <f t="shared" si="37"/>
        <v>8.8193190007503262</v>
      </c>
      <c r="Z85" s="1">
        <f t="shared" si="38"/>
        <v>440.96595003751628</v>
      </c>
      <c r="AB85">
        <v>2.15</v>
      </c>
      <c r="AC85">
        <v>7.0794578438413795E-3</v>
      </c>
      <c r="AD85">
        <v>1.4266629200689817E-12</v>
      </c>
      <c r="AE85">
        <v>-7.0558463060192318E-3</v>
      </c>
      <c r="AF85">
        <v>3.5685282102006409E-2</v>
      </c>
      <c r="AG85">
        <v>0.99963287506861287</v>
      </c>
      <c r="AH85">
        <v>1.1097081124916097</v>
      </c>
      <c r="AI85">
        <v>55.485405624580487</v>
      </c>
      <c r="AJ85"/>
      <c r="AK85"/>
      <c r="AL85"/>
      <c r="AM85"/>
      <c r="AN85"/>
      <c r="AO85"/>
      <c r="AP85"/>
      <c r="AQ85"/>
      <c r="AR85"/>
    </row>
    <row r="86" spans="1:44" ht="15" customHeight="1" x14ac:dyDescent="0.3">
      <c r="A86" s="2">
        <v>0.85</v>
      </c>
      <c r="B86" s="1">
        <f t="shared" si="26"/>
        <v>0.14125375446227542</v>
      </c>
      <c r="C86" s="1">
        <f t="shared" si="27"/>
        <v>7.1502524222797933E-14</v>
      </c>
      <c r="D86" s="1">
        <f t="shared" si="28"/>
        <v>0.18950428522256271</v>
      </c>
      <c r="E86" s="1">
        <f t="shared" si="29"/>
        <v>-2.8250714203760453E-2</v>
      </c>
      <c r="F86" s="1">
        <f t="shared" si="30"/>
        <v>3.8018795088628565E-6</v>
      </c>
      <c r="G86" s="1">
        <f t="shared" si="31"/>
        <v>-2.9274918174743529</v>
      </c>
      <c r="H86" s="1">
        <f t="shared" si="39"/>
        <v>-29.274918174743529</v>
      </c>
      <c r="J86" s="2">
        <v>4.84</v>
      </c>
      <c r="K86" s="1">
        <v>1.4454397707459275E-5</v>
      </c>
      <c r="L86" s="1">
        <v>6.9874928062812579E-10</v>
      </c>
      <c r="M86" s="1">
        <v>1.9163594776671154E-2</v>
      </c>
      <c r="N86" s="1">
        <v>1.3940087055480752E-4</v>
      </c>
      <c r="O86" s="1">
        <v>3.5822587581328974E-2</v>
      </c>
      <c r="P86" s="1">
        <v>3.5094830132322827E-2</v>
      </c>
      <c r="Q86" s="2">
        <v>0.35094830132322824</v>
      </c>
      <c r="S86" s="2">
        <v>0.85</v>
      </c>
      <c r="T86" s="1">
        <f t="shared" si="32"/>
        <v>0.14125375446227542</v>
      </c>
      <c r="U86" s="1">
        <f t="shared" si="33"/>
        <v>7.1502524222797933E-14</v>
      </c>
      <c r="V86" s="1">
        <f t="shared" si="34"/>
        <v>-0.14125339402726725</v>
      </c>
      <c r="W86" s="1">
        <f t="shared" si="35"/>
        <v>8.0417798009089089E-2</v>
      </c>
      <c r="X86" s="1">
        <f t="shared" si="36"/>
        <v>0.99998159374840245</v>
      </c>
      <c r="Y86" s="1">
        <f t="shared" si="37"/>
        <v>8.2133559899356587</v>
      </c>
      <c r="Z86" s="1">
        <f t="shared" si="38"/>
        <v>410.66779949678289</v>
      </c>
      <c r="AB86">
        <v>2.16</v>
      </c>
      <c r="AC86">
        <v>6.9183097091893601E-3</v>
      </c>
      <c r="AD86">
        <v>1.4598941684533876E-12</v>
      </c>
      <c r="AE86">
        <v>-6.8941281435554091E-3</v>
      </c>
      <c r="AF86">
        <v>3.5631376047851805E-2</v>
      </c>
      <c r="AG86">
        <v>0.99962432684296576</v>
      </c>
      <c r="AH86">
        <v>1.1071038608605417</v>
      </c>
      <c r="AI86">
        <v>55.355193043027079</v>
      </c>
      <c r="AJ86"/>
      <c r="AK86"/>
      <c r="AL86"/>
      <c r="AM86"/>
      <c r="AN86"/>
      <c r="AO86"/>
      <c r="AP86"/>
      <c r="AQ86"/>
      <c r="AR86"/>
    </row>
    <row r="87" spans="1:44" ht="15" customHeight="1" x14ac:dyDescent="0.3">
      <c r="A87" s="2">
        <v>0.86</v>
      </c>
      <c r="B87" s="1">
        <f t="shared" si="26"/>
        <v>0.13803842646028844</v>
      </c>
      <c r="C87" s="1">
        <f t="shared" si="27"/>
        <v>7.3168031967574011E-14</v>
      </c>
      <c r="D87" s="1">
        <f t="shared" si="28"/>
        <v>0.18564588949482999</v>
      </c>
      <c r="E87" s="1">
        <f t="shared" si="29"/>
        <v>-2.7607648249138327E-2</v>
      </c>
      <c r="F87" s="1">
        <f t="shared" si="30"/>
        <v>3.8904363143892051E-6</v>
      </c>
      <c r="G87" s="1">
        <f t="shared" si="31"/>
        <v>-2.8994971674155332</v>
      </c>
      <c r="H87" s="1">
        <f t="shared" si="39"/>
        <v>-28.99497167415533</v>
      </c>
      <c r="J87" s="2">
        <v>4.8499999999999996</v>
      </c>
      <c r="K87" s="1">
        <v>1.4125375446227545E-5</v>
      </c>
      <c r="L87" s="1">
        <v>7.1502524222797919E-10</v>
      </c>
      <c r="M87" s="1">
        <v>1.9144184102406203E-2</v>
      </c>
      <c r="N87" s="1">
        <v>1.4263598293229904E-4</v>
      </c>
      <c r="O87" s="1">
        <v>3.6626441176046909E-2</v>
      </c>
      <c r="P87" s="1">
        <v>3.5915135264101845E-2</v>
      </c>
      <c r="Q87" s="2">
        <v>0.35915135264101844</v>
      </c>
      <c r="S87" s="2">
        <v>0.86</v>
      </c>
      <c r="T87" s="1">
        <f t="shared" si="32"/>
        <v>0.13803842646028844</v>
      </c>
      <c r="U87" s="1">
        <f t="shared" si="33"/>
        <v>7.3168031967574011E-14</v>
      </c>
      <c r="V87" s="1">
        <f t="shared" si="34"/>
        <v>-0.13803803744276935</v>
      </c>
      <c r="W87" s="1">
        <f t="shared" si="35"/>
        <v>7.9346012480923114E-2</v>
      </c>
      <c r="X87" s="1">
        <f t="shared" si="36"/>
        <v>0.99998116501980128</v>
      </c>
      <c r="Y87" s="1">
        <f t="shared" si="37"/>
        <v>7.6833601654533572</v>
      </c>
      <c r="Z87" s="1">
        <f t="shared" si="38"/>
        <v>384.16800827266786</v>
      </c>
      <c r="AB87">
        <v>2.17</v>
      </c>
      <c r="AC87">
        <v>6.7608297539198132E-3</v>
      </c>
      <c r="AD87">
        <v>1.4938994720498905E-12</v>
      </c>
      <c r="AE87">
        <v>-6.7360648895496596E-3</v>
      </c>
      <c r="AF87">
        <v>3.5578688296516552E-2</v>
      </c>
      <c r="AG87">
        <v>0.9996155796549091</v>
      </c>
      <c r="AH87">
        <v>1.1045626782725912</v>
      </c>
      <c r="AI87">
        <v>55.228133913629563</v>
      </c>
      <c r="AJ87"/>
      <c r="AK87"/>
      <c r="AL87"/>
      <c r="AM87"/>
      <c r="AN87"/>
      <c r="AO87"/>
      <c r="AP87"/>
      <c r="AQ87"/>
      <c r="AR87"/>
    </row>
    <row r="88" spans="1:44" ht="15" customHeight="1" x14ac:dyDescent="0.3">
      <c r="A88" s="2">
        <v>0.87</v>
      </c>
      <c r="B88" s="1">
        <f t="shared" si="26"/>
        <v>0.13489628825916533</v>
      </c>
      <c r="C88" s="1">
        <f t="shared" si="27"/>
        <v>7.4872334371392682E-14</v>
      </c>
      <c r="D88" s="1">
        <f t="shared" si="28"/>
        <v>0.18187532147862862</v>
      </c>
      <c r="E88" s="1">
        <f t="shared" si="29"/>
        <v>-2.6979220246438104E-2</v>
      </c>
      <c r="F88" s="1">
        <f t="shared" si="30"/>
        <v>3.9810558566661421E-6</v>
      </c>
      <c r="G88" s="1">
        <f t="shared" si="31"/>
        <v>-2.8713993234576547</v>
      </c>
      <c r="H88" s="1">
        <f t="shared" si="39"/>
        <v>-28.713993234576545</v>
      </c>
      <c r="J88" s="2">
        <v>4.8600000000000003</v>
      </c>
      <c r="K88" s="1">
        <v>1.3803842646028827E-5</v>
      </c>
      <c r="L88" s="1">
        <v>7.3168031967574104E-10</v>
      </c>
      <c r="M88" s="1">
        <v>1.9124378542401215E-2</v>
      </c>
      <c r="N88" s="1">
        <v>1.4593690959979758E-4</v>
      </c>
      <c r="O88" s="1">
        <v>3.744763253644473E-2</v>
      </c>
      <c r="P88" s="1">
        <v>3.6752404013050785E-2</v>
      </c>
      <c r="Q88" s="2">
        <v>0.36752404013050782</v>
      </c>
      <c r="S88" s="2">
        <v>0.87</v>
      </c>
      <c r="T88" s="1">
        <f t="shared" si="32"/>
        <v>0.13489628825916533</v>
      </c>
      <c r="U88" s="1">
        <f t="shared" si="33"/>
        <v>7.4872334371392682E-14</v>
      </c>
      <c r="V88" s="1">
        <f t="shared" si="34"/>
        <v>-0.13489586999337999</v>
      </c>
      <c r="W88" s="1">
        <f t="shared" si="35"/>
        <v>7.8298623331126666E-2</v>
      </c>
      <c r="X88" s="1">
        <f t="shared" si="36"/>
        <v>0.99998072630520873</v>
      </c>
      <c r="Y88" s="1">
        <f t="shared" si="37"/>
        <v>7.2160051895170065</v>
      </c>
      <c r="Z88" s="1">
        <f t="shared" si="38"/>
        <v>360.80025947585034</v>
      </c>
      <c r="AB88">
        <v>2.1800000000000002</v>
      </c>
      <c r="AC88">
        <v>6.6069344800759565E-3</v>
      </c>
      <c r="AD88">
        <v>1.5286968609205709E-12</v>
      </c>
      <c r="AE88">
        <v>-6.5815727372426419E-3</v>
      </c>
      <c r="AF88">
        <v>3.5527190912414214E-2</v>
      </c>
      <c r="AG88">
        <v>0.99960662887714136</v>
      </c>
      <c r="AH88">
        <v>1.1020829219384813</v>
      </c>
      <c r="AI88">
        <v>55.104146096924076</v>
      </c>
      <c r="AJ88"/>
      <c r="AK88"/>
      <c r="AL88"/>
      <c r="AM88"/>
      <c r="AN88"/>
      <c r="AO88"/>
      <c r="AP88"/>
      <c r="AQ88"/>
      <c r="AR88"/>
    </row>
    <row r="89" spans="1:44" ht="15" customHeight="1" x14ac:dyDescent="0.3">
      <c r="A89" s="2">
        <v>0.88</v>
      </c>
      <c r="B89" s="1">
        <f t="shared" si="26"/>
        <v>0.1318256738556407</v>
      </c>
      <c r="C89" s="1">
        <f t="shared" si="27"/>
        <v>7.6616335077947564E-14</v>
      </c>
      <c r="D89" s="1">
        <f t="shared" si="28"/>
        <v>0.1781905819688871</v>
      </c>
      <c r="E89" s="1">
        <f t="shared" si="29"/>
        <v>-2.6365096994814517E-2</v>
      </c>
      <c r="F89" s="1">
        <f t="shared" si="30"/>
        <v>4.0737861822396594E-6</v>
      </c>
      <c r="G89" s="1">
        <f t="shared" si="31"/>
        <v>-2.8432052021548877</v>
      </c>
      <c r="H89" s="1">
        <f t="shared" si="39"/>
        <v>-28.432052021548877</v>
      </c>
      <c r="J89" s="2">
        <v>4.87</v>
      </c>
      <c r="K89" s="1">
        <v>1.3489628825916516E-5</v>
      </c>
      <c r="L89" s="1">
        <v>7.4872334371392769E-10</v>
      </c>
      <c r="M89" s="1">
        <v>1.9104170201163173E-2</v>
      </c>
      <c r="N89" s="1">
        <v>1.4930496647280433E-4</v>
      </c>
      <c r="O89" s="1">
        <v>3.8286503882254769E-2</v>
      </c>
      <c r="P89" s="1">
        <v>3.7606987115723904E-2</v>
      </c>
      <c r="Q89" s="2">
        <v>0.376069871157239</v>
      </c>
      <c r="S89" s="2">
        <v>0.88</v>
      </c>
      <c r="T89" s="1">
        <f t="shared" si="32"/>
        <v>0.1318256738556407</v>
      </c>
      <c r="U89" s="1">
        <f t="shared" si="33"/>
        <v>7.6616335077947564E-14</v>
      </c>
      <c r="V89" s="1">
        <f t="shared" si="34"/>
        <v>-0.13182522566032723</v>
      </c>
      <c r="W89" s="1">
        <f t="shared" si="35"/>
        <v>7.7275075220109082E-2</v>
      </c>
      <c r="X89" s="1">
        <f t="shared" si="36"/>
        <v>0.99998027737203898</v>
      </c>
      <c r="Y89" s="1">
        <f t="shared" si="37"/>
        <v>6.8009092191573774</v>
      </c>
      <c r="Z89" s="1">
        <f t="shared" si="38"/>
        <v>340.0454609578689</v>
      </c>
      <c r="AB89">
        <v>2.19</v>
      </c>
      <c r="AC89">
        <v>6.4565422903465524E-3</v>
      </c>
      <c r="AD89">
        <v>1.5643047851016066E-12</v>
      </c>
      <c r="AE89">
        <v>-6.4305697733425737E-3</v>
      </c>
      <c r="AF89">
        <v>3.5476856591114193E-2</v>
      </c>
      <c r="AG89">
        <v>0.99959746977491326</v>
      </c>
      <c r="AH89">
        <v>1.099662995843085</v>
      </c>
      <c r="AI89">
        <v>54.983149792154258</v>
      </c>
      <c r="AJ89"/>
      <c r="AK89"/>
      <c r="AL89"/>
      <c r="AM89"/>
      <c r="AN89"/>
      <c r="AO89"/>
      <c r="AP89"/>
      <c r="AQ89"/>
      <c r="AR89"/>
    </row>
    <row r="90" spans="1:44" ht="15" customHeight="1" x14ac:dyDescent="0.3">
      <c r="A90" s="2">
        <v>0.89</v>
      </c>
      <c r="B90" s="1">
        <f t="shared" si="26"/>
        <v>0.12882495516931336</v>
      </c>
      <c r="C90" s="1">
        <f t="shared" si="27"/>
        <v>7.8400958779497887E-14</v>
      </c>
      <c r="D90" s="1">
        <f t="shared" si="28"/>
        <v>0.17458971726794406</v>
      </c>
      <c r="E90" s="1">
        <f t="shared" si="29"/>
        <v>-2.5764952877990677E-2</v>
      </c>
      <c r="F90" s="1">
        <f t="shared" si="30"/>
        <v>4.168676456767509E-6</v>
      </c>
      <c r="G90" s="1">
        <f t="shared" si="31"/>
        <v>-2.8149218187419551</v>
      </c>
      <c r="H90" s="1">
        <f t="shared" si="39"/>
        <v>-28.14921818741955</v>
      </c>
      <c r="J90" s="2">
        <v>4.88</v>
      </c>
      <c r="K90" s="1">
        <v>1.3182567385564052E-5</v>
      </c>
      <c r="L90" s="1">
        <v>7.6616335077947659E-10</v>
      </c>
      <c r="M90" s="1">
        <v>1.9083551081251607E-2</v>
      </c>
      <c r="N90" s="1">
        <v>1.5274148645806528E-4</v>
      </c>
      <c r="O90" s="1">
        <v>3.9143402751693007E-2</v>
      </c>
      <c r="P90" s="1">
        <v>3.8479240433596566E-2</v>
      </c>
      <c r="Q90" s="2">
        <v>0.38479240433596562</v>
      </c>
      <c r="S90" s="2">
        <v>0.89</v>
      </c>
      <c r="T90" s="1">
        <f t="shared" si="32"/>
        <v>0.12882495516931336</v>
      </c>
      <c r="U90" s="1">
        <f t="shared" si="33"/>
        <v>7.8400958779497887E-14</v>
      </c>
      <c r="V90" s="1">
        <f t="shared" si="34"/>
        <v>-0.12882447634734198</v>
      </c>
      <c r="W90" s="1">
        <f t="shared" si="35"/>
        <v>7.6274825449114E-2</v>
      </c>
      <c r="X90" s="1">
        <f t="shared" si="36"/>
        <v>0.99997981798228974</v>
      </c>
      <c r="Y90" s="1">
        <f t="shared" si="37"/>
        <v>6.4298642174807963</v>
      </c>
      <c r="Z90" s="1">
        <f t="shared" si="38"/>
        <v>321.49321087403979</v>
      </c>
      <c r="AB90">
        <v>2.2000000000000002</v>
      </c>
      <c r="AC90">
        <v>6.3095734448019251E-3</v>
      </c>
      <c r="AD90">
        <v>1.6007421243857264E-12</v>
      </c>
      <c r="AE90">
        <v>-6.2829759345947667E-3</v>
      </c>
      <c r="AF90">
        <v>3.5427658644864926E-2</v>
      </c>
      <c r="AG90">
        <v>0.99958809750354038</v>
      </c>
      <c r="AH90">
        <v>1.0973013491959296</v>
      </c>
      <c r="AI90">
        <v>54.865067459796478</v>
      </c>
      <c r="AJ90"/>
      <c r="AK90"/>
      <c r="AL90"/>
      <c r="AM90"/>
      <c r="AN90"/>
      <c r="AO90"/>
      <c r="AP90"/>
      <c r="AQ90"/>
      <c r="AR90"/>
    </row>
    <row r="91" spans="1:44" ht="15" customHeight="1" x14ac:dyDescent="0.3">
      <c r="A91" s="2">
        <v>0.9</v>
      </c>
      <c r="B91" s="1">
        <f t="shared" si="26"/>
        <v>0.12589254117941667</v>
      </c>
      <c r="C91" s="1">
        <f t="shared" si="27"/>
        <v>8.0227151707152451E-14</v>
      </c>
      <c r="D91" s="1">
        <f t="shared" si="28"/>
        <v>0.17107081814967198</v>
      </c>
      <c r="E91" s="1">
        <f t="shared" si="29"/>
        <v>-2.5178469691612002E-2</v>
      </c>
      <c r="F91" s="1">
        <f t="shared" si="30"/>
        <v>4.2657769910849641E-6</v>
      </c>
      <c r="G91" s="1">
        <f t="shared" si="31"/>
        <v>-2.7865562804008306</v>
      </c>
      <c r="H91" s="1">
        <f t="shared" si="39"/>
        <v>-27.865562804008306</v>
      </c>
      <c r="J91" s="2">
        <v>4.8899999999999997</v>
      </c>
      <c r="K91" s="1">
        <v>1.2882495516931347E-5</v>
      </c>
      <c r="L91" s="1">
        <v>7.8400958779497813E-10</v>
      </c>
      <c r="M91" s="1">
        <v>1.9062513083560231E-2</v>
      </c>
      <c r="N91" s="1">
        <v>1.5624781940662801E-4</v>
      </c>
      <c r="O91" s="1">
        <v>4.001868201705882E-2</v>
      </c>
      <c r="P91" s="1">
        <v>3.9369524973062793E-2</v>
      </c>
      <c r="Q91" s="2">
        <v>0.39369524973062792</v>
      </c>
      <c r="S91" s="2">
        <v>0.9</v>
      </c>
      <c r="T91" s="1">
        <f t="shared" si="32"/>
        <v>0.12589254117941667</v>
      </c>
      <c r="U91" s="1">
        <f t="shared" si="33"/>
        <v>8.0227151707152451E-14</v>
      </c>
      <c r="V91" s="1">
        <f t="shared" si="34"/>
        <v>-0.12589203101742036</v>
      </c>
      <c r="W91" s="1">
        <f t="shared" si="35"/>
        <v>7.5297343672473455E-2</v>
      </c>
      <c r="X91" s="1">
        <f t="shared" si="36"/>
        <v>0.9999793478924156</v>
      </c>
      <c r="Y91" s="1">
        <f t="shared" si="37"/>
        <v>6.0962952869621949</v>
      </c>
      <c r="Z91" s="1">
        <f t="shared" si="38"/>
        <v>304.81476434810975</v>
      </c>
      <c r="AB91">
        <v>2.21</v>
      </c>
      <c r="AC91">
        <v>6.1659500186148197E-3</v>
      </c>
      <c r="AD91">
        <v>1.6380281983325196E-12</v>
      </c>
      <c r="AE91">
        <v>-6.1387129653320766E-3</v>
      </c>
      <c r="AF91">
        <v>3.5379570988444027E-2</v>
      </c>
      <c r="AG91">
        <v>0.99957850710585894</v>
      </c>
      <c r="AH91">
        <v>1.094996474941915</v>
      </c>
      <c r="AI91">
        <v>54.749823747095746</v>
      </c>
      <c r="AJ91"/>
      <c r="AK91"/>
      <c r="AL91"/>
      <c r="AM91"/>
      <c r="AN91"/>
      <c r="AO91"/>
      <c r="AP91"/>
      <c r="AQ91"/>
      <c r="AR91"/>
    </row>
    <row r="92" spans="1:44" ht="15" customHeight="1" x14ac:dyDescent="0.3">
      <c r="A92" s="2">
        <v>0.91</v>
      </c>
      <c r="B92" s="1">
        <f t="shared" si="26"/>
        <v>0.12302687708123815</v>
      </c>
      <c r="C92" s="1">
        <f t="shared" si="27"/>
        <v>8.2095882132574015E-14</v>
      </c>
      <c r="D92" s="1">
        <f t="shared" si="28"/>
        <v>0.16763201884718026</v>
      </c>
      <c r="E92" s="1">
        <f t="shared" si="29"/>
        <v>-2.4605336474530042E-2</v>
      </c>
      <c r="F92" s="1">
        <f t="shared" si="30"/>
        <v>4.3651392678776542E-6</v>
      </c>
      <c r="G92" s="1">
        <f t="shared" si="31"/>
        <v>-2.7581157793283166</v>
      </c>
      <c r="H92" s="1">
        <f t="shared" si="39"/>
        <v>-27.581157793283165</v>
      </c>
      <c r="J92" s="2">
        <v>4.9000000000000004</v>
      </c>
      <c r="K92" s="1">
        <v>1.2589254117941658E-5</v>
      </c>
      <c r="L92" s="1">
        <v>8.0227151707152515E-10</v>
      </c>
      <c r="M92" s="1">
        <v>1.9041048007710577E-2</v>
      </c>
      <c r="N92" s="1">
        <v>1.5982533204823713E-4</v>
      </c>
      <c r="O92" s="1">
        <v>4.0912699896679346E-2</v>
      </c>
      <c r="P92" s="1">
        <v>4.0278206901677695E-2</v>
      </c>
      <c r="Q92" s="2">
        <v>0.40278206901677693</v>
      </c>
      <c r="S92" s="2">
        <v>0.91</v>
      </c>
      <c r="T92" s="1">
        <f t="shared" si="32"/>
        <v>0.12302687708123815</v>
      </c>
      <c r="U92" s="1">
        <f t="shared" si="33"/>
        <v>8.2095882132574015E-14</v>
      </c>
      <c r="V92" s="1">
        <f t="shared" si="34"/>
        <v>-0.12302633484923424</v>
      </c>
      <c r="W92" s="1">
        <f t="shared" si="35"/>
        <v>7.434211161641141E-2</v>
      </c>
      <c r="X92" s="1">
        <f t="shared" si="36"/>
        <v>0.99997886685319903</v>
      </c>
      <c r="Y92" s="1">
        <f t="shared" si="37"/>
        <v>5.7948737249915272</v>
      </c>
      <c r="Z92" s="1">
        <f t="shared" si="38"/>
        <v>289.74368624957634</v>
      </c>
      <c r="AB92">
        <v>2.2200000000000002</v>
      </c>
      <c r="AC92">
        <v>6.0255958607435718E-3</v>
      </c>
      <c r="AD92">
        <v>1.6761827765119377E-12</v>
      </c>
      <c r="AE92">
        <v>-5.997704375983853E-3</v>
      </c>
      <c r="AF92">
        <v>3.5332568125327951E-2</v>
      </c>
      <c r="AG92">
        <v>0.99956869350962341</v>
      </c>
      <c r="AH92">
        <v>1.0927469083294916</v>
      </c>
      <c r="AI92">
        <v>54.637345416474581</v>
      </c>
      <c r="AJ92"/>
      <c r="AK92"/>
      <c r="AL92"/>
      <c r="AM92"/>
      <c r="AN92"/>
      <c r="AO92"/>
      <c r="AP92"/>
      <c r="AQ92"/>
      <c r="AR92"/>
    </row>
    <row r="93" spans="1:44" ht="15" customHeight="1" x14ac:dyDescent="0.3">
      <c r="A93" s="2">
        <v>0.92</v>
      </c>
      <c r="B93" s="1">
        <f t="shared" si="26"/>
        <v>0.12022644346174129</v>
      </c>
      <c r="C93" s="1">
        <f t="shared" si="27"/>
        <v>8.4008140881369772E-14</v>
      </c>
      <c r="D93" s="1">
        <f t="shared" si="28"/>
        <v>0.16427149606356106</v>
      </c>
      <c r="E93" s="1">
        <f t="shared" si="29"/>
        <v>-2.4045249343926843E-2</v>
      </c>
      <c r="F93" s="1">
        <f t="shared" si="30"/>
        <v>4.4668159689756037E-6</v>
      </c>
      <c r="G93" s="1">
        <f t="shared" si="31"/>
        <v>-2.7296075856183468</v>
      </c>
      <c r="H93" s="1">
        <f t="shared" si="39"/>
        <v>-27.296075856183467</v>
      </c>
      <c r="J93" s="2">
        <v>4.91</v>
      </c>
      <c r="K93" s="1">
        <v>1.2302687708123802E-5</v>
      </c>
      <c r="L93" s="1">
        <v>8.2095882132574102E-10</v>
      </c>
      <c r="M93" s="1">
        <v>1.901914755256277E-2</v>
      </c>
      <c r="N93" s="1">
        <v>1.6347540790620505E-4</v>
      </c>
      <c r="O93" s="1">
        <v>4.1825819962989445E-2</v>
      </c>
      <c r="P93" s="1">
        <v>4.1205657560438064E-2</v>
      </c>
      <c r="Q93" s="2">
        <v>0.41205657560438064</v>
      </c>
      <c r="S93" s="2">
        <v>0.92</v>
      </c>
      <c r="T93" s="1">
        <f t="shared" si="32"/>
        <v>0.12022644346174129</v>
      </c>
      <c r="U93" s="1">
        <f t="shared" si="33"/>
        <v>8.4008140881369772E-14</v>
      </c>
      <c r="V93" s="1">
        <f t="shared" si="34"/>
        <v>-0.12022586841274467</v>
      </c>
      <c r="W93" s="1">
        <f t="shared" si="35"/>
        <v>7.340862280424823E-2</v>
      </c>
      <c r="X93" s="1">
        <f t="shared" si="36"/>
        <v>0.99997837460961891</v>
      </c>
      <c r="Y93" s="1">
        <f t="shared" si="37"/>
        <v>5.5212351179747037</v>
      </c>
      <c r="Z93" s="1">
        <f t="shared" si="38"/>
        <v>276.06175589873521</v>
      </c>
      <c r="AB93">
        <v>2.23</v>
      </c>
      <c r="AC93">
        <v>5.8884365535558899E-3</v>
      </c>
      <c r="AD93">
        <v>1.7152260889863617E-12</v>
      </c>
      <c r="AE93">
        <v>-5.8598754025214238E-3</v>
      </c>
      <c r="AF93">
        <v>3.5286625134173813E-2</v>
      </c>
      <c r="AG93">
        <v>0.99955865152484402</v>
      </c>
      <c r="AH93">
        <v>1.0905512255336864</v>
      </c>
      <c r="AI93">
        <v>54.527561276684317</v>
      </c>
      <c r="AJ93"/>
      <c r="AK93"/>
      <c r="AL93"/>
      <c r="AM93"/>
      <c r="AN93"/>
      <c r="AO93"/>
      <c r="AP93"/>
      <c r="AQ93"/>
      <c r="AR93"/>
    </row>
    <row r="94" spans="1:44" ht="15" customHeight="1" x14ac:dyDescent="0.3">
      <c r="A94" s="2">
        <v>0.93</v>
      </c>
      <c r="B94" s="1">
        <f t="shared" si="26"/>
        <v>0.11748975549395291</v>
      </c>
      <c r="C94" s="1">
        <f t="shared" si="27"/>
        <v>8.5964941858440047E-14</v>
      </c>
      <c r="D94" s="1">
        <f t="shared" si="28"/>
        <v>0.16098746800515232</v>
      </c>
      <c r="E94" s="1">
        <f t="shared" si="29"/>
        <v>-2.3497911334192056E-2</v>
      </c>
      <c r="F94" s="1">
        <f t="shared" si="30"/>
        <v>4.5708610032829402E-6</v>
      </c>
      <c r="G94" s="1">
        <f t="shared" si="31"/>
        <v>-2.7010390399735402</v>
      </c>
      <c r="H94" s="1">
        <f t="shared" si="39"/>
        <v>-27.0103903997354</v>
      </c>
      <c r="J94" s="2">
        <v>4.92</v>
      </c>
      <c r="K94" s="1">
        <v>1.2022644346174118E-5</v>
      </c>
      <c r="L94" s="1">
        <v>8.4008140881369844E-10</v>
      </c>
      <c r="M94" s="1">
        <v>1.8996803316848658E-2</v>
      </c>
      <c r="N94" s="1">
        <v>1.6719944719189035E-4</v>
      </c>
      <c r="O94" s="1">
        <v>4.2758411146536071E-2</v>
      </c>
      <c r="P94" s="1">
        <v>4.2152253471892227E-2</v>
      </c>
      <c r="Q94" s="2">
        <v>0.42152253471892226</v>
      </c>
      <c r="S94" s="2">
        <v>0.93</v>
      </c>
      <c r="T94" s="1">
        <f t="shared" si="32"/>
        <v>0.11748975549395291</v>
      </c>
      <c r="U94" s="1">
        <f t="shared" si="33"/>
        <v>8.5964941858440047E-14</v>
      </c>
      <c r="V94" s="1">
        <f t="shared" si="34"/>
        <v>-0.11748914686357988</v>
      </c>
      <c r="W94" s="1">
        <f t="shared" si="35"/>
        <v>7.2496382287859956E-2</v>
      </c>
      <c r="X94" s="1">
        <f t="shared" si="36"/>
        <v>0.99997787090071455</v>
      </c>
      <c r="Y94" s="1">
        <f t="shared" si="37"/>
        <v>5.2717706482562257</v>
      </c>
      <c r="Z94" s="1">
        <f t="shared" si="38"/>
        <v>263.58853241281128</v>
      </c>
      <c r="AB94">
        <v>2.2400000000000002</v>
      </c>
      <c r="AC94">
        <v>5.7543993733715649E-3</v>
      </c>
      <c r="AD94">
        <v>1.7551788370368705E-12</v>
      </c>
      <c r="AE94">
        <v>-5.7251529668183795E-3</v>
      </c>
      <c r="AF94">
        <v>3.5241717655606131E-2</v>
      </c>
      <c r="AG94">
        <v>0.99954837584106293</v>
      </c>
      <c r="AH94">
        <v>1.0884080423314997</v>
      </c>
      <c r="AI94">
        <v>54.420402116574977</v>
      </c>
      <c r="AJ94"/>
      <c r="AK94"/>
      <c r="AL94"/>
      <c r="AM94"/>
      <c r="AN94"/>
      <c r="AO94"/>
      <c r="AP94"/>
      <c r="AQ94"/>
      <c r="AR94"/>
    </row>
    <row r="95" spans="1:44" ht="15" customHeight="1" x14ac:dyDescent="0.3">
      <c r="A95" s="2">
        <v>0.94</v>
      </c>
      <c r="B95" s="1">
        <f t="shared" si="26"/>
        <v>0.11481536214968829</v>
      </c>
      <c r="C95" s="1">
        <f t="shared" si="27"/>
        <v>8.7967322585564122E-14</v>
      </c>
      <c r="D95" s="1">
        <f t="shared" si="28"/>
        <v>0.15777819343680888</v>
      </c>
      <c r="E95" s="1">
        <f t="shared" si="29"/>
        <v>-2.2963032239468148E-2</v>
      </c>
      <c r="F95" s="1">
        <f t="shared" si="30"/>
        <v>4.6773295353580681E-6</v>
      </c>
      <c r="G95" s="1">
        <f t="shared" si="31"/>
        <v>-2.6724175462612103</v>
      </c>
      <c r="H95" s="1">
        <f t="shared" si="39"/>
        <v>-26.724175462612102</v>
      </c>
      <c r="J95" s="2">
        <v>4.93</v>
      </c>
      <c r="K95" s="1">
        <v>1.1748975549395286E-5</v>
      </c>
      <c r="L95" s="1">
        <v>8.5964941858440087E-10</v>
      </c>
      <c r="M95" s="1">
        <v>1.8974006799932754E-2</v>
      </c>
      <c r="N95" s="1">
        <v>1.7099886667787441E-4</v>
      </c>
      <c r="O95" s="1">
        <v>4.371084773568399E-2</v>
      </c>
      <c r="P95" s="1">
        <v>4.3118376343858095E-2</v>
      </c>
      <c r="Q95" s="2">
        <v>0.43118376343858095</v>
      </c>
      <c r="S95" s="2">
        <v>0.94</v>
      </c>
      <c r="T95" s="1">
        <f t="shared" si="32"/>
        <v>0.11481536214968829</v>
      </c>
      <c r="U95" s="1">
        <f t="shared" si="33"/>
        <v>8.7967322585564122E-14</v>
      </c>
      <c r="V95" s="1">
        <f t="shared" si="34"/>
        <v>-0.11481471915575146</v>
      </c>
      <c r="W95" s="1">
        <f t="shared" si="35"/>
        <v>7.1604906385250494E-2</v>
      </c>
      <c r="X95" s="1">
        <f t="shared" si="36"/>
        <v>0.99997735545944788</v>
      </c>
      <c r="Y95" s="1">
        <f t="shared" si="37"/>
        <v>5.0434703513747969</v>
      </c>
      <c r="Z95" s="1">
        <f t="shared" si="38"/>
        <v>252.17351756873984</v>
      </c>
      <c r="AB95">
        <v>2.25</v>
      </c>
      <c r="AC95">
        <v>5.6234132519034866E-3</v>
      </c>
      <c r="AD95">
        <v>1.7960622041393131E-12</v>
      </c>
      <c r="AE95">
        <v>-5.5934656379049734E-3</v>
      </c>
      <c r="AF95">
        <v>3.5197821879301663E-2</v>
      </c>
      <c r="AG95">
        <v>0.99953786102456821</v>
      </c>
      <c r="AH95">
        <v>1.0863160128273277</v>
      </c>
      <c r="AI95">
        <v>54.31580064136638</v>
      </c>
      <c r="AJ95"/>
      <c r="AK95"/>
      <c r="AL95"/>
      <c r="AM95"/>
      <c r="AN95"/>
      <c r="AO95"/>
      <c r="AP95"/>
      <c r="AQ95"/>
      <c r="AR95"/>
    </row>
    <row r="96" spans="1:44" ht="15" customHeight="1" x14ac:dyDescent="0.3">
      <c r="A96" s="2">
        <v>0.95</v>
      </c>
      <c r="B96" s="1">
        <f t="shared" si="26"/>
        <v>0.11220184543019632</v>
      </c>
      <c r="C96" s="1">
        <f t="shared" si="27"/>
        <v>9.001634475150831E-14</v>
      </c>
      <c r="D96" s="1">
        <f t="shared" si="28"/>
        <v>0.15464197075867422</v>
      </c>
      <c r="E96" s="1">
        <f t="shared" si="29"/>
        <v>-2.244032845977904E-2</v>
      </c>
      <c r="F96" s="1">
        <f t="shared" si="30"/>
        <v>4.7862780146595019E-6</v>
      </c>
      <c r="G96" s="1">
        <f t="shared" si="31"/>
        <v>-2.6437505639295273</v>
      </c>
      <c r="H96" s="1">
        <f t="shared" si="39"/>
        <v>-26.437505639295271</v>
      </c>
      <c r="J96" s="2">
        <v>4.9400000000000004</v>
      </c>
      <c r="K96" s="1">
        <v>1.1481536214968799E-5</v>
      </c>
      <c r="L96" s="1">
        <v>8.7967322585564361E-10</v>
      </c>
      <c r="M96" s="1">
        <v>1.8950749402706458E-2</v>
      </c>
      <c r="N96" s="1">
        <v>1.7487509954892318E-4</v>
      </c>
      <c r="O96" s="1">
        <v>4.468350937179736E-2</v>
      </c>
      <c r="P96" s="1">
        <v>4.4104413068526062E-2</v>
      </c>
      <c r="Q96" s="2">
        <v>0.4410441306852606</v>
      </c>
      <c r="S96" s="2">
        <v>0.95</v>
      </c>
      <c r="T96" s="1">
        <f t="shared" si="32"/>
        <v>0.11220184543019632</v>
      </c>
      <c r="U96" s="1">
        <f t="shared" si="33"/>
        <v>9.001634475150831E-14</v>
      </c>
      <c r="V96" s="1">
        <f t="shared" si="34"/>
        <v>-0.11220116727228995</v>
      </c>
      <c r="W96" s="1">
        <f t="shared" si="35"/>
        <v>7.0733722424096646E-2</v>
      </c>
      <c r="X96" s="1">
        <f t="shared" si="36"/>
        <v>0.99997682801256194</v>
      </c>
      <c r="Y96" s="1">
        <f t="shared" si="37"/>
        <v>4.8338038372420744</v>
      </c>
      <c r="Z96" s="1">
        <f t="shared" si="38"/>
        <v>241.69019186210369</v>
      </c>
      <c r="AB96">
        <v>2.2599999999999998</v>
      </c>
      <c r="AC96">
        <v>5.4954087385762473E-3</v>
      </c>
      <c r="AD96">
        <v>1.8378978671960825E-12</v>
      </c>
      <c r="AE96">
        <v>-5.464743594095791E-3</v>
      </c>
      <c r="AF96">
        <v>3.5154914531365267E-2</v>
      </c>
      <c r="AG96">
        <v>0.99952710151554369</v>
      </c>
      <c r="AH96">
        <v>1.0842738282261815</v>
      </c>
      <c r="AI96">
        <v>54.213691411309078</v>
      </c>
      <c r="AJ96"/>
      <c r="AK96"/>
      <c r="AL96"/>
      <c r="AM96"/>
      <c r="AN96"/>
      <c r="AO96"/>
      <c r="AP96"/>
      <c r="AQ96"/>
      <c r="AR96"/>
    </row>
    <row r="97" spans="1:44" ht="15" customHeight="1" x14ac:dyDescent="0.3">
      <c r="A97" s="2">
        <v>0.96</v>
      </c>
      <c r="B97" s="1">
        <f t="shared" si="26"/>
        <v>0.10964781961431849</v>
      </c>
      <c r="C97" s="1">
        <f t="shared" si="27"/>
        <v>9.2113094774946885E-14</v>
      </c>
      <c r="D97" s="1">
        <f t="shared" si="28"/>
        <v>0.15157713710397228</v>
      </c>
      <c r="E97" s="1">
        <f t="shared" si="29"/>
        <v>-2.1929522850662044E-2</v>
      </c>
      <c r="F97" s="1">
        <f t="shared" si="30"/>
        <v>4.8977642054727592E-6</v>
      </c>
      <c r="G97" s="1">
        <f t="shared" si="31"/>
        <v>-2.6150456003001938</v>
      </c>
      <c r="H97" s="1">
        <f t="shared" si="39"/>
        <v>-26.150456003001938</v>
      </c>
      <c r="J97" s="2">
        <v>4.95</v>
      </c>
      <c r="K97" s="1">
        <v>1.1220184543019627E-5</v>
      </c>
      <c r="L97" s="1">
        <v>9.0016344751508356E-10</v>
      </c>
      <c r="M97" s="1">
        <v>1.8927022428621255E-2</v>
      </c>
      <c r="N97" s="1">
        <v>1.7882959522979059E-4</v>
      </c>
      <c r="O97" s="1">
        <v>4.5676781039662384E-2</v>
      </c>
      <c r="P97" s="1">
        <v>4.5110755716714149E-2</v>
      </c>
      <c r="Q97" s="2">
        <v>0.45110755716714146</v>
      </c>
      <c r="S97" s="2">
        <v>0.96</v>
      </c>
      <c r="T97" s="1">
        <f t="shared" si="32"/>
        <v>0.10964781961431849</v>
      </c>
      <c r="U97" s="1">
        <f t="shared" si="33"/>
        <v>9.2113094774946885E-14</v>
      </c>
      <c r="V97" s="1">
        <f t="shared" si="34"/>
        <v>-0.10964710547339411</v>
      </c>
      <c r="W97" s="1">
        <f t="shared" si="35"/>
        <v>6.9882368491131372E-2</v>
      </c>
      <c r="X97" s="1">
        <f t="shared" si="36"/>
        <v>0.99997628828043572</v>
      </c>
      <c r="Y97" s="1">
        <f t="shared" si="37"/>
        <v>4.6406284286035815</v>
      </c>
      <c r="Z97" s="1">
        <f t="shared" si="38"/>
        <v>232.03142143017905</v>
      </c>
      <c r="AB97">
        <v>2.27</v>
      </c>
      <c r="AC97">
        <v>5.3703179637025244E-3</v>
      </c>
      <c r="AD97">
        <v>1.8807080080294972E-12</v>
      </c>
      <c r="AE97">
        <v>-5.3389185859708255E-3</v>
      </c>
      <c r="AF97">
        <v>3.5112972861990277E-2</v>
      </c>
      <c r="AG97">
        <v>0.9995160916251532</v>
      </c>
      <c r="AH97">
        <v>1.0822802156525888</v>
      </c>
      <c r="AI97">
        <v>54.114010782629443</v>
      </c>
      <c r="AJ97"/>
      <c r="AK97"/>
      <c r="AL97"/>
      <c r="AM97"/>
      <c r="AN97"/>
      <c r="AO97"/>
      <c r="AP97"/>
      <c r="AQ97"/>
      <c r="AR97"/>
    </row>
    <row r="98" spans="1:44" ht="15" customHeight="1" x14ac:dyDescent="0.3">
      <c r="A98" s="2">
        <v>0.97</v>
      </c>
      <c r="B98" s="1">
        <f t="shared" si="26"/>
        <v>0.10715193052376064</v>
      </c>
      <c r="C98" s="1">
        <f t="shared" si="27"/>
        <v>9.4258684380496093E-14</v>
      </c>
      <c r="D98" s="1">
        <f t="shared" si="28"/>
        <v>0.14858206745733105</v>
      </c>
      <c r="E98" s="1">
        <f t="shared" si="29"/>
        <v>-2.1430344576221845E-2</v>
      </c>
      <c r="F98" s="1">
        <f t="shared" si="30"/>
        <v>5.011847217534297E-6</v>
      </c>
      <c r="G98" s="1">
        <f t="shared" si="31"/>
        <v>-2.5863102027543095</v>
      </c>
      <c r="H98" s="1">
        <f t="shared" si="39"/>
        <v>-25.863102027543093</v>
      </c>
      <c r="J98" s="2">
        <v>4.96</v>
      </c>
      <c r="K98" s="1">
        <v>1.0964781961431843E-5</v>
      </c>
      <c r="L98" s="1">
        <v>9.2113094774946933E-10</v>
      </c>
      <c r="M98" s="1">
        <v>1.8902817084866536E-2</v>
      </c>
      <c r="N98" s="1">
        <v>1.8286381918891024E-4</v>
      </c>
      <c r="O98" s="1">
        <v>4.6691053052912143E-2</v>
      </c>
      <c r="P98" s="1">
        <v>4.6137801527038273E-2</v>
      </c>
      <c r="Q98" s="2">
        <v>0.46137801527038269</v>
      </c>
      <c r="S98" s="2">
        <v>0.97</v>
      </c>
      <c r="T98" s="1">
        <f t="shared" si="32"/>
        <v>0.10715193052376064</v>
      </c>
      <c r="U98" s="1">
        <f t="shared" si="33"/>
        <v>9.4258684380496093E-14</v>
      </c>
      <c r="V98" s="1">
        <f t="shared" si="34"/>
        <v>-0.10715117956169287</v>
      </c>
      <c r="W98" s="1">
        <f t="shared" si="35"/>
        <v>6.9050393187230955E-2</v>
      </c>
      <c r="X98" s="1">
        <f t="shared" si="36"/>
        <v>0.99997573597693634</v>
      </c>
      <c r="Y98" s="1">
        <f t="shared" si="37"/>
        <v>4.4621176356103156</v>
      </c>
      <c r="Z98" s="1">
        <f t="shared" si="38"/>
        <v>223.10588178051577</v>
      </c>
      <c r="AB98">
        <v>2.2799999999999998</v>
      </c>
      <c r="AC98">
        <v>5.2480746024977237E-3</v>
      </c>
      <c r="AD98">
        <v>1.9245153251428802E-12</v>
      </c>
      <c r="AE98">
        <v>-5.2159239001902825E-3</v>
      </c>
      <c r="AF98">
        <v>3.5071974633396764E-2</v>
      </c>
      <c r="AG98">
        <v>0.99950482553255859</v>
      </c>
      <c r="AH98">
        <v>1.080333937013171</v>
      </c>
      <c r="AI98">
        <v>54.016696850658555</v>
      </c>
      <c r="AJ98"/>
      <c r="AK98"/>
      <c r="AL98"/>
      <c r="AM98"/>
      <c r="AN98"/>
      <c r="AO98"/>
      <c r="AP98"/>
      <c r="AQ98"/>
      <c r="AR98"/>
    </row>
    <row r="99" spans="1:44" ht="15" customHeight="1" x14ac:dyDescent="0.3">
      <c r="A99" s="2">
        <v>0.98</v>
      </c>
      <c r="B99" s="1">
        <f t="shared" si="26"/>
        <v>0.10471285480508996</v>
      </c>
      <c r="C99" s="1">
        <f t="shared" si="27"/>
        <v>9.6454251188165016E-14</v>
      </c>
      <c r="D99" s="1">
        <f t="shared" si="28"/>
        <v>0.1456551737931796</v>
      </c>
      <c r="E99" s="1">
        <f t="shared" si="29"/>
        <v>-2.0942528965529936E-2</v>
      </c>
      <c r="F99" s="1">
        <f t="shared" si="30"/>
        <v>5.1285875373686223E-6</v>
      </c>
      <c r="G99" s="1">
        <f t="shared" si="31"/>
        <v>-2.5575519508286519</v>
      </c>
      <c r="H99" s="1">
        <f t="shared" si="39"/>
        <v>-25.575519508286519</v>
      </c>
      <c r="J99" s="2">
        <v>4.97</v>
      </c>
      <c r="K99" s="1">
        <v>1.071519305237606E-5</v>
      </c>
      <c r="L99" s="1">
        <v>9.4258684380496127E-10</v>
      </c>
      <c r="M99" s="1">
        <v>1.8878124483698074E-2</v>
      </c>
      <c r="N99" s="1">
        <v>1.8697925271698762E-4</v>
      </c>
      <c r="O99" s="1">
        <v>4.7726721034203896E-2</v>
      </c>
      <c r="P99" s="1">
        <v>4.7185952889750131E-2</v>
      </c>
      <c r="Q99" s="2">
        <v>0.47185952889750127</v>
      </c>
      <c r="S99" s="2">
        <v>0.98</v>
      </c>
      <c r="T99" s="1">
        <f t="shared" si="32"/>
        <v>0.10471285480508996</v>
      </c>
      <c r="U99" s="1">
        <f t="shared" si="33"/>
        <v>9.6454251188165016E-14</v>
      </c>
      <c r="V99" s="1">
        <f t="shared" si="34"/>
        <v>-0.10471206616423226</v>
      </c>
      <c r="W99" s="1">
        <f t="shared" si="35"/>
        <v>6.8237355388077417E-2</v>
      </c>
      <c r="X99" s="1">
        <f t="shared" si="36"/>
        <v>0.99997517080926746</v>
      </c>
      <c r="Y99" s="1">
        <f t="shared" si="37"/>
        <v>4.2967049011065983</v>
      </c>
      <c r="Z99" s="1">
        <f t="shared" si="38"/>
        <v>214.83524505532989</v>
      </c>
      <c r="AB99">
        <v>2.29</v>
      </c>
      <c r="AC99">
        <v>5.1286138399136471E-3</v>
      </c>
      <c r="AD99">
        <v>1.9693430457556263E-12</v>
      </c>
      <c r="AE99">
        <v>-5.0956943241237769E-3</v>
      </c>
      <c r="AF99">
        <v>3.5031898108041255E-2</v>
      </c>
      <c r="AG99">
        <v>0.99949329728186809</v>
      </c>
      <c r="AH99">
        <v>1.0784337879009898</v>
      </c>
      <c r="AI99">
        <v>53.921689395049484</v>
      </c>
      <c r="AJ99"/>
      <c r="AK99"/>
      <c r="AL99"/>
      <c r="AM99"/>
      <c r="AN99"/>
      <c r="AO99"/>
      <c r="AP99"/>
      <c r="AQ99"/>
      <c r="AR99"/>
    </row>
    <row r="100" spans="1:44" ht="15" customHeight="1" x14ac:dyDescent="0.3">
      <c r="A100" s="2">
        <v>0.99</v>
      </c>
      <c r="B100" s="1">
        <f t="shared" si="26"/>
        <v>0.10232929922807538</v>
      </c>
      <c r="C100" s="1">
        <f t="shared" si="27"/>
        <v>9.8700959316536909E-14</v>
      </c>
      <c r="D100" s="1">
        <f t="shared" si="28"/>
        <v>0.14279490423375538</v>
      </c>
      <c r="E100" s="1">
        <f t="shared" si="29"/>
        <v>-2.0465817372292562E-2</v>
      </c>
      <c r="F100" s="1">
        <f t="shared" si="30"/>
        <v>5.248047060355235E-6</v>
      </c>
      <c r="G100" s="1">
        <f t="shared" si="31"/>
        <v>-2.5287784482398417</v>
      </c>
      <c r="H100" s="1">
        <f t="shared" si="39"/>
        <v>-25.287784482398415</v>
      </c>
      <c r="J100" s="2">
        <v>4.9800000000000004</v>
      </c>
      <c r="K100" s="1">
        <v>1.0471285480508972E-5</v>
      </c>
      <c r="L100" s="1">
        <v>9.6454251188165234E-10</v>
      </c>
      <c r="M100" s="1">
        <v>1.8852935643922951E-2</v>
      </c>
      <c r="N100" s="1">
        <v>1.9117739267950813E-4</v>
      </c>
      <c r="O100" s="1">
        <v>4.8784185889898052E-2</v>
      </c>
      <c r="P100" s="1">
        <v>4.8255617324993658E-2</v>
      </c>
      <c r="Q100" s="2">
        <v>0.48255617324993655</v>
      </c>
      <c r="S100" s="2">
        <v>0.99</v>
      </c>
      <c r="T100" s="1">
        <f t="shared" si="32"/>
        <v>0.10232929922807538</v>
      </c>
      <c r="U100" s="1">
        <f t="shared" si="33"/>
        <v>9.8700959316536909E-14</v>
      </c>
      <c r="V100" s="1">
        <f t="shared" si="34"/>
        <v>-0.10232847203080539</v>
      </c>
      <c r="W100" s="1">
        <f t="shared" si="35"/>
        <v>6.7442824010268465E-2</v>
      </c>
      <c r="X100" s="1">
        <f t="shared" si="36"/>
        <v>0.99997459247781373</v>
      </c>
      <c r="Y100" s="1">
        <f t="shared" si="37"/>
        <v>4.1430389436442381</v>
      </c>
      <c r="Z100" s="1">
        <f t="shared" si="38"/>
        <v>207.1519471822119</v>
      </c>
      <c r="AB100">
        <v>2.2999999999999998</v>
      </c>
      <c r="AC100">
        <v>5.0118723362727212E-3</v>
      </c>
      <c r="AD100">
        <v>2.015214938118569E-12</v>
      </c>
      <c r="AE100">
        <v>-4.9781661112754958E-3</v>
      </c>
      <c r="AF100">
        <v>3.4992722037091833E-2</v>
      </c>
      <c r="AG100">
        <v>0.99948150077901665</v>
      </c>
      <c r="AH100">
        <v>1.0765785965398511</v>
      </c>
      <c r="AI100">
        <v>53.82892982699255</v>
      </c>
      <c r="AJ100"/>
      <c r="AK100"/>
      <c r="AL100"/>
      <c r="AM100"/>
      <c r="AN100"/>
      <c r="AO100"/>
      <c r="AP100"/>
      <c r="AQ100"/>
      <c r="AR100"/>
    </row>
    <row r="101" spans="1:44" ht="15" customHeight="1" x14ac:dyDescent="0.3">
      <c r="A101" s="2">
        <v>1</v>
      </c>
      <c r="B101" s="1">
        <f t="shared" si="26"/>
        <v>0.1</v>
      </c>
      <c r="C101" s="1">
        <f t="shared" si="27"/>
        <v>1.0099999999999999E-13</v>
      </c>
      <c r="D101" s="1">
        <f t="shared" si="28"/>
        <v>0.13999974222627773</v>
      </c>
      <c r="E101" s="1">
        <f t="shared" si="29"/>
        <v>-1.9999957037712953E-2</v>
      </c>
      <c r="F101" s="1">
        <f t="shared" si="30"/>
        <v>5.3702891235423735E-6</v>
      </c>
      <c r="G101" s="1">
        <f t="shared" si="31"/>
        <v>-2.4999973148541756</v>
      </c>
      <c r="H101" s="1">
        <f t="shared" si="39"/>
        <v>-24.999973148541756</v>
      </c>
      <c r="J101" s="2">
        <v>4.99</v>
      </c>
      <c r="K101" s="1">
        <v>1.0232929922807521E-5</v>
      </c>
      <c r="L101" s="1">
        <v>9.8700959316537073E-10</v>
      </c>
      <c r="M101" s="1">
        <v>1.8827241492547161E-2</v>
      </c>
      <c r="N101" s="1">
        <v>1.9545975124213964E-4</v>
      </c>
      <c r="O101" s="1">
        <v>4.9863853778976272E-2</v>
      </c>
      <c r="P101" s="1">
        <v>4.9347207455219477E-2</v>
      </c>
      <c r="Q101" s="2">
        <v>0.49347207455219477</v>
      </c>
      <c r="S101" s="2">
        <v>1</v>
      </c>
      <c r="T101" s="1">
        <f t="shared" si="32"/>
        <v>0.1</v>
      </c>
      <c r="U101" s="1">
        <f t="shared" si="33"/>
        <v>1.0099999999999999E-13</v>
      </c>
      <c r="V101" s="1">
        <f t="shared" si="34"/>
        <v>-9.999913334825429E-2</v>
      </c>
      <c r="W101" s="1">
        <f t="shared" si="35"/>
        <v>6.6666377782751432E-2</v>
      </c>
      <c r="X101" s="1">
        <f t="shared" si="36"/>
        <v>0.99997400067598241</v>
      </c>
      <c r="Y101" s="1">
        <f t="shared" si="37"/>
        <v>3.9999480013459046</v>
      </c>
      <c r="Z101" s="1">
        <f t="shared" si="38"/>
        <v>199.99740006729525</v>
      </c>
      <c r="AB101">
        <v>2.31</v>
      </c>
      <c r="AC101">
        <v>4.8977881936844566E-3</v>
      </c>
      <c r="AD101">
        <v>2.0621553241162269E-12</v>
      </c>
      <c r="AE101">
        <v>-4.8632769474865455E-3</v>
      </c>
      <c r="AF101">
        <v>3.4954425649162187E-2</v>
      </c>
      <c r="AG101">
        <v>0.99946942978857245</v>
      </c>
      <c r="AH101">
        <v>1.0747672227668461</v>
      </c>
      <c r="AI101">
        <v>53.738361138342306</v>
      </c>
      <c r="AJ101"/>
      <c r="AK101"/>
      <c r="AL101"/>
      <c r="AM101"/>
      <c r="AN101"/>
      <c r="AO101"/>
      <c r="AP101"/>
      <c r="AQ101"/>
      <c r="AR101"/>
    </row>
    <row r="102" spans="1:44" ht="15" customHeight="1" x14ac:dyDescent="0.3">
      <c r="A102" s="2">
        <v>1.01</v>
      </c>
      <c r="B102" s="1">
        <f t="shared" si="26"/>
        <v>9.7723722095581056E-2</v>
      </c>
      <c r="C102" s="1">
        <f t="shared" si="27"/>
        <v>1.0335259222035617E-13</v>
      </c>
      <c r="D102" s="1">
        <f t="shared" si="28"/>
        <v>0.13726820573885207</v>
      </c>
      <c r="E102" s="1">
        <f t="shared" si="29"/>
        <v>-1.9544700956475348E-2</v>
      </c>
      <c r="F102" s="1">
        <f t="shared" si="30"/>
        <v>5.4953785392249975E-6</v>
      </c>
      <c r="G102" s="1">
        <f t="shared" si="31"/>
        <v>-2.4712161786211397</v>
      </c>
      <c r="H102" s="1">
        <f t="shared" si="39"/>
        <v>-24.712161786211396</v>
      </c>
      <c r="J102" s="2">
        <v>5</v>
      </c>
      <c r="K102" s="1">
        <v>1.0000000000000001E-5</v>
      </c>
      <c r="L102" s="1">
        <v>1.0099999999999998E-9</v>
      </c>
      <c r="M102" s="1">
        <v>1.8801032866591946E-2</v>
      </c>
      <c r="N102" s="1">
        <v>1.9982785556800882E-4</v>
      </c>
      <c r="O102" s="1">
        <v>5.0966136075934268E-2</v>
      </c>
      <c r="P102" s="1">
        <v>5.0461140971494643E-2</v>
      </c>
      <c r="Q102" s="2">
        <v>0.50461140971494645</v>
      </c>
      <c r="S102" s="2">
        <v>1.01</v>
      </c>
      <c r="T102" s="1">
        <f t="shared" si="32"/>
        <v>9.7723722095581056E-2</v>
      </c>
      <c r="U102" s="1">
        <f t="shared" si="33"/>
        <v>1.0335259222035617E-13</v>
      </c>
      <c r="V102" s="1">
        <f t="shared" si="34"/>
        <v>-9.7722815070379068E-2</v>
      </c>
      <c r="W102" s="1">
        <f t="shared" si="35"/>
        <v>6.5907605023459687E-2</v>
      </c>
      <c r="X102" s="1">
        <f t="shared" si="36"/>
        <v>0.99997339509004068</v>
      </c>
      <c r="Y102" s="1">
        <f t="shared" si="37"/>
        <v>3.8664109734040144</v>
      </c>
      <c r="Z102" s="1">
        <f t="shared" si="38"/>
        <v>193.32054867020071</v>
      </c>
      <c r="AB102">
        <v>2.3199999999999998</v>
      </c>
      <c r="AC102">
        <v>4.7863009232263836E-3</v>
      </c>
      <c r="AD102">
        <v>2.1101890921625798E-12</v>
      </c>
      <c r="AE102">
        <v>-4.7509659178971795E-3</v>
      </c>
      <c r="AF102">
        <v>3.4916988639299061E-2</v>
      </c>
      <c r="AG102">
        <v>0.99945707793047256</v>
      </c>
      <c r="AH102">
        <v>1.0729985570514942</v>
      </c>
      <c r="AI102">
        <v>53.649927852574713</v>
      </c>
      <c r="AJ102"/>
      <c r="AK102"/>
      <c r="AL102"/>
      <c r="AM102"/>
      <c r="AN102"/>
      <c r="AO102"/>
      <c r="AP102"/>
      <c r="AQ102"/>
      <c r="AR102"/>
    </row>
    <row r="103" spans="1:44" ht="15" customHeight="1" x14ac:dyDescent="0.3">
      <c r="A103" s="2">
        <v>1.02</v>
      </c>
      <c r="B103" s="1">
        <f t="shared" si="26"/>
        <v>9.5499258602143561E-2</v>
      </c>
      <c r="C103" s="1">
        <f t="shared" si="27"/>
        <v>1.0575998335314088E-13</v>
      </c>
      <c r="D103" s="1">
        <f t="shared" si="28"/>
        <v>0.13459884647467663</v>
      </c>
      <c r="E103" s="1">
        <f t="shared" si="29"/>
        <v>-1.9099807745779438E-2</v>
      </c>
      <c r="F103" s="1">
        <f t="shared" si="30"/>
        <v>5.6233816293047154E-6</v>
      </c>
      <c r="G103" s="1">
        <f t="shared" si="31"/>
        <v>-2.4424426674887085</v>
      </c>
      <c r="H103" s="1">
        <f t="shared" si="39"/>
        <v>-24.424426674887084</v>
      </c>
      <c r="J103" s="2">
        <v>5.01</v>
      </c>
      <c r="K103" s="1">
        <v>9.7723722095581059E-6</v>
      </c>
      <c r="L103" s="1">
        <v>1.0335259222035617E-9</v>
      </c>
      <c r="M103" s="1">
        <v>1.8774300515085173E-2</v>
      </c>
      <c r="N103" s="1">
        <v>2.0428324748580454E-4</v>
      </c>
      <c r="O103" s="1">
        <v>5.2091449327374854E-2</v>
      </c>
      <c r="P103" s="1">
        <v>5.159784059343523E-2</v>
      </c>
      <c r="Q103" s="2">
        <v>0.51597840593435229</v>
      </c>
      <c r="S103" s="2">
        <v>1.02</v>
      </c>
      <c r="T103" s="1">
        <f t="shared" si="32"/>
        <v>9.5499258602143561E-2</v>
      </c>
      <c r="U103" s="1">
        <f t="shared" si="33"/>
        <v>1.0575998335314088E-13</v>
      </c>
      <c r="V103" s="1">
        <f t="shared" si="34"/>
        <v>-9.5498310263100405E-2</v>
      </c>
      <c r="W103" s="1">
        <f t="shared" si="35"/>
        <v>6.5166103421033475E-2</v>
      </c>
      <c r="X103" s="1">
        <f t="shared" si="36"/>
        <v>0.99997277539894969</v>
      </c>
      <c r="Y103" s="1">
        <f t="shared" si="37"/>
        <v>3.7415339551982352</v>
      </c>
      <c r="Z103" s="1">
        <f t="shared" si="38"/>
        <v>187.07669775991172</v>
      </c>
      <c r="AB103">
        <v>2.33</v>
      </c>
      <c r="AC103">
        <v>4.6773514128719777E-3</v>
      </c>
      <c r="AD103">
        <v>2.1593417103972561E-12</v>
      </c>
      <c r="AE103">
        <v>-4.6411734746505352E-3</v>
      </c>
      <c r="AF103">
        <v>3.4880391158216846E-2</v>
      </c>
      <c r="AG103">
        <v>0.99944443867668176</v>
      </c>
      <c r="AH103">
        <v>1.0712715195499236</v>
      </c>
      <c r="AI103">
        <v>53.563575977496185</v>
      </c>
      <c r="AJ103"/>
      <c r="AK103"/>
      <c r="AL103"/>
      <c r="AM103"/>
      <c r="AN103"/>
      <c r="AO103"/>
      <c r="AP103"/>
      <c r="AQ103"/>
      <c r="AR103"/>
    </row>
    <row r="104" spans="1:44" ht="15" customHeight="1" x14ac:dyDescent="0.3">
      <c r="A104" s="2">
        <v>1.03</v>
      </c>
      <c r="B104" s="1">
        <f t="shared" si="26"/>
        <v>9.3325430079699068E-2</v>
      </c>
      <c r="C104" s="1">
        <f t="shared" si="27"/>
        <v>1.0822344982899828E-13</v>
      </c>
      <c r="D104" s="1">
        <f t="shared" si="28"/>
        <v>0.13199024910413656</v>
      </c>
      <c r="E104" s="1">
        <f t="shared" si="29"/>
        <v>-1.8665041517356092E-2</v>
      </c>
      <c r="F104" s="1">
        <f t="shared" si="30"/>
        <v>5.7543662604499654E-6</v>
      </c>
      <c r="G104" s="1">
        <f t="shared" si="31"/>
        <v>-2.413684401318652</v>
      </c>
      <c r="H104" s="1">
        <f t="shared" si="39"/>
        <v>-24.136844013186519</v>
      </c>
      <c r="J104" s="2">
        <v>5.0199999999999996</v>
      </c>
      <c r="K104" s="1">
        <v>9.5499258602143587E-6</v>
      </c>
      <c r="L104" s="1">
        <v>1.0575998335314086E-9</v>
      </c>
      <c r="M104" s="1">
        <v>1.8747035101234093E-2</v>
      </c>
      <c r="N104" s="1">
        <v>2.0882748312765089E-4</v>
      </c>
      <c r="O104" s="1">
        <v>5.3240215202022413E-2</v>
      </c>
      <c r="P104" s="1">
        <v>5.2757734022484397E-2</v>
      </c>
      <c r="Q104" s="2">
        <v>0.52757734022484393</v>
      </c>
      <c r="S104" s="2">
        <v>1.03</v>
      </c>
      <c r="T104" s="1">
        <f t="shared" si="32"/>
        <v>9.3325430079699068E-2</v>
      </c>
      <c r="U104" s="1">
        <f t="shared" si="33"/>
        <v>1.0822344982899828E-13</v>
      </c>
      <c r="V104" s="1">
        <f t="shared" si="34"/>
        <v>-9.3324439464527148E-2</v>
      </c>
      <c r="W104" s="1">
        <f t="shared" si="35"/>
        <v>6.4441479821509051E-2</v>
      </c>
      <c r="X104" s="1">
        <f t="shared" si="36"/>
        <v>0.99997214127419398</v>
      </c>
      <c r="Y104" s="1">
        <f t="shared" si="37"/>
        <v>3.6245310264901933</v>
      </c>
      <c r="Z104" s="1">
        <f t="shared" si="38"/>
        <v>181.22655132450967</v>
      </c>
      <c r="AB104">
        <v>2.34</v>
      </c>
      <c r="AC104">
        <v>4.5708818961487504E-3</v>
      </c>
      <c r="AD104">
        <v>2.2096392401890477E-12</v>
      </c>
      <c r="AE104">
        <v>-4.5338414053218909E-3</v>
      </c>
      <c r="AF104">
        <v>3.4844613801773963E-2</v>
      </c>
      <c r="AG104">
        <v>0.99943150534777681</v>
      </c>
      <c r="AH104">
        <v>1.0695850591926248</v>
      </c>
      <c r="AI104">
        <v>53.479252959631239</v>
      </c>
      <c r="AJ104"/>
      <c r="AK104"/>
      <c r="AL104"/>
      <c r="AM104"/>
      <c r="AN104"/>
      <c r="AO104"/>
      <c r="AP104"/>
      <c r="AQ104"/>
      <c r="AR104"/>
    </row>
    <row r="105" spans="1:44" ht="15" customHeight="1" x14ac:dyDescent="0.3">
      <c r="A105" s="2">
        <v>1.04</v>
      </c>
      <c r="B105" s="1">
        <f t="shared" si="26"/>
        <v>9.120108393559094E-2</v>
      </c>
      <c r="C105" s="1">
        <f t="shared" si="27"/>
        <v>1.1074429781046171E-13</v>
      </c>
      <c r="D105" s="1">
        <f t="shared" si="28"/>
        <v>0.12944103051437716</v>
      </c>
      <c r="E105" s="1">
        <f t="shared" si="29"/>
        <v>-1.8240171752396193E-2</v>
      </c>
      <c r="F105" s="1">
        <f t="shared" si="30"/>
        <v>5.8884018800750161E-6</v>
      </c>
      <c r="G105" s="1">
        <f t="shared" si="31"/>
        <v>-2.3849489838200366</v>
      </c>
      <c r="H105" s="1">
        <f t="shared" si="39"/>
        <v>-23.849489838200366</v>
      </c>
      <c r="J105" s="2">
        <v>5.03</v>
      </c>
      <c r="K105" s="1">
        <v>9.3325430079698941E-6</v>
      </c>
      <c r="L105" s="1">
        <v>1.0822344982899843E-9</v>
      </c>
      <c r="M105" s="1">
        <v>1.8719227204785856E-2</v>
      </c>
      <c r="N105" s="1">
        <v>2.1346213253569044E-4</v>
      </c>
      <c r="O105" s="1">
        <v>5.441286043387529E-2</v>
      </c>
      <c r="P105" s="1">
        <v>5.3941253888254409E-2</v>
      </c>
      <c r="Q105" s="2">
        <v>0.53941253888254403</v>
      </c>
      <c r="S105" s="2">
        <v>1.04</v>
      </c>
      <c r="T105" s="1">
        <f t="shared" si="32"/>
        <v>9.120108393559094E-2</v>
      </c>
      <c r="U105" s="1">
        <f t="shared" si="33"/>
        <v>1.1074429781046171E-13</v>
      </c>
      <c r="V105" s="1">
        <f t="shared" si="34"/>
        <v>-9.1200050059589657E-2</v>
      </c>
      <c r="W105" s="1">
        <f t="shared" si="35"/>
        <v>6.3733350019863216E-2</v>
      </c>
      <c r="X105" s="1">
        <f t="shared" si="36"/>
        <v>0.99997149237960781</v>
      </c>
      <c r="Y105" s="1">
        <f t="shared" si="37"/>
        <v>3.5147084197062552</v>
      </c>
      <c r="Z105" s="1">
        <f t="shared" si="38"/>
        <v>175.73542098531277</v>
      </c>
      <c r="AB105">
        <v>2.35</v>
      </c>
      <c r="AC105">
        <v>4.4668359215096279E-3</v>
      </c>
      <c r="AD105">
        <v>2.2611083499540245E-12</v>
      </c>
      <c r="AE105">
        <v>-4.428912802055476E-3</v>
      </c>
      <c r="AF105">
        <v>3.4809637600685159E-2</v>
      </c>
      <c r="AG105">
        <v>0.99941827110945092</v>
      </c>
      <c r="AH105">
        <v>1.0679381528043479</v>
      </c>
      <c r="AI105">
        <v>53.3969076402174</v>
      </c>
      <c r="AJ105"/>
      <c r="AK105"/>
      <c r="AL105"/>
      <c r="AM105"/>
      <c r="AN105"/>
      <c r="AO105"/>
      <c r="AP105"/>
      <c r="AQ105"/>
      <c r="AR105"/>
    </row>
    <row r="106" spans="1:44" ht="15" customHeight="1" x14ac:dyDescent="0.3">
      <c r="A106" s="2">
        <v>1.05</v>
      </c>
      <c r="B106" s="1">
        <f t="shared" si="26"/>
        <v>8.9125093813374537E-2</v>
      </c>
      <c r="C106" s="1">
        <f t="shared" si="27"/>
        <v>1.1332386388449832E-13</v>
      </c>
      <c r="D106" s="1">
        <f t="shared" si="28"/>
        <v>0.12694983907595925</v>
      </c>
      <c r="E106" s="1">
        <f t="shared" si="29"/>
        <v>-1.7824973179326541E-2</v>
      </c>
      <c r="F106" s="1">
        <f t="shared" si="30"/>
        <v>6.0255595531568736E-6</v>
      </c>
      <c r="G106" s="1">
        <f t="shared" si="31"/>
        <v>-2.356243994519061</v>
      </c>
      <c r="H106" s="1">
        <f t="shared" si="39"/>
        <v>-23.562439945190608</v>
      </c>
      <c r="J106" s="2">
        <v>5.04</v>
      </c>
      <c r="K106" s="1">
        <v>9.1201083935590828E-6</v>
      </c>
      <c r="L106" s="1">
        <v>1.1074429781046185E-9</v>
      </c>
      <c r="M106" s="1">
        <v>1.8690867324582246E-2</v>
      </c>
      <c r="N106" s="1">
        <v>2.1818877923629232E-4</v>
      </c>
      <c r="O106" s="1">
        <v>5.5609816758203451E-2</v>
      </c>
      <c r="P106" s="1">
        <v>5.5148837687641436E-2</v>
      </c>
      <c r="Q106" s="2">
        <v>0.55148837687641428</v>
      </c>
      <c r="S106" s="2">
        <v>1.05</v>
      </c>
      <c r="T106" s="1">
        <f t="shared" si="32"/>
        <v>8.9125093813374537E-2</v>
      </c>
      <c r="U106" s="1">
        <f t="shared" si="33"/>
        <v>1.1332386388449832E-13</v>
      </c>
      <c r="V106" s="1">
        <f t="shared" si="34"/>
        <v>-8.9124015668908513E-2</v>
      </c>
      <c r="W106" s="1">
        <f t="shared" si="35"/>
        <v>6.3041338556302839E-2</v>
      </c>
      <c r="X106" s="1">
        <f t="shared" si="36"/>
        <v>0.99997082837119688</v>
      </c>
      <c r="Y106" s="1">
        <f t="shared" si="37"/>
        <v>3.4114513942741147</v>
      </c>
      <c r="Z106" s="1">
        <f t="shared" si="38"/>
        <v>170.57256971370572</v>
      </c>
      <c r="AB106">
        <v>2.36</v>
      </c>
      <c r="AC106">
        <v>4.3651583224016566E-3</v>
      </c>
      <c r="AD106">
        <v>2.3137763292954521E-12</v>
      </c>
      <c r="AE106">
        <v>-4.3263320313935106E-3</v>
      </c>
      <c r="AF106">
        <v>3.47754440104645E-2</v>
      </c>
      <c r="AG106">
        <v>0.99940472896893928</v>
      </c>
      <c r="AH106">
        <v>1.066329804254821</v>
      </c>
      <c r="AI106">
        <v>53.316490212741051</v>
      </c>
      <c r="AJ106"/>
      <c r="AK106"/>
      <c r="AL106"/>
      <c r="AM106"/>
      <c r="AN106"/>
      <c r="AO106"/>
      <c r="AP106"/>
      <c r="AQ106"/>
      <c r="AR106"/>
    </row>
    <row r="107" spans="1:44" ht="15" customHeight="1" x14ac:dyDescent="0.3">
      <c r="A107" s="2">
        <v>1.06</v>
      </c>
      <c r="B107" s="1">
        <f t="shared" si="26"/>
        <v>8.7096358995608011E-2</v>
      </c>
      <c r="C107" s="1">
        <f t="shared" si="27"/>
        <v>1.1596351577118522E-13</v>
      </c>
      <c r="D107" s="1">
        <f t="shared" si="28"/>
        <v>0.12451535392620751</v>
      </c>
      <c r="E107" s="1">
        <f t="shared" si="29"/>
        <v>-1.7419225654367917E-2</v>
      </c>
      <c r="F107" s="1">
        <f t="shared" si="30"/>
        <v>6.1659119999096115E-6</v>
      </c>
      <c r="G107" s="1">
        <f t="shared" si="31"/>
        <v>-2.3275769807832174</v>
      </c>
      <c r="H107" s="1">
        <f t="shared" si="39"/>
        <v>-23.275769807832173</v>
      </c>
      <c r="J107" s="2">
        <v>5.05</v>
      </c>
      <c r="K107" s="1">
        <v>8.9125093813374425E-6</v>
      </c>
      <c r="L107" s="1">
        <v>1.1332386388449846E-9</v>
      </c>
      <c r="M107" s="1">
        <v>1.8661945881315145E-2</v>
      </c>
      <c r="N107" s="1">
        <v>2.2300901978080894E-4</v>
      </c>
      <c r="O107" s="1">
        <v>5.6831520840097294E-2</v>
      </c>
      <c r="P107" s="1">
        <v>5.6380927716420816E-2</v>
      </c>
      <c r="Q107" s="2">
        <v>0.56380927716420814</v>
      </c>
      <c r="S107" s="2">
        <v>1.06</v>
      </c>
      <c r="T107" s="1">
        <f t="shared" si="32"/>
        <v>8.7096358995608011E-2</v>
      </c>
      <c r="U107" s="1">
        <f t="shared" si="33"/>
        <v>1.1596351577118522E-13</v>
      </c>
      <c r="V107" s="1">
        <f t="shared" si="34"/>
        <v>-8.7095235551572808E-2</v>
      </c>
      <c r="W107" s="1">
        <f t="shared" si="35"/>
        <v>6.236507851719094E-2</v>
      </c>
      <c r="X107" s="1">
        <f t="shared" si="36"/>
        <v>0.99997014889695601</v>
      </c>
      <c r="Y107" s="1">
        <f t="shared" si="37"/>
        <v>3.3142132923369139</v>
      </c>
      <c r="Z107" s="1">
        <f t="shared" si="38"/>
        <v>165.71066461684569</v>
      </c>
      <c r="AB107">
        <v>2.37</v>
      </c>
      <c r="AC107">
        <v>4.2657951880159251E-3</v>
      </c>
      <c r="AD107">
        <v>2.3676711034731221E-12</v>
      </c>
      <c r="AE107">
        <v>-4.2260447047808109E-3</v>
      </c>
      <c r="AF107">
        <v>3.47420149015936E-2</v>
      </c>
      <c r="AG107">
        <v>0.99939087177136265</v>
      </c>
      <c r="AH107">
        <v>1.0647590436389984</v>
      </c>
      <c r="AI107">
        <v>53.237952181949922</v>
      </c>
      <c r="AJ107"/>
      <c r="AK107"/>
      <c r="AL107"/>
      <c r="AM107"/>
      <c r="AN107"/>
      <c r="AO107"/>
      <c r="AP107"/>
      <c r="AQ107"/>
      <c r="AR107"/>
    </row>
    <row r="108" spans="1:44" ht="15" customHeight="1" x14ac:dyDescent="0.3">
      <c r="A108" s="2">
        <v>1.07</v>
      </c>
      <c r="B108" s="1">
        <f t="shared" si="26"/>
        <v>8.5113803820237616E-2</v>
      </c>
      <c r="C108" s="1">
        <f t="shared" si="27"/>
        <v>1.1866465304889252E-13</v>
      </c>
      <c r="D108" s="1">
        <f t="shared" si="28"/>
        <v>0.12213628426887134</v>
      </c>
      <c r="E108" s="1">
        <f t="shared" si="29"/>
        <v>-1.7022714044811892E-2</v>
      </c>
      <c r="F108" s="1">
        <f t="shared" si="30"/>
        <v>6.309533634336063E-6</v>
      </c>
      <c r="G108" s="1">
        <f t="shared" si="31"/>
        <v>-2.2989554499175537</v>
      </c>
      <c r="H108" s="1">
        <f t="shared" si="39"/>
        <v>-22.989554499175537</v>
      </c>
      <c r="J108" s="2">
        <v>5.0599999999999996</v>
      </c>
      <c r="K108" s="1">
        <v>8.7096358995608107E-6</v>
      </c>
      <c r="L108" s="1">
        <v>1.159635157711851E-9</v>
      </c>
      <c r="M108" s="1">
        <v>1.8632453220489311E-2</v>
      </c>
      <c r="N108" s="1">
        <v>2.2792446325178162E-4</v>
      </c>
      <c r="O108" s="1">
        <v>5.8078414195264071E-2</v>
      </c>
      <c r="P108" s="1">
        <v>5.7637970993020711E-2</v>
      </c>
      <c r="Q108" s="2">
        <v>0.57637970993020704</v>
      </c>
      <c r="S108" s="2">
        <v>1.07</v>
      </c>
      <c r="T108" s="1">
        <f t="shared" si="32"/>
        <v>8.5113803820237616E-2</v>
      </c>
      <c r="U108" s="1">
        <f t="shared" si="33"/>
        <v>1.1866465304889252E-13</v>
      </c>
      <c r="V108" s="1">
        <f t="shared" si="34"/>
        <v>-8.5112634021513228E-2</v>
      </c>
      <c r="W108" s="1">
        <f t="shared" si="35"/>
        <v>6.1704211340504411E-2</v>
      </c>
      <c r="X108" s="1">
        <f t="shared" si="36"/>
        <v>0.99996945359668277</v>
      </c>
      <c r="Y108" s="1">
        <f t="shared" si="37"/>
        <v>3.2225063642972964</v>
      </c>
      <c r="Z108" s="1">
        <f t="shared" si="38"/>
        <v>161.12531821486485</v>
      </c>
      <c r="AB108">
        <v>2.38</v>
      </c>
      <c r="AC108">
        <v>4.1686938347033527E-3</v>
      </c>
      <c r="AD108">
        <v>2.4228212482096858E-12</v>
      </c>
      <c r="AE108">
        <v>-4.1279976497297106E-3</v>
      </c>
      <c r="AF108">
        <v>3.4709332549909905E-2</v>
      </c>
      <c r="AG108">
        <v>0.99937669219598746</v>
      </c>
      <c r="AH108">
        <v>1.0632249264856306</v>
      </c>
      <c r="AI108">
        <v>53.161246324281535</v>
      </c>
      <c r="AJ108"/>
      <c r="AK108"/>
      <c r="AL108"/>
      <c r="AM108"/>
      <c r="AN108"/>
      <c r="AO108"/>
      <c r="AP108"/>
      <c r="AQ108"/>
      <c r="AR108"/>
    </row>
    <row r="109" spans="1:44" ht="15" customHeight="1" x14ac:dyDescent="0.3">
      <c r="A109" s="2">
        <v>1.08</v>
      </c>
      <c r="B109" s="1">
        <f t="shared" si="26"/>
        <v>8.3176377110267083E-2</v>
      </c>
      <c r="C109" s="1">
        <f t="shared" si="27"/>
        <v>1.2142870789635872E-13</v>
      </c>
      <c r="D109" s="1">
        <f t="shared" si="28"/>
        <v>0.11981136868972787</v>
      </c>
      <c r="E109" s="1">
        <f t="shared" si="29"/>
        <v>-1.6635228114954645E-2</v>
      </c>
      <c r="F109" s="1">
        <f t="shared" si="30"/>
        <v>6.4565006036773584E-6</v>
      </c>
      <c r="G109" s="1">
        <f t="shared" si="31"/>
        <v>-2.270386861350548</v>
      </c>
      <c r="H109" s="1">
        <f t="shared" si="39"/>
        <v>-22.703868613505477</v>
      </c>
      <c r="J109" s="2">
        <v>5.07</v>
      </c>
      <c r="K109" s="1">
        <v>8.5113803820237531E-6</v>
      </c>
      <c r="L109" s="1">
        <v>1.1866465304889263E-9</v>
      </c>
      <c r="M109" s="1">
        <v>1.8602379615598942E-2</v>
      </c>
      <c r="N109" s="1">
        <v>2.3293673073351005E-4</v>
      </c>
      <c r="O109" s="1">
        <v>5.9350943102767638E-2</v>
      </c>
      <c r="P109" s="1">
        <v>5.8920419174171491E-2</v>
      </c>
      <c r="Q109" s="2">
        <v>0.5892041917417149</v>
      </c>
      <c r="S109" s="2">
        <v>1.08</v>
      </c>
      <c r="T109" s="1">
        <f t="shared" si="32"/>
        <v>8.3176377110267083E-2</v>
      </c>
      <c r="U109" s="1">
        <f t="shared" si="33"/>
        <v>1.2142870789635872E-13</v>
      </c>
      <c r="V109" s="1">
        <f t="shared" si="34"/>
        <v>-8.3175159877158539E-2</v>
      </c>
      <c r="W109" s="1">
        <f t="shared" si="35"/>
        <v>6.105838662571951E-2</v>
      </c>
      <c r="X109" s="1">
        <f t="shared" si="36"/>
        <v>0.99996874210178666</v>
      </c>
      <c r="Y109" s="1">
        <f t="shared" si="37"/>
        <v>3.1358940390511063</v>
      </c>
      <c r="Z109" s="1">
        <f t="shared" si="38"/>
        <v>156.79470195255533</v>
      </c>
      <c r="AB109">
        <v>2.39</v>
      </c>
      <c r="AC109">
        <v>4.0738027780411225E-3</v>
      </c>
      <c r="AD109">
        <v>2.4792560048418833E-12</v>
      </c>
      <c r="AE109">
        <v>-4.0321388816296592E-3</v>
      </c>
      <c r="AF109">
        <v>3.4677379627209889E-2</v>
      </c>
      <c r="AG109">
        <v>0.99936218275239974</v>
      </c>
      <c r="AH109">
        <v>1.061726532992991</v>
      </c>
      <c r="AI109">
        <v>53.08632664964955</v>
      </c>
      <c r="AJ109"/>
      <c r="AK109"/>
      <c r="AL109"/>
      <c r="AM109"/>
      <c r="AN109"/>
      <c r="AO109"/>
      <c r="AP109"/>
      <c r="AQ109"/>
      <c r="AR109"/>
    </row>
    <row r="110" spans="1:44" ht="15" customHeight="1" x14ac:dyDescent="0.3">
      <c r="A110" s="2">
        <v>1.0900000000000001</v>
      </c>
      <c r="B110" s="1">
        <f t="shared" si="26"/>
        <v>8.1283051616409904E-2</v>
      </c>
      <c r="C110" s="1">
        <f t="shared" si="27"/>
        <v>1.2425714585205055E-13</v>
      </c>
      <c r="D110" s="1">
        <f t="shared" si="28"/>
        <v>0.11753937448776311</v>
      </c>
      <c r="E110" s="1">
        <f t="shared" si="29"/>
        <v>-1.6256562414627182E-2</v>
      </c>
      <c r="F110" s="1">
        <f t="shared" si="30"/>
        <v>6.6068908287811359E-6</v>
      </c>
      <c r="G110" s="1">
        <f t="shared" si="31"/>
        <v>-2.2418786189267506</v>
      </c>
      <c r="H110" s="1">
        <f t="shared" si="39"/>
        <v>-22.418786189267504</v>
      </c>
      <c r="J110" s="2">
        <v>5.08</v>
      </c>
      <c r="K110" s="1">
        <v>8.3176377110266992E-6</v>
      </c>
      <c r="L110" s="1">
        <v>1.2142870789635886E-9</v>
      </c>
      <c r="M110" s="1">
        <v>1.8571715271524739E-2</v>
      </c>
      <c r="N110" s="1">
        <v>2.380474547458772E-4</v>
      </c>
      <c r="O110" s="1">
        <v>6.0649558509397843E-2</v>
      </c>
      <c r="P110" s="1">
        <v>6.0228728462118693E-2</v>
      </c>
      <c r="Q110" s="2">
        <v>0.60228728462118686</v>
      </c>
      <c r="S110" s="2">
        <v>1.0900000000000001</v>
      </c>
      <c r="T110" s="1">
        <f t="shared" si="32"/>
        <v>8.1283051616409904E-2</v>
      </c>
      <c r="U110" s="1">
        <f t="shared" si="33"/>
        <v>1.2425714585205055E-13</v>
      </c>
      <c r="V110" s="1">
        <f t="shared" si="34"/>
        <v>-8.1281785844075055E-2</v>
      </c>
      <c r="W110" s="1">
        <f t="shared" si="35"/>
        <v>6.0427261948025016E-2</v>
      </c>
      <c r="X110" s="1">
        <f t="shared" si="36"/>
        <v>0.9999680140350935</v>
      </c>
      <c r="Y110" s="1">
        <f t="shared" si="37"/>
        <v>3.0539843802902711</v>
      </c>
      <c r="Z110" s="1">
        <f t="shared" si="38"/>
        <v>152.69921901451355</v>
      </c>
      <c r="AB110">
        <v>2.4</v>
      </c>
      <c r="AC110">
        <v>3.9810717055349717E-3</v>
      </c>
      <c r="AD110">
        <v>2.5370052958246762E-12</v>
      </c>
      <c r="AE110">
        <v>-3.9384175761871263E-3</v>
      </c>
      <c r="AF110">
        <v>3.4646139192062372E-2</v>
      </c>
      <c r="AG110">
        <v>0.99934733577659329</v>
      </c>
      <c r="AH110">
        <v>1.0602629672906605</v>
      </c>
      <c r="AI110">
        <v>53.013148364533023</v>
      </c>
      <c r="AJ110"/>
      <c r="AK110"/>
      <c r="AL110"/>
      <c r="AM110"/>
      <c r="AN110"/>
      <c r="AO110"/>
      <c r="AP110"/>
      <c r="AQ110"/>
      <c r="AR110"/>
    </row>
    <row r="111" spans="1:44" ht="15" customHeight="1" x14ac:dyDescent="0.3">
      <c r="A111" s="2">
        <v>1.1000000000000001</v>
      </c>
      <c r="B111" s="1">
        <f t="shared" si="26"/>
        <v>7.9432823472428096E-2</v>
      </c>
      <c r="C111" s="1">
        <f t="shared" si="27"/>
        <v>1.2715146659121095E-13</v>
      </c>
      <c r="D111" s="1">
        <f t="shared" si="28"/>
        <v>0.11531909702157796</v>
      </c>
      <c r="E111" s="1">
        <f t="shared" si="29"/>
        <v>-1.5886516170262991E-2</v>
      </c>
      <c r="F111" s="1">
        <f t="shared" si="30"/>
        <v>6.7607840454098853E-6</v>
      </c>
      <c r="G111" s="1">
        <f t="shared" si="31"/>
        <v>-2.2134380633229589</v>
      </c>
      <c r="H111" s="1">
        <f t="shared" si="39"/>
        <v>-22.134380633229586</v>
      </c>
      <c r="J111" s="2">
        <v>5.09</v>
      </c>
      <c r="K111" s="1">
        <v>8.128305161640983E-6</v>
      </c>
      <c r="L111" s="1">
        <v>1.2425714585205067E-9</v>
      </c>
      <c r="M111" s="1">
        <v>1.85404503281579E-2</v>
      </c>
      <c r="N111" s="1">
        <v>2.4325827864035015E-4</v>
      </c>
      <c r="O111" s="1">
        <v>6.1974715925358026E-2</v>
      </c>
      <c r="P111" s="1">
        <v>6.1563359503089464E-2</v>
      </c>
      <c r="Q111" s="2">
        <v>0.61563359503089465</v>
      </c>
      <c r="S111" s="2">
        <v>1.1000000000000001</v>
      </c>
      <c r="T111" s="1">
        <f t="shared" si="32"/>
        <v>7.9432823472428096E-2</v>
      </c>
      <c r="U111" s="1">
        <f t="shared" si="33"/>
        <v>1.2715146659121095E-13</v>
      </c>
      <c r="V111" s="1">
        <f t="shared" si="34"/>
        <v>-7.9431508030291906E-2</v>
      </c>
      <c r="W111" s="1">
        <f t="shared" si="35"/>
        <v>5.9810502676763973E-2</v>
      </c>
      <c r="X111" s="1">
        <f t="shared" si="36"/>
        <v>0.99996726901064603</v>
      </c>
      <c r="Y111" s="1">
        <f t="shared" si="37"/>
        <v>2.9764245218456029</v>
      </c>
      <c r="Z111" s="1">
        <f t="shared" si="38"/>
        <v>148.82122609228014</v>
      </c>
      <c r="AB111">
        <v>2.41</v>
      </c>
      <c r="AC111">
        <v>3.8904514499428023E-3</v>
      </c>
      <c r="AD111">
        <v>2.5960997405965547E-12</v>
      </c>
      <c r="AE111">
        <v>-3.8467840424804361E-3</v>
      </c>
      <c r="AF111">
        <v>3.4615594680826818E-2</v>
      </c>
      <c r="AG111">
        <v>0.99933214342696697</v>
      </c>
      <c r="AH111">
        <v>1.0588333567263082</v>
      </c>
      <c r="AI111">
        <v>52.941667836315403</v>
      </c>
      <c r="AJ111"/>
      <c r="AK111"/>
      <c r="AL111"/>
      <c r="AM111"/>
      <c r="AN111"/>
      <c r="AO111"/>
      <c r="AP111"/>
      <c r="AQ111"/>
      <c r="AR111"/>
    </row>
    <row r="112" spans="1:44" ht="15" customHeight="1" x14ac:dyDescent="0.3">
      <c r="A112" s="2">
        <v>1.1100000000000001</v>
      </c>
      <c r="B112" s="1">
        <f t="shared" si="26"/>
        <v>7.7624711662869134E-2</v>
      </c>
      <c r="C112" s="1">
        <f t="shared" si="27"/>
        <v>1.3011320472100659E-13</v>
      </c>
      <c r="D112" s="1">
        <f t="shared" si="28"/>
        <v>0.11314935907067111</v>
      </c>
      <c r="E112" s="1">
        <f t="shared" si="29"/>
        <v>-1.5524893178445185E-2</v>
      </c>
      <c r="F112" s="1">
        <f t="shared" si="30"/>
        <v>6.9182618465112617E-6</v>
      </c>
      <c r="G112" s="1">
        <f t="shared" si="31"/>
        <v>-2.1850724646041937</v>
      </c>
      <c r="H112" s="1">
        <f t="shared" si="39"/>
        <v>-21.850724646041936</v>
      </c>
      <c r="J112" s="2">
        <v>5.0999999999999996</v>
      </c>
      <c r="K112" s="1">
        <v>7.9432823472428065E-6</v>
      </c>
      <c r="L112" s="1">
        <v>1.2715146659121102E-9</v>
      </c>
      <c r="M112" s="1">
        <v>1.8508574864257693E-2</v>
      </c>
      <c r="N112" s="1">
        <v>2.4857085595705072E-4</v>
      </c>
      <c r="O112" s="1">
        <v>6.3326875310947939E-2</v>
      </c>
      <c r="P112" s="1">
        <v>6.2924777276691393E-2</v>
      </c>
      <c r="Q112" s="2">
        <v>0.6292477727669139</v>
      </c>
      <c r="S112" s="2">
        <v>1.1100000000000001</v>
      </c>
      <c r="T112" s="1">
        <f t="shared" si="32"/>
        <v>7.7624711662869134E-2</v>
      </c>
      <c r="U112" s="1">
        <f t="shared" si="33"/>
        <v>1.3011320472100659E-13</v>
      </c>
      <c r="V112" s="1">
        <f t="shared" si="34"/>
        <v>-7.7623345394024379E-2</v>
      </c>
      <c r="W112" s="1">
        <f t="shared" si="35"/>
        <v>5.9207781798008126E-2</v>
      </c>
      <c r="X112" s="1">
        <f t="shared" si="36"/>
        <v>0.99996650663349906</v>
      </c>
      <c r="Y112" s="1">
        <f t="shared" si="37"/>
        <v>2.9028959153350002</v>
      </c>
      <c r="Z112" s="1">
        <f t="shared" si="38"/>
        <v>145.14479576675001</v>
      </c>
      <c r="AB112">
        <v>2.42</v>
      </c>
      <c r="AC112">
        <v>3.8018939632056123E-3</v>
      </c>
      <c r="AD112">
        <v>2.6565706718143355E-12</v>
      </c>
      <c r="AE112">
        <v>-3.7571896966159569E-3</v>
      </c>
      <c r="AF112">
        <v>3.4585729898871986E-2</v>
      </c>
      <c r="AG112">
        <v>0.9993165976802314</v>
      </c>
      <c r="AH112">
        <v>1.0574368511764709</v>
      </c>
      <c r="AI112">
        <v>52.871842558823538</v>
      </c>
      <c r="AJ112"/>
      <c r="AK112"/>
      <c r="AL112"/>
      <c r="AM112"/>
      <c r="AN112"/>
      <c r="AO112"/>
      <c r="AP112"/>
      <c r="AQ112"/>
      <c r="AR112"/>
    </row>
    <row r="113" spans="1:44" ht="15" customHeight="1" x14ac:dyDescent="0.3">
      <c r="A113" s="2">
        <v>1.1200000000000001</v>
      </c>
      <c r="B113" s="1">
        <f t="shared" si="26"/>
        <v>7.5857757502918358E-2</v>
      </c>
      <c r="C113" s="1">
        <f t="shared" si="27"/>
        <v>1.3314393059419713E-13</v>
      </c>
      <c r="D113" s="1">
        <f t="shared" si="28"/>
        <v>0.11102901021126121</v>
      </c>
      <c r="E113" s="1">
        <f t="shared" si="29"/>
        <v>-1.517150170187687E-2</v>
      </c>
      <c r="F113" s="1">
        <f t="shared" si="30"/>
        <v>7.079407725472826E-6</v>
      </c>
      <c r="G113" s="1">
        <f t="shared" si="31"/>
        <v>-2.1567890149352462</v>
      </c>
      <c r="H113" s="1">
        <f t="shared" si="39"/>
        <v>-21.567890149352461</v>
      </c>
      <c r="J113" s="2">
        <v>5.1100000000000003</v>
      </c>
      <c r="K113" s="1">
        <v>7.7624711662868956E-6</v>
      </c>
      <c r="L113" s="1">
        <v>1.3011320472100688E-9</v>
      </c>
      <c r="M113" s="1">
        <v>1.8476078901549085E-2</v>
      </c>
      <c r="N113" s="1">
        <v>2.5398684974181911E-4</v>
      </c>
      <c r="O113" s="1">
        <v>6.47065009539219E-2</v>
      </c>
      <c r="P113" s="1">
        <v>6.431345097592478E-2</v>
      </c>
      <c r="Q113" s="2">
        <v>0.6431345097592478</v>
      </c>
      <c r="S113" s="2">
        <v>1.1200000000000001</v>
      </c>
      <c r="T113" s="1">
        <f t="shared" si="32"/>
        <v>7.5857757502918358E-2</v>
      </c>
      <c r="U113" s="1">
        <f t="shared" si="33"/>
        <v>1.3314393059419713E-13</v>
      </c>
      <c r="V113" s="1">
        <f t="shared" si="34"/>
        <v>-7.5856339223512412E-2</v>
      </c>
      <c r="W113" s="1">
        <f t="shared" si="35"/>
        <v>5.8618779741170801E-2</v>
      </c>
      <c r="X113" s="1">
        <f t="shared" si="36"/>
        <v>0.99996572649951054</v>
      </c>
      <c r="Y113" s="1">
        <f t="shared" si="37"/>
        <v>2.8331102550637692</v>
      </c>
      <c r="Z113" s="1">
        <f t="shared" si="38"/>
        <v>141.65551275318848</v>
      </c>
      <c r="AB113">
        <v>2.4300000000000002</v>
      </c>
      <c r="AC113">
        <v>3.7153522909717223E-3</v>
      </c>
      <c r="AD113">
        <v>2.718450151966187E-12</v>
      </c>
      <c r="AE113">
        <v>-3.6695870359712557E-3</v>
      </c>
      <c r="AF113">
        <v>3.4556529011990425E-2</v>
      </c>
      <c r="AG113">
        <v>0.99930069032722291</v>
      </c>
      <c r="AH113">
        <v>1.0560726223803683</v>
      </c>
      <c r="AI113">
        <v>52.803631119018419</v>
      </c>
      <c r="AJ113"/>
      <c r="AK113"/>
      <c r="AL113"/>
      <c r="AM113"/>
      <c r="AN113"/>
      <c r="AO113"/>
      <c r="AP113"/>
      <c r="AQ113"/>
      <c r="AR113"/>
    </row>
    <row r="114" spans="1:44" ht="15" customHeight="1" x14ac:dyDescent="0.3">
      <c r="A114" s="2">
        <v>1.1299999999999999</v>
      </c>
      <c r="B114" s="1">
        <f t="shared" si="26"/>
        <v>7.4131024130091761E-2</v>
      </c>
      <c r="C114" s="1">
        <f t="shared" si="27"/>
        <v>1.36245251141757E-13</v>
      </c>
      <c r="D114" s="1">
        <f t="shared" si="28"/>
        <v>0.10895692620631696</v>
      </c>
      <c r="E114" s="1">
        <f t="shared" si="29"/>
        <v>-1.4826154367719495E-2</v>
      </c>
      <c r="F114" s="1">
        <f t="shared" si="30"/>
        <v>7.2443071203840581E-6</v>
      </c>
      <c r="G114" s="1">
        <f t="shared" si="31"/>
        <v>-2.1285948214629631</v>
      </c>
      <c r="H114" s="1">
        <f t="shared" si="39"/>
        <v>-21.285948214629631</v>
      </c>
      <c r="J114" s="2">
        <v>5.12</v>
      </c>
      <c r="K114" s="1">
        <v>7.5857757502918323E-6</v>
      </c>
      <c r="L114" s="1">
        <v>1.331439305941972E-9</v>
      </c>
      <c r="M114" s="1">
        <v>1.8442952409066866E-2</v>
      </c>
      <c r="N114" s="1">
        <v>2.5950793182218904E-4</v>
      </c>
      <c r="O114" s="1">
        <v>6.6114061337195607E-2</v>
      </c>
      <c r="P114" s="1">
        <v>6.5729853877483271E-2</v>
      </c>
      <c r="Q114" s="2">
        <v>0.65729853877483269</v>
      </c>
      <c r="S114" s="2">
        <v>1.1299999999999999</v>
      </c>
      <c r="T114" s="1">
        <f t="shared" si="32"/>
        <v>7.4131024130091761E-2</v>
      </c>
      <c r="U114" s="1">
        <f t="shared" si="33"/>
        <v>1.36245251141757E-13</v>
      </c>
      <c r="V114" s="1">
        <f t="shared" si="34"/>
        <v>-7.4129552628699025E-2</v>
      </c>
      <c r="W114" s="1">
        <f t="shared" si="35"/>
        <v>5.8043184209566348E-2</v>
      </c>
      <c r="X114" s="1">
        <f t="shared" si="36"/>
        <v>0.99996492819512717</v>
      </c>
      <c r="Y114" s="1">
        <f t="shared" si="37"/>
        <v>2.7668059701899703</v>
      </c>
      <c r="Z114" s="1">
        <f t="shared" si="38"/>
        <v>138.34029850949852</v>
      </c>
      <c r="AB114">
        <v>2.44</v>
      </c>
      <c r="AC114">
        <v>3.630780547701011E-3</v>
      </c>
      <c r="AD114">
        <v>2.7817709903715498E-12</v>
      </c>
      <c r="AE114">
        <v>-3.5839296140116939E-3</v>
      </c>
      <c r="AF114">
        <v>3.4527976538003893E-2</v>
      </c>
      <c r="AG114">
        <v>0.99928441296862081</v>
      </c>
      <c r="AH114">
        <v>1.0547398632958398</v>
      </c>
      <c r="AI114">
        <v>52.736993164791997</v>
      </c>
      <c r="AJ114"/>
      <c r="AK114"/>
      <c r="AL114"/>
      <c r="AM114"/>
      <c r="AN114"/>
      <c r="AO114"/>
      <c r="AP114"/>
      <c r="AQ114"/>
      <c r="AR114"/>
    </row>
    <row r="115" spans="1:44" ht="15" customHeight="1" x14ac:dyDescent="0.3">
      <c r="A115" s="2">
        <v>1.1399999999999999</v>
      </c>
      <c r="B115" s="1">
        <f t="shared" si="26"/>
        <v>7.2443596007498987E-2</v>
      </c>
      <c r="C115" s="1">
        <f t="shared" si="27"/>
        <v>1.394188107248914E-13</v>
      </c>
      <c r="D115" s="1">
        <f t="shared" si="28"/>
        <v>0.10693200840947166</v>
      </c>
      <c r="E115" s="1">
        <f t="shared" si="29"/>
        <v>-1.4488668068245275E-2</v>
      </c>
      <c r="F115" s="1">
        <f t="shared" si="30"/>
        <v>7.4130474593291649E-6</v>
      </c>
      <c r="G115" s="1">
        <f t="shared" si="31"/>
        <v>-2.1004968993838031</v>
      </c>
      <c r="H115" s="1">
        <f t="shared" si="39"/>
        <v>-21.00496899383803</v>
      </c>
      <c r="J115" s="2">
        <v>5.13</v>
      </c>
      <c r="K115" s="1">
        <v>7.4131024130091704E-6</v>
      </c>
      <c r="L115" s="1">
        <v>1.3624525114175708E-9</v>
      </c>
      <c r="M115" s="1">
        <v>1.8409185307752669E-2</v>
      </c>
      <c r="N115" s="1">
        <v>2.6513578204122236E-4</v>
      </c>
      <c r="O115" s="1">
        <v>6.7550028996576209E-2</v>
      </c>
      <c r="P115" s="1">
        <v>6.7174463202018919E-2</v>
      </c>
      <c r="Q115" s="2">
        <v>0.67174463202018919</v>
      </c>
      <c r="S115" s="2">
        <v>1.1399999999999999</v>
      </c>
      <c r="T115" s="1">
        <f t="shared" si="32"/>
        <v>7.2443596007498987E-2</v>
      </c>
      <c r="U115" s="1">
        <f t="shared" si="33"/>
        <v>1.394188107248914E-13</v>
      </c>
      <c r="V115" s="1">
        <f t="shared" si="34"/>
        <v>-7.2442070044478793E-2</v>
      </c>
      <c r="W115" s="1">
        <f t="shared" si="35"/>
        <v>5.7480690014826266E-2</v>
      </c>
      <c r="X115" s="1">
        <f t="shared" si="36"/>
        <v>0.99996411129716545</v>
      </c>
      <c r="Y115" s="1">
        <f t="shared" si="37"/>
        <v>2.7037451941186004</v>
      </c>
      <c r="Z115" s="1">
        <f t="shared" si="38"/>
        <v>135.18725970593002</v>
      </c>
      <c r="AB115">
        <v>2.4500000000000002</v>
      </c>
      <c r="AC115">
        <v>3.5481338923357528E-3</v>
      </c>
      <c r="AD115">
        <v>2.8465667605770997E-12</v>
      </c>
      <c r="AE115">
        <v>-3.5001720156671561E-3</v>
      </c>
      <c r="AF115">
        <v>3.4500057338555719E-2</v>
      </c>
      <c r="AG115">
        <v>0.99926775701056836</v>
      </c>
      <c r="AH115">
        <v>1.0534377874765299</v>
      </c>
      <c r="AI115">
        <v>52.671889373826495</v>
      </c>
      <c r="AJ115"/>
      <c r="AK115"/>
      <c r="AL115"/>
      <c r="AM115"/>
      <c r="AN115"/>
      <c r="AO115"/>
      <c r="AP115"/>
      <c r="AQ115"/>
      <c r="AR115"/>
    </row>
    <row r="116" spans="1:44" ht="15" customHeight="1" x14ac:dyDescent="0.3">
      <c r="A116" s="2">
        <v>1.1499999999999999</v>
      </c>
      <c r="B116" s="1">
        <f t="shared" si="26"/>
        <v>7.0794578438413788E-2</v>
      </c>
      <c r="C116" s="1">
        <f t="shared" si="27"/>
        <v>1.4266629200689818E-13</v>
      </c>
      <c r="D116" s="1">
        <f t="shared" si="28"/>
        <v>0.10495318318250671</v>
      </c>
      <c r="E116" s="1">
        <f t="shared" si="29"/>
        <v>-1.4158863863751116E-2</v>
      </c>
      <c r="F116" s="1">
        <f t="shared" si="30"/>
        <v>7.5857182067346133E-6</v>
      </c>
      <c r="G116" s="1">
        <f t="shared" si="31"/>
        <v>-2.0725021652105204</v>
      </c>
      <c r="H116" s="1">
        <f t="shared" si="39"/>
        <v>-20.725021652105202</v>
      </c>
      <c r="J116" s="2">
        <v>5.14</v>
      </c>
      <c r="K116" s="1">
        <v>7.2443596007498957E-6</v>
      </c>
      <c r="L116" s="1">
        <v>1.3941881072489145E-9</v>
      </c>
      <c r="M116" s="1">
        <v>1.8374767475311166E-2</v>
      </c>
      <c r="N116" s="1">
        <v>2.7087208744813924E-4</v>
      </c>
      <c r="O116" s="1">
        <v>6.901488036818261E-2</v>
      </c>
      <c r="P116" s="1">
        <v>6.8647759964039726E-2</v>
      </c>
      <c r="Q116" s="2">
        <v>0.68647759964039723</v>
      </c>
      <c r="S116" s="2">
        <v>1.1499999999999999</v>
      </c>
      <c r="T116" s="1">
        <f t="shared" si="32"/>
        <v>7.0794578438413788E-2</v>
      </c>
      <c r="U116" s="1">
        <f t="shared" si="33"/>
        <v>1.4266629200689818E-13</v>
      </c>
      <c r="V116" s="1">
        <f t="shared" si="34"/>
        <v>-7.0792996745253259E-2</v>
      </c>
      <c r="W116" s="1">
        <f t="shared" si="35"/>
        <v>5.6930998915084421E-2</v>
      </c>
      <c r="X116" s="1">
        <f t="shared" si="36"/>
        <v>0.99996327537258756</v>
      </c>
      <c r="Y116" s="1">
        <f t="shared" si="37"/>
        <v>2.643711137058335</v>
      </c>
      <c r="Z116" s="1">
        <f t="shared" si="38"/>
        <v>132.18555685291673</v>
      </c>
      <c r="AB116">
        <v>2.46</v>
      </c>
      <c r="AC116">
        <v>3.4673685045253149E-3</v>
      </c>
      <c r="AD116">
        <v>2.9128718181578731E-12</v>
      </c>
      <c r="AE116">
        <v>-3.4182698332559497E-3</v>
      </c>
      <c r="AF116">
        <v>3.4472756611085321E-2</v>
      </c>
      <c r="AG116">
        <v>0.99925071366019336</v>
      </c>
      <c r="AH116">
        <v>1.0521656284694896</v>
      </c>
      <c r="AI116">
        <v>52.60828142347448</v>
      </c>
      <c r="AJ116"/>
      <c r="AK116"/>
      <c r="AL116"/>
      <c r="AM116"/>
      <c r="AN116"/>
      <c r="AO116"/>
      <c r="AP116"/>
      <c r="AQ116"/>
      <c r="AR116"/>
    </row>
    <row r="117" spans="1:44" ht="15" customHeight="1" x14ac:dyDescent="0.3">
      <c r="A117" s="2">
        <v>1.1599999999999999</v>
      </c>
      <c r="B117" s="1">
        <f t="shared" si="26"/>
        <v>6.9183097091893644E-2</v>
      </c>
      <c r="C117" s="1">
        <f t="shared" si="27"/>
        <v>1.4598941684533867E-13</v>
      </c>
      <c r="D117" s="1">
        <f t="shared" si="28"/>
        <v>0.10301940132609397</v>
      </c>
      <c r="E117" s="1">
        <f t="shared" si="29"/>
        <v>-1.3836566887682327E-2</v>
      </c>
      <c r="F117" s="1">
        <f t="shared" si="30"/>
        <v>7.7624109107960386E-6</v>
      </c>
      <c r="G117" s="1">
        <f t="shared" si="31"/>
        <v>-2.0446174302510745</v>
      </c>
      <c r="H117" s="1">
        <f t="shared" si="39"/>
        <v>-20.446174302510745</v>
      </c>
      <c r="J117" s="2">
        <v>5.15</v>
      </c>
      <c r="K117" s="1">
        <v>7.0794578438413623E-6</v>
      </c>
      <c r="L117" s="1">
        <v>1.4266629200689851E-9</v>
      </c>
      <c r="M117" s="1">
        <v>1.8339688751331591E-2</v>
      </c>
      <c r="N117" s="1">
        <v>2.7671854144473455E-4</v>
      </c>
      <c r="O117" s="1">
        <v>7.0509095625229751E-2</v>
      </c>
      <c r="P117" s="1">
        <v>7.0150228811114948E-2</v>
      </c>
      <c r="Q117" s="2">
        <v>0.70150228811114945</v>
      </c>
      <c r="S117" s="2">
        <v>1.1599999999999999</v>
      </c>
      <c r="T117" s="1">
        <f t="shared" si="32"/>
        <v>6.9183097091893644E-2</v>
      </c>
      <c r="U117" s="1">
        <f t="shared" si="33"/>
        <v>1.4598941684533867E-13</v>
      </c>
      <c r="V117" s="1">
        <f t="shared" si="34"/>
        <v>-6.9181458370535368E-2</v>
      </c>
      <c r="W117" s="1">
        <f t="shared" si="35"/>
        <v>5.6393819456845122E-2</v>
      </c>
      <c r="X117" s="1">
        <f t="shared" si="36"/>
        <v>0.99996241997827162</v>
      </c>
      <c r="Y117" s="1">
        <f t="shared" si="37"/>
        <v>2.5865058005268287</v>
      </c>
      <c r="Z117" s="1">
        <f t="shared" si="38"/>
        <v>129.32529002634143</v>
      </c>
      <c r="AB117">
        <v>2.4700000000000002</v>
      </c>
      <c r="AC117">
        <v>3.3884415613920213E-3</v>
      </c>
      <c r="AD117">
        <v>2.9807213189330529E-12</v>
      </c>
      <c r="AE117">
        <v>-3.3381796429426329E-3</v>
      </c>
      <c r="AF117">
        <v>3.4446059880980873E-2</v>
      </c>
      <c r="AG117">
        <v>0.99923327392102712</v>
      </c>
      <c r="AH117">
        <v>1.0509226392323918</v>
      </c>
      <c r="AI117">
        <v>52.546131961619594</v>
      </c>
      <c r="AJ117"/>
      <c r="AK117"/>
      <c r="AL117"/>
      <c r="AM117"/>
      <c r="AN117"/>
      <c r="AO117"/>
      <c r="AP117"/>
      <c r="AQ117"/>
      <c r="AR117"/>
    </row>
    <row r="118" spans="1:44" ht="15" customHeight="1" x14ac:dyDescent="0.3">
      <c r="A118" s="2">
        <v>1.17</v>
      </c>
      <c r="B118" s="1">
        <f t="shared" si="26"/>
        <v>6.7608297539198184E-2</v>
      </c>
      <c r="C118" s="1">
        <f t="shared" si="27"/>
        <v>1.4938994720498892E-13</v>
      </c>
      <c r="D118" s="1">
        <f t="shared" si="28"/>
        <v>0.10112963752349675</v>
      </c>
      <c r="E118" s="1">
        <f t="shared" si="29"/>
        <v>-1.3521606253916126E-2</v>
      </c>
      <c r="F118" s="1">
        <f t="shared" si="30"/>
        <v>7.9432192520095448E-6</v>
      </c>
      <c r="G118" s="1">
        <f t="shared" si="31"/>
        <v>-2.0168493943121355</v>
      </c>
      <c r="H118" s="1">
        <f t="shared" si="39"/>
        <v>-20.168493943121355</v>
      </c>
      <c r="J118" s="2">
        <v>5.16</v>
      </c>
      <c r="K118" s="1">
        <v>6.9183097091893498E-6</v>
      </c>
      <c r="L118" s="1">
        <v>1.4598941684533898E-9</v>
      </c>
      <c r="M118" s="1">
        <v>1.8303938942680613E-2</v>
      </c>
      <c r="N118" s="1">
        <v>2.8267684288656403E-4</v>
      </c>
      <c r="O118" s="1">
        <v>7.2033158503842745E-2</v>
      </c>
      <c r="P118" s="1">
        <v>7.1682357852055206E-2</v>
      </c>
      <c r="Q118" s="2">
        <v>0.71682357852055201</v>
      </c>
      <c r="S118" s="2">
        <v>1.17</v>
      </c>
      <c r="T118" s="1">
        <f t="shared" si="32"/>
        <v>6.7608297539198184E-2</v>
      </c>
      <c r="U118" s="1">
        <f t="shared" si="33"/>
        <v>1.4938994720498892E-13</v>
      </c>
      <c r="V118" s="1">
        <f t="shared" si="34"/>
        <v>-6.7606600461352126E-2</v>
      </c>
      <c r="W118" s="1">
        <f t="shared" si="35"/>
        <v>5.5868866820450711E-2</v>
      </c>
      <c r="X118" s="1">
        <f t="shared" si="36"/>
        <v>0.99996154466077758</v>
      </c>
      <c r="Y118" s="1">
        <f t="shared" si="37"/>
        <v>2.5319479829872469</v>
      </c>
      <c r="Z118" s="1">
        <f t="shared" si="38"/>
        <v>126.59739914936235</v>
      </c>
      <c r="AB118">
        <v>2.48</v>
      </c>
      <c r="AC118">
        <v>3.3113112148259105E-3</v>
      </c>
      <c r="AD118">
        <v>3.0501512376060364E-12</v>
      </c>
      <c r="AE118">
        <v>-3.2598589817181231E-3</v>
      </c>
      <c r="AF118">
        <v>3.4419952993906044E-2</v>
      </c>
      <c r="AG118">
        <v>0.99921542858831935</v>
      </c>
      <c r="AH118">
        <v>1.049708091569608</v>
      </c>
      <c r="AI118">
        <v>52.485404578480406</v>
      </c>
      <c r="AJ118"/>
      <c r="AK118"/>
      <c r="AL118"/>
      <c r="AM118"/>
      <c r="AN118"/>
      <c r="AO118"/>
      <c r="AP118"/>
      <c r="AQ118"/>
      <c r="AR118"/>
    </row>
    <row r="119" spans="1:44" ht="15" customHeight="1" x14ac:dyDescent="0.3">
      <c r="A119" s="2">
        <v>1.18</v>
      </c>
      <c r="B119" s="1">
        <f t="shared" si="26"/>
        <v>6.6069344800759586E-2</v>
      </c>
      <c r="C119" s="1">
        <f t="shared" si="27"/>
        <v>1.5286968609205704E-13</v>
      </c>
      <c r="D119" s="1">
        <f t="shared" si="28"/>
        <v>9.9282889796932977E-2</v>
      </c>
      <c r="E119" s="1">
        <f t="shared" si="29"/>
        <v>-1.3213814966155497E-2</v>
      </c>
      <c r="F119" s="1">
        <f t="shared" si="30"/>
        <v>8.1282390928332164E-6</v>
      </c>
      <c r="G119" s="1">
        <f t="shared" si="31"/>
        <v>-1.9892046396386904</v>
      </c>
      <c r="H119" s="1">
        <f t="shared" si="39"/>
        <v>-19.892046396386903</v>
      </c>
      <c r="J119" s="2">
        <v>5.17</v>
      </c>
      <c r="K119" s="1">
        <v>6.7608297539198155E-6</v>
      </c>
      <c r="L119" s="1">
        <v>1.4938994720498899E-9</v>
      </c>
      <c r="M119" s="1">
        <v>1.8267507829172379E-2</v>
      </c>
      <c r="N119" s="1">
        <v>2.8874869513793665E-4</v>
      </c>
      <c r="O119" s="1">
        <v>7.3587556117573519E-2</v>
      </c>
      <c r="P119" s="1">
        <v>7.3244638473741311E-2</v>
      </c>
      <c r="Q119" s="2">
        <v>0.73244638473741308</v>
      </c>
      <c r="S119" s="2">
        <v>1.18</v>
      </c>
      <c r="T119" s="1">
        <f t="shared" si="32"/>
        <v>6.6069344800759586E-2</v>
      </c>
      <c r="U119" s="1">
        <f t="shared" si="33"/>
        <v>1.5286968609205704E-13</v>
      </c>
      <c r="V119" s="1">
        <f t="shared" si="34"/>
        <v>-6.6067588007199016E-2</v>
      </c>
      <c r="W119" s="1">
        <f t="shared" si="35"/>
        <v>5.5355862669066336E-2</v>
      </c>
      <c r="X119" s="1">
        <f t="shared" si="36"/>
        <v>0.99996064895610615</v>
      </c>
      <c r="Y119" s="1">
        <f t="shared" si="37"/>
        <v>2.4798715342500564</v>
      </c>
      <c r="Z119" s="1">
        <f t="shared" si="38"/>
        <v>123.99357671250281</v>
      </c>
      <c r="AB119">
        <v>2.4900000000000002</v>
      </c>
      <c r="AC119">
        <v>3.2359365692962794E-3</v>
      </c>
      <c r="AD119">
        <v>3.1211983868387292E-12</v>
      </c>
      <c r="AE119">
        <v>-3.1832663248890685E-3</v>
      </c>
      <c r="AF119">
        <v>3.4394422108296359E-2</v>
      </c>
      <c r="AG119">
        <v>0.99919716824424643</v>
      </c>
      <c r="AH119">
        <v>1.0485212755864104</v>
      </c>
      <c r="AI119">
        <v>52.426063779320522</v>
      </c>
      <c r="AJ119"/>
      <c r="AK119"/>
      <c r="AL119"/>
      <c r="AM119"/>
      <c r="AN119"/>
      <c r="AO119"/>
      <c r="AP119"/>
      <c r="AQ119"/>
      <c r="AR119"/>
    </row>
    <row r="120" spans="1:44" ht="15" customHeight="1" x14ac:dyDescent="0.3">
      <c r="A120" s="2">
        <v>1.19</v>
      </c>
      <c r="B120" s="1">
        <f t="shared" si="26"/>
        <v>6.4565422903465536E-2</v>
      </c>
      <c r="C120" s="1">
        <f t="shared" si="27"/>
        <v>1.5643047851016064E-13</v>
      </c>
      <c r="D120" s="1">
        <f t="shared" si="28"/>
        <v>9.7478178976313612E-2</v>
      </c>
      <c r="E120" s="1">
        <f t="shared" si="29"/>
        <v>-1.29130298293856E-2</v>
      </c>
      <c r="F120" s="1">
        <f t="shared" si="30"/>
        <v>8.317568528505051E-6</v>
      </c>
      <c r="G120" s="1">
        <f t="shared" si="31"/>
        <v>-1.9616896251004694</v>
      </c>
      <c r="H120" s="1">
        <f t="shared" si="39"/>
        <v>-19.616896251004693</v>
      </c>
      <c r="J120" s="2">
        <v>5.18</v>
      </c>
      <c r="K120" s="1">
        <v>6.6069344800759593E-6</v>
      </c>
      <c r="L120" s="1">
        <v>1.5286968609205703E-9</v>
      </c>
      <c r="M120" s="1">
        <v>1.8230385169521433E-2</v>
      </c>
      <c r="N120" s="1">
        <v>2.9493580507976091E-4</v>
      </c>
      <c r="O120" s="1">
        <v>7.5172778760288411E-2</v>
      </c>
      <c r="P120" s="1">
        <v>7.4837565146271462E-2</v>
      </c>
      <c r="Q120" s="2">
        <v>0.74837565146271456</v>
      </c>
      <c r="S120" s="2">
        <v>1.19</v>
      </c>
      <c r="T120" s="1">
        <f t="shared" si="32"/>
        <v>6.4565422903465536E-2</v>
      </c>
      <c r="U120" s="1">
        <f t="shared" si="33"/>
        <v>1.5643047851016064E-13</v>
      </c>
      <c r="V120" s="1">
        <f t="shared" si="34"/>
        <v>-6.4563605003306615E-2</v>
      </c>
      <c r="W120" s="1">
        <f t="shared" si="35"/>
        <v>5.4854535001102211E-2</v>
      </c>
      <c r="X120" s="1">
        <f t="shared" si="36"/>
        <v>0.9999597323894539</v>
      </c>
      <c r="Y120" s="1">
        <f t="shared" si="37"/>
        <v>2.4301238231765447</v>
      </c>
      <c r="Z120" s="1">
        <f t="shared" si="38"/>
        <v>121.50619115882724</v>
      </c>
      <c r="AB120">
        <v>2.5</v>
      </c>
      <c r="AC120">
        <v>3.1622776601683764E-3</v>
      </c>
      <c r="AD120">
        <v>3.1939004367700658E-12</v>
      </c>
      <c r="AE120">
        <v>-3.1083610640651464E-3</v>
      </c>
      <c r="AF120">
        <v>3.4369453688021717E-2</v>
      </c>
      <c r="AG120">
        <v>0.99917848325301084</v>
      </c>
      <c r="AH120">
        <v>1.0473614991606102</v>
      </c>
      <c r="AI120">
        <v>52.368074958030505</v>
      </c>
      <c r="AJ120"/>
      <c r="AK120"/>
      <c r="AL120"/>
      <c r="AM120"/>
      <c r="AN120"/>
      <c r="AO120"/>
      <c r="AP120"/>
      <c r="AQ120"/>
      <c r="AR120"/>
    </row>
    <row r="121" spans="1:44" ht="15" customHeight="1" x14ac:dyDescent="0.3">
      <c r="A121" s="2">
        <v>1.2</v>
      </c>
      <c r="B121" s="1">
        <f t="shared" si="26"/>
        <v>6.3095734448019317E-2</v>
      </c>
      <c r="C121" s="1">
        <f t="shared" si="27"/>
        <v>1.6007421243857248E-13</v>
      </c>
      <c r="D121" s="1">
        <f t="shared" si="28"/>
        <v>9.5714548180073536E-2</v>
      </c>
      <c r="E121" s="1">
        <f t="shared" si="29"/>
        <v>-1.2619091363345589E-2</v>
      </c>
      <c r="F121" s="1">
        <f t="shared" si="30"/>
        <v>8.5113079390443441E-6</v>
      </c>
      <c r="G121" s="1">
        <f t="shared" si="31"/>
        <v>-1.9343106806349906</v>
      </c>
      <c r="H121" s="1">
        <f t="shared" si="39"/>
        <v>-19.343106806349905</v>
      </c>
      <c r="J121" s="2">
        <v>5.19</v>
      </c>
      <c r="K121" s="1">
        <v>6.456542290346543E-6</v>
      </c>
      <c r="L121" s="1">
        <v>1.564304785101609E-9</v>
      </c>
      <c r="M121" s="1">
        <v>1.8192560707583957E-2</v>
      </c>
      <c r="N121" s="1">
        <v>3.012398820693412E-4</v>
      </c>
      <c r="O121" s="1">
        <v>7.6789319697100331E-2</v>
      </c>
      <c r="P121" s="1">
        <v>7.6461635216101664E-2</v>
      </c>
      <c r="Q121" s="2">
        <v>0.76461635216101664</v>
      </c>
      <c r="S121" s="2">
        <v>1.2</v>
      </c>
      <c r="T121" s="1">
        <f t="shared" si="32"/>
        <v>6.3095734448019317E-2</v>
      </c>
      <c r="U121" s="1">
        <f t="shared" si="33"/>
        <v>1.6007421243857248E-13</v>
      </c>
      <c r="V121" s="1">
        <f t="shared" si="34"/>
        <v>-6.3093854017983828E-2</v>
      </c>
      <c r="W121" s="1">
        <f t="shared" si="35"/>
        <v>5.4364618005994604E-2</v>
      </c>
      <c r="X121" s="1">
        <f t="shared" si="36"/>
        <v>0.99995879447496117</v>
      </c>
      <c r="Y121" s="1">
        <f t="shared" si="37"/>
        <v>2.3825643888829888</v>
      </c>
      <c r="Z121" s="1">
        <f t="shared" si="38"/>
        <v>119.12821944414945</v>
      </c>
      <c r="AB121">
        <v>2.5099999999999998</v>
      </c>
      <c r="AC121">
        <v>3.0902954325135908E-3</v>
      </c>
      <c r="AD121">
        <v>3.2682959349892449E-12</v>
      </c>
      <c r="AE121">
        <v>-3.0351034856322275E-3</v>
      </c>
      <c r="AF121">
        <v>3.4345034495210744E-2</v>
      </c>
      <c r="AG121">
        <v>0.99915936375582959</v>
      </c>
      <c r="AH121">
        <v>1.0462280874309624</v>
      </c>
      <c r="AI121">
        <v>52.311404371548122</v>
      </c>
      <c r="AJ121"/>
      <c r="AK121"/>
      <c r="AL121"/>
      <c r="AM121"/>
      <c r="AN121"/>
      <c r="AO121"/>
      <c r="AP121"/>
      <c r="AQ121"/>
      <c r="AR121"/>
    </row>
    <row r="122" spans="1:44" ht="15" customHeight="1" x14ac:dyDescent="0.3">
      <c r="A122" s="2">
        <v>1.21</v>
      </c>
      <c r="B122" s="1">
        <f t="shared" si="26"/>
        <v>6.1659500186148221E-2</v>
      </c>
      <c r="C122" s="1">
        <f t="shared" si="27"/>
        <v>1.6380281983325191E-13</v>
      </c>
      <c r="D122" s="1">
        <f t="shared" si="28"/>
        <v>9.3991062307820367E-2</v>
      </c>
      <c r="E122" s="1">
        <f t="shared" si="29"/>
        <v>-1.233184371797006E-2</v>
      </c>
      <c r="F122" s="1">
        <f t="shared" si="30"/>
        <v>8.7095600424639853E-6</v>
      </c>
      <c r="G122" s="1">
        <f t="shared" si="31"/>
        <v>-1.9070740019561601</v>
      </c>
      <c r="H122" s="1">
        <f t="shared" si="39"/>
        <v>-19.070740019561601</v>
      </c>
      <c r="J122" s="2">
        <v>5.2</v>
      </c>
      <c r="K122" s="1">
        <v>6.3095734448019212E-6</v>
      </c>
      <c r="L122" s="1">
        <v>1.6007421243857275E-9</v>
      </c>
      <c r="M122" s="1">
        <v>1.8154024178892433E-2</v>
      </c>
      <c r="N122" s="1">
        <v>3.0766263685126134E-4</v>
      </c>
      <c r="O122" s="1">
        <v>7.8437674943021812E-2</v>
      </c>
      <c r="P122" s="1">
        <v>7.8117348686856727E-2</v>
      </c>
      <c r="Q122" s="2">
        <v>0.78117348686856725</v>
      </c>
      <c r="S122" s="2">
        <v>1.21</v>
      </c>
      <c r="T122" s="1">
        <f t="shared" si="32"/>
        <v>6.1659500186148221E-2</v>
      </c>
      <c r="U122" s="1">
        <f t="shared" si="33"/>
        <v>1.6380281983325191E-13</v>
      </c>
      <c r="V122" s="1">
        <f t="shared" si="34"/>
        <v>-6.1657555769809205E-2</v>
      </c>
      <c r="W122" s="1">
        <f t="shared" si="35"/>
        <v>5.3885851923269737E-2</v>
      </c>
      <c r="X122" s="1">
        <f t="shared" si="36"/>
        <v>0.99995783471545485</v>
      </c>
      <c r="Y122" s="1">
        <f t="shared" si="37"/>
        <v>2.3370637503096869</v>
      </c>
      <c r="Z122" s="1">
        <f t="shared" si="38"/>
        <v>116.85318751548434</v>
      </c>
      <c r="AB122">
        <v>2.52</v>
      </c>
      <c r="AC122">
        <v>3.0199517204020135E-3</v>
      </c>
      <c r="AD122">
        <v>3.3444243269741728E-12</v>
      </c>
      <c r="AE122">
        <v>-2.9634547497001808E-3</v>
      </c>
      <c r="AF122">
        <v>3.4321151583233393E-2</v>
      </c>
      <c r="AG122">
        <v>0.99913979966580879</v>
      </c>
      <c r="AH122">
        <v>1.0451203823017041</v>
      </c>
      <c r="AI122">
        <v>52.256019115085202</v>
      </c>
      <c r="AJ122"/>
      <c r="AK122"/>
      <c r="AL122"/>
      <c r="AM122"/>
      <c r="AN122"/>
      <c r="AO122"/>
      <c r="AP122"/>
      <c r="AQ122"/>
      <c r="AR122"/>
    </row>
    <row r="123" spans="1:44" ht="15" customHeight="1" x14ac:dyDescent="0.3">
      <c r="A123" s="2">
        <v>1.22</v>
      </c>
      <c r="B123" s="1">
        <f t="shared" si="26"/>
        <v>6.0255958607435746E-2</v>
      </c>
      <c r="C123" s="1">
        <f t="shared" si="27"/>
        <v>1.6761827765119369E-13</v>
      </c>
      <c r="D123" s="1">
        <f t="shared" si="28"/>
        <v>9.2306807544531536E-2</v>
      </c>
      <c r="E123" s="1">
        <f t="shared" si="29"/>
        <v>-1.2051134590755255E-2</v>
      </c>
      <c r="F123" s="1">
        <f t="shared" si="30"/>
        <v>8.9124299492219215E-6</v>
      </c>
      <c r="G123" s="1">
        <f t="shared" si="31"/>
        <v>-1.8799856455364383</v>
      </c>
      <c r="H123" s="1">
        <f t="shared" si="39"/>
        <v>-18.799856455364381</v>
      </c>
      <c r="J123" s="2">
        <v>5.21</v>
      </c>
      <c r="K123" s="1">
        <v>6.1659500186148109E-6</v>
      </c>
      <c r="L123" s="1">
        <v>1.638028198332522E-9</v>
      </c>
      <c r="M123" s="1">
        <v>1.8114765317488762E-2</v>
      </c>
      <c r="N123" s="1">
        <v>3.1420578041853976E-4</v>
      </c>
      <c r="O123" s="1">
        <v>8.0118343029019407E-2</v>
      </c>
      <c r="P123" s="1">
        <v>7.9805207987493645E-2</v>
      </c>
      <c r="Q123" s="2">
        <v>0.79805207987493643</v>
      </c>
      <c r="S123" s="2">
        <v>1.22</v>
      </c>
      <c r="T123" s="1">
        <f t="shared" si="32"/>
        <v>6.0255958607435746E-2</v>
      </c>
      <c r="U123" s="1">
        <f t="shared" si="33"/>
        <v>1.6761827765119369E-13</v>
      </c>
      <c r="V123" s="1">
        <f t="shared" si="34"/>
        <v>-6.0253948714445504E-2</v>
      </c>
      <c r="W123" s="1">
        <f t="shared" si="35"/>
        <v>5.341798290481517E-2</v>
      </c>
      <c r="X123" s="1">
        <f t="shared" si="36"/>
        <v>0.99995685260218492</v>
      </c>
      <c r="Y123" s="1">
        <f t="shared" si="37"/>
        <v>2.2935023528784444</v>
      </c>
      <c r="Z123" s="1">
        <f t="shared" si="38"/>
        <v>114.67511764392222</v>
      </c>
      <c r="AB123">
        <v>2.5299999999999998</v>
      </c>
      <c r="AC123">
        <v>2.9512092266663864E-3</v>
      </c>
      <c r="AD123">
        <v>3.4223259770059446E-12</v>
      </c>
      <c r="AE123">
        <v>-2.8933768695144201E-3</v>
      </c>
      <c r="AF123">
        <v>3.429779228983814E-2</v>
      </c>
      <c r="AG123">
        <v>0.99911978066270224</v>
      </c>
      <c r="AH123">
        <v>1.0440377419626177</v>
      </c>
      <c r="AI123">
        <v>52.201887098130882</v>
      </c>
      <c r="AJ123"/>
      <c r="AK123"/>
      <c r="AL123"/>
      <c r="AM123"/>
      <c r="AN123"/>
      <c r="AO123"/>
      <c r="AP123"/>
      <c r="AQ123"/>
      <c r="AR123"/>
    </row>
    <row r="124" spans="1:44" ht="15" customHeight="1" x14ac:dyDescent="0.3">
      <c r="A124" s="2">
        <v>1.23</v>
      </c>
      <c r="B124" s="1">
        <f t="shared" si="26"/>
        <v>5.8884365535558883E-2</v>
      </c>
      <c r="C124" s="1">
        <f t="shared" si="27"/>
        <v>1.7152260889863621E-13</v>
      </c>
      <c r="D124" s="1">
        <f t="shared" si="28"/>
        <v>9.0660890876038236E-2</v>
      </c>
      <c r="E124" s="1">
        <f t="shared" si="29"/>
        <v>-1.1776815146006375E-2</v>
      </c>
      <c r="F124" s="1">
        <f t="shared" si="30"/>
        <v>9.1200252179405549E-6</v>
      </c>
      <c r="G124" s="1">
        <f t="shared" si="31"/>
        <v>-1.8530515238696685</v>
      </c>
      <c r="H124" s="1">
        <f t="shared" si="39"/>
        <v>-18.530515238696683</v>
      </c>
      <c r="J124" s="2">
        <v>5.22</v>
      </c>
      <c r="K124" s="1">
        <v>6.0255958607435782E-6</v>
      </c>
      <c r="L124" s="1">
        <v>1.676182776511936E-9</v>
      </c>
      <c r="M124" s="1">
        <v>1.807477386306033E-2</v>
      </c>
      <c r="N124" s="1">
        <v>3.2087102282327818E-4</v>
      </c>
      <c r="O124" s="1">
        <v>8.1831824755151952E-2</v>
      </c>
      <c r="P124" s="1">
        <v>8.1525717727500807E-2</v>
      </c>
      <c r="Q124" s="2">
        <v>0.81525717727500802</v>
      </c>
      <c r="S124" s="2">
        <v>1.23</v>
      </c>
      <c r="T124" s="1">
        <f t="shared" si="32"/>
        <v>5.8884365535558883E-2</v>
      </c>
      <c r="U124" s="1">
        <f t="shared" si="33"/>
        <v>1.7152260889863621E-13</v>
      </c>
      <c r="V124" s="1">
        <f t="shared" si="34"/>
        <v>-5.8882288640859037E-2</v>
      </c>
      <c r="W124" s="1">
        <f t="shared" si="35"/>
        <v>5.2960762880286345E-2</v>
      </c>
      <c r="X124" s="1">
        <f t="shared" si="36"/>
        <v>0.99995584761455525</v>
      </c>
      <c r="Y124" s="1">
        <f t="shared" si="37"/>
        <v>2.2517696341674314</v>
      </c>
      <c r="Z124" s="1">
        <f t="shared" si="38"/>
        <v>112.58848170837157</v>
      </c>
      <c r="AB124">
        <v>2.54</v>
      </c>
      <c r="AC124">
        <v>2.8840315031266042E-3</v>
      </c>
      <c r="AD124">
        <v>3.5020421895705715E-12</v>
      </c>
      <c r="AE124">
        <v>-2.8248326913195205E-3</v>
      </c>
      <c r="AF124">
        <v>3.4274944230439836E-2</v>
      </c>
      <c r="AG124">
        <v>0.99909929618755144</v>
      </c>
      <c r="AH124">
        <v>1.0429795404240312</v>
      </c>
      <c r="AI124">
        <v>52.14897702120156</v>
      </c>
      <c r="AJ124"/>
      <c r="AK124"/>
      <c r="AL124"/>
      <c r="AM124"/>
      <c r="AN124"/>
      <c r="AO124"/>
      <c r="AP124"/>
      <c r="AQ124"/>
      <c r="AR124"/>
    </row>
    <row r="125" spans="1:44" ht="15" customHeight="1" x14ac:dyDescent="0.3">
      <c r="A125" s="2">
        <v>1.24</v>
      </c>
      <c r="B125" s="1">
        <f t="shared" si="26"/>
        <v>5.7543993733715687E-2</v>
      </c>
      <c r="C125" s="1">
        <f t="shared" si="27"/>
        <v>1.7551788370368693E-13</v>
      </c>
      <c r="D125" s="1">
        <f t="shared" si="28"/>
        <v>8.9052439615536619E-2</v>
      </c>
      <c r="E125" s="1">
        <f t="shared" si="29"/>
        <v>-1.150873993592277E-2</v>
      </c>
      <c r="F125" s="1">
        <f t="shared" si="30"/>
        <v>9.3324559124237326E-6</v>
      </c>
      <c r="G125" s="1">
        <f t="shared" si="31"/>
        <v>-1.8262774010206899</v>
      </c>
      <c r="H125" s="1">
        <f t="shared" si="39"/>
        <v>-18.262774010206897</v>
      </c>
      <c r="J125" s="2">
        <v>5.23</v>
      </c>
      <c r="K125" s="1">
        <v>5.8884365535558799E-6</v>
      </c>
      <c r="L125" s="1">
        <v>1.7152260889863644E-9</v>
      </c>
      <c r="M125" s="1">
        <v>1.8034039568383349E-2</v>
      </c>
      <c r="N125" s="1">
        <v>3.2766007193610835E-4</v>
      </c>
      <c r="O125" s="1">
        <v>8.3578622930486651E-2</v>
      </c>
      <c r="P125" s="1">
        <v>8.3279384438828166E-2</v>
      </c>
      <c r="Q125" s="2">
        <v>0.83279384438828163</v>
      </c>
      <c r="S125" s="2">
        <v>1.24</v>
      </c>
      <c r="T125" s="1">
        <f t="shared" si="32"/>
        <v>5.7543993733715687E-2</v>
      </c>
      <c r="U125" s="1">
        <f t="shared" si="33"/>
        <v>1.7551788370368693E-13</v>
      </c>
      <c r="V125" s="1">
        <f t="shared" si="34"/>
        <v>-5.7541848276728855E-2</v>
      </c>
      <c r="W125" s="1">
        <f t="shared" si="35"/>
        <v>5.2513949425576287E-2</v>
      </c>
      <c r="X125" s="1">
        <f t="shared" si="36"/>
        <v>0.99995481921984763</v>
      </c>
      <c r="Y125" s="1">
        <f t="shared" si="37"/>
        <v>2.2117631932043902</v>
      </c>
      <c r="Z125" s="1">
        <f t="shared" si="38"/>
        <v>110.5881596602195</v>
      </c>
      <c r="AB125">
        <v>2.5499999999999998</v>
      </c>
      <c r="AC125">
        <v>2.8183829312644522E-3</v>
      </c>
      <c r="AD125">
        <v>3.5836152312591138E-12</v>
      </c>
      <c r="AE125">
        <v>-2.7577858746652378E-3</v>
      </c>
      <c r="AF125">
        <v>3.4252595291555082E-2</v>
      </c>
      <c r="AG125">
        <v>0.99907833543720348</v>
      </c>
      <c r="AH125">
        <v>1.0419451670662068</v>
      </c>
      <c r="AI125">
        <v>52.097258353310337</v>
      </c>
      <c r="AJ125"/>
      <c r="AK125"/>
      <c r="AL125"/>
      <c r="AM125"/>
      <c r="AN125"/>
      <c r="AO125"/>
      <c r="AP125"/>
      <c r="AQ125"/>
      <c r="AR125"/>
    </row>
    <row r="126" spans="1:44" ht="15" customHeight="1" x14ac:dyDescent="0.3">
      <c r="A126" s="2">
        <v>1.25</v>
      </c>
      <c r="B126" s="1">
        <f t="shared" si="26"/>
        <v>5.6234132519034884E-2</v>
      </c>
      <c r="C126" s="1">
        <f t="shared" si="27"/>
        <v>1.7960622041393127E-13</v>
      </c>
      <c r="D126" s="1">
        <f t="shared" si="28"/>
        <v>8.7480600940878145E-2</v>
      </c>
      <c r="E126" s="1">
        <f t="shared" si="29"/>
        <v>-1.1246766823479689E-2</v>
      </c>
      <c r="F126" s="1">
        <f t="shared" si="30"/>
        <v>9.5498346600013768E-6</v>
      </c>
      <c r="G126" s="1">
        <f t="shared" si="31"/>
        <v>-1.7996688884669754</v>
      </c>
      <c r="H126" s="1">
        <f t="shared" si="39"/>
        <v>-17.996688884669751</v>
      </c>
      <c r="J126" s="2">
        <v>5.24</v>
      </c>
      <c r="K126" s="1">
        <v>5.7543993733715608E-6</v>
      </c>
      <c r="L126" s="1">
        <v>1.7551788370368717E-9</v>
      </c>
      <c r="M126" s="1">
        <v>1.7992552207077378E-2</v>
      </c>
      <c r="N126" s="1">
        <v>3.3457463215377038E-4</v>
      </c>
      <c r="O126" s="1">
        <v>8.5359242099487365E-2</v>
      </c>
      <c r="P126" s="1">
        <v>8.5066716304243672E-2</v>
      </c>
      <c r="Q126" s="2">
        <v>0.85066716304243672</v>
      </c>
      <c r="S126" s="2">
        <v>1.25</v>
      </c>
      <c r="T126" s="1">
        <f t="shared" si="32"/>
        <v>5.6234132519034884E-2</v>
      </c>
      <c r="U126" s="1">
        <f t="shared" si="33"/>
        <v>1.7960622041393127E-13</v>
      </c>
      <c r="V126" s="1">
        <f t="shared" si="34"/>
        <v>-5.6231916902837603E-2</v>
      </c>
      <c r="W126" s="1">
        <f t="shared" si="35"/>
        <v>5.2077305634279203E-2</v>
      </c>
      <c r="X126" s="1">
        <f t="shared" si="36"/>
        <v>0.99995376687293991</v>
      </c>
      <c r="Y126" s="1">
        <f t="shared" si="37"/>
        <v>2.1733880502148977</v>
      </c>
      <c r="Z126" s="1">
        <f t="shared" si="38"/>
        <v>108.66940251074489</v>
      </c>
      <c r="AB126">
        <v>2.56</v>
      </c>
      <c r="AC126">
        <v>2.7542287033381651E-3</v>
      </c>
      <c r="AD126">
        <v>3.6670883531780252E-12</v>
      </c>
      <c r="AE126">
        <v>-2.6922008731436026E-3</v>
      </c>
      <c r="AF126">
        <v>3.4230733624381199E-2</v>
      </c>
      <c r="AG126">
        <v>0.99905688735870612</v>
      </c>
      <c r="AH126">
        <v>1.0409340262025732</v>
      </c>
      <c r="AI126">
        <v>52.046701310128661</v>
      </c>
      <c r="AJ126"/>
      <c r="AK126"/>
      <c r="AL126"/>
      <c r="AM126"/>
      <c r="AN126"/>
      <c r="AO126"/>
      <c r="AP126"/>
      <c r="AQ126"/>
      <c r="AR126"/>
    </row>
    <row r="127" spans="1:44" ht="15" customHeight="1" x14ac:dyDescent="0.3">
      <c r="A127" s="2">
        <v>1.26</v>
      </c>
      <c r="B127" s="1">
        <f t="shared" si="26"/>
        <v>5.4954087385762435E-2</v>
      </c>
      <c r="C127" s="1">
        <f t="shared" si="27"/>
        <v>1.8378978671960838E-13</v>
      </c>
      <c r="D127" s="1">
        <f t="shared" si="28"/>
        <v>8.5944541442391983E-2</v>
      </c>
      <c r="E127" s="1">
        <f t="shared" si="29"/>
        <v>-1.0990756907065332E-2</v>
      </c>
      <c r="F127" s="1">
        <f t="shared" si="30"/>
        <v>9.7722767112327481E-6</v>
      </c>
      <c r="G127" s="1">
        <f t="shared" si="31"/>
        <v>-1.7732314412365382</v>
      </c>
      <c r="H127" s="1">
        <f t="shared" si="39"/>
        <v>-17.73231441236538</v>
      </c>
      <c r="J127" s="2">
        <v>5.25</v>
      </c>
      <c r="K127" s="1">
        <v>5.6234132519034836E-6</v>
      </c>
      <c r="L127" s="1">
        <v>1.7960622041393141E-9</v>
      </c>
      <c r="M127" s="1">
        <v>1.7950301581674401E-2</v>
      </c>
      <c r="N127" s="1">
        <v>3.4161640305426628E-4</v>
      </c>
      <c r="O127" s="1">
        <v>8.7174188254586921E-2</v>
      </c>
      <c r="P127" s="1">
        <v>8.6888222871829165E-2</v>
      </c>
      <c r="Q127" s="2">
        <v>0.86888222871829157</v>
      </c>
      <c r="S127" s="2">
        <v>1.26</v>
      </c>
      <c r="T127" s="1">
        <f t="shared" si="32"/>
        <v>5.4954087385762435E-2</v>
      </c>
      <c r="U127" s="1">
        <f t="shared" si="33"/>
        <v>1.8378978671960838E-13</v>
      </c>
      <c r="V127" s="1">
        <f t="shared" si="34"/>
        <v>-5.4951799976238655E-2</v>
      </c>
      <c r="W127" s="1">
        <f t="shared" si="35"/>
        <v>5.1650599992079556E-2</v>
      </c>
      <c r="X127" s="1">
        <f t="shared" si="36"/>
        <v>0.99995269001601661</v>
      </c>
      <c r="Y127" s="1">
        <f t="shared" si="37"/>
        <v>2.1365559855393577</v>
      </c>
      <c r="Z127" s="1">
        <f t="shared" si="38"/>
        <v>106.82779927696788</v>
      </c>
      <c r="AB127">
        <v>2.57</v>
      </c>
      <c r="AC127">
        <v>2.6915348039269148E-3</v>
      </c>
      <c r="AD127">
        <v>3.7525058138814435E-12</v>
      </c>
      <c r="AE127">
        <v>-2.6280429155476482E-3</v>
      </c>
      <c r="AF127">
        <v>3.4209347638515887E-2</v>
      </c>
      <c r="AG127">
        <v>0.9990349406435749</v>
      </c>
      <c r="AH127">
        <v>1.0399455366563013</v>
      </c>
      <c r="AI127">
        <v>51.997276832815068</v>
      </c>
      <c r="AJ127"/>
      <c r="AK127"/>
      <c r="AL127"/>
      <c r="AM127"/>
      <c r="AN127"/>
      <c r="AO127"/>
      <c r="AP127"/>
      <c r="AQ127"/>
      <c r="AR127"/>
    </row>
    <row r="128" spans="1:44" ht="15" customHeight="1" x14ac:dyDescent="0.3">
      <c r="A128" s="2">
        <v>1.27</v>
      </c>
      <c r="B128" s="1">
        <f t="shared" si="26"/>
        <v>5.3703179637025256E-2</v>
      </c>
      <c r="C128" s="1">
        <f t="shared" si="27"/>
        <v>1.8807080080294967E-13</v>
      </c>
      <c r="D128" s="1">
        <f t="shared" si="28"/>
        <v>8.4443446681000081E-2</v>
      </c>
      <c r="E128" s="1">
        <f t="shared" si="29"/>
        <v>-1.0740574446833347E-2</v>
      </c>
      <c r="F128" s="1">
        <f t="shared" si="30"/>
        <v>9.9999000009999874E-6</v>
      </c>
      <c r="G128" s="1">
        <f t="shared" si="31"/>
        <v>-1.7469703543454371</v>
      </c>
      <c r="H128" s="1">
        <f t="shared" si="39"/>
        <v>-17.469703543454369</v>
      </c>
      <c r="J128" s="2">
        <v>5.26</v>
      </c>
      <c r="K128" s="1">
        <v>5.4954087385762383E-6</v>
      </c>
      <c r="L128" s="1">
        <v>1.8378978671960855E-9</v>
      </c>
      <c r="M128" s="1">
        <v>1.7907277532005637E-2</v>
      </c>
      <c r="N128" s="1">
        <v>3.4878707799906075E-4</v>
      </c>
      <c r="O128" s="1">
        <v>8.9023968534654788E-2</v>
      </c>
      <c r="P128" s="1">
        <v>8.8744414755327558E-2</v>
      </c>
      <c r="Q128" s="2">
        <v>0.8874441475532755</v>
      </c>
      <c r="S128" s="2">
        <v>1.27</v>
      </c>
      <c r="T128" s="1">
        <f t="shared" si="32"/>
        <v>5.3703179637025256E-2</v>
      </c>
      <c r="U128" s="1">
        <f t="shared" si="33"/>
        <v>1.8807080080294967E-13</v>
      </c>
      <c r="V128" s="1">
        <f t="shared" si="34"/>
        <v>-5.3700818762000314E-2</v>
      </c>
      <c r="W128" s="1">
        <f t="shared" si="35"/>
        <v>5.1233606254000107E-2</v>
      </c>
      <c r="X128" s="1">
        <f t="shared" si="36"/>
        <v>0.99995158807827444</v>
      </c>
      <c r="Y128" s="1">
        <f t="shared" si="37"/>
        <v>2.1011849480136138</v>
      </c>
      <c r="Z128" s="1">
        <f t="shared" si="38"/>
        <v>105.05924740068069</v>
      </c>
      <c r="AB128">
        <v>2.58</v>
      </c>
      <c r="AC128">
        <v>2.6302679918953791E-3</v>
      </c>
      <c r="AD128">
        <v>3.8399129028376718E-12</v>
      </c>
      <c r="AE128">
        <v>-2.5652779874410577E-3</v>
      </c>
      <c r="AF128">
        <v>3.4188425995813683E-2</v>
      </c>
      <c r="AG128">
        <v>0.9990124837219323</v>
      </c>
      <c r="AH128">
        <v>1.038979131349721</v>
      </c>
      <c r="AI128">
        <v>51.948956567486043</v>
      </c>
      <c r="AJ128"/>
      <c r="AK128"/>
      <c r="AL128"/>
      <c r="AM128"/>
      <c r="AN128"/>
      <c r="AO128"/>
      <c r="AP128"/>
      <c r="AQ128"/>
      <c r="AR128"/>
    </row>
    <row r="129" spans="1:44" ht="15" customHeight="1" x14ac:dyDescent="0.3">
      <c r="A129" s="2">
        <v>1.28</v>
      </c>
      <c r="B129" s="1">
        <f t="shared" si="26"/>
        <v>5.2480746024977244E-2</v>
      </c>
      <c r="C129" s="1">
        <f t="shared" si="27"/>
        <v>1.9245153251428801E-13</v>
      </c>
      <c r="D129" s="1">
        <f t="shared" si="28"/>
        <v>8.2976520756390823E-2</v>
      </c>
      <c r="E129" s="1">
        <f t="shared" si="29"/>
        <v>-1.0496086792731802E-2</v>
      </c>
      <c r="F129" s="1">
        <f t="shared" si="30"/>
        <v>1.0232825211024242E-5</v>
      </c>
      <c r="G129" s="1">
        <f t="shared" si="31"/>
        <v>-1.7208907595372791</v>
      </c>
      <c r="H129" s="1">
        <f t="shared" si="39"/>
        <v>-17.208907595372789</v>
      </c>
      <c r="J129" s="2">
        <v>5.27</v>
      </c>
      <c r="K129" s="1">
        <v>5.3703179637025301E-6</v>
      </c>
      <c r="L129" s="1">
        <v>1.8807080080294951E-9</v>
      </c>
      <c r="M129" s="1">
        <v>1.7863469943908496E-2</v>
      </c>
      <c r="N129" s="1">
        <v>3.5608834268191687E-4</v>
      </c>
      <c r="O129" s="1">
        <v>9.0909090909090828E-2</v>
      </c>
      <c r="P129" s="1">
        <v>9.0635803320073677E-2</v>
      </c>
      <c r="Q129" s="2">
        <v>0.90635803320073671</v>
      </c>
      <c r="S129" s="2">
        <v>1.28</v>
      </c>
      <c r="T129" s="1">
        <f t="shared" si="32"/>
        <v>5.2480746024977244E-2</v>
      </c>
      <c r="U129" s="1">
        <f t="shared" si="33"/>
        <v>1.9245153251428801E-13</v>
      </c>
      <c r="V129" s="1">
        <f t="shared" si="34"/>
        <v>-5.2478309973331527E-2</v>
      </c>
      <c r="W129" s="1">
        <f t="shared" si="35"/>
        <v>5.0826103324443844E-2</v>
      </c>
      <c r="X129" s="1">
        <f t="shared" si="36"/>
        <v>0.99995046047561909</v>
      </c>
      <c r="Y129" s="1">
        <f t="shared" si="37"/>
        <v>2.0671985244443309</v>
      </c>
      <c r="Z129" s="1">
        <f t="shared" si="38"/>
        <v>103.35992622221654</v>
      </c>
      <c r="AB129">
        <v>2.59</v>
      </c>
      <c r="AC129">
        <v>2.5703957827688637E-3</v>
      </c>
      <c r="AD129">
        <v>3.9293559644422336E-12</v>
      </c>
      <c r="AE129">
        <v>-2.5038728131296937E-3</v>
      </c>
      <c r="AF129">
        <v>3.4167957604376561E-2</v>
      </c>
      <c r="AG129">
        <v>0.99898950475651294</v>
      </c>
      <c r="AH129">
        <v>1.0380342569061194</v>
      </c>
      <c r="AI129">
        <v>51.901712845305973</v>
      </c>
      <c r="AJ129"/>
      <c r="AK129"/>
      <c r="AL129"/>
      <c r="AM129"/>
      <c r="AN129"/>
      <c r="AO129"/>
      <c r="AP129"/>
      <c r="AQ129"/>
      <c r="AR129"/>
    </row>
    <row r="130" spans="1:44" ht="15" customHeight="1" x14ac:dyDescent="0.3">
      <c r="A130" s="2">
        <v>1.29</v>
      </c>
      <c r="B130" s="1">
        <f t="shared" si="26"/>
        <v>5.1286138399136455E-2</v>
      </c>
      <c r="C130" s="1">
        <f t="shared" si="27"/>
        <v>1.9693430457556267E-13</v>
      </c>
      <c r="D130" s="1">
        <f t="shared" si="28"/>
        <v>8.154298588502211E-2</v>
      </c>
      <c r="E130" s="1">
        <f t="shared" si="29"/>
        <v>-1.025716431417035E-2</v>
      </c>
      <c r="F130" s="1">
        <f t="shared" si="30"/>
        <v>1.0471175833837523E-5</v>
      </c>
      <c r="G130" s="1">
        <f t="shared" si="31"/>
        <v>-1.6949976223261953</v>
      </c>
      <c r="H130" s="1">
        <f t="shared" si="39"/>
        <v>-16.949976223261952</v>
      </c>
      <c r="J130" s="2">
        <v>5.28</v>
      </c>
      <c r="K130" s="1">
        <v>5.2480746024977206E-6</v>
      </c>
      <c r="L130" s="1">
        <v>1.9245153251428814E-9</v>
      </c>
      <c r="M130" s="1">
        <v>1.7818868758255845E-2</v>
      </c>
      <c r="N130" s="1">
        <v>3.6352187362402588E-4</v>
      </c>
      <c r="O130" s="1">
        <v>9.283006384728526E-2</v>
      </c>
      <c r="P130" s="1">
        <v>9.2562900354249009E-2</v>
      </c>
      <c r="Q130" s="2">
        <v>0.92562900354249</v>
      </c>
      <c r="S130" s="2">
        <v>1.29</v>
      </c>
      <c r="T130" s="1">
        <f t="shared" si="32"/>
        <v>5.1286138399136455E-2</v>
      </c>
      <c r="U130" s="1">
        <f t="shared" si="33"/>
        <v>1.9693430457556267E-13</v>
      </c>
      <c r="V130" s="1">
        <f t="shared" si="34"/>
        <v>-5.1283625419898539E-2</v>
      </c>
      <c r="W130" s="1">
        <f t="shared" si="35"/>
        <v>5.0427875139966181E-2</v>
      </c>
      <c r="X130" s="1">
        <f t="shared" si="36"/>
        <v>0.9999493066103563</v>
      </c>
      <c r="Y130" s="1">
        <f t="shared" si="37"/>
        <v>2.0345254629430776</v>
      </c>
      <c r="Z130" s="1">
        <f t="shared" si="38"/>
        <v>101.72627314715388</v>
      </c>
      <c r="AB130">
        <v>2.6</v>
      </c>
      <c r="AC130">
        <v>2.5118864315095777E-3</v>
      </c>
      <c r="AD130">
        <v>4.0208824225903259E-12</v>
      </c>
      <c r="AE130">
        <v>-2.4437948380247264E-3</v>
      </c>
      <c r="AF130">
        <v>3.414793161267491E-2</v>
      </c>
      <c r="AG130">
        <v>0.99896599163653499</v>
      </c>
      <c r="AH130">
        <v>1.037110373263463</v>
      </c>
      <c r="AI130">
        <v>51.85551866317315</v>
      </c>
      <c r="AJ130"/>
      <c r="AK130"/>
      <c r="AL130"/>
      <c r="AM130"/>
      <c r="AN130"/>
      <c r="AO130"/>
      <c r="AP130"/>
      <c r="AQ130"/>
      <c r="AR130"/>
    </row>
    <row r="131" spans="1:44" ht="15" customHeight="1" x14ac:dyDescent="0.3">
      <c r="A131" s="2">
        <v>1.3</v>
      </c>
      <c r="B131" s="1">
        <f t="shared" ref="B131:B194" si="40">10^(-A131)</f>
        <v>5.0118723362727206E-2</v>
      </c>
      <c r="C131" s="1">
        <f t="shared" ref="C131:C194" si="41">Kw/B131</f>
        <v>2.0152149381185691E-13</v>
      </c>
      <c r="D131" s="1">
        <f t="shared" ref="D131:D194" si="42">((WASB_Ca*WASB_Va)-(WASB_Cb*H131))/(WASB_Va+H131)</f>
        <v>8.0142081987730332E-2</v>
      </c>
      <c r="E131" s="1">
        <f t="shared" ref="E131:E194" si="43">(WASB_Ca*H131)/(WASB_Va+H131)</f>
        <v>-1.0023680331288386E-2</v>
      </c>
      <c r="F131" s="1">
        <f t="shared" ref="F131:F194" si="44">WASB_Ka/(B131+WASB_Ka)</f>
        <v>1.0715078238244168E-5</v>
      </c>
      <c r="G131" s="1">
        <f t="shared" ref="G131:G194" si="45">(F131-((B131-C131)/WASB_Ca)) / (1 + ((B131-C131)/WASB_Cb))</f>
        <v>-1.6692957393438659</v>
      </c>
      <c r="H131" s="1">
        <f t="shared" si="39"/>
        <v>-16.692957393438657</v>
      </c>
      <c r="J131" s="2">
        <v>5.29</v>
      </c>
      <c r="K131" s="1">
        <v>5.1286138399136439E-6</v>
      </c>
      <c r="L131" s="1">
        <v>1.9693430457556274E-9</v>
      </c>
      <c r="M131" s="1">
        <v>1.7773463980308945E-2</v>
      </c>
      <c r="N131" s="1">
        <v>3.7108933661517623E-4</v>
      </c>
      <c r="O131" s="1">
        <v>9.4787395973196131E-2</v>
      </c>
      <c r="P131" s="1">
        <v>9.4526217725213621E-2</v>
      </c>
      <c r="Q131" s="2">
        <v>0.94526217725213613</v>
      </c>
      <c r="S131" s="2">
        <v>1.3</v>
      </c>
      <c r="T131" s="1">
        <f t="shared" ref="T131:T194" si="46">10^-S131</f>
        <v>5.0118723362727206E-2</v>
      </c>
      <c r="U131" s="1">
        <f t="shared" ref="U131:U194" si="47">Kw/T131</f>
        <v>2.0152149381185691E-13</v>
      </c>
      <c r="V131" s="1">
        <f t="shared" ref="V131:V194" si="48">((SAWB_Cb*SAWB_Vb)-(SAWB_Ca*Z131))/(Z131+SAWB_Vb)</f>
        <v>-5.0116131664145781E-2</v>
      </c>
      <c r="W131" s="1">
        <f t="shared" ref="W131:W194" si="49">(SAWB_Cb*Z131)/(Z131+SAWB_Vb)</f>
        <v>5.003871055471526E-2</v>
      </c>
      <c r="X131" s="1">
        <f t="shared" ref="X131:X194" si="50">T131/(T131+SAWB_Ka)</f>
        <v>0.99994812587087567</v>
      </c>
      <c r="Y131" s="1">
        <f t="shared" ref="Y131:Y194" si="51">(X131+((T131-U131)/SAWB_Cb))/(1-((T131-U131)/SAWB_Ca))</f>
        <v>2.0030992438461905</v>
      </c>
      <c r="Z131" s="1">
        <f t="shared" ref="Z131:Z194" si="52">(Y131*SAWB_Cb*SAWB_Vb)/SAWB_Ca</f>
        <v>100.15496219230951</v>
      </c>
      <c r="AB131">
        <v>2.61</v>
      </c>
      <c r="AC131">
        <v>2.4547089156850303E-3</v>
      </c>
      <c r="AD131">
        <v>4.114540805821538E-12</v>
      </c>
      <c r="AE131">
        <v>-2.3850122113888632E-3</v>
      </c>
      <c r="AF131">
        <v>3.412833740379629E-2</v>
      </c>
      <c r="AG131">
        <v>0.99894193197143255</v>
      </c>
      <c r="AH131">
        <v>1.0362069532996168</v>
      </c>
      <c r="AI131">
        <v>51.810347664980839</v>
      </c>
      <c r="AJ131"/>
      <c r="AK131"/>
      <c r="AL131"/>
      <c r="AM131"/>
      <c r="AN131"/>
      <c r="AO131"/>
      <c r="AP131"/>
      <c r="AQ131"/>
      <c r="AR131"/>
    </row>
    <row r="132" spans="1:44" ht="15" customHeight="1" x14ac:dyDescent="0.3">
      <c r="A132" s="2">
        <v>1.31</v>
      </c>
      <c r="B132" s="1">
        <f t="shared" si="40"/>
        <v>4.8977881936844603E-2</v>
      </c>
      <c r="C132" s="1">
        <f t="shared" si="41"/>
        <v>2.0621553241162252E-13</v>
      </c>
      <c r="D132" s="1">
        <f t="shared" si="42"/>
        <v>7.8773066286726173E-2</v>
      </c>
      <c r="E132" s="1">
        <f t="shared" si="43"/>
        <v>-9.7955110477876937E-3</v>
      </c>
      <c r="F132" s="1">
        <f t="shared" si="44"/>
        <v>1.0964661736306627E-5</v>
      </c>
      <c r="G132" s="1">
        <f t="shared" si="45"/>
        <v>-1.6437897359902824</v>
      </c>
      <c r="H132" s="1">
        <f t="shared" ref="H132:H195" si="53">G132*(WASB_Va * WASB_Ca)/WASB_Cb</f>
        <v>-16.437897359902824</v>
      </c>
      <c r="J132" s="2">
        <v>5.3</v>
      </c>
      <c r="K132" s="1">
        <v>5.011872336272719E-6</v>
      </c>
      <c r="L132" s="1">
        <v>2.0152149381185696E-9</v>
      </c>
      <c r="M132" s="1">
        <v>1.7727245689395012E-2</v>
      </c>
      <c r="N132" s="1">
        <v>3.7879238510083119E-4</v>
      </c>
      <c r="O132" s="1">
        <v>9.6781595704819187E-2</v>
      </c>
      <c r="P132" s="1">
        <v>9.6526267020690157E-2</v>
      </c>
      <c r="Q132" s="2">
        <v>0.96526267020690149</v>
      </c>
      <c r="S132" s="2">
        <v>1.31</v>
      </c>
      <c r="T132" s="1">
        <f t="shared" si="46"/>
        <v>4.8977881936844603E-2</v>
      </c>
      <c r="U132" s="1">
        <f t="shared" si="47"/>
        <v>2.0621553241162252E-13</v>
      </c>
      <c r="V132" s="1">
        <f t="shared" si="48"/>
        <v>-4.897520968543894E-2</v>
      </c>
      <c r="W132" s="1">
        <f t="shared" si="49"/>
        <v>4.9658403228479649E-2</v>
      </c>
      <c r="X132" s="1">
        <f t="shared" si="50"/>
        <v>0.99994691763132604</v>
      </c>
      <c r="Y132" s="1">
        <f t="shared" si="51"/>
        <v>1.9728576927688073</v>
      </c>
      <c r="Z132" s="1">
        <f t="shared" si="52"/>
        <v>98.642884638440364</v>
      </c>
      <c r="AB132">
        <v>2.62</v>
      </c>
      <c r="AC132">
        <v>2.3988329190194886E-3</v>
      </c>
      <c r="AD132">
        <v>4.2103807730503903E-12</v>
      </c>
      <c r="AE132">
        <v>-2.3274937694556562E-3</v>
      </c>
      <c r="AF132">
        <v>3.4109164589818552E-2</v>
      </c>
      <c r="AG132">
        <v>0.9989173130844472</v>
      </c>
      <c r="AH132">
        <v>1.035323482468641</v>
      </c>
      <c r="AI132">
        <v>51.766174123432052</v>
      </c>
      <c r="AJ132"/>
      <c r="AK132"/>
      <c r="AL132"/>
      <c r="AM132"/>
      <c r="AN132"/>
      <c r="AO132"/>
      <c r="AP132"/>
      <c r="AQ132"/>
      <c r="AR132"/>
    </row>
    <row r="133" spans="1:44" ht="15" customHeight="1" x14ac:dyDescent="0.3">
      <c r="A133" s="2">
        <v>1.32</v>
      </c>
      <c r="B133" s="1">
        <f t="shared" si="40"/>
        <v>4.7863009232263824E-2</v>
      </c>
      <c r="C133" s="1">
        <f t="shared" si="41"/>
        <v>2.1101890921625801E-13</v>
      </c>
      <c r="D133" s="1">
        <f t="shared" si="42"/>
        <v>7.7435212911764223E-2</v>
      </c>
      <c r="E133" s="1">
        <f t="shared" si="43"/>
        <v>-9.5725354852940342E-3</v>
      </c>
      <c r="F133" s="1">
        <f t="shared" si="44"/>
        <v>1.1220058651890972E-5</v>
      </c>
      <c r="G133" s="1">
        <f t="shared" si="45"/>
        <v>-1.6184840643870915</v>
      </c>
      <c r="H133" s="1">
        <f t="shared" si="53"/>
        <v>-16.184840643870913</v>
      </c>
      <c r="J133" s="2">
        <v>5.31</v>
      </c>
      <c r="K133" s="1">
        <v>4.8977881936844583E-6</v>
      </c>
      <c r="L133" s="1">
        <v>2.0621553241162262E-9</v>
      </c>
      <c r="M133" s="1">
        <v>1.7680204048909649E-2</v>
      </c>
      <c r="N133" s="1">
        <v>3.8663265851505871E-4</v>
      </c>
      <c r="O133" s="1">
        <v>9.8813170878332315E-2</v>
      </c>
      <c r="P133" s="1">
        <v>9.8563559174583454E-2</v>
      </c>
      <c r="Q133" s="2">
        <v>0.98563559174583448</v>
      </c>
      <c r="S133" s="2">
        <v>1.32</v>
      </c>
      <c r="T133" s="1">
        <f t="shared" si="46"/>
        <v>4.7863009232263824E-2</v>
      </c>
      <c r="U133" s="1">
        <f t="shared" si="47"/>
        <v>2.1101890921625801E-13</v>
      </c>
      <c r="V133" s="1">
        <f t="shared" si="48"/>
        <v>-4.786025455185193E-2</v>
      </c>
      <c r="W133" s="1">
        <f t="shared" si="49"/>
        <v>4.9286751517283976E-2</v>
      </c>
      <c r="X133" s="1">
        <f t="shared" si="50"/>
        <v>0.99994568125128458</v>
      </c>
      <c r="Y133" s="1">
        <f t="shared" si="51"/>
        <v>1.9437426310437114</v>
      </c>
      <c r="Z133" s="1">
        <f t="shared" si="52"/>
        <v>97.187131552185562</v>
      </c>
      <c r="AB133">
        <v>2.63</v>
      </c>
      <c r="AC133">
        <v>2.3442288153199204E-3</v>
      </c>
      <c r="AD133">
        <v>4.3084531398960887E-12</v>
      </c>
      <c r="AE133">
        <v>-2.2712090189137414E-3</v>
      </c>
      <c r="AF133">
        <v>3.409040300630458E-2</v>
      </c>
      <c r="AG133">
        <v>0.9988921220060758</v>
      </c>
      <c r="AH133">
        <v>1.0344594584477733</v>
      </c>
      <c r="AI133">
        <v>51.722972922388671</v>
      </c>
      <c r="AJ133"/>
      <c r="AK133"/>
      <c r="AL133"/>
      <c r="AM133"/>
      <c r="AN133"/>
      <c r="AO133"/>
      <c r="AP133"/>
      <c r="AQ133"/>
      <c r="AR133"/>
    </row>
    <row r="134" spans="1:44" ht="15" customHeight="1" x14ac:dyDescent="0.3">
      <c r="A134" s="2">
        <v>1.33</v>
      </c>
      <c r="B134" s="1">
        <f t="shared" si="40"/>
        <v>4.6773514128719787E-2</v>
      </c>
      <c r="C134" s="1">
        <f t="shared" si="41"/>
        <v>2.1593417103972558E-13</v>
      </c>
      <c r="D134" s="1">
        <f t="shared" si="42"/>
        <v>7.6127812515276644E-2</v>
      </c>
      <c r="E134" s="1">
        <f t="shared" si="43"/>
        <v>-9.3546354192127704E-3</v>
      </c>
      <c r="F134" s="1">
        <f t="shared" si="44"/>
        <v>1.1481404390808517E-5</v>
      </c>
      <c r="G134" s="1">
        <f t="shared" si="45"/>
        <v>-1.5933830016315091</v>
      </c>
      <c r="H134" s="1">
        <f t="shared" si="53"/>
        <v>-15.93383001631509</v>
      </c>
      <c r="J134" s="2">
        <v>5.32</v>
      </c>
      <c r="K134" s="1">
        <v>4.7863009232263716E-6</v>
      </c>
      <c r="L134" s="1">
        <v>2.1101890921625851E-9</v>
      </c>
      <c r="M134" s="1">
        <v>1.7632329316643627E-2</v>
      </c>
      <c r="N134" s="1">
        <v>3.946117805593955E-4</v>
      </c>
      <c r="O134" s="1">
        <v>0.10088262835672351</v>
      </c>
      <c r="P134" s="1">
        <v>0.10063860407724558</v>
      </c>
      <c r="Q134" s="2">
        <v>1.0063860407724556</v>
      </c>
      <c r="S134" s="2">
        <v>1.33</v>
      </c>
      <c r="T134" s="1">
        <f t="shared" si="46"/>
        <v>4.6773514128719787E-2</v>
      </c>
      <c r="U134" s="1">
        <f t="shared" si="47"/>
        <v>2.1593417103972558E-13</v>
      </c>
      <c r="V134" s="1">
        <f t="shared" si="48"/>
        <v>-4.6770675099424161E-2</v>
      </c>
      <c r="W134" s="1">
        <f t="shared" si="49"/>
        <v>4.8923558366474718E-2</v>
      </c>
      <c r="X134" s="1">
        <f t="shared" si="50"/>
        <v>0.9999444160754174</v>
      </c>
      <c r="Y134" s="1">
        <f t="shared" si="51"/>
        <v>1.915699559397753</v>
      </c>
      <c r="Z134" s="1">
        <f t="shared" si="52"/>
        <v>95.784977969887663</v>
      </c>
      <c r="AB134">
        <v>2.64</v>
      </c>
      <c r="AC134">
        <v>2.2908676527677715E-3</v>
      </c>
      <c r="AD134">
        <v>4.4088099056256792E-12</v>
      </c>
      <c r="AE134">
        <v>-2.2161281207466136E-3</v>
      </c>
      <c r="AF134">
        <v>3.4072042706915537E-2</v>
      </c>
      <c r="AG134">
        <v>0.99886634546737008</v>
      </c>
      <c r="AH134">
        <v>1.0336143907947088</v>
      </c>
      <c r="AI134">
        <v>51.680719539735435</v>
      </c>
      <c r="AJ134"/>
      <c r="AK134"/>
      <c r="AL134"/>
      <c r="AM134"/>
      <c r="AN134"/>
      <c r="AO134"/>
      <c r="AP134"/>
      <c r="AQ134"/>
      <c r="AR134"/>
    </row>
    <row r="135" spans="1:44" ht="15" customHeight="1" x14ac:dyDescent="0.3">
      <c r="A135" s="2">
        <v>1.34</v>
      </c>
      <c r="B135" s="1">
        <f t="shared" si="40"/>
        <v>4.5708818961487478E-2</v>
      </c>
      <c r="C135" s="1">
        <f t="shared" si="41"/>
        <v>2.2096392401890492E-13</v>
      </c>
      <c r="D135" s="1">
        <f t="shared" si="42"/>
        <v>7.4850171896268081E-2</v>
      </c>
      <c r="E135" s="1">
        <f t="shared" si="43"/>
        <v>-9.1416953160446783E-3</v>
      </c>
      <c r="F135" s="1">
        <f t="shared" si="44"/>
        <v>1.1748837512590626E-5</v>
      </c>
      <c r="G135" s="1">
        <f t="shared" si="45"/>
        <v>-1.5684906483480208</v>
      </c>
      <c r="H135" s="1">
        <f t="shared" si="53"/>
        <v>-15.684906483480207</v>
      </c>
      <c r="J135" s="2">
        <v>5.33</v>
      </c>
      <c r="K135" s="1">
        <v>4.6773514128719787E-6</v>
      </c>
      <c r="L135" s="1">
        <v>2.1593417103972556E-9</v>
      </c>
      <c r="M135" s="1">
        <v>1.7583611855433008E-2</v>
      </c>
      <c r="N135" s="1">
        <v>4.0273135742783232E-4</v>
      </c>
      <c r="O135" s="1">
        <v>0.10299047362272698</v>
      </c>
      <c r="P135" s="1">
        <v>0.10275191017001166</v>
      </c>
      <c r="Q135" s="2">
        <v>1.0275191017001166</v>
      </c>
      <c r="S135" s="2">
        <v>1.34</v>
      </c>
      <c r="T135" s="1">
        <f t="shared" si="46"/>
        <v>4.5708818961487478E-2</v>
      </c>
      <c r="U135" s="1">
        <f t="shared" si="47"/>
        <v>2.2096392401890492E-13</v>
      </c>
      <c r="V135" s="1">
        <f t="shared" si="48"/>
        <v>-4.5705893618717505E-2</v>
      </c>
      <c r="W135" s="1">
        <f t="shared" si="49"/>
        <v>4.8568631206239173E-2</v>
      </c>
      <c r="X135" s="1">
        <f t="shared" si="50"/>
        <v>0.99994312143313269</v>
      </c>
      <c r="Y135" s="1">
        <f t="shared" si="51"/>
        <v>1.8886773712361724</v>
      </c>
      <c r="Z135" s="1">
        <f t="shared" si="52"/>
        <v>94.433868561808623</v>
      </c>
      <c r="AB135">
        <v>2.65</v>
      </c>
      <c r="AC135">
        <v>2.2387211385683386E-3</v>
      </c>
      <c r="AD135">
        <v>4.5115042807247296E-12</v>
      </c>
      <c r="AE135">
        <v>-2.162221874420021E-3</v>
      </c>
      <c r="AF135">
        <v>3.4054073958140009E-2</v>
      </c>
      <c r="AG135">
        <v>0.99883996989308688</v>
      </c>
      <c r="AH135">
        <v>1.0327878006148177</v>
      </c>
      <c r="AI135">
        <v>51.639390030740884</v>
      </c>
      <c r="AJ135"/>
      <c r="AK135"/>
      <c r="AL135"/>
      <c r="AM135"/>
      <c r="AN135"/>
      <c r="AO135"/>
      <c r="AP135"/>
      <c r="AQ135"/>
      <c r="AR135"/>
    </row>
    <row r="136" spans="1:44" ht="15" customHeight="1" x14ac:dyDescent="0.3">
      <c r="A136" s="2">
        <v>1.35</v>
      </c>
      <c r="B136" s="1">
        <f t="shared" si="40"/>
        <v>4.4668359215096293E-2</v>
      </c>
      <c r="C136" s="1">
        <f t="shared" si="41"/>
        <v>2.2611083499540238E-13</v>
      </c>
      <c r="D136" s="1">
        <f t="shared" si="42"/>
        <v>7.360161363277104E-2</v>
      </c>
      <c r="E136" s="1">
        <f t="shared" si="43"/>
        <v>-8.9336022721285043E-3</v>
      </c>
      <c r="F136" s="1">
        <f t="shared" si="44"/>
        <v>1.2022499803934833E-5</v>
      </c>
      <c r="G136" s="1">
        <f t="shared" si="45"/>
        <v>-1.5438109275342755</v>
      </c>
      <c r="H136" s="1">
        <f t="shared" si="53"/>
        <v>-15.438109275342754</v>
      </c>
      <c r="J136" s="2">
        <v>5.34</v>
      </c>
      <c r="K136" s="1">
        <v>4.5708818961487476E-6</v>
      </c>
      <c r="L136" s="1">
        <v>2.2096392401890494E-9</v>
      </c>
      <c r="M136" s="1">
        <v>1.7534042144130495E-2</v>
      </c>
      <c r="N136" s="1">
        <v>4.109929759782508E-4</v>
      </c>
      <c r="O136" s="1">
        <v>0.10513721035591966</v>
      </c>
      <c r="P136" s="1">
        <v>0.10490398402385974</v>
      </c>
      <c r="Q136" s="2">
        <v>1.0490398402385974</v>
      </c>
      <c r="S136" s="2">
        <v>1.35</v>
      </c>
      <c r="T136" s="1">
        <f t="shared" si="46"/>
        <v>4.4668359215096293E-2</v>
      </c>
      <c r="U136" s="1">
        <f t="shared" si="47"/>
        <v>2.2611083499540238E-13</v>
      </c>
      <c r="V136" s="1">
        <f t="shared" si="48"/>
        <v>-4.4665345548507145E-2</v>
      </c>
      <c r="W136" s="1">
        <f t="shared" si="49"/>
        <v>4.8221781849502376E-2</v>
      </c>
      <c r="X136" s="1">
        <f t="shared" si="50"/>
        <v>0.9999417966382258</v>
      </c>
      <c r="Y136" s="1">
        <f t="shared" si="51"/>
        <v>1.8626280923511827</v>
      </c>
      <c r="Z136" s="1">
        <f t="shared" si="52"/>
        <v>93.131404617559141</v>
      </c>
      <c r="AB136">
        <v>2.66</v>
      </c>
      <c r="AC136">
        <v>2.1877616239495499E-3</v>
      </c>
      <c r="AD136">
        <v>4.616590715110243E-12</v>
      </c>
      <c r="AE136">
        <v>-2.1094617024078272E-3</v>
      </c>
      <c r="AF136">
        <v>3.4036487234135944E-2</v>
      </c>
      <c r="AG136">
        <v>0.99881298139468311</v>
      </c>
      <c r="AH136">
        <v>1.0319792202379414</v>
      </c>
      <c r="AI136">
        <v>51.598961011897067</v>
      </c>
      <c r="AJ136"/>
      <c r="AK136"/>
      <c r="AL136"/>
      <c r="AM136"/>
      <c r="AN136"/>
      <c r="AO136"/>
      <c r="AP136"/>
      <c r="AQ136"/>
      <c r="AR136"/>
    </row>
    <row r="137" spans="1:44" ht="15" customHeight="1" x14ac:dyDescent="0.3">
      <c r="A137" s="2">
        <v>1.36</v>
      </c>
      <c r="B137" s="1">
        <f t="shared" si="40"/>
        <v>4.3651583224016584E-2</v>
      </c>
      <c r="C137" s="1">
        <f t="shared" si="41"/>
        <v>2.3137763292954511E-13</v>
      </c>
      <c r="D137" s="1">
        <f t="shared" si="42"/>
        <v>7.2381475722667898E-2</v>
      </c>
      <c r="E137" s="1">
        <f t="shared" si="43"/>
        <v>-8.730245953777983E-3</v>
      </c>
      <c r="F137" s="1">
        <f t="shared" si="44"/>
        <v>1.2302536353861032E-5</v>
      </c>
      <c r="G137" s="1">
        <f t="shared" si="45"/>
        <v>-1.5193475836968895</v>
      </c>
      <c r="H137" s="1">
        <f t="shared" si="53"/>
        <v>-15.193475836968894</v>
      </c>
      <c r="J137" s="2">
        <v>5.35</v>
      </c>
      <c r="K137" s="1">
        <v>4.4668359215096296E-6</v>
      </c>
      <c r="L137" s="1">
        <v>2.2611083499540238E-9</v>
      </c>
      <c r="M137" s="1">
        <v>1.7483610788895532E-2</v>
      </c>
      <c r="N137" s="1">
        <v>4.1939820185074469E-4</v>
      </c>
      <c r="O137" s="1">
        <v>0.10732333999384591</v>
      </c>
      <c r="P137" s="1">
        <v>0.10709532990206305</v>
      </c>
      <c r="Q137" s="2">
        <v>1.0709532990206305</v>
      </c>
      <c r="S137" s="2">
        <v>1.36</v>
      </c>
      <c r="T137" s="1">
        <f t="shared" si="46"/>
        <v>4.3651583224016584E-2</v>
      </c>
      <c r="U137" s="1">
        <f t="shared" si="47"/>
        <v>2.3137763292954511E-13</v>
      </c>
      <c r="V137" s="1">
        <f t="shared" si="48"/>
        <v>-4.3648479176443739E-2</v>
      </c>
      <c r="W137" s="1">
        <f t="shared" si="49"/>
        <v>4.7882826392147915E-2</v>
      </c>
      <c r="X137" s="1">
        <f t="shared" si="50"/>
        <v>0.9999404409885152</v>
      </c>
      <c r="Y137" s="1">
        <f t="shared" si="51"/>
        <v>1.8375066442564636</v>
      </c>
      <c r="Z137" s="1">
        <f t="shared" si="52"/>
        <v>91.875332212823182</v>
      </c>
      <c r="AB137">
        <v>2.67</v>
      </c>
      <c r="AC137">
        <v>2.1379620895022318E-3</v>
      </c>
      <c r="AD137">
        <v>4.7241249270007018E-12</v>
      </c>
      <c r="AE137">
        <v>-2.0578196350491585E-3</v>
      </c>
      <c r="AF137">
        <v>3.4019273211683049E-2</v>
      </c>
      <c r="AG137">
        <v>0.9987853657631558</v>
      </c>
      <c r="AH137">
        <v>1.0311881929044395</v>
      </c>
      <c r="AI137">
        <v>51.559409645221983</v>
      </c>
      <c r="AJ137"/>
      <c r="AK137"/>
      <c r="AL137"/>
      <c r="AM137"/>
      <c r="AN137"/>
      <c r="AO137"/>
      <c r="AP137"/>
      <c r="AQ137"/>
      <c r="AR137"/>
    </row>
    <row r="138" spans="1:44" ht="15" customHeight="1" x14ac:dyDescent="0.3">
      <c r="A138" s="2">
        <v>1.37</v>
      </c>
      <c r="B138" s="1">
        <f t="shared" si="40"/>
        <v>4.2657951880159237E-2</v>
      </c>
      <c r="C138" s="1">
        <f t="shared" si="41"/>
        <v>2.367671103473123E-13</v>
      </c>
      <c r="D138" s="1">
        <f t="shared" si="42"/>
        <v>7.1189111232688521E-2</v>
      </c>
      <c r="E138" s="1">
        <f t="shared" si="43"/>
        <v>-8.5315185387814189E-3</v>
      </c>
      <c r="F138" s="1">
        <f t="shared" si="44"/>
        <v>1.2589095630617665E-5</v>
      </c>
      <c r="G138" s="1">
        <f t="shared" si="45"/>
        <v>-1.4951041822721365</v>
      </c>
      <c r="H138" s="1">
        <f t="shared" si="53"/>
        <v>-14.951041822721365</v>
      </c>
      <c r="J138" s="2">
        <v>5.36</v>
      </c>
      <c r="K138" s="1">
        <v>4.3651583224016507E-6</v>
      </c>
      <c r="L138" s="1">
        <v>2.3137763292954554E-9</v>
      </c>
      <c r="M138" s="1">
        <v>1.7432308534799341E-2</v>
      </c>
      <c r="N138" s="1">
        <v>4.2794857753344288E-4</v>
      </c>
      <c r="O138" s="1">
        <v>0.10954936127707542</v>
      </c>
      <c r="P138" s="1">
        <v>0.10932644930674081</v>
      </c>
      <c r="Q138" s="2">
        <v>1.093264493067408</v>
      </c>
      <c r="S138" s="2">
        <v>1.37</v>
      </c>
      <c r="T138" s="1">
        <f t="shared" si="46"/>
        <v>4.2657951880159237E-2</v>
      </c>
      <c r="U138" s="1">
        <f t="shared" si="47"/>
        <v>2.367671103473123E-13</v>
      </c>
      <c r="V138" s="1">
        <f t="shared" si="48"/>
        <v>-4.2654755346528281E-2</v>
      </c>
      <c r="W138" s="1">
        <f t="shared" si="49"/>
        <v>4.7551585115509429E-2</v>
      </c>
      <c r="X138" s="1">
        <f t="shared" si="50"/>
        <v>0.99993905376547165</v>
      </c>
      <c r="Y138" s="1">
        <f t="shared" si="51"/>
        <v>1.8132706286828439</v>
      </c>
      <c r="Z138" s="1">
        <f t="shared" si="52"/>
        <v>90.6635314341422</v>
      </c>
      <c r="AB138">
        <v>2.68</v>
      </c>
      <c r="AC138">
        <v>2.0892961308540373E-3</v>
      </c>
      <c r="AD138">
        <v>4.834163932458652E-12</v>
      </c>
      <c r="AE138">
        <v>-2.0072682957277825E-3</v>
      </c>
      <c r="AF138">
        <v>3.4002422765242596E-2</v>
      </c>
      <c r="AG138">
        <v>0.9987571084617195</v>
      </c>
      <c r="AH138">
        <v>1.030414272460151</v>
      </c>
      <c r="AI138">
        <v>51.520713623007559</v>
      </c>
      <c r="AJ138"/>
      <c r="AK138"/>
      <c r="AL138"/>
      <c r="AM138"/>
      <c r="AN138"/>
      <c r="AO138"/>
      <c r="AP138"/>
      <c r="AQ138"/>
      <c r="AR138"/>
    </row>
    <row r="139" spans="1:44" ht="15" customHeight="1" x14ac:dyDescent="0.3">
      <c r="A139" s="2">
        <v>1.38</v>
      </c>
      <c r="B139" s="1">
        <f t="shared" si="40"/>
        <v>4.1686938347033534E-2</v>
      </c>
      <c r="C139" s="1">
        <f t="shared" si="41"/>
        <v>2.4228212482096858E-13</v>
      </c>
      <c r="D139" s="1">
        <f t="shared" si="42"/>
        <v>7.0023887955397934E-2</v>
      </c>
      <c r="E139" s="1">
        <f t="shared" si="43"/>
        <v>-8.3373146592329896E-3</v>
      </c>
      <c r="F139" s="1">
        <f t="shared" si="44"/>
        <v>1.2882329560378524E-5</v>
      </c>
      <c r="G139" s="1">
        <f t="shared" si="45"/>
        <v>-1.4710841093258795</v>
      </c>
      <c r="H139" s="1">
        <f t="shared" si="53"/>
        <v>-14.710841093258795</v>
      </c>
      <c r="J139" s="2">
        <v>5.37</v>
      </c>
      <c r="K139" s="1">
        <v>4.2657951880159181E-6</v>
      </c>
      <c r="L139" s="1">
        <v>2.3676711034731257E-9</v>
      </c>
      <c r="M139" s="1">
        <v>1.7380126277740663E-2</v>
      </c>
      <c r="N139" s="1">
        <v>4.3664562037655627E-4</v>
      </c>
      <c r="O139" s="1">
        <v>0.11181576977811709</v>
      </c>
      <c r="P139" s="1">
        <v>0.11159784050923093</v>
      </c>
      <c r="Q139" s="2">
        <v>1.1159784050923092</v>
      </c>
      <c r="S139" s="2">
        <v>1.38</v>
      </c>
      <c r="T139" s="1">
        <f t="shared" si="46"/>
        <v>4.1686938347033534E-2</v>
      </c>
      <c r="U139" s="1">
        <f t="shared" si="47"/>
        <v>2.4228212482096858E-13</v>
      </c>
      <c r="V139" s="1">
        <f t="shared" si="48"/>
        <v>-4.1683647173244513E-2</v>
      </c>
      <c r="W139" s="1">
        <f t="shared" si="49"/>
        <v>4.7227882391081506E-2</v>
      </c>
      <c r="X139" s="1">
        <f t="shared" si="50"/>
        <v>0.99993763423383686</v>
      </c>
      <c r="Y139" s="1">
        <f t="shared" si="51"/>
        <v>1.7898801310599666</v>
      </c>
      <c r="Z139" s="1">
        <f t="shared" si="52"/>
        <v>89.494006552998329</v>
      </c>
      <c r="AB139">
        <v>2.69</v>
      </c>
      <c r="AC139">
        <v>2.0417379446695293E-3</v>
      </c>
      <c r="AD139">
        <v>4.946766075621306E-12</v>
      </c>
      <c r="AE139">
        <v>-1.9577808863666638E-3</v>
      </c>
      <c r="AF139">
        <v>3.3985926962122222E-2</v>
      </c>
      <c r="AG139">
        <v>0.99872819461832152</v>
      </c>
      <c r="AH139">
        <v>1.0296570230599666</v>
      </c>
      <c r="AI139">
        <v>51.482851152998329</v>
      </c>
      <c r="AJ139"/>
      <c r="AK139"/>
      <c r="AL139"/>
      <c r="AM139"/>
      <c r="AN139"/>
      <c r="AO139"/>
      <c r="AP139"/>
      <c r="AQ139"/>
      <c r="AR139"/>
    </row>
    <row r="140" spans="1:44" ht="15" customHeight="1" x14ac:dyDescent="0.3">
      <c r="A140" s="2">
        <v>1.39</v>
      </c>
      <c r="B140" s="1">
        <f t="shared" si="40"/>
        <v>4.0738027780411273E-2</v>
      </c>
      <c r="C140" s="1">
        <f t="shared" si="41"/>
        <v>2.4792560048418805E-13</v>
      </c>
      <c r="D140" s="1">
        <f t="shared" si="42"/>
        <v>6.8885188073991271E-2</v>
      </c>
      <c r="E140" s="1">
        <f t="shared" si="43"/>
        <v>-8.1475313456652113E-3</v>
      </c>
      <c r="F140" s="1">
        <f t="shared" si="44"/>
        <v>1.3182393607772025E-5</v>
      </c>
      <c r="G140" s="1">
        <f t="shared" si="45"/>
        <v>-1.4472905715264353</v>
      </c>
      <c r="H140" s="1">
        <f t="shared" si="53"/>
        <v>-14.472905715264352</v>
      </c>
      <c r="J140" s="2">
        <v>5.38</v>
      </c>
      <c r="K140" s="1">
        <v>4.168693834703354E-6</v>
      </c>
      <c r="L140" s="1">
        <v>2.4228212482096851E-9</v>
      </c>
      <c r="M140" s="1">
        <v>1.7327055076666625E-2</v>
      </c>
      <c r="N140" s="1">
        <v>4.4549082055556273E-4</v>
      </c>
      <c r="O140" s="1">
        <v>0.11412305741415042</v>
      </c>
      <c r="P140" s="1">
        <v>0.11390999806424688</v>
      </c>
      <c r="Q140" s="2">
        <v>1.1390999806424689</v>
      </c>
      <c r="S140" s="2">
        <v>1.39</v>
      </c>
      <c r="T140" s="1">
        <f t="shared" si="46"/>
        <v>4.0738027780411273E-2</v>
      </c>
      <c r="U140" s="1">
        <f t="shared" si="47"/>
        <v>2.4792560048418805E-13</v>
      </c>
      <c r="V140" s="1">
        <f t="shared" si="48"/>
        <v>-4.0734639762197183E-2</v>
      </c>
      <c r="W140" s="1">
        <f t="shared" si="49"/>
        <v>4.6911546587399065E-2</v>
      </c>
      <c r="X140" s="1">
        <f t="shared" si="50"/>
        <v>0.9999361816412351</v>
      </c>
      <c r="Y140" s="1">
        <f t="shared" si="51"/>
        <v>1.7672975410605674</v>
      </c>
      <c r="Z140" s="1">
        <f t="shared" si="52"/>
        <v>88.364877053028366</v>
      </c>
      <c r="AB140">
        <v>2.7</v>
      </c>
      <c r="AC140">
        <v>1.9952623149688781E-3</v>
      </c>
      <c r="AD140">
        <v>5.0619910596354535E-12</v>
      </c>
      <c r="AE140">
        <v>-1.9093311732296609E-3</v>
      </c>
      <c r="AF140">
        <v>3.396977705774322E-2</v>
      </c>
      <c r="AG140">
        <v>0.99869860901798901</v>
      </c>
      <c r="AH140">
        <v>1.0289160188797084</v>
      </c>
      <c r="AI140">
        <v>51.445800943985425</v>
      </c>
      <c r="AJ140"/>
      <c r="AK140"/>
      <c r="AL140"/>
      <c r="AM140"/>
      <c r="AN140"/>
      <c r="AO140"/>
      <c r="AP140"/>
      <c r="AQ140"/>
      <c r="AR140"/>
    </row>
    <row r="141" spans="1:44" ht="15" customHeight="1" x14ac:dyDescent="0.3">
      <c r="A141" s="2">
        <v>1.4</v>
      </c>
      <c r="B141" s="1">
        <f t="shared" si="40"/>
        <v>3.9810717055349727E-2</v>
      </c>
      <c r="C141" s="1">
        <f t="shared" si="41"/>
        <v>2.5370052958246757E-13</v>
      </c>
      <c r="D141" s="1">
        <f t="shared" si="42"/>
        <v>6.7772407834719273E-2</v>
      </c>
      <c r="E141" s="1">
        <f t="shared" si="43"/>
        <v>-7.9620679724532132E-3</v>
      </c>
      <c r="F141" s="1">
        <f t="shared" si="44"/>
        <v>1.3489446858285342E-5</v>
      </c>
      <c r="G141" s="1">
        <f t="shared" si="45"/>
        <v>-1.4237265963835422</v>
      </c>
      <c r="H141" s="1">
        <f t="shared" si="53"/>
        <v>-14.237265963835421</v>
      </c>
      <c r="J141" s="2">
        <v>5.39</v>
      </c>
      <c r="K141" s="1">
        <v>4.0738027780411272E-6</v>
      </c>
      <c r="L141" s="1">
        <v>2.4792560048418806E-9</v>
      </c>
      <c r="M141" s="1">
        <v>1.7273086166092539E-2</v>
      </c>
      <c r="N141" s="1">
        <v>4.5448563898457621E-4</v>
      </c>
      <c r="O141" s="1">
        <v>0.11647171194356069</v>
      </c>
      <c r="P141" s="1">
        <v>0.11626341230780608</v>
      </c>
      <c r="Q141" s="2">
        <v>1.1626341230780608</v>
      </c>
      <c r="S141" s="2">
        <v>1.4</v>
      </c>
      <c r="T141" s="1">
        <f t="shared" si="46"/>
        <v>3.9810717055349727E-2</v>
      </c>
      <c r="U141" s="1">
        <f t="shared" si="47"/>
        <v>2.5370052958246757E-13</v>
      </c>
      <c r="V141" s="1">
        <f t="shared" si="48"/>
        <v>-3.98072299371083E-2</v>
      </c>
      <c r="W141" s="1">
        <f t="shared" si="49"/>
        <v>4.66024099790361E-2</v>
      </c>
      <c r="X141" s="1">
        <f t="shared" si="50"/>
        <v>0.99993469521777389</v>
      </c>
      <c r="Y141" s="1">
        <f t="shared" si="51"/>
        <v>1.7454873885034883</v>
      </c>
      <c r="Z141" s="1">
        <f t="shared" si="52"/>
        <v>87.274369425174399</v>
      </c>
      <c r="AB141">
        <v>2.71</v>
      </c>
      <c r="AC141">
        <v>1.9498445997580441E-3</v>
      </c>
      <c r="AD141">
        <v>5.1798999783127878E-12</v>
      </c>
      <c r="AE141">
        <v>-1.8618934730228181E-3</v>
      </c>
      <c r="AF141">
        <v>3.3953964491007606E-2</v>
      </c>
      <c r="AG141">
        <v>0.99866833609500516</v>
      </c>
      <c r="AH141">
        <v>1.0281908438360288</v>
      </c>
      <c r="AI141">
        <v>51.409542191801435</v>
      </c>
      <c r="AJ141"/>
      <c r="AK141"/>
      <c r="AL141"/>
      <c r="AM141"/>
      <c r="AN141"/>
      <c r="AO141"/>
      <c r="AP141"/>
      <c r="AQ141"/>
      <c r="AR141"/>
    </row>
    <row r="142" spans="1:44" ht="15" customHeight="1" x14ac:dyDescent="0.3">
      <c r="A142" s="2">
        <v>1.41</v>
      </c>
      <c r="B142" s="1">
        <f t="shared" si="40"/>
        <v>3.8904514499428049E-2</v>
      </c>
      <c r="C142" s="1">
        <f t="shared" si="41"/>
        <v>2.5960997405965531E-13</v>
      </c>
      <c r="D142" s="1">
        <f t="shared" si="42"/>
        <v>6.668495722677005E-2</v>
      </c>
      <c r="E142" s="1">
        <f t="shared" si="43"/>
        <v>-7.7808262044616753E-3</v>
      </c>
      <c r="F142" s="1">
        <f t="shared" si="44"/>
        <v>1.3803652102587279E-5</v>
      </c>
      <c r="G142" s="1">
        <f t="shared" si="45"/>
        <v>-1.4003950327460122</v>
      </c>
      <c r="H142" s="1">
        <f t="shared" si="53"/>
        <v>-14.003950327460121</v>
      </c>
      <c r="J142" s="2">
        <v>5.4</v>
      </c>
      <c r="K142" s="1">
        <v>3.9810717055349657E-6</v>
      </c>
      <c r="L142" s="1">
        <v>2.53700529582468E-9</v>
      </c>
      <c r="M142" s="1">
        <v>1.7218210968913236E-2</v>
      </c>
      <c r="N142" s="1">
        <v>4.636315051811268E-4</v>
      </c>
      <c r="O142" s="1">
        <v>0.11886221644630186</v>
      </c>
      <c r="P142" s="1">
        <v>0.11865856883895384</v>
      </c>
      <c r="Q142" s="2">
        <v>1.1865856883895383</v>
      </c>
      <c r="S142" s="2">
        <v>1.41</v>
      </c>
      <c r="T142" s="1">
        <f t="shared" si="46"/>
        <v>3.8904514499428049E-2</v>
      </c>
      <c r="U142" s="1">
        <f t="shared" si="47"/>
        <v>2.5960997405965531E-13</v>
      </c>
      <c r="V142" s="1">
        <f t="shared" si="48"/>
        <v>-3.8900925973026475E-2</v>
      </c>
      <c r="W142" s="1">
        <f t="shared" si="49"/>
        <v>4.6300308657675496E-2</v>
      </c>
      <c r="X142" s="1">
        <f t="shared" si="50"/>
        <v>0.99993317417563732</v>
      </c>
      <c r="Y142" s="1">
        <f t="shared" si="51"/>
        <v>1.7244161931032536</v>
      </c>
      <c r="Z142" s="1">
        <f t="shared" si="52"/>
        <v>86.220809655162682</v>
      </c>
      <c r="AB142">
        <v>2.72</v>
      </c>
      <c r="AC142">
        <v>1.905460717963246E-3</v>
      </c>
      <c r="AD142">
        <v>5.3005553485227058E-12</v>
      </c>
      <c r="AE142">
        <v>-1.8154426392881977E-3</v>
      </c>
      <c r="AF142">
        <v>3.3938480879762728E-2</v>
      </c>
      <c r="AG142">
        <v>0.99863735992491087</v>
      </c>
      <c r="AH142">
        <v>1.0274810913140513</v>
      </c>
      <c r="AI142">
        <v>51.374054565702572</v>
      </c>
      <c r="AJ142"/>
      <c r="AK142"/>
      <c r="AL142"/>
      <c r="AM142"/>
      <c r="AN142"/>
      <c r="AO142"/>
      <c r="AP142"/>
      <c r="AQ142"/>
      <c r="AR142"/>
    </row>
    <row r="143" spans="1:44" ht="15" customHeight="1" x14ac:dyDescent="0.3">
      <c r="A143" s="2">
        <v>1.42</v>
      </c>
      <c r="B143" s="1">
        <f t="shared" si="40"/>
        <v>3.801893963205611E-2</v>
      </c>
      <c r="C143" s="1">
        <f t="shared" si="41"/>
        <v>2.656570671814336E-13</v>
      </c>
      <c r="D143" s="1">
        <f t="shared" si="42"/>
        <v>6.5622259669437619E-2</v>
      </c>
      <c r="E143" s="1">
        <f t="shared" si="43"/>
        <v>-7.6037099449062723E-3</v>
      </c>
      <c r="F143" s="1">
        <f t="shared" si="44"/>
        <v>1.4125175922814384E-5</v>
      </c>
      <c r="G143" s="1">
        <f t="shared" si="45"/>
        <v>-1.3772985515502036</v>
      </c>
      <c r="H143" s="1">
        <f t="shared" si="53"/>
        <v>-13.772985515502036</v>
      </c>
      <c r="J143" s="2">
        <v>5.41</v>
      </c>
      <c r="K143" s="1">
        <v>3.8904514499428E-6</v>
      </c>
      <c r="L143" s="1">
        <v>2.5960997405965563E-9</v>
      </c>
      <c r="M143" s="1">
        <v>1.7162421109497422E-2</v>
      </c>
      <c r="N143" s="1">
        <v>4.729298150837631E-4</v>
      </c>
      <c r="O143" s="1">
        <v>0.12129504878814865</v>
      </c>
      <c r="P143" s="1">
        <v>0.12109594798534591</v>
      </c>
      <c r="Q143" s="2">
        <v>1.2109594798534591</v>
      </c>
      <c r="S143" s="2">
        <v>1.42</v>
      </c>
      <c r="T143" s="1">
        <f t="shared" si="46"/>
        <v>3.801893963205611E-2</v>
      </c>
      <c r="U143" s="1">
        <f t="shared" si="47"/>
        <v>2.656570671814336E-13</v>
      </c>
      <c r="V143" s="1">
        <f t="shared" si="48"/>
        <v>-3.8015247335607814E-2</v>
      </c>
      <c r="W143" s="1">
        <f t="shared" si="49"/>
        <v>4.6005082445202607E-2</v>
      </c>
      <c r="X143" s="1">
        <f t="shared" si="50"/>
        <v>0.99993161770866834</v>
      </c>
      <c r="Y143" s="1">
        <f t="shared" si="51"/>
        <v>1.7040523267218171</v>
      </c>
      <c r="Z143" s="1">
        <f t="shared" si="52"/>
        <v>85.202616336090855</v>
      </c>
      <c r="AB143">
        <v>2.73</v>
      </c>
      <c r="AC143">
        <v>1.8620871366628665E-3</v>
      </c>
      <c r="AD143">
        <v>5.424021143339555E-12</v>
      </c>
      <c r="AE143">
        <v>-1.7699540490828303E-3</v>
      </c>
      <c r="AF143">
        <v>3.3923318016360948E-2</v>
      </c>
      <c r="AG143">
        <v>0.99860566421632901</v>
      </c>
      <c r="AH143">
        <v>1.0267863639024895</v>
      </c>
      <c r="AI143">
        <v>51.339318195124477</v>
      </c>
      <c r="AJ143"/>
      <c r="AK143"/>
      <c r="AL143"/>
      <c r="AM143"/>
      <c r="AN143"/>
      <c r="AO143"/>
      <c r="AP143"/>
      <c r="AQ143"/>
      <c r="AR143"/>
    </row>
    <row r="144" spans="1:44" ht="15" customHeight="1" x14ac:dyDescent="0.3">
      <c r="A144" s="2">
        <v>1.43</v>
      </c>
      <c r="B144" s="1">
        <f t="shared" si="40"/>
        <v>3.7153522909717254E-2</v>
      </c>
      <c r="C144" s="1">
        <f t="shared" si="41"/>
        <v>2.7184501519661849E-13</v>
      </c>
      <c r="D144" s="1">
        <f t="shared" si="42"/>
        <v>6.4583751706411008E-2</v>
      </c>
      <c r="E144" s="1">
        <f t="shared" si="43"/>
        <v>-7.4306252844018351E-3</v>
      </c>
      <c r="F144" s="1">
        <f t="shared" si="44"/>
        <v>1.4454188780866089E-5</v>
      </c>
      <c r="G144" s="1">
        <f t="shared" si="45"/>
        <v>-1.3544396468109658</v>
      </c>
      <c r="H144" s="1">
        <f t="shared" si="53"/>
        <v>-13.544396468109658</v>
      </c>
      <c r="J144" s="2">
        <v>5.42</v>
      </c>
      <c r="K144" s="1">
        <v>3.8018939632056064E-6</v>
      </c>
      <c r="L144" s="1">
        <v>2.6565706718143396E-9</v>
      </c>
      <c r="M144" s="1">
        <v>1.7105708427055666E-2</v>
      </c>
      <c r="N144" s="1">
        <v>4.8238192882405531E-4</v>
      </c>
      <c r="O144" s="1">
        <v>0.12377068106893553</v>
      </c>
      <c r="P144" s="1">
        <v>0.12357602425278723</v>
      </c>
      <c r="Q144" s="2">
        <v>1.2357602425278722</v>
      </c>
      <c r="S144" s="2">
        <v>1.43</v>
      </c>
      <c r="T144" s="1">
        <f t="shared" si="46"/>
        <v>3.7153522909717254E-2</v>
      </c>
      <c r="U144" s="1">
        <f t="shared" si="47"/>
        <v>2.7184501519661849E-13</v>
      </c>
      <c r="V144" s="1">
        <f t="shared" si="48"/>
        <v>-3.7149724426330265E-2</v>
      </c>
      <c r="W144" s="1">
        <f t="shared" si="49"/>
        <v>4.5716574808776757E-2</v>
      </c>
      <c r="X144" s="1">
        <f t="shared" si="50"/>
        <v>0.99993002499194239</v>
      </c>
      <c r="Y144" s="1">
        <f t="shared" si="51"/>
        <v>1.6843658869252187</v>
      </c>
      <c r="Z144" s="1">
        <f t="shared" si="52"/>
        <v>84.218294346260933</v>
      </c>
      <c r="AB144">
        <v>2.74</v>
      </c>
      <c r="AC144">
        <v>1.8197008586099809E-3</v>
      </c>
      <c r="AD144">
        <v>5.5503628259620149E-12</v>
      </c>
      <c r="AE144">
        <v>-1.7254035899356521E-3</v>
      </c>
      <c r="AF144">
        <v>3.3908467863311885E-2</v>
      </c>
      <c r="AG144">
        <v>0.99857323230260497</v>
      </c>
      <c r="AH144">
        <v>1.026106273135978</v>
      </c>
      <c r="AI144">
        <v>51.305313656798901</v>
      </c>
      <c r="AJ144"/>
      <c r="AK144"/>
      <c r="AL144"/>
      <c r="AM144"/>
      <c r="AN144"/>
      <c r="AO144"/>
      <c r="AP144"/>
      <c r="AQ144"/>
      <c r="AR144"/>
    </row>
    <row r="145" spans="1:44" ht="15" customHeight="1" x14ac:dyDescent="0.3">
      <c r="A145" s="2">
        <v>1.44</v>
      </c>
      <c r="B145" s="1">
        <f t="shared" si="40"/>
        <v>3.6307805477010131E-2</v>
      </c>
      <c r="C145" s="1">
        <f t="shared" si="41"/>
        <v>2.7817709903715482E-13</v>
      </c>
      <c r="D145" s="1">
        <f t="shared" si="42"/>
        <v>6.3568882707022309E-2</v>
      </c>
      <c r="E145" s="1">
        <f t="shared" si="43"/>
        <v>-7.2614804511703874E-3</v>
      </c>
      <c r="F145" s="1">
        <f t="shared" si="44"/>
        <v>1.479086510875556E-5</v>
      </c>
      <c r="G145" s="1">
        <f t="shared" si="45"/>
        <v>-1.3318206368463452</v>
      </c>
      <c r="H145" s="1">
        <f t="shared" si="53"/>
        <v>-13.318206368463452</v>
      </c>
      <c r="J145" s="2">
        <v>5.43</v>
      </c>
      <c r="K145" s="1">
        <v>3.7153522909717272E-6</v>
      </c>
      <c r="L145" s="1">
        <v>2.7184501519661834E-9</v>
      </c>
      <c r="M145" s="1">
        <v>1.704806498927142E-2</v>
      </c>
      <c r="N145" s="1">
        <v>4.9198916845476367E-4</v>
      </c>
      <c r="O145" s="1">
        <v>0.1262895790549185</v>
      </c>
      <c r="P145" s="1">
        <v>0.1260992657588639</v>
      </c>
      <c r="Q145" s="2">
        <v>1.260992657588639</v>
      </c>
      <c r="S145" s="2">
        <v>1.44</v>
      </c>
      <c r="T145" s="1">
        <f t="shared" si="46"/>
        <v>3.6307805477010131E-2</v>
      </c>
      <c r="U145" s="1">
        <f t="shared" si="47"/>
        <v>2.7817709903715482E-13</v>
      </c>
      <c r="V145" s="1">
        <f t="shared" si="48"/>
        <v>-3.6303898333506363E-2</v>
      </c>
      <c r="W145" s="1">
        <f t="shared" si="49"/>
        <v>4.5434632777835451E-2</v>
      </c>
      <c r="X145" s="1">
        <f t="shared" si="50"/>
        <v>0.99992839518133048</v>
      </c>
      <c r="Y145" s="1">
        <f t="shared" si="51"/>
        <v>1.6653285807771427</v>
      </c>
      <c r="Z145" s="1">
        <f t="shared" si="52"/>
        <v>83.26642903885714</v>
      </c>
      <c r="AB145">
        <v>2.75</v>
      </c>
      <c r="AC145">
        <v>1.7782794100389223E-3</v>
      </c>
      <c r="AD145">
        <v>5.6796473844225267E-12</v>
      </c>
      <c r="AE145">
        <v>-1.6817676470759716E-3</v>
      </c>
      <c r="AF145">
        <v>3.3893922549025325E-2</v>
      </c>
      <c r="AG145">
        <v>0.99854004713326261</v>
      </c>
      <c r="AH145">
        <v>1.0254404392443826</v>
      </c>
      <c r="AI145">
        <v>51.272021962219128</v>
      </c>
      <c r="AJ145"/>
      <c r="AK145"/>
      <c r="AL145"/>
      <c r="AM145"/>
      <c r="AN145"/>
      <c r="AO145"/>
      <c r="AP145"/>
      <c r="AQ145"/>
      <c r="AR145"/>
    </row>
    <row r="146" spans="1:44" ht="15" customHeight="1" x14ac:dyDescent="0.3">
      <c r="A146" s="2">
        <v>1.45</v>
      </c>
      <c r="B146" s="1">
        <f t="shared" si="40"/>
        <v>3.548133892335753E-2</v>
      </c>
      <c r="C146" s="1">
        <f t="shared" si="41"/>
        <v>2.8465667605770992E-13</v>
      </c>
      <c r="D146" s="1">
        <f t="shared" si="42"/>
        <v>6.2577114574295184E-2</v>
      </c>
      <c r="E146" s="1">
        <f t="shared" si="43"/>
        <v>-7.0961857623825291E-3</v>
      </c>
      <c r="F146" s="1">
        <f t="shared" si="44"/>
        <v>1.5135383401064118E-5</v>
      </c>
      <c r="G146" s="1">
        <f t="shared" si="45"/>
        <v>-1.309443665726953</v>
      </c>
      <c r="H146" s="1">
        <f t="shared" si="53"/>
        <v>-13.094436657269529</v>
      </c>
      <c r="J146" s="2">
        <v>5.44</v>
      </c>
      <c r="K146" s="1">
        <v>3.6307805477010082E-6</v>
      </c>
      <c r="L146" s="1">
        <v>2.7817709903715518E-9</v>
      </c>
      <c r="M146" s="1">
        <v>1.69894831061831E-2</v>
      </c>
      <c r="N146" s="1">
        <v>5.0175281563614993E-4</v>
      </c>
      <c r="O146" s="1">
        <v>0.12885220159544455</v>
      </c>
      <c r="P146" s="1">
        <v>0.12866613365085414</v>
      </c>
      <c r="Q146" s="2">
        <v>1.2866613365085413</v>
      </c>
      <c r="S146" s="2">
        <v>1.45</v>
      </c>
      <c r="T146" s="1">
        <f t="shared" si="46"/>
        <v>3.548133892335753E-2</v>
      </c>
      <c r="U146" s="1">
        <f t="shared" si="47"/>
        <v>2.8465667605770992E-13</v>
      </c>
      <c r="V146" s="1">
        <f t="shared" si="48"/>
        <v>-3.5477320588962219E-2</v>
      </c>
      <c r="W146" s="1">
        <f t="shared" si="49"/>
        <v>4.5159106862987408E-2</v>
      </c>
      <c r="X146" s="1">
        <f t="shared" si="50"/>
        <v>0.99992672741305255</v>
      </c>
      <c r="Y146" s="1">
        <f t="shared" si="51"/>
        <v>1.6469136179151369</v>
      </c>
      <c r="Z146" s="1">
        <f t="shared" si="52"/>
        <v>82.345680895756843</v>
      </c>
      <c r="AB146">
        <v>2.76</v>
      </c>
      <c r="AC146">
        <v>1.737800828749375E-3</v>
      </c>
      <c r="AD146">
        <v>5.8119433671052859E-12</v>
      </c>
      <c r="AE146">
        <v>-1.6390230909260836E-3</v>
      </c>
      <c r="AF146">
        <v>3.3879674363642032E-2</v>
      </c>
      <c r="AG146">
        <v>0.99850609126527001</v>
      </c>
      <c r="AH146">
        <v>1.0247884909088352</v>
      </c>
      <c r="AI146">
        <v>51.239424545441757</v>
      </c>
      <c r="AJ146"/>
      <c r="AK146"/>
      <c r="AL146"/>
      <c r="AM146"/>
      <c r="AN146"/>
      <c r="AO146"/>
      <c r="AP146"/>
      <c r="AQ146"/>
      <c r="AR146"/>
    </row>
    <row r="147" spans="1:44" ht="15" customHeight="1" x14ac:dyDescent="0.3">
      <c r="A147" s="2">
        <v>1.46</v>
      </c>
      <c r="B147" s="1">
        <f t="shared" si="40"/>
        <v>3.4673685045253158E-2</v>
      </c>
      <c r="C147" s="1">
        <f t="shared" si="41"/>
        <v>2.9128718181578725E-13</v>
      </c>
      <c r="D147" s="1">
        <f t="shared" si="42"/>
        <v>6.1607921459638532E-2</v>
      </c>
      <c r="E147" s="1">
        <f t="shared" si="43"/>
        <v>-6.9346535766064213E-3</v>
      </c>
      <c r="F147" s="1">
        <f t="shared" si="44"/>
        <v>1.54879263095482E-5</v>
      </c>
      <c r="G147" s="1">
        <f t="shared" si="45"/>
        <v>-1.2873107049406016</v>
      </c>
      <c r="H147" s="1">
        <f t="shared" si="53"/>
        <v>-12.873107049406016</v>
      </c>
      <c r="J147" s="2">
        <v>5.45</v>
      </c>
      <c r="K147" s="1">
        <v>3.5481338923357504E-6</v>
      </c>
      <c r="L147" s="1">
        <v>2.8465667605771016E-9</v>
      </c>
      <c r="M147" s="1">
        <v>1.6929955344304571E-2</v>
      </c>
      <c r="N147" s="1">
        <v>5.1167410928257154E-4</v>
      </c>
      <c r="O147" s="1">
        <v>0.13145900002414834</v>
      </c>
      <c r="P147" s="1">
        <v>0.13127708150813747</v>
      </c>
      <c r="Q147" s="2">
        <v>1.3127708150813746</v>
      </c>
      <c r="S147" s="2">
        <v>1.46</v>
      </c>
      <c r="T147" s="1">
        <f t="shared" si="46"/>
        <v>3.4673685045253158E-2</v>
      </c>
      <c r="U147" s="1">
        <f t="shared" si="47"/>
        <v>2.9128718181578725E-13</v>
      </c>
      <c r="V147" s="1">
        <f t="shared" si="48"/>
        <v>-3.4669552930253686E-2</v>
      </c>
      <c r="W147" s="1">
        <f t="shared" si="49"/>
        <v>4.488985097675123E-2</v>
      </c>
      <c r="X147" s="1">
        <f t="shared" si="50"/>
        <v>0.99992502080322021</v>
      </c>
      <c r="Y147" s="1">
        <f t="shared" si="51"/>
        <v>1.6290956120555578</v>
      </c>
      <c r="Z147" s="1">
        <f t="shared" si="52"/>
        <v>81.454780602777888</v>
      </c>
      <c r="AB147">
        <v>2.77</v>
      </c>
      <c r="AC147">
        <v>1.6982436524617425E-3</v>
      </c>
      <c r="AD147">
        <v>5.9473209190914544E-12</v>
      </c>
      <c r="AE147">
        <v>-1.5971472648521469E-3</v>
      </c>
      <c r="AF147">
        <v>3.3865715754950711E-2</v>
      </c>
      <c r="AG147">
        <v>0.99847134685411165</v>
      </c>
      <c r="AH147">
        <v>1.0241500650242799</v>
      </c>
      <c r="AI147">
        <v>51.207503251213993</v>
      </c>
      <c r="AJ147"/>
      <c r="AK147"/>
      <c r="AL147"/>
      <c r="AM147"/>
      <c r="AN147"/>
      <c r="AO147"/>
      <c r="AP147"/>
      <c r="AQ147"/>
      <c r="AR147"/>
    </row>
    <row r="148" spans="1:44" ht="15" customHeight="1" x14ac:dyDescent="0.3">
      <c r="A148" s="2">
        <v>1.47</v>
      </c>
      <c r="B148" s="1">
        <f t="shared" si="40"/>
        <v>3.3884415613920249E-2</v>
      </c>
      <c r="C148" s="1">
        <f t="shared" si="41"/>
        <v>2.9807213189330497E-13</v>
      </c>
      <c r="D148" s="1">
        <f t="shared" si="42"/>
        <v>6.0660789484034618E-2</v>
      </c>
      <c r="E148" s="1">
        <f t="shared" si="43"/>
        <v>-6.7767982473391029E-3</v>
      </c>
      <c r="F148" s="1">
        <f t="shared" si="44"/>
        <v>1.5848680739948984E-5</v>
      </c>
      <c r="G148" s="1">
        <f t="shared" si="45"/>
        <v>-1.265423555262537</v>
      </c>
      <c r="H148" s="1">
        <f t="shared" si="53"/>
        <v>-12.654235552625369</v>
      </c>
      <c r="J148" s="2">
        <v>5.46</v>
      </c>
      <c r="K148" s="1">
        <v>3.4673685045253126E-6</v>
      </c>
      <c r="L148" s="1">
        <v>2.9128718181578749E-9</v>
      </c>
      <c r="M148" s="1">
        <v>1.6869474540969442E-2</v>
      </c>
      <c r="N148" s="1">
        <v>5.2175424317175967E-4</v>
      </c>
      <c r="O148" s="1">
        <v>0.13411041754495617</v>
      </c>
      <c r="P148" s="1">
        <v>0.13393255472938445</v>
      </c>
      <c r="Q148" s="2">
        <v>1.3393255472938443</v>
      </c>
      <c r="S148" s="2">
        <v>1.47</v>
      </c>
      <c r="T148" s="1">
        <f t="shared" si="46"/>
        <v>3.3884415613920249E-2</v>
      </c>
      <c r="U148" s="1">
        <f t="shared" si="47"/>
        <v>2.9807213189330497E-13</v>
      </c>
      <c r="V148" s="1">
        <f t="shared" si="48"/>
        <v>-3.388016706829395E-2</v>
      </c>
      <c r="W148" s="1">
        <f t="shared" si="49"/>
        <v>4.4626722356097985E-2</v>
      </c>
      <c r="X148" s="1">
        <f t="shared" si="50"/>
        <v>0.99992327444736884</v>
      </c>
      <c r="Y148" s="1">
        <f t="shared" si="51"/>
        <v>1.6118504901619273</v>
      </c>
      <c r="Z148" s="1">
        <f t="shared" si="52"/>
        <v>80.592524508096375</v>
      </c>
      <c r="AB148">
        <v>2.78</v>
      </c>
      <c r="AC148">
        <v>1.6595869074375606E-3</v>
      </c>
      <c r="AD148">
        <v>6.085851819351013E-12</v>
      </c>
      <c r="AE148">
        <v>-1.5561179731661844E-3</v>
      </c>
      <c r="AF148">
        <v>3.3852039324388725E-2</v>
      </c>
      <c r="AG148">
        <v>0.99843579564466178</v>
      </c>
      <c r="AH148">
        <v>1.0235248064682956</v>
      </c>
      <c r="AI148">
        <v>51.176240323414781</v>
      </c>
      <c r="AJ148"/>
      <c r="AK148"/>
      <c r="AL148"/>
      <c r="AM148"/>
      <c r="AN148"/>
      <c r="AO148"/>
      <c r="AP148"/>
      <c r="AQ148"/>
      <c r="AR148"/>
    </row>
    <row r="149" spans="1:44" ht="15" customHeight="1" x14ac:dyDescent="0.3">
      <c r="A149" s="2">
        <v>1.48</v>
      </c>
      <c r="B149" s="1">
        <f t="shared" si="40"/>
        <v>3.3113112148259106E-2</v>
      </c>
      <c r="C149" s="1">
        <f t="shared" si="41"/>
        <v>3.0501512376060365E-13</v>
      </c>
      <c r="D149" s="1">
        <f t="shared" si="42"/>
        <v>5.9735216465573775E-2</v>
      </c>
      <c r="E149" s="1">
        <f t="shared" si="43"/>
        <v>-6.6225360775956279E-3</v>
      </c>
      <c r="F149" s="1">
        <f t="shared" si="44"/>
        <v>1.6217837951055827E-5</v>
      </c>
      <c r="G149" s="1">
        <f t="shared" si="45"/>
        <v>-1.2437838488213877</v>
      </c>
      <c r="H149" s="1">
        <f t="shared" si="53"/>
        <v>-12.437838488213876</v>
      </c>
      <c r="J149" s="2">
        <v>5.47</v>
      </c>
      <c r="K149" s="1">
        <v>3.388441561392022E-6</v>
      </c>
      <c r="L149" s="1">
        <v>2.9807213189330525E-9</v>
      </c>
      <c r="M149" s="1">
        <v>1.6808033818884072E-2</v>
      </c>
      <c r="N149" s="1">
        <v>5.3199436351932103E-4</v>
      </c>
      <c r="O149" s="1">
        <v>0.13680688860321005</v>
      </c>
      <c r="P149" s="1">
        <v>0.13663298990483858</v>
      </c>
      <c r="Q149" s="2">
        <v>1.3663298990483856</v>
      </c>
      <c r="S149" s="2">
        <v>1.48</v>
      </c>
      <c r="T149" s="1">
        <f t="shared" si="46"/>
        <v>3.3113112148259106E-2</v>
      </c>
      <c r="U149" s="1">
        <f t="shared" si="47"/>
        <v>3.0501512376060365E-13</v>
      </c>
      <c r="V149" s="1">
        <f t="shared" si="48"/>
        <v>-3.3108744460268957E-2</v>
      </c>
      <c r="W149" s="1">
        <f t="shared" si="49"/>
        <v>4.4369581486756321E-2</v>
      </c>
      <c r="X149" s="1">
        <f t="shared" si="50"/>
        <v>0.99992148741997877</v>
      </c>
      <c r="Y149" s="1">
        <f t="shared" si="51"/>
        <v>1.5951554085897612</v>
      </c>
      <c r="Z149" s="1">
        <f t="shared" si="52"/>
        <v>79.757770429488062</v>
      </c>
      <c r="AB149">
        <v>2.79</v>
      </c>
      <c r="AC149">
        <v>1.6218100973589284E-3</v>
      </c>
      <c r="AD149">
        <v>6.2276095188009757E-12</v>
      </c>
      <c r="AE149">
        <v>-1.5159134693733317E-3</v>
      </c>
      <c r="AF149">
        <v>3.3838637823124441E-2</v>
      </c>
      <c r="AG149">
        <v>0.99839941896185747</v>
      </c>
      <c r="AH149">
        <v>1.0229123678759922</v>
      </c>
      <c r="AI149">
        <v>51.145618393799609</v>
      </c>
      <c r="AJ149"/>
      <c r="AK149"/>
      <c r="AL149"/>
      <c r="AM149"/>
      <c r="AN149"/>
      <c r="AO149"/>
      <c r="AP149"/>
      <c r="AQ149"/>
      <c r="AR149"/>
    </row>
    <row r="150" spans="1:44" ht="15" customHeight="1" x14ac:dyDescent="0.3">
      <c r="A150" s="2">
        <v>1.49</v>
      </c>
      <c r="B150" s="1">
        <f t="shared" si="40"/>
        <v>3.2359365692962813E-2</v>
      </c>
      <c r="C150" s="1">
        <f t="shared" si="41"/>
        <v>3.1211983868387276E-13</v>
      </c>
      <c r="D150" s="1">
        <f t="shared" si="42"/>
        <v>5.883071165319069E-2</v>
      </c>
      <c r="E150" s="1">
        <f t="shared" si="43"/>
        <v>-6.4717852755317822E-3</v>
      </c>
      <c r="F150" s="1">
        <f t="shared" si="44"/>
        <v>1.6595593656076076E-5</v>
      </c>
      <c r="G150" s="1">
        <f t="shared" si="45"/>
        <v>-1.2223930513507411</v>
      </c>
      <c r="H150" s="1">
        <f t="shared" si="53"/>
        <v>-12.22393051350741</v>
      </c>
      <c r="J150" s="2">
        <v>5.48</v>
      </c>
      <c r="K150" s="1">
        <v>3.3113112148259022E-6</v>
      </c>
      <c r="L150" s="1">
        <v>3.0501512376060442E-9</v>
      </c>
      <c r="M150" s="1">
        <v>1.6745626600872362E-2</v>
      </c>
      <c r="N150" s="1">
        <v>5.4239556652127281E-4</v>
      </c>
      <c r="O150" s="1">
        <v>0.1395488382422882</v>
      </c>
      <c r="P150" s="1">
        <v>0.13937881417406858</v>
      </c>
      <c r="Q150" s="2">
        <v>1.3937881417406857</v>
      </c>
      <c r="S150" s="2">
        <v>1.49</v>
      </c>
      <c r="T150" s="1">
        <f t="shared" si="46"/>
        <v>3.2359365692962813E-2</v>
      </c>
      <c r="U150" s="1">
        <f t="shared" si="47"/>
        <v>3.1211983868387276E-13</v>
      </c>
      <c r="V150" s="1">
        <f t="shared" si="48"/>
        <v>-3.2354876087720558E-2</v>
      </c>
      <c r="W150" s="1">
        <f t="shared" si="49"/>
        <v>4.4118292029240183E-2</v>
      </c>
      <c r="X150" s="1">
        <f t="shared" si="50"/>
        <v>0.99991965877398592</v>
      </c>
      <c r="Y150" s="1">
        <f t="shared" si="51"/>
        <v>1.578988675590415</v>
      </c>
      <c r="Z150" s="1">
        <f t="shared" si="52"/>
        <v>78.949433779520746</v>
      </c>
      <c r="AB150">
        <v>2.8</v>
      </c>
      <c r="AC150">
        <v>1.5848931924611134E-3</v>
      </c>
      <c r="AD150">
        <v>6.3726691792499515E-12</v>
      </c>
      <c r="AE150">
        <v>-1.4765124446580681E-3</v>
      </c>
      <c r="AF150">
        <v>3.382550414821936E-2</v>
      </c>
      <c r="AG150">
        <v>0.99836219770116363</v>
      </c>
      <c r="AH150">
        <v>1.0223124094207714</v>
      </c>
      <c r="AI150">
        <v>51.115620471038568</v>
      </c>
      <c r="AJ150"/>
      <c r="AK150"/>
      <c r="AL150"/>
      <c r="AM150"/>
      <c r="AN150"/>
      <c r="AO150"/>
      <c r="AP150"/>
      <c r="AQ150"/>
      <c r="AR150"/>
    </row>
    <row r="151" spans="1:44" ht="15" customHeight="1" x14ac:dyDescent="0.3">
      <c r="A151" s="2">
        <v>1.5</v>
      </c>
      <c r="B151" s="1">
        <f t="shared" si="40"/>
        <v>3.1622776601683784E-2</v>
      </c>
      <c r="C151" s="1">
        <f t="shared" si="41"/>
        <v>3.193900436770064E-13</v>
      </c>
      <c r="D151" s="1">
        <f t="shared" si="42"/>
        <v>5.7946795466461941E-2</v>
      </c>
      <c r="E151" s="1">
        <f t="shared" si="43"/>
        <v>-6.3244659110769904E-3</v>
      </c>
      <c r="F151" s="1">
        <f t="shared" si="44"/>
        <v>1.698214812636483E-5</v>
      </c>
      <c r="G151" s="1">
        <f t="shared" si="45"/>
        <v>-1.2012524646161458</v>
      </c>
      <c r="H151" s="1">
        <f t="shared" si="53"/>
        <v>-12.012524646161458</v>
      </c>
      <c r="J151" s="2">
        <v>5.49</v>
      </c>
      <c r="K151" s="1">
        <v>3.2359365692962801E-6</v>
      </c>
      <c r="L151" s="1">
        <v>3.1211983868387287E-9</v>
      </c>
      <c r="M151" s="1">
        <v>1.668224662479436E-2</v>
      </c>
      <c r="N151" s="1">
        <v>5.5295889586760686E-4</v>
      </c>
      <c r="O151" s="1">
        <v>0.14233668144614312</v>
      </c>
      <c r="P151" s="1">
        <v>0.1421704445696127</v>
      </c>
      <c r="Q151" s="2">
        <v>1.421704445696127</v>
      </c>
      <c r="S151" s="2">
        <v>1.5</v>
      </c>
      <c r="T151" s="1">
        <f t="shared" si="46"/>
        <v>3.1622776601683784E-2</v>
      </c>
      <c r="U151" s="1">
        <f t="shared" si="47"/>
        <v>3.193900436770064E-13</v>
      </c>
      <c r="V151" s="1">
        <f t="shared" si="48"/>
        <v>-3.1618162239679594E-2</v>
      </c>
      <c r="W151" s="1">
        <f t="shared" si="49"/>
        <v>4.3872720746559866E-2</v>
      </c>
      <c r="X151" s="1">
        <f t="shared" si="50"/>
        <v>0.99991778754027993</v>
      </c>
      <c r="Y151" s="1">
        <f t="shared" si="51"/>
        <v>1.5633296796181626</v>
      </c>
      <c r="Z151" s="1">
        <f t="shared" si="52"/>
        <v>78.16648398090814</v>
      </c>
      <c r="AB151">
        <v>2.81</v>
      </c>
      <c r="AC151">
        <v>1.5488166189124802E-3</v>
      </c>
      <c r="AD151">
        <v>6.5211077132500248E-12</v>
      </c>
      <c r="AE151">
        <v>-1.4378940166030402E-3</v>
      </c>
      <c r="AF151">
        <v>3.381263133886768E-2</v>
      </c>
      <c r="AG151">
        <v>0.99832411231882867</v>
      </c>
      <c r="AH151">
        <v>1.021724598600751</v>
      </c>
      <c r="AI151">
        <v>51.086229930037561</v>
      </c>
      <c r="AJ151"/>
      <c r="AK151"/>
      <c r="AL151"/>
      <c r="AM151"/>
      <c r="AN151"/>
      <c r="AO151"/>
      <c r="AP151"/>
      <c r="AQ151"/>
      <c r="AR151"/>
    </row>
    <row r="152" spans="1:44" ht="15" customHeight="1" x14ac:dyDescent="0.3">
      <c r="A152" s="2">
        <v>1.51</v>
      </c>
      <c r="B152" s="1">
        <f t="shared" si="40"/>
        <v>3.0902954325135901E-2</v>
      </c>
      <c r="C152" s="1">
        <f t="shared" si="41"/>
        <v>3.2682959349892458E-13</v>
      </c>
      <c r="D152" s="1">
        <f t="shared" si="42"/>
        <v>5.7082999241325857E-2</v>
      </c>
      <c r="E152" s="1">
        <f t="shared" si="43"/>
        <v>-6.1804998735543095E-3</v>
      </c>
      <c r="F152" s="1">
        <f t="shared" si="44"/>
        <v>1.7377706297569692E-5</v>
      </c>
      <c r="G152" s="1">
        <f t="shared" si="45"/>
        <v>-1.180363229007215</v>
      </c>
      <c r="H152" s="1">
        <f t="shared" si="53"/>
        <v>-11.80363229007215</v>
      </c>
      <c r="J152" s="2">
        <v>5.5</v>
      </c>
      <c r="K152" s="1">
        <v>3.1622776601683767E-6</v>
      </c>
      <c r="L152" s="1">
        <v>3.1939004367700655E-9</v>
      </c>
      <c r="M152" s="1">
        <v>1.6617887958619303E-2</v>
      </c>
      <c r="N152" s="1">
        <v>5.6368534023011629E-4</v>
      </c>
      <c r="O152" s="1">
        <v>0.14517082246824048</v>
      </c>
      <c r="P152" s="1">
        <v>0.14500828734699803</v>
      </c>
      <c r="Q152" s="2">
        <v>1.4500828734699802</v>
      </c>
      <c r="S152" s="2">
        <v>1.51</v>
      </c>
      <c r="T152" s="1">
        <f t="shared" si="46"/>
        <v>3.0902954325135901E-2</v>
      </c>
      <c r="U152" s="1">
        <f t="shared" si="47"/>
        <v>3.2682959349892458E-13</v>
      </c>
      <c r="V152" s="1">
        <f t="shared" si="48"/>
        <v>-3.089821230073371E-2</v>
      </c>
      <c r="W152" s="1">
        <f t="shared" si="49"/>
        <v>4.3632737433577908E-2</v>
      </c>
      <c r="X152" s="1">
        <f t="shared" si="50"/>
        <v>0.99991587272719185</v>
      </c>
      <c r="Y152" s="1">
        <f t="shared" si="51"/>
        <v>1.5481588229395358</v>
      </c>
      <c r="Z152" s="1">
        <f t="shared" si="52"/>
        <v>77.407941146976796</v>
      </c>
      <c r="AB152">
        <v>2.82</v>
      </c>
      <c r="AC152">
        <v>1.5135612484362072E-3</v>
      </c>
      <c r="AD152">
        <v>6.6730038248767236E-12</v>
      </c>
      <c r="AE152">
        <v>-1.4000377181350519E-3</v>
      </c>
      <c r="AF152">
        <v>3.3800012572711681E-2</v>
      </c>
      <c r="AG152">
        <v>0.99828514282192504</v>
      </c>
      <c r="AH152">
        <v>1.021148610030671</v>
      </c>
      <c r="AI152">
        <v>51.057430501533553</v>
      </c>
      <c r="AJ152"/>
      <c r="AK152"/>
      <c r="AL152"/>
      <c r="AM152"/>
      <c r="AN152"/>
      <c r="AO152"/>
      <c r="AP152"/>
      <c r="AQ152"/>
      <c r="AR152"/>
    </row>
    <row r="153" spans="1:44" ht="15" customHeight="1" x14ac:dyDescent="0.3">
      <c r="A153" s="2">
        <v>1.52</v>
      </c>
      <c r="B153" s="1">
        <f t="shared" si="40"/>
        <v>3.0199517204020147E-2</v>
      </c>
      <c r="C153" s="1">
        <f t="shared" si="41"/>
        <v>3.3444243269741716E-13</v>
      </c>
      <c r="D153" s="1">
        <f t="shared" si="42"/>
        <v>5.6238864981590794E-2</v>
      </c>
      <c r="E153" s="1">
        <f t="shared" si="43"/>
        <v>-6.0398108302651314E-3</v>
      </c>
      <c r="F153" s="1">
        <f t="shared" si="44"/>
        <v>1.7782477878246523E-5</v>
      </c>
      <c r="G153" s="1">
        <f t="shared" si="45"/>
        <v>-1.1597263262844595</v>
      </c>
      <c r="H153" s="1">
        <f t="shared" si="53"/>
        <v>-11.597263262844594</v>
      </c>
      <c r="J153" s="2">
        <v>5.51</v>
      </c>
      <c r="K153" s="1">
        <v>3.0902954325135885E-6</v>
      </c>
      <c r="L153" s="1">
        <v>3.2682959349892472E-9</v>
      </c>
      <c r="M153" s="1">
        <v>1.6552545015632542E-2</v>
      </c>
      <c r="N153" s="1">
        <v>5.7457583072790944E-4</v>
      </c>
      <c r="O153" s="1">
        <v>0.14805165414742624</v>
      </c>
      <c r="P153" s="1">
        <v>0.14789273730166377</v>
      </c>
      <c r="Q153" s="2">
        <v>1.4789273730166377</v>
      </c>
      <c r="S153" s="2">
        <v>1.52</v>
      </c>
      <c r="T153" s="1">
        <f t="shared" si="46"/>
        <v>3.0199517204020147E-2</v>
      </c>
      <c r="U153" s="1">
        <f t="shared" si="47"/>
        <v>3.3444243269741716E-13</v>
      </c>
      <c r="V153" s="1">
        <f t="shared" si="48"/>
        <v>-3.019464454391815E-2</v>
      </c>
      <c r="W153" s="1">
        <f t="shared" si="49"/>
        <v>4.3398214847972717E-2</v>
      </c>
      <c r="X153" s="1">
        <f t="shared" si="50"/>
        <v>0.99991391331996904</v>
      </c>
      <c r="Y153" s="1">
        <f t="shared" si="51"/>
        <v>1.5334574600927877</v>
      </c>
      <c r="Z153" s="1">
        <f t="shared" si="52"/>
        <v>76.672873004639385</v>
      </c>
      <c r="AB153">
        <v>2.83</v>
      </c>
      <c r="AC153">
        <v>1.4791083881682066E-3</v>
      </c>
      <c r="AD153">
        <v>6.8284380514590194E-12</v>
      </c>
      <c r="AE153">
        <v>-1.3629234866918986E-3</v>
      </c>
      <c r="AF153">
        <v>3.3787641162230639E-2</v>
      </c>
      <c r="AG153">
        <v>0.99824526875817021</v>
      </c>
      <c r="AH153">
        <v>1.0205841252390853</v>
      </c>
      <c r="AI153">
        <v>51.029206261954258</v>
      </c>
      <c r="AJ153"/>
      <c r="AK153"/>
      <c r="AL153"/>
      <c r="AM153"/>
      <c r="AN153"/>
      <c r="AO153"/>
      <c r="AP153"/>
      <c r="AQ153"/>
      <c r="AR153"/>
    </row>
    <row r="154" spans="1:44" ht="15" customHeight="1" x14ac:dyDescent="0.3">
      <c r="A154" s="2">
        <v>1.53</v>
      </c>
      <c r="B154" s="1">
        <f t="shared" si="40"/>
        <v>2.9512092266663844E-2</v>
      </c>
      <c r="C154" s="1">
        <f t="shared" si="41"/>
        <v>3.4223259770059469E-13</v>
      </c>
      <c r="D154" s="1">
        <f t="shared" si="42"/>
        <v>5.5413945116099483E-2</v>
      </c>
      <c r="E154" s="1">
        <f t="shared" si="43"/>
        <v>-5.9023241860165811E-3</v>
      </c>
      <c r="F154" s="1">
        <f t="shared" si="44"/>
        <v>1.8196677461003836E-5</v>
      </c>
      <c r="G154" s="1">
        <f t="shared" si="45"/>
        <v>-1.1393425824704491</v>
      </c>
      <c r="H154" s="1">
        <f t="shared" si="53"/>
        <v>-11.39342582470449</v>
      </c>
      <c r="J154" s="2">
        <v>5.52</v>
      </c>
      <c r="K154" s="1">
        <v>3.0199517204020146E-6</v>
      </c>
      <c r="L154" s="1">
        <v>3.3444243269741716E-9</v>
      </c>
      <c r="M154" s="1">
        <v>1.6486212569754178E-2</v>
      </c>
      <c r="N154" s="1">
        <v>5.85631238374304E-4</v>
      </c>
      <c r="O154" s="1">
        <v>0.15097955721132331</v>
      </c>
      <c r="P154" s="1">
        <v>0.15082417707338971</v>
      </c>
      <c r="Q154" s="2">
        <v>1.5082417707338971</v>
      </c>
      <c r="S154" s="2">
        <v>1.53</v>
      </c>
      <c r="T154" s="1">
        <f t="shared" si="46"/>
        <v>2.9512092266663844E-2</v>
      </c>
      <c r="U154" s="1">
        <f t="shared" si="47"/>
        <v>3.4223259770059469E-13</v>
      </c>
      <c r="V154" s="1">
        <f t="shared" si="48"/>
        <v>-2.9507085928319049E-2</v>
      </c>
      <c r="W154" s="1">
        <f t="shared" si="49"/>
        <v>4.316902864277302E-2</v>
      </c>
      <c r="X154" s="1">
        <f t="shared" si="50"/>
        <v>0.99991190828023857</v>
      </c>
      <c r="Y154" s="1">
        <f t="shared" si="51"/>
        <v>1.5192078407888541</v>
      </c>
      <c r="Z154" s="1">
        <f t="shared" si="52"/>
        <v>75.960392039442709</v>
      </c>
      <c r="AB154">
        <v>2.84</v>
      </c>
      <c r="AC154">
        <v>1.4454397707459271E-3</v>
      </c>
      <c r="AD154">
        <v>6.9874928062812599E-12</v>
      </c>
      <c r="AE154">
        <v>-1.3265316536046781E-3</v>
      </c>
      <c r="AF154">
        <v>3.3775510551201565E-2</v>
      </c>
      <c r="AG154">
        <v>0.99820446920552419</v>
      </c>
      <c r="AH154">
        <v>1.0200308324706722</v>
      </c>
      <c r="AI154">
        <v>51.001541623533605</v>
      </c>
      <c r="AJ154"/>
      <c r="AK154"/>
      <c r="AL154"/>
      <c r="AM154"/>
      <c r="AN154"/>
      <c r="AO154"/>
      <c r="AP154"/>
      <c r="AQ154"/>
      <c r="AR154"/>
    </row>
    <row r="155" spans="1:44" ht="15" customHeight="1" x14ac:dyDescent="0.3">
      <c r="A155" s="2">
        <v>1.54</v>
      </c>
      <c r="B155" s="1">
        <f t="shared" si="40"/>
        <v>2.8840315031266047E-2</v>
      </c>
      <c r="C155" s="1">
        <f t="shared" si="41"/>
        <v>3.502042189570571E-13</v>
      </c>
      <c r="D155" s="1">
        <f t="shared" si="42"/>
        <v>5.4607802261420819E-2</v>
      </c>
      <c r="E155" s="1">
        <f t="shared" si="43"/>
        <v>-5.7679670435701359E-3</v>
      </c>
      <c r="F155" s="1">
        <f t="shared" si="44"/>
        <v>1.8620524636234641E-5</v>
      </c>
      <c r="G155" s="1">
        <f t="shared" si="45"/>
        <v>-1.1192126708749057</v>
      </c>
      <c r="H155" s="1">
        <f t="shared" si="53"/>
        <v>-11.192126708749056</v>
      </c>
      <c r="J155" s="2">
        <v>5.53</v>
      </c>
      <c r="K155" s="1">
        <v>2.951209226666379E-6</v>
      </c>
      <c r="L155" s="1">
        <v>3.4223259770059532E-9</v>
      </c>
      <c r="M155" s="1">
        <v>1.6418885770946134E-2</v>
      </c>
      <c r="N155" s="1">
        <v>5.9685237150897781E-4</v>
      </c>
      <c r="O155" s="1">
        <v>0.15395489956790548</v>
      </c>
      <c r="P155" s="1">
        <v>0.15380297643887866</v>
      </c>
      <c r="Q155" s="2">
        <v>1.5380297643887866</v>
      </c>
      <c r="S155" s="2">
        <v>1.54</v>
      </c>
      <c r="T155" s="1">
        <f t="shared" si="46"/>
        <v>2.8840315031266047E-2</v>
      </c>
      <c r="U155" s="1">
        <f t="shared" si="47"/>
        <v>3.502042189570571E-13</v>
      </c>
      <c r="V155" s="1">
        <f t="shared" si="48"/>
        <v>-2.883517190128217E-2</v>
      </c>
      <c r="W155" s="1">
        <f t="shared" si="49"/>
        <v>4.2945057300427393E-2</v>
      </c>
      <c r="X155" s="1">
        <f t="shared" si="50"/>
        <v>0.99990985654545739</v>
      </c>
      <c r="Y155" s="1">
        <f t="shared" si="51"/>
        <v>1.505393056884065</v>
      </c>
      <c r="Z155" s="1">
        <f t="shared" si="52"/>
        <v>75.26965284420325</v>
      </c>
      <c r="AB155">
        <v>2.85</v>
      </c>
      <c r="AC155">
        <v>1.4125375446227527E-3</v>
      </c>
      <c r="AD155">
        <v>7.1502524222798007E-12</v>
      </c>
      <c r="AE155">
        <v>-1.2908429336898647E-3</v>
      </c>
      <c r="AF155">
        <v>3.3763614311229956E-2</v>
      </c>
      <c r="AG155">
        <v>0.99816272276155804</v>
      </c>
      <c r="AH155">
        <v>1.0194884264934871</v>
      </c>
      <c r="AI155">
        <v>50.97442132467436</v>
      </c>
      <c r="AJ155"/>
      <c r="AK155"/>
      <c r="AL155"/>
      <c r="AM155"/>
      <c r="AN155"/>
      <c r="AO155"/>
      <c r="AP155"/>
      <c r="AQ155"/>
      <c r="AR155"/>
    </row>
    <row r="156" spans="1:44" ht="15" customHeight="1" x14ac:dyDescent="0.3">
      <c r="A156" s="2">
        <v>1.55</v>
      </c>
      <c r="B156" s="1">
        <f t="shared" si="40"/>
        <v>2.8183829312644532E-2</v>
      </c>
      <c r="C156" s="1">
        <f t="shared" si="41"/>
        <v>3.5836152312591127E-13</v>
      </c>
      <c r="D156" s="1">
        <f t="shared" si="42"/>
        <v>5.3820008989943401E-2</v>
      </c>
      <c r="E156" s="1">
        <f t="shared" si="43"/>
        <v>-5.6366681649905673E-3</v>
      </c>
      <c r="F156" s="1">
        <f t="shared" si="44"/>
        <v>1.9054244108495873E-5</v>
      </c>
      <c r="G156" s="1">
        <f t="shared" si="45"/>
        <v>-1.0993371152433919</v>
      </c>
      <c r="H156" s="1">
        <f t="shared" si="53"/>
        <v>-10.993371152433919</v>
      </c>
      <c r="J156" s="2">
        <v>5.54</v>
      </c>
      <c r="K156" s="1">
        <v>2.8840315031265995E-6</v>
      </c>
      <c r="L156" s="1">
        <v>3.5020421895705771E-9</v>
      </c>
      <c r="M156" s="1">
        <v>1.6350560160683012E-2</v>
      </c>
      <c r="N156" s="1">
        <v>6.0823997321949761E-4</v>
      </c>
      <c r="O156" s="1">
        <v>0.15697803558596407</v>
      </c>
      <c r="P156" s="1">
        <v>0.15682949159320844</v>
      </c>
      <c r="Q156" s="2">
        <v>1.5682949159320843</v>
      </c>
      <c r="S156" s="2">
        <v>1.55</v>
      </c>
      <c r="T156" s="1">
        <f t="shared" si="46"/>
        <v>2.8183829312644532E-2</v>
      </c>
      <c r="U156" s="1">
        <f t="shared" si="47"/>
        <v>3.5836152312591127E-13</v>
      </c>
      <c r="V156" s="1">
        <f t="shared" si="48"/>
        <v>-2.8178546205122421E-2</v>
      </c>
      <c r="W156" s="1">
        <f t="shared" si="49"/>
        <v>4.2726182068374141E-2</v>
      </c>
      <c r="X156" s="1">
        <f t="shared" si="50"/>
        <v>0.99990775702835011</v>
      </c>
      <c r="Y156" s="1">
        <f t="shared" si="51"/>
        <v>1.4919969930896222</v>
      </c>
      <c r="Z156" s="1">
        <f t="shared" si="52"/>
        <v>74.599849654481119</v>
      </c>
      <c r="AB156">
        <v>2.86</v>
      </c>
      <c r="AC156">
        <v>1.3803842646028844E-3</v>
      </c>
      <c r="AD156">
        <v>7.3168031967574018E-12</v>
      </c>
      <c r="AE156">
        <v>-1.2558384150456101E-3</v>
      </c>
      <c r="AF156">
        <v>3.3751946138348539E-2</v>
      </c>
      <c r="AG156">
        <v>0.99812000753259</v>
      </c>
      <c r="AH156">
        <v>1.0189566084109916</v>
      </c>
      <c r="AI156">
        <v>50.947830420549579</v>
      </c>
      <c r="AJ156"/>
      <c r="AK156"/>
      <c r="AL156"/>
      <c r="AM156"/>
      <c r="AN156"/>
      <c r="AO156"/>
      <c r="AP156"/>
      <c r="AQ156"/>
      <c r="AR156"/>
    </row>
    <row r="157" spans="1:44" ht="15" customHeight="1" x14ac:dyDescent="0.3">
      <c r="A157" s="2">
        <v>1.56</v>
      </c>
      <c r="B157" s="1">
        <f t="shared" si="40"/>
        <v>2.7542287033381647E-2</v>
      </c>
      <c r="C157" s="1">
        <f t="shared" si="41"/>
        <v>3.6670883531780257E-13</v>
      </c>
      <c r="D157" s="1">
        <f t="shared" si="42"/>
        <v>5.3050147603247708E-2</v>
      </c>
      <c r="E157" s="1">
        <f t="shared" si="43"/>
        <v>-5.5083579338746167E-3</v>
      </c>
      <c r="F157" s="1">
        <f t="shared" si="44"/>
        <v>1.9498065815597095E-5</v>
      </c>
      <c r="G157" s="1">
        <f t="shared" si="45"/>
        <v>-1.0797162930193209</v>
      </c>
      <c r="H157" s="1">
        <f t="shared" si="53"/>
        <v>-10.797162930193208</v>
      </c>
      <c r="J157" s="2">
        <v>5.55</v>
      </c>
      <c r="K157" s="1">
        <v>2.818382931264453E-6</v>
      </c>
      <c r="L157" s="1">
        <v>3.583615231259113E-9</v>
      </c>
      <c r="M157" s="1">
        <v>1.6281231687460568E-2</v>
      </c>
      <c r="N157" s="1">
        <v>6.1979471875657185E-4</v>
      </c>
      <c r="O157" s="1">
        <v>0.16004930536524653</v>
      </c>
      <c r="P157" s="1">
        <v>0.15990406442093325</v>
      </c>
      <c r="Q157" s="2">
        <v>1.5990406442093323</v>
      </c>
      <c r="S157" s="2">
        <v>1.56</v>
      </c>
      <c r="T157" s="1">
        <f t="shared" si="46"/>
        <v>2.7542287033381647E-2</v>
      </c>
      <c r="U157" s="1">
        <f t="shared" si="47"/>
        <v>3.6670883531780257E-13</v>
      </c>
      <c r="V157" s="1">
        <f t="shared" si="48"/>
        <v>-2.7536860688231274E-2</v>
      </c>
      <c r="W157" s="1">
        <f t="shared" si="49"/>
        <v>4.2512286896077091E-2</v>
      </c>
      <c r="X157" s="1">
        <f t="shared" si="50"/>
        <v>0.99990560861633426</v>
      </c>
      <c r="Y157" s="1">
        <f t="shared" si="51"/>
        <v>1.4790042811139792</v>
      </c>
      <c r="Z157" s="1">
        <f t="shared" si="52"/>
        <v>73.95021405569895</v>
      </c>
      <c r="AB157">
        <v>2.87</v>
      </c>
      <c r="AC157">
        <v>1.3489628825916523E-3</v>
      </c>
      <c r="AD157">
        <v>7.4872334371392743E-12</v>
      </c>
      <c r="AE157">
        <v>-1.221499549047045E-3</v>
      </c>
      <c r="AF157">
        <v>3.3740499849682352E-2</v>
      </c>
      <c r="AG157">
        <v>0.99807630112258305</v>
      </c>
      <c r="AH157">
        <v>1.0184350854787001</v>
      </c>
      <c r="AI157">
        <v>50.921754273935001</v>
      </c>
      <c r="AJ157"/>
      <c r="AK157"/>
      <c r="AL157"/>
      <c r="AM157"/>
      <c r="AN157"/>
      <c r="AO157"/>
      <c r="AP157"/>
      <c r="AQ157"/>
      <c r="AR157"/>
    </row>
    <row r="158" spans="1:44" ht="15" customHeight="1" x14ac:dyDescent="0.3">
      <c r="A158" s="2">
        <v>1.57</v>
      </c>
      <c r="B158" s="1">
        <f t="shared" si="40"/>
        <v>2.6915348039269142E-2</v>
      </c>
      <c r="C158" s="1">
        <f t="shared" si="41"/>
        <v>3.7525058138814444E-13</v>
      </c>
      <c r="D158" s="1">
        <f t="shared" si="42"/>
        <v>5.2297809910637066E-2</v>
      </c>
      <c r="E158" s="1">
        <f t="shared" si="43"/>
        <v>-5.382968318439511E-3</v>
      </c>
      <c r="F158" s="1">
        <f t="shared" si="44"/>
        <v>1.9952225050461368E-5</v>
      </c>
      <c r="G158" s="1">
        <f t="shared" si="45"/>
        <v>-1.0603504387091407</v>
      </c>
      <c r="H158" s="1">
        <f t="shared" si="53"/>
        <v>-10.603504387091407</v>
      </c>
      <c r="J158" s="2">
        <v>5.56</v>
      </c>
      <c r="K158" s="1">
        <v>2.7542287033381663E-6</v>
      </c>
      <c r="L158" s="1">
        <v>3.6670883531780233E-9</v>
      </c>
      <c r="M158" s="1">
        <v>1.6210896722314499E-2</v>
      </c>
      <c r="N158" s="1">
        <v>6.3151721294758356E-4</v>
      </c>
      <c r="O158" s="1">
        <v>0.1631690339971052</v>
      </c>
      <c r="P158" s="1">
        <v>0.16302702175767345</v>
      </c>
      <c r="Q158" s="2">
        <v>1.6302702175767343</v>
      </c>
      <c r="S158" s="2">
        <v>1.57</v>
      </c>
      <c r="T158" s="1">
        <f t="shared" si="46"/>
        <v>2.6915348039269142E-2</v>
      </c>
      <c r="U158" s="1">
        <f t="shared" si="47"/>
        <v>3.7525058138814444E-13</v>
      </c>
      <c r="V158" s="1">
        <f t="shared" si="48"/>
        <v>-2.6909775120482333E-2</v>
      </c>
      <c r="W158" s="1">
        <f t="shared" si="49"/>
        <v>4.2303258373494114E-2</v>
      </c>
      <c r="X158" s="1">
        <f t="shared" si="50"/>
        <v>0.9999034101709311</v>
      </c>
      <c r="Y158" s="1">
        <f t="shared" si="51"/>
        <v>1.4664002569621712</v>
      </c>
      <c r="Z158" s="1">
        <f t="shared" si="52"/>
        <v>73.320012848108547</v>
      </c>
      <c r="AB158">
        <v>2.88</v>
      </c>
      <c r="AC158">
        <v>1.3182567385564071E-3</v>
      </c>
      <c r="AD158">
        <v>7.6616335077947559E-12</v>
      </c>
      <c r="AE158">
        <v>-1.1878081405352907E-3</v>
      </c>
      <c r="AF158">
        <v>3.372926938017843E-2</v>
      </c>
      <c r="AG158">
        <v>0.99803158062180042</v>
      </c>
      <c r="AH158">
        <v>1.0179235709252918</v>
      </c>
      <c r="AI158">
        <v>50.896178546264593</v>
      </c>
      <c r="AJ158"/>
      <c r="AK158"/>
      <c r="AL158"/>
      <c r="AM158"/>
      <c r="AN158"/>
      <c r="AO158"/>
      <c r="AP158"/>
      <c r="AQ158"/>
      <c r="AR158"/>
    </row>
    <row r="159" spans="1:44" ht="15" customHeight="1" x14ac:dyDescent="0.3">
      <c r="A159" s="2">
        <v>1.58</v>
      </c>
      <c r="B159" s="1">
        <f t="shared" si="40"/>
        <v>2.6302679918953804E-2</v>
      </c>
      <c r="C159" s="1">
        <f t="shared" si="41"/>
        <v>3.83991290283767E-13</v>
      </c>
      <c r="D159" s="1">
        <f t="shared" si="42"/>
        <v>5.1562597012709245E-2</v>
      </c>
      <c r="E159" s="1">
        <f t="shared" si="43"/>
        <v>-5.2604328354515419E-3</v>
      </c>
      <c r="F159" s="1">
        <f t="shared" si="44"/>
        <v>2.041696258582303E-5</v>
      </c>
      <c r="G159" s="1">
        <f t="shared" si="45"/>
        <v>-1.0412396473406489</v>
      </c>
      <c r="H159" s="1">
        <f t="shared" si="53"/>
        <v>-10.412396473406488</v>
      </c>
      <c r="J159" s="2">
        <v>5.57</v>
      </c>
      <c r="K159" s="1">
        <v>2.6915348039269108E-6</v>
      </c>
      <c r="L159" s="1">
        <v>3.7525058138814491E-9</v>
      </c>
      <c r="M159" s="1">
        <v>1.6139552074320922E-2</v>
      </c>
      <c r="N159" s="1">
        <v>6.4340798761317985E-4</v>
      </c>
      <c r="O159" s="1">
        <v>0.16633753081656208</v>
      </c>
      <c r="P159" s="1">
        <v>0.16619867464309968</v>
      </c>
      <c r="Q159" s="2">
        <v>1.6619867464309968</v>
      </c>
      <c r="S159" s="2">
        <v>1.58</v>
      </c>
      <c r="T159" s="1">
        <f t="shared" si="46"/>
        <v>2.6302679918953804E-2</v>
      </c>
      <c r="U159" s="1">
        <f t="shared" si="47"/>
        <v>3.83991290283767E-13</v>
      </c>
      <c r="V159" s="1">
        <f t="shared" si="48"/>
        <v>-2.6296957012836849E-2</v>
      </c>
      <c r="W159" s="1">
        <f t="shared" si="49"/>
        <v>4.2098985670945617E-2</v>
      </c>
      <c r="X159" s="1">
        <f t="shared" si="50"/>
        <v>0.99990116052716382</v>
      </c>
      <c r="Y159" s="1">
        <f t="shared" si="51"/>
        <v>1.4541709211412068</v>
      </c>
      <c r="Z159" s="1">
        <f t="shared" si="52"/>
        <v>72.708546057060346</v>
      </c>
      <c r="AB159">
        <v>2.89</v>
      </c>
      <c r="AC159">
        <v>1.288249551693133E-3</v>
      </c>
      <c r="AD159">
        <v>7.8400958779497924E-12</v>
      </c>
      <c r="AE159">
        <v>-1.1547463381947755E-3</v>
      </c>
      <c r="AF159">
        <v>3.371824877939826E-2</v>
      </c>
      <c r="AG159">
        <v>0.99798582259521285</v>
      </c>
      <c r="AH159">
        <v>1.0174217837780342</v>
      </c>
      <c r="AI159">
        <v>50.871089188901706</v>
      </c>
      <c r="AJ159"/>
      <c r="AK159"/>
      <c r="AL159"/>
      <c r="AM159"/>
      <c r="AN159"/>
      <c r="AO159"/>
      <c r="AP159"/>
      <c r="AQ159"/>
      <c r="AR159"/>
    </row>
    <row r="160" spans="1:44" ht="15" customHeight="1" x14ac:dyDescent="0.3">
      <c r="A160" s="2">
        <v>1.59</v>
      </c>
      <c r="B160" s="1">
        <f t="shared" si="40"/>
        <v>2.5703957827688629E-2</v>
      </c>
      <c r="C160" s="1">
        <f t="shared" si="41"/>
        <v>3.929355964442235E-13</v>
      </c>
      <c r="D160" s="1">
        <f t="shared" si="42"/>
        <v>5.0844119089854971E-2</v>
      </c>
      <c r="E160" s="1">
        <f t="shared" si="43"/>
        <v>-5.1406865149758296E-3</v>
      </c>
      <c r="F160" s="1">
        <f t="shared" si="44"/>
        <v>2.0892524801828069E-5</v>
      </c>
      <c r="G160" s="1">
        <f t="shared" si="45"/>
        <v>-1.0223838780046082</v>
      </c>
      <c r="H160" s="1">
        <f t="shared" si="53"/>
        <v>-10.223838780046082</v>
      </c>
      <c r="J160" s="2">
        <v>5.58</v>
      </c>
      <c r="K160" s="1">
        <v>2.630267991895377E-6</v>
      </c>
      <c r="L160" s="1">
        <v>3.8399129028376749E-9</v>
      </c>
      <c r="M160" s="1">
        <v>1.6067195006048456E-2</v>
      </c>
      <c r="N160" s="1">
        <v>6.5546749899192392E-4</v>
      </c>
      <c r="O160" s="1">
        <v>0.169555088646763</v>
      </c>
      <c r="P160" s="1">
        <v>0.16941931756628556</v>
      </c>
      <c r="Q160" s="2">
        <v>1.6941931756628554</v>
      </c>
      <c r="S160" s="2">
        <v>1.59</v>
      </c>
      <c r="T160" s="1">
        <f t="shared" si="46"/>
        <v>2.5703957827688629E-2</v>
      </c>
      <c r="U160" s="1">
        <f t="shared" si="47"/>
        <v>3.929355964442235E-13</v>
      </c>
      <c r="V160" s="1">
        <f t="shared" si="48"/>
        <v>-2.5698081441053556E-2</v>
      </c>
      <c r="W160" s="1">
        <f t="shared" si="49"/>
        <v>4.1899360480351186E-2</v>
      </c>
      <c r="X160" s="1">
        <f t="shared" si="50"/>
        <v>0.99989885849294069</v>
      </c>
      <c r="Y160" s="1">
        <f t="shared" si="51"/>
        <v>1.4423029015431548</v>
      </c>
      <c r="Z160" s="1">
        <f t="shared" si="52"/>
        <v>72.115145077157734</v>
      </c>
      <c r="AB160">
        <v>2.9</v>
      </c>
      <c r="AC160">
        <v>1.2589254117941662E-3</v>
      </c>
      <c r="AD160">
        <v>8.0227151707152493E-12</v>
      </c>
      <c r="AE160">
        <v>-1.1222966251144494E-3</v>
      </c>
      <c r="AF160">
        <v>3.3707432208371482E-2</v>
      </c>
      <c r="AG160">
        <v>0.99793900307065386</v>
      </c>
      <c r="AH160">
        <v>1.0169294486923792</v>
      </c>
      <c r="AI160">
        <v>50.84647243461896</v>
      </c>
      <c r="AJ160"/>
      <c r="AK160"/>
      <c r="AL160"/>
      <c r="AM160"/>
      <c r="AN160"/>
      <c r="AO160"/>
      <c r="AP160"/>
      <c r="AQ160"/>
      <c r="AR160"/>
    </row>
    <row r="161" spans="1:44" ht="15" customHeight="1" x14ac:dyDescent="0.3">
      <c r="A161" s="2">
        <v>1.6</v>
      </c>
      <c r="B161" s="1">
        <f t="shared" si="40"/>
        <v>2.511886431509578E-2</v>
      </c>
      <c r="C161" s="1">
        <f t="shared" si="41"/>
        <v>4.0208824225903255E-13</v>
      </c>
      <c r="D161" s="1">
        <f t="shared" si="42"/>
        <v>5.0141995195570221E-2</v>
      </c>
      <c r="E161" s="1">
        <f t="shared" si="43"/>
        <v>-5.023665865928369E-3</v>
      </c>
      <c r="F161" s="1">
        <f t="shared" si="44"/>
        <v>2.1379163816604877E-5</v>
      </c>
      <c r="G161" s="1">
        <f t="shared" si="45"/>
        <v>-1.0037829574699673</v>
      </c>
      <c r="H161" s="1">
        <f t="shared" si="53"/>
        <v>-10.037829574699671</v>
      </c>
      <c r="J161" s="2">
        <v>5.59</v>
      </c>
      <c r="K161" s="1">
        <v>2.5703957827688596E-6</v>
      </c>
      <c r="L161" s="1">
        <v>3.9293559644422403E-9</v>
      </c>
      <c r="M161" s="1">
        <v>1.5993823248930703E-2</v>
      </c>
      <c r="N161" s="1">
        <v>6.6769612517821617E-4</v>
      </c>
      <c r="O161" s="1">
        <v>0.17282198303686061</v>
      </c>
      <c r="P161" s="1">
        <v>0.17268922770446865</v>
      </c>
      <c r="Q161" s="2">
        <v>1.7268922770446864</v>
      </c>
      <c r="S161" s="2">
        <v>1.6</v>
      </c>
      <c r="T161" s="1">
        <f t="shared" si="46"/>
        <v>2.511886431509578E-2</v>
      </c>
      <c r="U161" s="1">
        <f t="shared" si="47"/>
        <v>4.0208824225903255E-13</v>
      </c>
      <c r="V161" s="1">
        <f t="shared" si="48"/>
        <v>-2.5112830873409847E-2</v>
      </c>
      <c r="W161" s="1">
        <f t="shared" si="49"/>
        <v>4.170427695780328E-2</v>
      </c>
      <c r="X161" s="1">
        <f t="shared" si="50"/>
        <v>0.99989650284842524</v>
      </c>
      <c r="Y161" s="1">
        <f t="shared" si="51"/>
        <v>1.4307834187978454</v>
      </c>
      <c r="Z161" s="1">
        <f t="shared" si="52"/>
        <v>71.539170939892273</v>
      </c>
      <c r="AB161">
        <v>2.91</v>
      </c>
      <c r="AC161">
        <v>1.2302687708123808E-3</v>
      </c>
      <c r="AD161">
        <v>8.209588213257406E-12</v>
      </c>
      <c r="AE161">
        <v>-1.0904418095269335E-3</v>
      </c>
      <c r="AF161">
        <v>3.3696813936508974E-2</v>
      </c>
      <c r="AG161">
        <v>0.99789109752671667</v>
      </c>
      <c r="AH161">
        <v>1.0164462957855862</v>
      </c>
      <c r="AI161">
        <v>50.822314789279311</v>
      </c>
      <c r="AJ161"/>
      <c r="AK161"/>
      <c r="AL161"/>
      <c r="AM161"/>
      <c r="AN161"/>
      <c r="AO161"/>
      <c r="AP161"/>
      <c r="AQ161"/>
      <c r="AR161"/>
    </row>
    <row r="162" spans="1:44" ht="15" customHeight="1" x14ac:dyDescent="0.3">
      <c r="A162" s="2">
        <v>1.61</v>
      </c>
      <c r="B162" s="1">
        <f t="shared" si="40"/>
        <v>2.4547089156850287E-2</v>
      </c>
      <c r="C162" s="1">
        <f t="shared" si="41"/>
        <v>4.1145408058215411E-13</v>
      </c>
      <c r="D162" s="1">
        <f t="shared" si="42"/>
        <v>4.945585305447351E-2</v>
      </c>
      <c r="E162" s="1">
        <f t="shared" si="43"/>
        <v>-4.9093088424122522E-3</v>
      </c>
      <c r="F162" s="1">
        <f t="shared" si="44"/>
        <v>2.1877137619874261E-5</v>
      </c>
      <c r="G162" s="1">
        <f t="shared" si="45"/>
        <v>-0.98543658386324551</v>
      </c>
      <c r="H162" s="1">
        <f t="shared" si="53"/>
        <v>-9.8543658386324537</v>
      </c>
      <c r="J162" s="2">
        <v>5.6</v>
      </c>
      <c r="K162" s="1">
        <v>2.5118864315095806E-6</v>
      </c>
      <c r="L162" s="1">
        <v>4.0208824225903214E-9</v>
      </c>
      <c r="M162" s="1">
        <v>1.5919435018526721E-2</v>
      </c>
      <c r="N162" s="1">
        <v>6.8009416357887962E-4</v>
      </c>
      <c r="O162" s="1">
        <v>0.17613847149442752</v>
      </c>
      <c r="P162" s="1">
        <v>0.17600866415632138</v>
      </c>
      <c r="Q162" s="2">
        <v>1.7600866415632137</v>
      </c>
      <c r="S162" s="2">
        <v>1.61</v>
      </c>
      <c r="T162" s="1">
        <f t="shared" si="46"/>
        <v>2.4547089156850287E-2</v>
      </c>
      <c r="U162" s="1">
        <f t="shared" si="47"/>
        <v>4.1145408058215411E-13</v>
      </c>
      <c r="V162" s="1">
        <f t="shared" si="48"/>
        <v>-2.4540895002342113E-2</v>
      </c>
      <c r="W162" s="1">
        <f t="shared" si="49"/>
        <v>4.151363166744737E-2</v>
      </c>
      <c r="X162" s="1">
        <f t="shared" si="50"/>
        <v>0.99989409234539028</v>
      </c>
      <c r="Y162" s="1">
        <f t="shared" si="51"/>
        <v>1.4196002539053705</v>
      </c>
      <c r="Z162" s="1">
        <f t="shared" si="52"/>
        <v>70.980012695268528</v>
      </c>
      <c r="AB162">
        <v>2.92</v>
      </c>
      <c r="AC162">
        <v>1.2022644346174124E-3</v>
      </c>
      <c r="AD162">
        <v>8.4008140881369807E-12</v>
      </c>
      <c r="AE162">
        <v>-1.0591650157219653E-3</v>
      </c>
      <c r="AF162">
        <v>3.3686388338573986E-2</v>
      </c>
      <c r="AG162">
        <v>0.99784208088038917</v>
      </c>
      <c r="AH162">
        <v>1.0159720604742462</v>
      </c>
      <c r="AI162">
        <v>50.798603023712303</v>
      </c>
      <c r="AJ162"/>
      <c r="AK162"/>
      <c r="AL162"/>
      <c r="AM162"/>
      <c r="AN162"/>
      <c r="AO162"/>
      <c r="AP162"/>
      <c r="AQ162"/>
      <c r="AR162"/>
    </row>
    <row r="163" spans="1:44" ht="15" customHeight="1" x14ac:dyDescent="0.3">
      <c r="A163" s="2">
        <v>1.62</v>
      </c>
      <c r="B163" s="1">
        <f t="shared" si="40"/>
        <v>2.3988329190194894E-2</v>
      </c>
      <c r="C163" s="1">
        <f t="shared" si="41"/>
        <v>4.2103807730503893E-13</v>
      </c>
      <c r="D163" s="1">
        <f t="shared" si="42"/>
        <v>4.8785328864920471E-2</v>
      </c>
      <c r="E163" s="1">
        <f t="shared" si="43"/>
        <v>-4.7975548108200794E-3</v>
      </c>
      <c r="F163" s="1">
        <f t="shared" si="44"/>
        <v>2.2386710209669702E-5</v>
      </c>
      <c r="G163" s="1">
        <f t="shared" si="45"/>
        <v>-0.96734433040283696</v>
      </c>
      <c r="H163" s="1">
        <f t="shared" si="53"/>
        <v>-9.6734433040283694</v>
      </c>
      <c r="J163" s="2">
        <v>5.61</v>
      </c>
      <c r="K163" s="1">
        <v>2.4547089156850267E-6</v>
      </c>
      <c r="L163" s="1">
        <v>4.1145408058215441E-9</v>
      </c>
      <c r="M163" s="1">
        <v>1.5844029029635779E-2</v>
      </c>
      <c r="N163" s="1">
        <v>6.9266182839403687E-4</v>
      </c>
      <c r="O163" s="1">
        <v>0.17950479271357711</v>
      </c>
      <c r="P163" s="1">
        <v>0.1793778671709105</v>
      </c>
      <c r="Q163" s="2">
        <v>1.7937786717091049</v>
      </c>
      <c r="S163" s="2">
        <v>1.62</v>
      </c>
      <c r="T163" s="1">
        <f t="shared" si="46"/>
        <v>2.3988329190194894E-2</v>
      </c>
      <c r="U163" s="1">
        <f t="shared" si="47"/>
        <v>4.2103807730503893E-13</v>
      </c>
      <c r="V163" s="1">
        <f t="shared" si="48"/>
        <v>-2.3981970579916717E-2</v>
      </c>
      <c r="W163" s="1">
        <f t="shared" si="49"/>
        <v>4.1327323526638905E-2</v>
      </c>
      <c r="X163" s="1">
        <f t="shared" si="50"/>
        <v>0.99989162570655821</v>
      </c>
      <c r="Y163" s="1">
        <f t="shared" si="51"/>
        <v>1.4087417179750636</v>
      </c>
      <c r="Z163" s="1">
        <f t="shared" si="52"/>
        <v>70.437085898753182</v>
      </c>
      <c r="AB163">
        <v>2.93</v>
      </c>
      <c r="AC163">
        <v>1.174897554939528E-3</v>
      </c>
      <c r="AD163">
        <v>8.5964941858440125E-12</v>
      </c>
      <c r="AE163">
        <v>-1.0284496751282106E-3</v>
      </c>
      <c r="AF163">
        <v>3.3676149891709403E-2</v>
      </c>
      <c r="AG163">
        <v>0.99779192747441969</v>
      </c>
      <c r="AH163">
        <v>1.0155064833155645</v>
      </c>
      <c r="AI163">
        <v>50.775324165778223</v>
      </c>
      <c r="AJ163"/>
      <c r="AK163"/>
      <c r="AL163"/>
      <c r="AM163"/>
      <c r="AN163"/>
      <c r="AO163"/>
      <c r="AP163"/>
      <c r="AQ163"/>
      <c r="AR163"/>
    </row>
    <row r="164" spans="1:44" ht="15" customHeight="1" x14ac:dyDescent="0.3">
      <c r="A164" s="2">
        <v>1.63</v>
      </c>
      <c r="B164" s="1">
        <f t="shared" si="40"/>
        <v>2.3442288153199219E-2</v>
      </c>
      <c r="C164" s="1">
        <f t="shared" si="41"/>
        <v>4.3084531398960859E-13</v>
      </c>
      <c r="D164" s="1">
        <f t="shared" si="42"/>
        <v>4.8130067106111368E-2</v>
      </c>
      <c r="E164" s="1">
        <f t="shared" si="43"/>
        <v>-4.6883445176852294E-3</v>
      </c>
      <c r="F164" s="1">
        <f t="shared" si="44"/>
        <v>2.2908151732239838E-5</v>
      </c>
      <c r="G164" s="1">
        <f t="shared" si="45"/>
        <v>-0.9495056491792685</v>
      </c>
      <c r="H164" s="1">
        <f t="shared" si="53"/>
        <v>-9.4950564917926847</v>
      </c>
      <c r="J164" s="2">
        <v>5.62</v>
      </c>
      <c r="K164" s="1">
        <v>2.3988329190194872E-6</v>
      </c>
      <c r="L164" s="1">
        <v>4.2103807730503927E-9</v>
      </c>
      <c r="M164" s="1">
        <v>1.5767604511231728E-2</v>
      </c>
      <c r="N164" s="1">
        <v>7.0539924812804567E-4</v>
      </c>
      <c r="O164" s="1">
        <v>0.1829211658000259</v>
      </c>
      <c r="P164" s="1">
        <v>0.18279705737357849</v>
      </c>
      <c r="Q164" s="2">
        <v>1.8279705737357848</v>
      </c>
      <c r="S164" s="2">
        <v>1.63</v>
      </c>
      <c r="T164" s="1">
        <f t="shared" si="46"/>
        <v>2.3442288153199219E-2</v>
      </c>
      <c r="U164" s="1">
        <f t="shared" si="47"/>
        <v>4.3084531398960859E-13</v>
      </c>
      <c r="V164" s="1">
        <f t="shared" si="48"/>
        <v>-2.3435761257044073E-2</v>
      </c>
      <c r="W164" s="1">
        <f t="shared" si="49"/>
        <v>4.1145253752348024E-2</v>
      </c>
      <c r="X164" s="1">
        <f t="shared" si="50"/>
        <v>0.99988910162492528</v>
      </c>
      <c r="Y164" s="1">
        <f t="shared" si="51"/>
        <v>1.398196623912537</v>
      </c>
      <c r="Z164" s="1">
        <f t="shared" si="52"/>
        <v>69.90983119562685</v>
      </c>
      <c r="AB164">
        <v>2.94</v>
      </c>
      <c r="AC164">
        <v>1.1481536214968825E-3</v>
      </c>
      <c r="AD164">
        <v>8.7967322585564163E-12</v>
      </c>
      <c r="AE164">
        <v>-9.9827951755968947E-4</v>
      </c>
      <c r="AF164">
        <v>3.3666093172519895E-2</v>
      </c>
      <c r="AG164">
        <v>0.99774061106441014</v>
      </c>
      <c r="AH164">
        <v>1.0150493098522901</v>
      </c>
      <c r="AI164">
        <v>50.752465492614505</v>
      </c>
      <c r="AJ164"/>
      <c r="AK164"/>
      <c r="AL164"/>
      <c r="AM164"/>
      <c r="AN164"/>
      <c r="AO164"/>
      <c r="AP164"/>
      <c r="AQ164"/>
      <c r="AR164"/>
    </row>
    <row r="165" spans="1:44" ht="15" customHeight="1" x14ac:dyDescent="0.3">
      <c r="A165" s="2">
        <v>1.64</v>
      </c>
      <c r="B165" s="1">
        <f t="shared" si="40"/>
        <v>2.2908676527677724E-2</v>
      </c>
      <c r="C165" s="1">
        <f t="shared" si="41"/>
        <v>4.4088099056256771E-13</v>
      </c>
      <c r="D165" s="1">
        <f t="shared" si="42"/>
        <v>4.7489720349589343E-2</v>
      </c>
      <c r="E165" s="1">
        <f t="shared" si="43"/>
        <v>-4.581620058264891E-3</v>
      </c>
      <c r="F165" s="1">
        <f t="shared" si="44"/>
        <v>2.3441738625207551E-5</v>
      </c>
      <c r="G165" s="1">
        <f t="shared" si="45"/>
        <v>-0.9319198749726928</v>
      </c>
      <c r="H165" s="1">
        <f t="shared" si="53"/>
        <v>-9.3191987497269277</v>
      </c>
      <c r="J165" s="2">
        <v>5.63</v>
      </c>
      <c r="K165" s="1">
        <v>2.3442288153199192E-6</v>
      </c>
      <c r="L165" s="1">
        <v>4.3084531398960907E-9</v>
      </c>
      <c r="M165" s="1">
        <v>1.569016122118097E-2</v>
      </c>
      <c r="N165" s="1">
        <v>7.1830646313650489E-4</v>
      </c>
      <c r="O165" s="1">
        <v>0.1863877894944134</v>
      </c>
      <c r="P165" s="1">
        <v>0.18626643499006415</v>
      </c>
      <c r="Q165" s="2">
        <v>1.8626643499006414</v>
      </c>
      <c r="S165" s="2">
        <v>1.64</v>
      </c>
      <c r="T165" s="1">
        <f t="shared" si="46"/>
        <v>2.2908676527677724E-2</v>
      </c>
      <c r="U165" s="1">
        <f t="shared" si="47"/>
        <v>4.4088099056256771E-13</v>
      </c>
      <c r="V165" s="1">
        <f t="shared" si="48"/>
        <v>-2.2901977426350365E-2</v>
      </c>
      <c r="W165" s="1">
        <f t="shared" si="49"/>
        <v>4.0967325808783456E-2</v>
      </c>
      <c r="X165" s="1">
        <f t="shared" si="50"/>
        <v>0.99988651876307033</v>
      </c>
      <c r="Y165" s="1">
        <f t="shared" si="51"/>
        <v>1.38795425990981</v>
      </c>
      <c r="Z165" s="1">
        <f t="shared" si="52"/>
        <v>69.397712995490508</v>
      </c>
      <c r="AB165">
        <v>2.95</v>
      </c>
      <c r="AC165">
        <v>1.1220184543019622E-3</v>
      </c>
      <c r="AD165">
        <v>9.0016344751508397E-12</v>
      </c>
      <c r="AE165">
        <v>-9.6863856262171784E-4</v>
      </c>
      <c r="AF165">
        <v>3.3656212854207238E-2</v>
      </c>
      <c r="AG165">
        <v>0.99768810480563053</v>
      </c>
      <c r="AH165">
        <v>1.0146002904611564</v>
      </c>
      <c r="AI165">
        <v>50.730014523057825</v>
      </c>
      <c r="AJ165"/>
      <c r="AK165"/>
      <c r="AL165"/>
      <c r="AM165"/>
      <c r="AN165"/>
      <c r="AO165"/>
      <c r="AP165"/>
      <c r="AQ165"/>
      <c r="AR165"/>
    </row>
    <row r="166" spans="1:44" ht="15" customHeight="1" x14ac:dyDescent="0.3">
      <c r="A166" s="2">
        <v>1.65</v>
      </c>
      <c r="B166" s="1">
        <f t="shared" si="40"/>
        <v>2.2387211385683389E-2</v>
      </c>
      <c r="C166" s="1">
        <f t="shared" si="41"/>
        <v>4.5115042807247287E-13</v>
      </c>
      <c r="D166" s="1">
        <f t="shared" si="42"/>
        <v>4.6863949075029249E-2</v>
      </c>
      <c r="E166" s="1">
        <f t="shared" si="43"/>
        <v>-4.477324845838208E-3</v>
      </c>
      <c r="F166" s="1">
        <f t="shared" si="44"/>
        <v>2.3987753764061075E-5</v>
      </c>
      <c r="G166" s="1">
        <f t="shared" si="45"/>
        <v>-0.91458622909918841</v>
      </c>
      <c r="H166" s="1">
        <f t="shared" si="53"/>
        <v>-9.1458622909918841</v>
      </c>
      <c r="J166" s="2">
        <v>5.64</v>
      </c>
      <c r="K166" s="1">
        <v>2.2908676527677705E-6</v>
      </c>
      <c r="L166" s="1">
        <v>4.4088099056256807E-9</v>
      </c>
      <c r="M166" s="1">
        <v>1.5611699460707397E-2</v>
      </c>
      <c r="N166" s="1">
        <v>7.3138342321543389E-4</v>
      </c>
      <c r="O166" s="1">
        <v>0.18990484139524341</v>
      </c>
      <c r="P166" s="1">
        <v>0.18978617907022644</v>
      </c>
      <c r="Q166" s="2">
        <v>1.8978617907022644</v>
      </c>
      <c r="S166" s="2">
        <v>1.65</v>
      </c>
      <c r="T166" s="1">
        <f t="shared" si="46"/>
        <v>2.2387211385683389E-2</v>
      </c>
      <c r="U166" s="1">
        <f t="shared" si="47"/>
        <v>4.5115042807247287E-13</v>
      </c>
      <c r="V166" s="1">
        <f t="shared" si="48"/>
        <v>-2.2380336068624058E-2</v>
      </c>
      <c r="W166" s="1">
        <f t="shared" si="49"/>
        <v>4.0793445356208019E-2</v>
      </c>
      <c r="X166" s="1">
        <f t="shared" si="50"/>
        <v>0.99988387575244775</v>
      </c>
      <c r="Y166" s="1">
        <f t="shared" si="51"/>
        <v>1.3780043646057814</v>
      </c>
      <c r="Z166" s="1">
        <f t="shared" si="52"/>
        <v>68.900218230289056</v>
      </c>
      <c r="AB166">
        <v>2.96</v>
      </c>
      <c r="AC166">
        <v>1.0964781961431849E-3</v>
      </c>
      <c r="AD166">
        <v>9.2113094774946882E-12</v>
      </c>
      <c r="AE166">
        <v>-9.3951111127192329E-4</v>
      </c>
      <c r="AF166">
        <v>3.3646503703757311E-2</v>
      </c>
      <c r="AG166">
        <v>0.99763438123954806</v>
      </c>
      <c r="AH166">
        <v>1.014159180204723</v>
      </c>
      <c r="AI166">
        <v>50.707959010236152</v>
      </c>
      <c r="AJ166"/>
      <c r="AK166"/>
      <c r="AL166"/>
      <c r="AM166"/>
      <c r="AN166"/>
      <c r="AO166"/>
      <c r="AP166"/>
      <c r="AQ166"/>
      <c r="AR166"/>
    </row>
    <row r="167" spans="1:44" ht="15" customHeight="1" x14ac:dyDescent="0.3">
      <c r="A167" s="2">
        <v>1.66</v>
      </c>
      <c r="B167" s="1">
        <f t="shared" si="40"/>
        <v>2.1877616239495523E-2</v>
      </c>
      <c r="C167" s="1">
        <f t="shared" si="41"/>
        <v>4.6165907151102381E-13</v>
      </c>
      <c r="D167" s="1">
        <f t="shared" si="42"/>
        <v>4.6252421490219423E-2</v>
      </c>
      <c r="E167" s="1">
        <f t="shared" si="43"/>
        <v>-4.3754035817032367E-3</v>
      </c>
      <c r="F167" s="1">
        <f t="shared" si="44"/>
        <v>2.454648661205494E-5</v>
      </c>
      <c r="G167" s="1">
        <f t="shared" si="45"/>
        <v>-0.89750382327772404</v>
      </c>
      <c r="H167" s="1">
        <f t="shared" si="53"/>
        <v>-8.9750382327772407</v>
      </c>
      <c r="J167" s="2">
        <v>5.65</v>
      </c>
      <c r="K167" s="1">
        <v>2.2387211385683329E-6</v>
      </c>
      <c r="L167" s="1">
        <v>4.5115042807247405E-9</v>
      </c>
      <c r="M167" s="1">
        <v>1.5532220088566331E-2</v>
      </c>
      <c r="N167" s="1">
        <v>7.4462998523894481E-4</v>
      </c>
      <c r="O167" s="1">
        <v>0.19347247718289254</v>
      </c>
      <c r="P167" s="1">
        <v>0.19335644671281721</v>
      </c>
      <c r="Q167" s="2">
        <v>1.933564467128172</v>
      </c>
      <c r="S167" s="2">
        <v>1.66</v>
      </c>
      <c r="T167" s="1">
        <f t="shared" si="46"/>
        <v>2.1877616239495523E-2</v>
      </c>
      <c r="U167" s="1">
        <f t="shared" si="47"/>
        <v>4.6165907151102381E-13</v>
      </c>
      <c r="V167" s="1">
        <f t="shared" si="48"/>
        <v>-2.1870560602755523E-2</v>
      </c>
      <c r="W167" s="1">
        <f t="shared" si="49"/>
        <v>4.0623520200918507E-2</v>
      </c>
      <c r="X167" s="1">
        <f t="shared" si="50"/>
        <v>0.99988117119266373</v>
      </c>
      <c r="Y167" s="1">
        <f t="shared" si="51"/>
        <v>1.3683371037953287</v>
      </c>
      <c r="Z167" s="1">
        <f t="shared" si="52"/>
        <v>68.416855189766437</v>
      </c>
      <c r="AB167">
        <v>2.97</v>
      </c>
      <c r="AC167">
        <v>1.0715193052376053E-3</v>
      </c>
      <c r="AD167">
        <v>9.4258684380496179E-12</v>
      </c>
      <c r="AE167">
        <v>-9.1088173753233576E-4</v>
      </c>
      <c r="AF167">
        <v>3.363696057917745E-2</v>
      </c>
      <c r="AG167">
        <v>0.99757941228006808</v>
      </c>
      <c r="AH167">
        <v>1.0137257386865033</v>
      </c>
      <c r="AI167">
        <v>50.686286934325167</v>
      </c>
      <c r="AJ167"/>
      <c r="AK167"/>
      <c r="AL167"/>
      <c r="AM167"/>
      <c r="AN167"/>
      <c r="AO167"/>
      <c r="AP167"/>
      <c r="AQ167"/>
      <c r="AR167"/>
    </row>
    <row r="168" spans="1:44" ht="15" customHeight="1" x14ac:dyDescent="0.3">
      <c r="A168" s="2">
        <v>1.67</v>
      </c>
      <c r="B168" s="1">
        <f t="shared" si="40"/>
        <v>2.1379620895022322E-2</v>
      </c>
      <c r="C168" s="1">
        <f t="shared" si="41"/>
        <v>4.7241249270007014E-13</v>
      </c>
      <c r="D168" s="1">
        <f t="shared" si="42"/>
        <v>4.565481335514112E-2</v>
      </c>
      <c r="E168" s="1">
        <f t="shared" si="43"/>
        <v>-4.2758022258568536E-3</v>
      </c>
      <c r="F168" s="1">
        <f t="shared" si="44"/>
        <v>2.5118233373599839E-5</v>
      </c>
      <c r="G168" s="1">
        <f t="shared" si="45"/>
        <v>-0.88067166350996506</v>
      </c>
      <c r="H168" s="1">
        <f t="shared" si="53"/>
        <v>-8.8067166350996509</v>
      </c>
      <c r="J168" s="2">
        <v>5.66</v>
      </c>
      <c r="K168" s="1">
        <v>2.1877616239495505E-6</v>
      </c>
      <c r="L168" s="1">
        <v>4.6165907151102417E-9</v>
      </c>
      <c r="M168" s="1">
        <v>1.5451724534889013E-2</v>
      </c>
      <c r="N168" s="1">
        <v>7.5804591085183097E-4</v>
      </c>
      <c r="O168" s="1">
        <v>0.19709082984618417</v>
      </c>
      <c r="P168" s="1">
        <v>0.19697737229280263</v>
      </c>
      <c r="Q168" s="2">
        <v>1.9697737229280261</v>
      </c>
      <c r="S168" s="2">
        <v>1.67</v>
      </c>
      <c r="T168" s="1">
        <f t="shared" si="46"/>
        <v>2.1379620895022322E-2</v>
      </c>
      <c r="U168" s="1">
        <f t="shared" si="47"/>
        <v>4.7241249270007014E-13</v>
      </c>
      <c r="V168" s="1">
        <f t="shared" si="48"/>
        <v>-2.1372380739089938E-2</v>
      </c>
      <c r="W168" s="1">
        <f t="shared" si="49"/>
        <v>4.0457460246363319E-2</v>
      </c>
      <c r="X168" s="1">
        <f t="shared" si="50"/>
        <v>0.99987840365073566</v>
      </c>
      <c r="Y168" s="1">
        <f t="shared" si="51"/>
        <v>1.3589430485753604</v>
      </c>
      <c r="Z168" s="1">
        <f t="shared" si="52"/>
        <v>67.947152428768007</v>
      </c>
      <c r="AB168">
        <v>2.98</v>
      </c>
      <c r="AC168">
        <v>1.0471285480508988E-3</v>
      </c>
      <c r="AD168">
        <v>9.6454251188165099E-12</v>
      </c>
      <c r="AE168">
        <v>-8.8273528034770539E-4</v>
      </c>
      <c r="AF168">
        <v>3.3627578426782573E-2</v>
      </c>
      <c r="AG168">
        <v>0.99752316919947781</v>
      </c>
      <c r="AH168">
        <v>1.0132997299092654</v>
      </c>
      <c r="AI168">
        <v>50.664986495463275</v>
      </c>
      <c r="AJ168"/>
      <c r="AK168"/>
      <c r="AL168"/>
      <c r="AM168"/>
      <c r="AN168"/>
      <c r="AO168"/>
      <c r="AP168"/>
      <c r="AQ168"/>
      <c r="AR168"/>
    </row>
    <row r="169" spans="1:44" ht="15" customHeight="1" x14ac:dyDescent="0.3">
      <c r="A169" s="2">
        <v>1.68</v>
      </c>
      <c r="B169" s="1">
        <f t="shared" si="40"/>
        <v>2.0892961308540386E-2</v>
      </c>
      <c r="C169" s="1">
        <f t="shared" si="41"/>
        <v>4.8341639324586493E-13</v>
      </c>
      <c r="D169" s="1">
        <f t="shared" si="42"/>
        <v>4.5070807810052141E-2</v>
      </c>
      <c r="E169" s="1">
        <f t="shared" si="43"/>
        <v>-4.1784679683420228E-3</v>
      </c>
      <c r="F169" s="1">
        <f t="shared" si="44"/>
        <v>2.5703297151222629E-5</v>
      </c>
      <c r="G169" s="1">
        <f t="shared" si="45"/>
        <v>-0.86408865396539669</v>
      </c>
      <c r="H169" s="1">
        <f t="shared" si="53"/>
        <v>-8.640886539653966</v>
      </c>
      <c r="J169" s="2">
        <v>5.67</v>
      </c>
      <c r="K169" s="1">
        <v>2.1379620895022301E-6</v>
      </c>
      <c r="L169" s="1">
        <v>4.7241249270007054E-9</v>
      </c>
      <c r="M169" s="1">
        <v>1.5370214814658046E-2</v>
      </c>
      <c r="N169" s="1">
        <v>7.7163086422365882E-4</v>
      </c>
      <c r="O169" s="1">
        <v>0.20076000891310181</v>
      </c>
      <c r="P169" s="1">
        <v>0.20064906669280677</v>
      </c>
      <c r="Q169" s="2">
        <v>2.0064906669280678</v>
      </c>
      <c r="S169" s="2">
        <v>1.68</v>
      </c>
      <c r="T169" s="1">
        <f t="shared" si="46"/>
        <v>2.0892961308540386E-2</v>
      </c>
      <c r="U169" s="1">
        <f t="shared" si="47"/>
        <v>4.8341639324586493E-13</v>
      </c>
      <c r="V169" s="1">
        <f t="shared" si="48"/>
        <v>-2.0885532336116498E-2</v>
      </c>
      <c r="W169" s="1">
        <f t="shared" si="49"/>
        <v>4.0295177445372171E-2</v>
      </c>
      <c r="X169" s="1">
        <f t="shared" si="50"/>
        <v>0.99987557166033458</v>
      </c>
      <c r="Y169" s="1">
        <f t="shared" si="51"/>
        <v>1.3498131548252563</v>
      </c>
      <c r="Z169" s="1">
        <f t="shared" si="52"/>
        <v>67.490657741262822</v>
      </c>
      <c r="AB169">
        <v>2.99</v>
      </c>
      <c r="AC169">
        <v>1.0232929922807533E-3</v>
      </c>
      <c r="AD169">
        <v>9.8700959316536956E-12</v>
      </c>
      <c r="AE169">
        <v>-8.5505683558590926E-4</v>
      </c>
      <c r="AF169">
        <v>3.3618352278528642E-2</v>
      </c>
      <c r="AG169">
        <v>0.99746562261408989</v>
      </c>
      <c r="AH169">
        <v>1.0128809221363955</v>
      </c>
      <c r="AI169">
        <v>50.644046106819772</v>
      </c>
      <c r="AJ169"/>
      <c r="AK169"/>
      <c r="AL169"/>
      <c r="AM169"/>
      <c r="AN169"/>
      <c r="AO169"/>
      <c r="AP169"/>
      <c r="AQ169"/>
      <c r="AR169"/>
    </row>
    <row r="170" spans="1:44" ht="15" customHeight="1" x14ac:dyDescent="0.3">
      <c r="A170" s="2">
        <v>1.69</v>
      </c>
      <c r="B170" s="1">
        <f t="shared" si="40"/>
        <v>2.0417379446695288E-2</v>
      </c>
      <c r="C170" s="1">
        <f t="shared" si="41"/>
        <v>4.9467660756213072E-13</v>
      </c>
      <c r="D170" s="1">
        <f t="shared" si="42"/>
        <v>4.4500095207483631E-2</v>
      </c>
      <c r="E170" s="1">
        <f t="shared" si="43"/>
        <v>-4.0833492012472723E-3</v>
      </c>
      <c r="F170" s="1">
        <f t="shared" si="44"/>
        <v>2.6301988106179423E-5</v>
      </c>
      <c r="G170" s="1">
        <f t="shared" si="45"/>
        <v>-0.84775360086457507</v>
      </c>
      <c r="H170" s="1">
        <f t="shared" si="53"/>
        <v>-8.4775360086457496</v>
      </c>
      <c r="J170" s="2">
        <v>5.68</v>
      </c>
      <c r="K170" s="1">
        <v>2.0892961308540377E-6</v>
      </c>
      <c r="L170" s="1">
        <v>4.8341639324586514E-9</v>
      </c>
      <c r="M170" s="1">
        <v>1.5287693540774003E-2</v>
      </c>
      <c r="N170" s="1">
        <v>7.8538440987099942E-4</v>
      </c>
      <c r="O170" s="1">
        <v>0.20448009968725797</v>
      </c>
      <c r="P170" s="1">
        <v>0.20437161654029393</v>
      </c>
      <c r="Q170" s="2">
        <v>2.0437161654029392</v>
      </c>
      <c r="S170" s="2">
        <v>1.69</v>
      </c>
      <c r="T170" s="1">
        <f t="shared" si="46"/>
        <v>2.0417379446695288E-2</v>
      </c>
      <c r="U170" s="1">
        <f t="shared" si="47"/>
        <v>4.9467660756213072E-13</v>
      </c>
      <c r="V170" s="1">
        <f t="shared" si="48"/>
        <v>-2.0409757260416956E-2</v>
      </c>
      <c r="W170" s="1">
        <f t="shared" si="49"/>
        <v>4.0136585753472322E-2</v>
      </c>
      <c r="X170" s="1">
        <f t="shared" si="50"/>
        <v>0.99987267372101007</v>
      </c>
      <c r="Y170" s="1">
        <f t="shared" si="51"/>
        <v>1.3409387439274032</v>
      </c>
      <c r="Z170" s="1">
        <f t="shared" si="52"/>
        <v>67.046937196370152</v>
      </c>
      <c r="AB170">
        <v>3</v>
      </c>
      <c r="AC170">
        <v>1E-3</v>
      </c>
      <c r="AD170">
        <v>1.0099999999999999E-11</v>
      </c>
      <c r="AE170">
        <v>-8.2783174817690651E-4</v>
      </c>
      <c r="AF170">
        <v>3.3609277249392298E-2</v>
      </c>
      <c r="AG170">
        <v>0.99740674246957917</v>
      </c>
      <c r="AH170">
        <v>1.0124690877562306</v>
      </c>
      <c r="AI170">
        <v>50.623454387811528</v>
      </c>
      <c r="AJ170"/>
      <c r="AK170"/>
      <c r="AL170"/>
      <c r="AM170"/>
      <c r="AN170"/>
      <c r="AO170"/>
      <c r="AP170"/>
      <c r="AQ170"/>
      <c r="AR170"/>
    </row>
    <row r="171" spans="1:44" ht="15" customHeight="1" x14ac:dyDescent="0.3">
      <c r="A171" s="2">
        <v>1.7</v>
      </c>
      <c r="B171" s="1">
        <f t="shared" si="40"/>
        <v>1.9952623149688792E-2</v>
      </c>
      <c r="C171" s="1">
        <f t="shared" si="41"/>
        <v>5.0619910596354508E-13</v>
      </c>
      <c r="D171" s="1">
        <f t="shared" si="42"/>
        <v>4.3942372948060859E-2</v>
      </c>
      <c r="E171" s="1">
        <f t="shared" si="43"/>
        <v>-3.9903954913434762E-3</v>
      </c>
      <c r="F171" s="1">
        <f t="shared" si="44"/>
        <v>2.6914623622806996E-5</v>
      </c>
      <c r="G171" s="1">
        <f t="shared" si="45"/>
        <v>-0.83166521635363244</v>
      </c>
      <c r="H171" s="1">
        <f t="shared" si="53"/>
        <v>-8.3166521635363235</v>
      </c>
      <c r="J171" s="2">
        <v>5.69</v>
      </c>
      <c r="K171" s="1">
        <v>2.0417379446695244E-6</v>
      </c>
      <c r="L171" s="1">
        <v>4.9467660756213184E-9</v>
      </c>
      <c r="M171" s="1">
        <v>1.5204163936672364E-2</v>
      </c>
      <c r="N171" s="1">
        <v>7.9930601055460619E-4</v>
      </c>
      <c r="O171" s="1">
        <v>0.20825116249181586</v>
      </c>
      <c r="P171" s="1">
        <v>0.20814508345218774</v>
      </c>
      <c r="Q171" s="2">
        <v>2.0814508345218772</v>
      </c>
      <c r="S171" s="2">
        <v>1.7</v>
      </c>
      <c r="T171" s="1">
        <f t="shared" si="46"/>
        <v>1.9952623149688792E-2</v>
      </c>
      <c r="U171" s="1">
        <f t="shared" si="47"/>
        <v>5.0619910596354508E-13</v>
      </c>
      <c r="V171" s="1">
        <f t="shared" si="48"/>
        <v>-1.9944803249800209E-2</v>
      </c>
      <c r="W171" s="1">
        <f t="shared" si="49"/>
        <v>3.9981601083266739E-2</v>
      </c>
      <c r="X171" s="1">
        <f t="shared" si="50"/>
        <v>0.99986970829739685</v>
      </c>
      <c r="Y171" s="1">
        <f t="shared" si="51"/>
        <v>1.33231148464108</v>
      </c>
      <c r="Z171" s="1">
        <f t="shared" si="52"/>
        <v>66.615574232053987</v>
      </c>
      <c r="AB171">
        <v>3.01</v>
      </c>
      <c r="AC171">
        <v>9.7723722095581023E-4</v>
      </c>
      <c r="AD171">
        <v>1.0335259222035621E-11</v>
      </c>
      <c r="AE171">
        <v>-8.0104560438504647E-4</v>
      </c>
      <c r="AF171">
        <v>3.3600348534795016E-2</v>
      </c>
      <c r="AG171">
        <v>0.99734649802600506</v>
      </c>
      <c r="AH171">
        <v>1.0120640031492456</v>
      </c>
      <c r="AI171">
        <v>50.603200157462283</v>
      </c>
      <c r="AJ171"/>
      <c r="AK171"/>
      <c r="AL171"/>
      <c r="AM171"/>
      <c r="AN171"/>
      <c r="AO171"/>
      <c r="AP171"/>
      <c r="AQ171"/>
      <c r="AR171"/>
    </row>
    <row r="172" spans="1:44" ht="15" customHeight="1" x14ac:dyDescent="0.3">
      <c r="A172" s="2">
        <v>1.71</v>
      </c>
      <c r="B172" s="1">
        <f t="shared" si="40"/>
        <v>1.9498445997580452E-2</v>
      </c>
      <c r="C172" s="1">
        <f t="shared" si="41"/>
        <v>5.1798999783127854E-13</v>
      </c>
      <c r="D172" s="1">
        <f t="shared" si="42"/>
        <v>4.3397345320061037E-2</v>
      </c>
      <c r="E172" s="1">
        <f t="shared" si="43"/>
        <v>-3.8995575533435057E-3</v>
      </c>
      <c r="F172" s="1">
        <f t="shared" si="44"/>
        <v>2.754152847669901E-5</v>
      </c>
      <c r="G172" s="1">
        <f t="shared" si="45"/>
        <v>-0.81582212236350893</v>
      </c>
      <c r="H172" s="1">
        <f t="shared" si="53"/>
        <v>-8.1582212236350884</v>
      </c>
      <c r="J172" s="2">
        <v>5.7</v>
      </c>
      <c r="K172" s="1">
        <v>1.9952623149688749E-6</v>
      </c>
      <c r="L172" s="1">
        <v>5.0619910596354619E-9</v>
      </c>
      <c r="M172" s="1">
        <v>1.5119629848449896E-2</v>
      </c>
      <c r="N172" s="1">
        <v>8.1339502525835038E-4</v>
      </c>
      <c r="O172" s="1">
        <v>0.21207323192259819</v>
      </c>
      <c r="P172" s="1">
        <v>0.21196950328866168</v>
      </c>
      <c r="Q172" s="2">
        <v>2.1196950328866166</v>
      </c>
      <c r="S172" s="2">
        <v>1.71</v>
      </c>
      <c r="T172" s="1">
        <f t="shared" si="46"/>
        <v>1.9498445997580452E-2</v>
      </c>
      <c r="U172" s="1">
        <f t="shared" si="47"/>
        <v>5.1798999783127854E-13</v>
      </c>
      <c r="V172" s="1">
        <f t="shared" si="48"/>
        <v>-1.9490423779549421E-2</v>
      </c>
      <c r="W172" s="1">
        <f t="shared" si="49"/>
        <v>3.9830141259849808E-2</v>
      </c>
      <c r="X172" s="1">
        <f t="shared" si="50"/>
        <v>0.99986667381840333</v>
      </c>
      <c r="Y172" s="1">
        <f t="shared" si="51"/>
        <v>1.3239233760498068</v>
      </c>
      <c r="Z172" s="1">
        <f t="shared" si="52"/>
        <v>66.196168802490334</v>
      </c>
      <c r="AB172">
        <v>3.02</v>
      </c>
      <c r="AC172">
        <v>9.5499258602143547E-4</v>
      </c>
      <c r="AD172">
        <v>1.0575998335314089E-11</v>
      </c>
      <c r="AE172">
        <v>-7.7468422421186629E-4</v>
      </c>
      <c r="AF172">
        <v>3.3591561408070625E-2</v>
      </c>
      <c r="AG172">
        <v>0.99728485784251697</v>
      </c>
      <c r="AH172">
        <v>1.0116654485580092</v>
      </c>
      <c r="AI172">
        <v>50.583272427900461</v>
      </c>
      <c r="AJ172"/>
      <c r="AK172"/>
      <c r="AL172"/>
      <c r="AM172"/>
      <c r="AN172"/>
      <c r="AO172"/>
      <c r="AP172"/>
      <c r="AQ172"/>
      <c r="AR172"/>
    </row>
    <row r="173" spans="1:44" ht="15" customHeight="1" x14ac:dyDescent="0.3">
      <c r="A173" s="2">
        <v>1.72</v>
      </c>
      <c r="B173" s="1">
        <f t="shared" si="40"/>
        <v>1.9054607179632463E-2</v>
      </c>
      <c r="C173" s="1">
        <f t="shared" si="41"/>
        <v>5.300555348522705E-13</v>
      </c>
      <c r="D173" s="1">
        <f t="shared" si="42"/>
        <v>4.2864723342623041E-2</v>
      </c>
      <c r="E173" s="1">
        <f t="shared" si="43"/>
        <v>-3.8107872237705077E-3</v>
      </c>
      <c r="F173" s="1">
        <f t="shared" si="44"/>
        <v>2.8183035006796393E-5</v>
      </c>
      <c r="G173" s="1">
        <f t="shared" si="45"/>
        <v>-0.80022285444770325</v>
      </c>
      <c r="H173" s="1">
        <f t="shared" si="53"/>
        <v>-8.0022285444770311</v>
      </c>
      <c r="J173" s="2">
        <v>5.71</v>
      </c>
      <c r="K173" s="1">
        <v>1.9498445997580441E-6</v>
      </c>
      <c r="L173" s="1">
        <v>5.1798999783127879E-9</v>
      </c>
      <c r="M173" s="1">
        <v>1.5034095756459007E-2</v>
      </c>
      <c r="N173" s="1">
        <v>8.276507072568324E-4</v>
      </c>
      <c r="O173" s="1">
        <v>0.21594631611218496</v>
      </c>
      <c r="P173" s="1">
        <v>0.21584488541790298</v>
      </c>
      <c r="Q173" s="2">
        <v>2.1584488541790297</v>
      </c>
      <c r="S173" s="2">
        <v>1.72</v>
      </c>
      <c r="T173" s="1">
        <f t="shared" si="46"/>
        <v>1.9054607179632463E-2</v>
      </c>
      <c r="U173" s="1">
        <f t="shared" si="47"/>
        <v>5.300555348522705E-13</v>
      </c>
      <c r="V173" s="1">
        <f t="shared" si="48"/>
        <v>-1.9046377931711614E-2</v>
      </c>
      <c r="W173" s="1">
        <f t="shared" si="49"/>
        <v>3.9682125977237206E-2</v>
      </c>
      <c r="X173" s="1">
        <f t="shared" si="50"/>
        <v>0.99986356867638104</v>
      </c>
      <c r="Y173" s="1">
        <f t="shared" si="51"/>
        <v>1.3157667315085388</v>
      </c>
      <c r="Z173" s="1">
        <f t="shared" si="52"/>
        <v>65.788336575426939</v>
      </c>
      <c r="AB173">
        <v>3.03</v>
      </c>
      <c r="AC173">
        <v>9.3325430079699062E-4</v>
      </c>
      <c r="AD173">
        <v>1.0822344982899829E-11</v>
      </c>
      <c r="AE173">
        <v>-7.4873365392456718E-4</v>
      </c>
      <c r="AF173">
        <v>3.3582911217974853E-2</v>
      </c>
      <c r="AG173">
        <v>0.99722178976173348</v>
      </c>
      <c r="AH173">
        <v>1.0112732079598044</v>
      </c>
      <c r="AI173">
        <v>50.563660397990219</v>
      </c>
      <c r="AJ173"/>
      <c r="AK173"/>
      <c r="AL173"/>
      <c r="AM173"/>
      <c r="AN173"/>
      <c r="AO173"/>
      <c r="AP173"/>
      <c r="AQ173"/>
      <c r="AR173"/>
    </row>
    <row r="174" spans="1:44" ht="15" customHeight="1" x14ac:dyDescent="0.3">
      <c r="A174" s="2">
        <v>1.73</v>
      </c>
      <c r="B174" s="1">
        <f t="shared" si="40"/>
        <v>1.8620871366628669E-2</v>
      </c>
      <c r="C174" s="1">
        <f t="shared" si="41"/>
        <v>5.4240211433395534E-13</v>
      </c>
      <c r="D174" s="1">
        <f t="shared" si="42"/>
        <v>4.2344224612526057E-2</v>
      </c>
      <c r="E174" s="1">
        <f t="shared" si="43"/>
        <v>-3.7240374354210086E-3</v>
      </c>
      <c r="F174" s="1">
        <f t="shared" si="44"/>
        <v>2.8839483291482588E-5</v>
      </c>
      <c r="G174" s="1">
        <f t="shared" si="45"/>
        <v>-0.78486586559268801</v>
      </c>
      <c r="H174" s="1">
        <f t="shared" si="53"/>
        <v>-7.8486586559268794</v>
      </c>
      <c r="J174" s="2">
        <v>5.72</v>
      </c>
      <c r="K174" s="1">
        <v>1.9054607179632462E-6</v>
      </c>
      <c r="L174" s="1">
        <v>5.3005553485227054E-9</v>
      </c>
      <c r="M174" s="1">
        <v>1.4947566786328552E-2</v>
      </c>
      <c r="N174" s="1">
        <v>8.4207220227857456E-4</v>
      </c>
      <c r="O174" s="1">
        <v>0.21987039600684155</v>
      </c>
      <c r="P174" s="1">
        <v>0.21977121199369162</v>
      </c>
      <c r="Q174" s="2">
        <v>2.1977121199369161</v>
      </c>
      <c r="S174" s="2">
        <v>1.73</v>
      </c>
      <c r="T174" s="1">
        <f t="shared" si="46"/>
        <v>1.8620871366628669E-2</v>
      </c>
      <c r="U174" s="1">
        <f t="shared" si="47"/>
        <v>5.4240211433395534E-13</v>
      </c>
      <c r="V174" s="1">
        <f t="shared" si="48"/>
        <v>-1.8612430267359821E-2</v>
      </c>
      <c r="W174" s="1">
        <f t="shared" si="49"/>
        <v>3.9537476755786609E-2</v>
      </c>
      <c r="X174" s="1">
        <f t="shared" si="50"/>
        <v>0.99986039122627501</v>
      </c>
      <c r="Y174" s="1">
        <f t="shared" si="51"/>
        <v>1.3078341635227924</v>
      </c>
      <c r="Z174" s="1">
        <f t="shared" si="52"/>
        <v>65.391708176139616</v>
      </c>
      <c r="AB174">
        <v>3.04</v>
      </c>
      <c r="AC174">
        <v>9.1201083935590866E-4</v>
      </c>
      <c r="AD174">
        <v>1.1074429781046181E-11</v>
      </c>
      <c r="AE174">
        <v>-7.2318015870687124E-4</v>
      </c>
      <c r="AF174">
        <v>3.3574393386235621E-2</v>
      </c>
      <c r="AG174">
        <v>0.99715726089379075</v>
      </c>
      <c r="AH174">
        <v>1.010887068941829</v>
      </c>
      <c r="AI174">
        <v>50.544353447091453</v>
      </c>
      <c r="AJ174"/>
      <c r="AK174"/>
      <c r="AL174"/>
      <c r="AM174"/>
      <c r="AN174"/>
      <c r="AO174"/>
      <c r="AP174"/>
      <c r="AQ174"/>
      <c r="AR174"/>
    </row>
    <row r="175" spans="1:44" ht="15" customHeight="1" x14ac:dyDescent="0.3">
      <c r="A175" s="2">
        <v>1.74</v>
      </c>
      <c r="B175" s="1">
        <f t="shared" si="40"/>
        <v>1.8197008586099829E-2</v>
      </c>
      <c r="C175" s="1">
        <f t="shared" si="41"/>
        <v>5.550362825962009E-13</v>
      </c>
      <c r="D175" s="1">
        <f t="shared" si="42"/>
        <v>4.1835573154455422E-2</v>
      </c>
      <c r="E175" s="1">
        <f t="shared" si="43"/>
        <v>-3.6392621924092369E-3</v>
      </c>
      <c r="F175" s="1">
        <f t="shared" si="44"/>
        <v>2.9511221328777092E-5</v>
      </c>
      <c r="G175" s="1">
        <f t="shared" si="45"/>
        <v>-0.76974952999544854</v>
      </c>
      <c r="H175" s="1">
        <f t="shared" si="53"/>
        <v>-7.6974952999544852</v>
      </c>
      <c r="J175" s="2">
        <v>5.73</v>
      </c>
      <c r="K175" s="1">
        <v>1.8620871366628635E-6</v>
      </c>
      <c r="L175" s="1">
        <v>5.4240211433395636E-9</v>
      </c>
      <c r="M175" s="1">
        <v>1.4860048719369559E-2</v>
      </c>
      <c r="N175" s="1">
        <v>8.5665854677173991E-4</v>
      </c>
      <c r="O175" s="1">
        <v>0.22384542465816953</v>
      </c>
      <c r="P175" s="1">
        <v>0.22374843724768761</v>
      </c>
      <c r="Q175" s="2">
        <v>2.2374843724768758</v>
      </c>
      <c r="S175" s="2">
        <v>1.74</v>
      </c>
      <c r="T175" s="1">
        <f t="shared" si="46"/>
        <v>1.8197008586099829E-2</v>
      </c>
      <c r="U175" s="1">
        <f t="shared" si="47"/>
        <v>5.550362825962009E-13</v>
      </c>
      <c r="V175" s="1">
        <f t="shared" si="48"/>
        <v>-1.8188350701760485E-2</v>
      </c>
      <c r="W175" s="1">
        <f t="shared" si="49"/>
        <v>3.9396116900586829E-2</v>
      </c>
      <c r="X175" s="1">
        <f t="shared" si="50"/>
        <v>0.99985713978475421</v>
      </c>
      <c r="Y175" s="1">
        <f t="shared" si="51"/>
        <v>1.3001185694970196</v>
      </c>
      <c r="Z175" s="1">
        <f t="shared" si="52"/>
        <v>65.005928474850975</v>
      </c>
      <c r="AB175">
        <v>3.05</v>
      </c>
      <c r="AC175">
        <v>8.9125093813374539E-4</v>
      </c>
      <c r="AD175">
        <v>1.1332386388449832E-11</v>
      </c>
      <c r="AE175">
        <v>-6.9801021542810905E-4</v>
      </c>
      <c r="AF175">
        <v>3.3566003405142708E-2</v>
      </c>
      <c r="AG175">
        <v>0.99709123760005391</v>
      </c>
      <c r="AH175">
        <v>1.0105068225788802</v>
      </c>
      <c r="AI175">
        <v>50.525341128944014</v>
      </c>
      <c r="AJ175"/>
      <c r="AK175"/>
      <c r="AL175"/>
      <c r="AM175"/>
      <c r="AN175"/>
      <c r="AO175"/>
      <c r="AP175"/>
      <c r="AQ175"/>
      <c r="AR175"/>
    </row>
    <row r="176" spans="1:44" ht="15" customHeight="1" x14ac:dyDescent="0.3">
      <c r="A176" s="2">
        <v>1.75</v>
      </c>
      <c r="B176" s="1">
        <f t="shared" si="40"/>
        <v>1.7782794100389226E-2</v>
      </c>
      <c r="C176" s="1">
        <f t="shared" si="41"/>
        <v>5.6796473844225257E-13</v>
      </c>
      <c r="D176" s="1">
        <f t="shared" si="42"/>
        <v>4.1338499274677094E-2</v>
      </c>
      <c r="E176" s="1">
        <f t="shared" si="43"/>
        <v>-3.5564165457795159E-3</v>
      </c>
      <c r="F176" s="1">
        <f t="shared" si="44"/>
        <v>3.019860522072225E-5</v>
      </c>
      <c r="G176" s="1">
        <f t="shared" si="45"/>
        <v>-0.75487214680296966</v>
      </c>
      <c r="H176" s="1">
        <f t="shared" si="53"/>
        <v>-7.5487214680296963</v>
      </c>
      <c r="J176" s="2">
        <v>5.74</v>
      </c>
      <c r="K176" s="1">
        <v>1.8197008586099798E-6</v>
      </c>
      <c r="L176" s="1">
        <v>5.5503628259620188E-9</v>
      </c>
      <c r="M176" s="1">
        <v>1.477154800232419E-2</v>
      </c>
      <c r="N176" s="1">
        <v>8.7140866627930154E-4</v>
      </c>
      <c r="O176" s="1">
        <v>0.22787132653141642</v>
      </c>
      <c r="P176" s="1">
        <v>0.22777648679836268</v>
      </c>
      <c r="Q176" s="2">
        <v>2.2777648679836267</v>
      </c>
      <c r="S176" s="2">
        <v>1.75</v>
      </c>
      <c r="T176" s="1">
        <f t="shared" si="46"/>
        <v>1.7782794100389226E-2</v>
      </c>
      <c r="U176" s="1">
        <f t="shared" si="47"/>
        <v>5.6796473844225257E-13</v>
      </c>
      <c r="V176" s="1">
        <f t="shared" si="48"/>
        <v>-1.7773914382379484E-2</v>
      </c>
      <c r="W176" s="1">
        <f t="shared" si="49"/>
        <v>3.9257971460793163E-2</v>
      </c>
      <c r="X176" s="1">
        <f t="shared" si="50"/>
        <v>0.99985381262932249</v>
      </c>
      <c r="Y176" s="1">
        <f t="shared" si="51"/>
        <v>1.2926131182943135</v>
      </c>
      <c r="Z176" s="1">
        <f t="shared" si="52"/>
        <v>64.630655914715661</v>
      </c>
      <c r="AB176">
        <v>3.06</v>
      </c>
      <c r="AC176">
        <v>8.7096358995607975E-4</v>
      </c>
      <c r="AD176">
        <v>1.1596351577118526E-11</v>
      </c>
      <c r="AE176">
        <v>-6.7321050552707391E-4</v>
      </c>
      <c r="AF176">
        <v>3.355773683517569E-2</v>
      </c>
      <c r="AG176">
        <v>0.99702368547648523</v>
      </c>
      <c r="AH176">
        <v>1.0101322633134429</v>
      </c>
      <c r="AI176">
        <v>50.50661316567215</v>
      </c>
      <c r="AJ176"/>
      <c r="AK176"/>
      <c r="AL176"/>
      <c r="AM176"/>
      <c r="AN176"/>
      <c r="AO176"/>
      <c r="AP176"/>
      <c r="AQ176"/>
      <c r="AR176"/>
    </row>
    <row r="177" spans="1:44" ht="15" customHeight="1" x14ac:dyDescent="0.3">
      <c r="A177" s="2">
        <v>1.76</v>
      </c>
      <c r="B177" s="1">
        <f t="shared" si="40"/>
        <v>1.7378008287493755E-2</v>
      </c>
      <c r="C177" s="1">
        <f t="shared" si="41"/>
        <v>5.8119433671052845E-13</v>
      </c>
      <c r="D177" s="1">
        <f t="shared" si="42"/>
        <v>4.0852739418042343E-2</v>
      </c>
      <c r="E177" s="1">
        <f t="shared" si="43"/>
        <v>-3.475456569673724E-3</v>
      </c>
      <c r="F177" s="1">
        <f t="shared" si="44"/>
        <v>3.0901999362061049E-5</v>
      </c>
      <c r="G177" s="1">
        <f t="shared" si="45"/>
        <v>-0.74023194380879898</v>
      </c>
      <c r="H177" s="1">
        <f t="shared" si="53"/>
        <v>-7.4023194380879893</v>
      </c>
      <c r="J177" s="2">
        <v>5.75</v>
      </c>
      <c r="K177" s="1">
        <v>1.7782794100389193E-6</v>
      </c>
      <c r="L177" s="1">
        <v>5.6796473844225367E-9</v>
      </c>
      <c r="M177" s="1">
        <v>1.4682071756416729E-2</v>
      </c>
      <c r="N177" s="1">
        <v>8.8632137393054498E-4</v>
      </c>
      <c r="O177" s="1">
        <v>0.23194799683241624</v>
      </c>
      <c r="P177" s="1">
        <v>0.23185525697854859</v>
      </c>
      <c r="Q177" s="2">
        <v>2.3185525697854859</v>
      </c>
      <c r="S177" s="2">
        <v>1.76</v>
      </c>
      <c r="T177" s="1">
        <f t="shared" si="46"/>
        <v>1.7378008287493755E-2</v>
      </c>
      <c r="U177" s="1">
        <f t="shared" si="47"/>
        <v>5.8119433671052845E-13</v>
      </c>
      <c r="V177" s="1">
        <f t="shared" si="48"/>
        <v>-1.7368901569662608E-2</v>
      </c>
      <c r="W177" s="1">
        <f t="shared" si="49"/>
        <v>3.9122967189887538E-2</v>
      </c>
      <c r="X177" s="1">
        <f t="shared" si="50"/>
        <v>0.99985040799740765</v>
      </c>
      <c r="Y177" s="1">
        <f t="shared" si="51"/>
        <v>1.2853112375539009</v>
      </c>
      <c r="Z177" s="1">
        <f t="shared" si="52"/>
        <v>64.265561877695035</v>
      </c>
      <c r="AB177">
        <v>3.07</v>
      </c>
      <c r="AC177">
        <v>8.5113803820237646E-4</v>
      </c>
      <c r="AD177">
        <v>1.1866465304889248E-11</v>
      </c>
      <c r="AE177">
        <v>-6.4876790800682789E-4</v>
      </c>
      <c r="AF177">
        <v>3.3549589302668943E-2</v>
      </c>
      <c r="AG177">
        <v>0.99695456933666149</v>
      </c>
      <c r="AH177">
        <v>1.0097631888380922</v>
      </c>
      <c r="AI177">
        <v>50.488159441904607</v>
      </c>
      <c r="AJ177"/>
      <c r="AK177"/>
      <c r="AL177"/>
      <c r="AM177"/>
      <c r="AN177"/>
      <c r="AO177"/>
      <c r="AP177"/>
      <c r="AQ177"/>
      <c r="AR177"/>
    </row>
    <row r="178" spans="1:44" ht="15" customHeight="1" x14ac:dyDescent="0.3">
      <c r="A178" s="2">
        <v>1.77</v>
      </c>
      <c r="B178" s="1">
        <f t="shared" si="40"/>
        <v>1.6982436524617429E-2</v>
      </c>
      <c r="C178" s="1">
        <f t="shared" si="41"/>
        <v>5.9473209190914532E-13</v>
      </c>
      <c r="D178" s="1">
        <f t="shared" si="42"/>
        <v>4.0378036028247334E-2</v>
      </c>
      <c r="E178" s="1">
        <f t="shared" si="43"/>
        <v>-3.3963393380412226E-3</v>
      </c>
      <c r="F178" s="1">
        <f t="shared" si="44"/>
        <v>3.1621776633305579E-5</v>
      </c>
      <c r="G178" s="1">
        <f t="shared" si="45"/>
        <v>-0.72582708110216043</v>
      </c>
      <c r="H178" s="1">
        <f t="shared" si="53"/>
        <v>-7.2582708110216041</v>
      </c>
      <c r="J178" s="2">
        <v>5.76</v>
      </c>
      <c r="K178" s="1">
        <v>1.7378008287493753E-6</v>
      </c>
      <c r="L178" s="1">
        <v>5.8119433671052848E-9</v>
      </c>
      <c r="M178" s="1">
        <v>1.4591627785665721E-2</v>
      </c>
      <c r="N178" s="1">
        <v>9.0139536905571344E-4</v>
      </c>
      <c r="O178" s="1">
        <v>0.23607530085516129</v>
      </c>
      <c r="P178" s="1">
        <v>0.23598461418360331</v>
      </c>
      <c r="Q178" s="2">
        <v>2.3598461418360328</v>
      </c>
      <c r="S178" s="2">
        <v>1.77</v>
      </c>
      <c r="T178" s="1">
        <f t="shared" si="46"/>
        <v>1.6982436524617429E-2</v>
      </c>
      <c r="U178" s="1">
        <f t="shared" si="47"/>
        <v>5.9473209190914532E-13</v>
      </c>
      <c r="V178" s="1">
        <f t="shared" si="48"/>
        <v>-1.6973097520526767E-2</v>
      </c>
      <c r="W178" s="1">
        <f t="shared" si="49"/>
        <v>3.8991032506842258E-2</v>
      </c>
      <c r="X178" s="1">
        <f t="shared" si="50"/>
        <v>0.99984692408543074</v>
      </c>
      <c r="Y178" s="1">
        <f t="shared" si="51"/>
        <v>1.2782066017168758</v>
      </c>
      <c r="Z178" s="1">
        <f t="shared" si="52"/>
        <v>63.910330085843796</v>
      </c>
      <c r="AB178">
        <v>3.08</v>
      </c>
      <c r="AC178">
        <v>8.3176377110267033E-4</v>
      </c>
      <c r="AD178">
        <v>1.2142870789635878E-11</v>
      </c>
      <c r="AE178">
        <v>-6.2466949253675824E-4</v>
      </c>
      <c r="AF178">
        <v>3.3541556497512254E-2</v>
      </c>
      <c r="AG178">
        <v>0.99688385319443595</v>
      </c>
      <c r="AH178">
        <v>1.0093993999801301</v>
      </c>
      <c r="AI178">
        <v>50.469969999006501</v>
      </c>
      <c r="AJ178"/>
      <c r="AK178"/>
      <c r="AL178"/>
      <c r="AM178"/>
      <c r="AN178"/>
      <c r="AO178"/>
      <c r="AP178"/>
      <c r="AQ178"/>
      <c r="AR178"/>
    </row>
    <row r="179" spans="1:44" ht="15" customHeight="1" x14ac:dyDescent="0.3">
      <c r="A179" s="2">
        <v>1.78</v>
      </c>
      <c r="B179" s="1">
        <f t="shared" si="40"/>
        <v>1.6595869074375592E-2</v>
      </c>
      <c r="C179" s="1">
        <f t="shared" si="41"/>
        <v>6.0858518193510182E-13</v>
      </c>
      <c r="D179" s="1">
        <f t="shared" si="42"/>
        <v>3.9914137411273455E-2</v>
      </c>
      <c r="E179" s="1">
        <f t="shared" si="43"/>
        <v>-3.3190229018789088E-3</v>
      </c>
      <c r="F179" s="1">
        <f t="shared" si="44"/>
        <v>3.2358318598298105E-5</v>
      </c>
      <c r="G179" s="1">
        <f t="shared" si="45"/>
        <v>-0.71165565466541947</v>
      </c>
      <c r="H179" s="1">
        <f t="shared" si="53"/>
        <v>-7.116556546654194</v>
      </c>
      <c r="J179" s="2">
        <v>5.77</v>
      </c>
      <c r="K179" s="1">
        <v>1.6982436524617446E-6</v>
      </c>
      <c r="L179" s="1">
        <v>5.9473209190914476E-9</v>
      </c>
      <c r="M179" s="1">
        <v>1.4500224584416814E-2</v>
      </c>
      <c r="N179" s="1">
        <v>9.1662923593053083E-4</v>
      </c>
      <c r="O179" s="1">
        <v>0.24025307335204202</v>
      </c>
      <c r="P179" s="1">
        <v>0.24016439424223149</v>
      </c>
      <c r="Q179" s="2">
        <v>2.4016439424223148</v>
      </c>
      <c r="S179" s="2">
        <v>1.78</v>
      </c>
      <c r="T179" s="1">
        <f t="shared" si="46"/>
        <v>1.6595869074375592E-2</v>
      </c>
      <c r="U179" s="1">
        <f t="shared" si="47"/>
        <v>6.0858518193510182E-13</v>
      </c>
      <c r="V179" s="1">
        <f t="shared" si="48"/>
        <v>-1.6586292374500565E-2</v>
      </c>
      <c r="W179" s="1">
        <f t="shared" si="49"/>
        <v>3.8862097458166857E-2</v>
      </c>
      <c r="X179" s="1">
        <f t="shared" si="50"/>
        <v>0.99984335904785271</v>
      </c>
      <c r="Y179" s="1">
        <f t="shared" si="51"/>
        <v>1.2712931207142986</v>
      </c>
      <c r="Z179" s="1">
        <f t="shared" si="52"/>
        <v>63.564656035714933</v>
      </c>
      <c r="AB179">
        <v>3.09</v>
      </c>
      <c r="AC179">
        <v>8.1283051616409872E-4</v>
      </c>
      <c r="AD179">
        <v>1.2425714585205061E-11</v>
      </c>
      <c r="AE179">
        <v>-6.0090251265875502E-4</v>
      </c>
      <c r="AF179">
        <v>3.3533634170886256E-2</v>
      </c>
      <c r="AG179">
        <v>0.9968115002462371</v>
      </c>
      <c r="AH179">
        <v>1.0090407005883799</v>
      </c>
      <c r="AI179">
        <v>50.452035029419001</v>
      </c>
      <c r="AJ179"/>
      <c r="AK179"/>
      <c r="AL179"/>
      <c r="AM179"/>
      <c r="AN179"/>
      <c r="AO179"/>
      <c r="AP179"/>
      <c r="AQ179"/>
      <c r="AR179"/>
    </row>
    <row r="180" spans="1:44" ht="15" customHeight="1" x14ac:dyDescent="0.3">
      <c r="A180" s="2">
        <v>1.79</v>
      </c>
      <c r="B180" s="1">
        <f t="shared" si="40"/>
        <v>1.6218100973589288E-2</v>
      </c>
      <c r="C180" s="1">
        <f t="shared" si="41"/>
        <v>6.2276095188009743E-13</v>
      </c>
      <c r="D180" s="1">
        <f t="shared" si="42"/>
        <v>3.9460797601935708E-2</v>
      </c>
      <c r="E180" s="1">
        <f t="shared" si="43"/>
        <v>-3.2434662669892853E-3</v>
      </c>
      <c r="F180" s="1">
        <f t="shared" si="44"/>
        <v>3.3112015706369579E-5</v>
      </c>
      <c r="G180" s="1">
        <f t="shared" si="45"/>
        <v>-0.69771569991600257</v>
      </c>
      <c r="H180" s="1">
        <f t="shared" si="53"/>
        <v>-6.9771569991600257</v>
      </c>
      <c r="J180" s="2">
        <v>5.78</v>
      </c>
      <c r="K180" s="1">
        <v>1.6595869074375577E-6</v>
      </c>
      <c r="L180" s="1">
        <v>6.0858518193510233E-9</v>
      </c>
      <c r="M180" s="1">
        <v>1.4407871344056798E-2</v>
      </c>
      <c r="N180" s="1">
        <v>9.3202144265720028E-4</v>
      </c>
      <c r="O180" s="1">
        <v>0.24448111792880337</v>
      </c>
      <c r="P180" s="1">
        <v>0.24439440181200864</v>
      </c>
      <c r="Q180" s="2">
        <v>2.4439440181200864</v>
      </c>
      <c r="S180" s="2">
        <v>1.79</v>
      </c>
      <c r="T180" s="1">
        <f t="shared" si="46"/>
        <v>1.6218100973589288E-2</v>
      </c>
      <c r="U180" s="1">
        <f t="shared" si="47"/>
        <v>6.2276095188009743E-13</v>
      </c>
      <c r="V180" s="1">
        <f t="shared" si="48"/>
        <v>-1.6208281042453716E-2</v>
      </c>
      <c r="W180" s="1">
        <f t="shared" si="49"/>
        <v>3.8736093680817908E-2</v>
      </c>
      <c r="X180" s="1">
        <f t="shared" si="50"/>
        <v>0.99983971099619973</v>
      </c>
      <c r="Y180" s="1">
        <f t="shared" si="51"/>
        <v>1.2645649292751482</v>
      </c>
      <c r="Z180" s="1">
        <f t="shared" si="52"/>
        <v>63.228246463757408</v>
      </c>
      <c r="AB180">
        <v>3.1</v>
      </c>
      <c r="AC180">
        <v>7.9432823472428099E-4</v>
      </c>
      <c r="AD180">
        <v>1.2715146659121097E-11</v>
      </c>
      <c r="AE180">
        <v>-5.7745439909344864E-4</v>
      </c>
      <c r="AF180">
        <v>3.3525818133031154E-2</v>
      </c>
      <c r="AG180">
        <v>0.99673747285299852</v>
      </c>
      <c r="AH180">
        <v>1.0086868974220558</v>
      </c>
      <c r="AI180">
        <v>50.434344871102795</v>
      </c>
      <c r="AJ180"/>
      <c r="AK180"/>
      <c r="AL180"/>
      <c r="AM180"/>
      <c r="AN180"/>
      <c r="AO180"/>
      <c r="AP180"/>
      <c r="AQ180"/>
      <c r="AR180"/>
    </row>
    <row r="181" spans="1:44" ht="15" customHeight="1" x14ac:dyDescent="0.3">
      <c r="A181" s="2">
        <v>1.8</v>
      </c>
      <c r="B181" s="1">
        <f t="shared" si="40"/>
        <v>1.5848931924611124E-2</v>
      </c>
      <c r="C181" s="1">
        <f t="shared" si="41"/>
        <v>6.3726691792499559E-13</v>
      </c>
      <c r="D181" s="1">
        <f t="shared" si="42"/>
        <v>3.9017776233468769E-2</v>
      </c>
      <c r="E181" s="1">
        <f t="shared" si="43"/>
        <v>-3.1696293722447955E-3</v>
      </c>
      <c r="F181" s="1">
        <f t="shared" si="44"/>
        <v>3.3883267499201962E-5</v>
      </c>
      <c r="G181" s="1">
        <f t="shared" si="45"/>
        <v>-0.68400519518921099</v>
      </c>
      <c r="H181" s="1">
        <f t="shared" si="53"/>
        <v>-6.8400519518921099</v>
      </c>
      <c r="J181" s="2">
        <v>5.79</v>
      </c>
      <c r="K181" s="1">
        <v>1.6218100973589276E-6</v>
      </c>
      <c r="L181" s="1">
        <v>6.2276095188009782E-9</v>
      </c>
      <c r="M181" s="1">
        <v>1.4314577958869954E-2</v>
      </c>
      <c r="N181" s="1">
        <v>9.4757034018834116E-4</v>
      </c>
      <c r="O181" s="1">
        <v>0.24875920646628946</v>
      </c>
      <c r="P181" s="1">
        <v>0.24867440980168098</v>
      </c>
      <c r="Q181" s="2">
        <v>2.4867440980168096</v>
      </c>
      <c r="S181" s="2">
        <v>1.8</v>
      </c>
      <c r="T181" s="1">
        <f t="shared" si="46"/>
        <v>1.5848931924611124E-2</v>
      </c>
      <c r="U181" s="1">
        <f t="shared" si="47"/>
        <v>6.3726691792499559E-13</v>
      </c>
      <c r="V181" s="1">
        <f t="shared" si="48"/>
        <v>-1.5838863097856131E-2</v>
      </c>
      <c r="W181" s="1">
        <f t="shared" si="49"/>
        <v>3.8612954365952044E-2</v>
      </c>
      <c r="X181" s="1">
        <f t="shared" si="50"/>
        <v>0.99983597799806578</v>
      </c>
      <c r="Y181" s="1">
        <f t="shared" si="51"/>
        <v>1.258016376814707</v>
      </c>
      <c r="Z181" s="1">
        <f t="shared" si="52"/>
        <v>62.900818840735347</v>
      </c>
      <c r="AB181">
        <v>3.11</v>
      </c>
      <c r="AC181">
        <v>7.7624711662869128E-4</v>
      </c>
      <c r="AD181">
        <v>1.301132047210066E-11</v>
      </c>
      <c r="AE181">
        <v>-5.5431275314371206E-4</v>
      </c>
      <c r="AF181">
        <v>3.3518104251047905E-2</v>
      </c>
      <c r="AG181">
        <v>0.99666173252171197</v>
      </c>
      <c r="AH181">
        <v>1.0083378000416368</v>
      </c>
      <c r="AI181">
        <v>50.416890002081843</v>
      </c>
      <c r="AJ181"/>
      <c r="AK181"/>
      <c r="AL181"/>
      <c r="AM181"/>
      <c r="AN181"/>
      <c r="AO181"/>
      <c r="AP181"/>
      <c r="AQ181"/>
      <c r="AR181"/>
    </row>
    <row r="182" spans="1:44" ht="15" customHeight="1" x14ac:dyDescent="0.3">
      <c r="A182" s="2">
        <v>1.81</v>
      </c>
      <c r="B182" s="1">
        <f t="shared" si="40"/>
        <v>1.5488166189124804E-2</v>
      </c>
      <c r="C182" s="1">
        <f t="shared" si="41"/>
        <v>6.5211077132500242E-13</v>
      </c>
      <c r="D182" s="1">
        <f t="shared" si="42"/>
        <v>3.8584838410081389E-2</v>
      </c>
      <c r="E182" s="1">
        <f t="shared" si="43"/>
        <v>-3.0974730683468983E-3</v>
      </c>
      <c r="F182" s="1">
        <f t="shared" si="44"/>
        <v>3.4672482822504047E-5</v>
      </c>
      <c r="G182" s="1">
        <f t="shared" si="45"/>
        <v>-0.67052206515865986</v>
      </c>
      <c r="H182" s="1">
        <f t="shared" si="53"/>
        <v>-6.7052206515865986</v>
      </c>
      <c r="J182" s="2">
        <v>5.8</v>
      </c>
      <c r="K182" s="1">
        <v>1.5848931924611111E-6</v>
      </c>
      <c r="L182" s="1">
        <v>6.3726691792499607E-9</v>
      </c>
      <c r="M182" s="1">
        <v>1.4220355030999042E-2</v>
      </c>
      <c r="N182" s="1">
        <v>9.6327416150015946E-4</v>
      </c>
      <c r="O182" s="1">
        <v>0.25308707857105694</v>
      </c>
      <c r="P182" s="1">
        <v>0.25300415882232108</v>
      </c>
      <c r="Q182" s="2">
        <v>2.5300415882232108</v>
      </c>
      <c r="S182" s="2">
        <v>1.81</v>
      </c>
      <c r="T182" s="1">
        <f t="shared" si="46"/>
        <v>1.5488166189124804E-2</v>
      </c>
      <c r="U182" s="1">
        <f t="shared" si="47"/>
        <v>6.5211077132500242E-13</v>
      </c>
      <c r="V182" s="1">
        <f t="shared" si="48"/>
        <v>-1.5477842670509384E-2</v>
      </c>
      <c r="W182" s="1">
        <f t="shared" si="49"/>
        <v>3.8492614223503127E-2</v>
      </c>
      <c r="X182" s="1">
        <f t="shared" si="50"/>
        <v>0.99983215807609149</v>
      </c>
      <c r="Y182" s="1">
        <f t="shared" si="51"/>
        <v>1.2516420178668</v>
      </c>
      <c r="Z182" s="1">
        <f t="shared" si="52"/>
        <v>62.582100893339998</v>
      </c>
      <c r="AB182">
        <v>3.12</v>
      </c>
      <c r="AC182">
        <v>7.5857757502918277E-4</v>
      </c>
      <c r="AD182">
        <v>1.3314393059419728E-11</v>
      </c>
      <c r="AE182">
        <v>-5.3146534019162721E-4</v>
      </c>
      <c r="AF182">
        <v>3.3510488446730546E-2</v>
      </c>
      <c r="AG182">
        <v>0.99658423988659905</v>
      </c>
      <c r="AH182">
        <v>1.0079932207016715</v>
      </c>
      <c r="AI182">
        <v>50.399661035083575</v>
      </c>
      <c r="AJ182"/>
      <c r="AK182"/>
      <c r="AL182"/>
      <c r="AM182"/>
      <c r="AN182"/>
      <c r="AO182"/>
      <c r="AP182"/>
      <c r="AQ182"/>
      <c r="AR182"/>
    </row>
    <row r="183" spans="1:44" ht="15" customHeight="1" x14ac:dyDescent="0.3">
      <c r="A183" s="2">
        <v>1.82</v>
      </c>
      <c r="B183" s="1">
        <f t="shared" si="40"/>
        <v>1.5135612484362076E-2</v>
      </c>
      <c r="C183" s="1">
        <f t="shared" si="41"/>
        <v>6.6730038248767213E-13</v>
      </c>
      <c r="D183" s="1">
        <f t="shared" si="42"/>
        <v>3.8161754582411452E-2</v>
      </c>
      <c r="E183" s="1">
        <f t="shared" si="43"/>
        <v>-3.0269590970685746E-3</v>
      </c>
      <c r="F183" s="1">
        <f t="shared" si="44"/>
        <v>3.5480080042612518E-5</v>
      </c>
      <c r="G183" s="1">
        <f t="shared" si="45"/>
        <v>-0.65726418419137222</v>
      </c>
      <c r="H183" s="1">
        <f t="shared" si="53"/>
        <v>-6.5726418419137218</v>
      </c>
      <c r="J183" s="2">
        <v>5.81</v>
      </c>
      <c r="K183" s="1">
        <v>1.5488166189124819E-6</v>
      </c>
      <c r="L183" s="1">
        <v>6.5211077132500178E-9</v>
      </c>
      <c r="M183" s="1">
        <v>1.41252138744746E-2</v>
      </c>
      <c r="N183" s="1">
        <v>9.7913102092090005E-4</v>
      </c>
      <c r="O183" s="1">
        <v>0.25746444105693</v>
      </c>
      <c r="P183" s="1">
        <v>0.25738335666941359</v>
      </c>
      <c r="Q183" s="2">
        <v>2.5738335666941357</v>
      </c>
      <c r="S183" s="2">
        <v>1.82</v>
      </c>
      <c r="T183" s="1">
        <f t="shared" si="46"/>
        <v>1.5135612484362076E-2</v>
      </c>
      <c r="U183" s="1">
        <f t="shared" si="47"/>
        <v>6.6730038248767213E-13</v>
      </c>
      <c r="V183" s="1">
        <f t="shared" si="48"/>
        <v>-1.5125028342693855E-2</v>
      </c>
      <c r="W183" s="1">
        <f t="shared" si="49"/>
        <v>3.8375009447564619E-2</v>
      </c>
      <c r="X183" s="1">
        <f t="shared" si="50"/>
        <v>0.99982824920692015</v>
      </c>
      <c r="Y183" s="1">
        <f t="shared" si="51"/>
        <v>1.2454366030259152</v>
      </c>
      <c r="Z183" s="1">
        <f t="shared" si="52"/>
        <v>62.271830151295759</v>
      </c>
      <c r="AB183">
        <v>3.13</v>
      </c>
      <c r="AC183">
        <v>7.4131024130091731E-4</v>
      </c>
      <c r="AD183">
        <v>1.3624525114175705E-11</v>
      </c>
      <c r="AE183">
        <v>-5.0890008328566304E-4</v>
      </c>
      <c r="AF183">
        <v>3.3502966694428558E-2</v>
      </c>
      <c r="AG183">
        <v>0.9965049546898922</v>
      </c>
      <c r="AH183">
        <v>1.0076529742454394</v>
      </c>
      <c r="AI183">
        <v>50.382648712271966</v>
      </c>
      <c r="AJ183"/>
      <c r="AK183"/>
      <c r="AL183"/>
      <c r="AM183"/>
      <c r="AN183"/>
      <c r="AO183"/>
      <c r="AP183"/>
      <c r="AQ183"/>
      <c r="AR183"/>
    </row>
    <row r="184" spans="1:44" ht="15" customHeight="1" x14ac:dyDescent="0.3">
      <c r="A184" s="2">
        <v>1.83</v>
      </c>
      <c r="B184" s="1">
        <f t="shared" si="40"/>
        <v>1.4791083881682071E-2</v>
      </c>
      <c r="C184" s="1">
        <f t="shared" si="41"/>
        <v>6.8284380514590172E-13</v>
      </c>
      <c r="D184" s="1">
        <f t="shared" si="42"/>
        <v>3.774830042581595E-2</v>
      </c>
      <c r="E184" s="1">
        <f t="shared" si="43"/>
        <v>-2.9580500709693244E-3</v>
      </c>
      <c r="F184" s="1">
        <f t="shared" si="44"/>
        <v>3.630648726813284E-5</v>
      </c>
      <c r="G184" s="1">
        <f t="shared" si="45"/>
        <v>-0.64422937963486004</v>
      </c>
      <c r="H184" s="1">
        <f t="shared" si="53"/>
        <v>-6.4422937963485998</v>
      </c>
      <c r="J184" s="2">
        <v>5.82</v>
      </c>
      <c r="K184" s="1">
        <v>1.5135612484362063E-6</v>
      </c>
      <c r="L184" s="1">
        <v>6.6730038248767273E-9</v>
      </c>
      <c r="M184" s="1">
        <v>1.4029166518277264E-2</v>
      </c>
      <c r="N184" s="1">
        <v>9.9513891362045599E-4</v>
      </c>
      <c r="O184" s="1">
        <v>0.26189096745958146</v>
      </c>
      <c r="P184" s="1">
        <v>0.26181167783795456</v>
      </c>
      <c r="Q184" s="2">
        <v>2.6181167783795454</v>
      </c>
      <c r="S184" s="2">
        <v>1.83</v>
      </c>
      <c r="T184" s="1">
        <f t="shared" si="46"/>
        <v>1.4791083881682071E-2</v>
      </c>
      <c r="U184" s="1">
        <f t="shared" si="47"/>
        <v>6.8284380514590172E-13</v>
      </c>
      <c r="V184" s="1">
        <f t="shared" si="48"/>
        <v>-1.4780233047676769E-2</v>
      </c>
      <c r="W184" s="1">
        <f t="shared" si="49"/>
        <v>3.8260077682558923E-2</v>
      </c>
      <c r="X184" s="1">
        <f t="shared" si="50"/>
        <v>0.99982424932012914</v>
      </c>
      <c r="Y184" s="1">
        <f t="shared" si="51"/>
        <v>1.2393950703676453</v>
      </c>
      <c r="Z184" s="1">
        <f t="shared" si="52"/>
        <v>61.969753518382269</v>
      </c>
      <c r="AB184">
        <v>3.14</v>
      </c>
      <c r="AC184">
        <v>7.2443596007498929E-4</v>
      </c>
      <c r="AD184">
        <v>1.394188107248915E-11</v>
      </c>
      <c r="AE184">
        <v>-4.8660505681519001E-4</v>
      </c>
      <c r="AF184">
        <v>3.3495535018938399E-2</v>
      </c>
      <c r="AG184">
        <v>0.99642383576222038</v>
      </c>
      <c r="AH184">
        <v>1.0073168780014057</v>
      </c>
      <c r="AI184">
        <v>50.365843900070288</v>
      </c>
      <c r="AJ184"/>
      <c r="AK184"/>
      <c r="AL184"/>
      <c r="AM184"/>
      <c r="AN184"/>
      <c r="AO184"/>
      <c r="AP184"/>
      <c r="AQ184"/>
      <c r="AR184"/>
    </row>
    <row r="185" spans="1:44" ht="15" customHeight="1" x14ac:dyDescent="0.3">
      <c r="A185" s="2">
        <v>1.84</v>
      </c>
      <c r="B185" s="1">
        <f t="shared" si="40"/>
        <v>1.4454397707459272E-2</v>
      </c>
      <c r="C185" s="1">
        <f t="shared" si="41"/>
        <v>6.9874928062812589E-13</v>
      </c>
      <c r="D185" s="1">
        <f t="shared" si="42"/>
        <v>3.7344256721431067E-2</v>
      </c>
      <c r="E185" s="1">
        <f t="shared" si="43"/>
        <v>-2.8907094535718446E-3</v>
      </c>
      <c r="F185" s="1">
        <f t="shared" si="44"/>
        <v>3.7152142576736874E-5</v>
      </c>
      <c r="G185" s="1">
        <f t="shared" si="45"/>
        <v>-0.63141543503379294</v>
      </c>
      <c r="H185" s="1">
        <f t="shared" si="53"/>
        <v>-6.3141543503379287</v>
      </c>
      <c r="J185" s="2">
        <v>5.83</v>
      </c>
      <c r="K185" s="1">
        <v>1.4791083881682056E-6</v>
      </c>
      <c r="L185" s="1">
        <v>6.828438051459024E-9</v>
      </c>
      <c r="M185" s="1">
        <v>1.3932225708399953E-2</v>
      </c>
      <c r="N185" s="1">
        <v>1.0112957152666746E-3</v>
      </c>
      <c r="O185" s="1">
        <v>0.26636629758619274</v>
      </c>
      <c r="P185" s="1">
        <v>0.26628876307261878</v>
      </c>
      <c r="Q185" s="2">
        <v>2.6628876307261877</v>
      </c>
      <c r="S185" s="2">
        <v>1.84</v>
      </c>
      <c r="T185" s="1">
        <f t="shared" si="46"/>
        <v>1.4454397707459272E-2</v>
      </c>
      <c r="U185" s="1">
        <f t="shared" si="47"/>
        <v>6.9874928062812589E-13</v>
      </c>
      <c r="V185" s="1">
        <f t="shared" si="48"/>
        <v>-1.4443273970527059E-2</v>
      </c>
      <c r="W185" s="1">
        <f t="shared" si="49"/>
        <v>3.8147757990175689E-2</v>
      </c>
      <c r="X185" s="1">
        <f t="shared" si="50"/>
        <v>0.99982015629713639</v>
      </c>
      <c r="Y185" s="1">
        <f t="shared" si="51"/>
        <v>1.2335125373180968</v>
      </c>
      <c r="Z185" s="1">
        <f t="shared" si="52"/>
        <v>61.675626865904839</v>
      </c>
      <c r="AB185">
        <v>3.15</v>
      </c>
      <c r="AC185">
        <v>7.079457843841378E-4</v>
      </c>
      <c r="AD185">
        <v>1.4266629200689819E-11</v>
      </c>
      <c r="AE185">
        <v>-4.6456848026844703E-4</v>
      </c>
      <c r="AF185">
        <v>3.3488189493422818E-2</v>
      </c>
      <c r="AG185">
        <v>0.99634084100259146</v>
      </c>
      <c r="AH185">
        <v>1.006984751681395</v>
      </c>
      <c r="AI185">
        <v>50.349237584069755</v>
      </c>
      <c r="AJ185"/>
      <c r="AK185"/>
      <c r="AL185"/>
      <c r="AM185"/>
      <c r="AN185"/>
      <c r="AO185"/>
      <c r="AP185"/>
      <c r="AQ185"/>
      <c r="AR185"/>
    </row>
    <row r="186" spans="1:44" ht="15" customHeight="1" x14ac:dyDescent="0.3">
      <c r="A186" s="2">
        <v>1.85</v>
      </c>
      <c r="B186" s="1">
        <f t="shared" si="40"/>
        <v>1.4125375446227528E-2</v>
      </c>
      <c r="C186" s="1">
        <f t="shared" si="41"/>
        <v>7.1502524222798001E-13</v>
      </c>
      <c r="D186" s="1">
        <f t="shared" si="42"/>
        <v>3.6949409239939411E-2</v>
      </c>
      <c r="E186" s="1">
        <f t="shared" si="43"/>
        <v>-2.8249015399899021E-3</v>
      </c>
      <c r="F186" s="1">
        <f t="shared" si="44"/>
        <v>3.8017494247237394E-5</v>
      </c>
      <c r="G186" s="1">
        <f t="shared" si="45"/>
        <v>-0.61882009327413556</v>
      </c>
      <c r="H186" s="1">
        <f t="shared" si="53"/>
        <v>-6.1882009327413554</v>
      </c>
      <c r="J186" s="2">
        <v>5.84</v>
      </c>
      <c r="K186" s="1">
        <v>1.445439770745926E-6</v>
      </c>
      <c r="L186" s="1">
        <v>6.9874928062812654E-9</v>
      </c>
      <c r="M186" s="1">
        <v>1.3834404908877889E-2</v>
      </c>
      <c r="N186" s="1">
        <v>1.0275991818536852E-3</v>
      </c>
      <c r="O186" s="1">
        <v>0.27089003710224752</v>
      </c>
      <c r="P186" s="1">
        <v>0.27081421895504898</v>
      </c>
      <c r="Q186" s="2">
        <v>2.7081421895504896</v>
      </c>
      <c r="S186" s="2">
        <v>1.85</v>
      </c>
      <c r="T186" s="1">
        <f t="shared" si="46"/>
        <v>1.4125375446227528E-2</v>
      </c>
      <c r="U186" s="1">
        <f t="shared" si="47"/>
        <v>7.1502524222798001E-13</v>
      </c>
      <c r="V186" s="1">
        <f t="shared" si="48"/>
        <v>-1.4113972451184786E-2</v>
      </c>
      <c r="W186" s="1">
        <f t="shared" si="49"/>
        <v>3.80379908170616E-2</v>
      </c>
      <c r="X186" s="1">
        <f t="shared" si="50"/>
        <v>0.9998159679700821</v>
      </c>
      <c r="Y186" s="1">
        <f t="shared" si="51"/>
        <v>1.2277842929449605</v>
      </c>
      <c r="Z186" s="1">
        <f t="shared" si="52"/>
        <v>61.389214647248032</v>
      </c>
      <c r="AB186">
        <v>3.16</v>
      </c>
      <c r="AC186">
        <v>6.9183097091893579E-4</v>
      </c>
      <c r="AD186">
        <v>1.4598941684533881E-11</v>
      </c>
      <c r="AE186">
        <v>-4.4277871207172489E-4</v>
      </c>
      <c r="AF186">
        <v>3.3480926237357239E-2</v>
      </c>
      <c r="AG186">
        <v>0.9962559273579642</v>
      </c>
      <c r="AH186">
        <v>1.006656417280428</v>
      </c>
      <c r="AI186">
        <v>50.3328208640214</v>
      </c>
      <c r="AJ186"/>
      <c r="AK186"/>
      <c r="AL186"/>
      <c r="AM186"/>
      <c r="AN186"/>
      <c r="AO186"/>
      <c r="AP186"/>
      <c r="AQ186"/>
      <c r="AR186"/>
    </row>
    <row r="187" spans="1:44" ht="15" customHeight="1" x14ac:dyDescent="0.3">
      <c r="A187" s="2">
        <v>1.86</v>
      </c>
      <c r="B187" s="1">
        <f t="shared" si="40"/>
        <v>1.3803842646028837E-2</v>
      </c>
      <c r="C187" s="1">
        <f t="shared" si="41"/>
        <v>7.3168031967574057E-13</v>
      </c>
      <c r="D187" s="1">
        <f t="shared" si="42"/>
        <v>3.6563548627982896E-2</v>
      </c>
      <c r="E187" s="1">
        <f t="shared" si="43"/>
        <v>-2.7605914379971496E-3</v>
      </c>
      <c r="F187" s="1">
        <f t="shared" si="44"/>
        <v>3.890300099706171E-5</v>
      </c>
      <c r="G187" s="1">
        <f t="shared" si="45"/>
        <v>-0.60644105965290152</v>
      </c>
      <c r="H187" s="1">
        <f t="shared" si="53"/>
        <v>-6.0644105965290152</v>
      </c>
      <c r="J187" s="2">
        <v>5.85</v>
      </c>
      <c r="K187" s="1">
        <v>1.4125375446227531E-6</v>
      </c>
      <c r="L187" s="1">
        <v>7.1502524222797985E-9</v>
      </c>
      <c r="M187" s="1">
        <v>1.3735718301756976E-2</v>
      </c>
      <c r="N187" s="1">
        <v>1.0440469497071702E-3</v>
      </c>
      <c r="O187" s="1">
        <v>0.27546175715746402</v>
      </c>
      <c r="P187" s="1">
        <v>0.27538761753027291</v>
      </c>
      <c r="Q187" s="2">
        <v>2.7538761753027288</v>
      </c>
      <c r="S187" s="2">
        <v>1.86</v>
      </c>
      <c r="T187" s="1">
        <f t="shared" si="46"/>
        <v>1.3803842646028837E-2</v>
      </c>
      <c r="U187" s="1">
        <f t="shared" si="47"/>
        <v>7.3168031967574057E-13</v>
      </c>
      <c r="V187" s="1">
        <f t="shared" si="48"/>
        <v>-1.3792153889733325E-2</v>
      </c>
      <c r="W187" s="1">
        <f t="shared" si="49"/>
        <v>3.7930717963244438E-2</v>
      </c>
      <c r="X187" s="1">
        <f t="shared" si="50"/>
        <v>0.99981168212068383</v>
      </c>
      <c r="Y187" s="1">
        <f t="shared" si="51"/>
        <v>1.2222057906448156</v>
      </c>
      <c r="Z187" s="1">
        <f t="shared" si="52"/>
        <v>61.110289532240785</v>
      </c>
      <c r="AB187">
        <v>3.17</v>
      </c>
      <c r="AC187">
        <v>6.7608297539198121E-4</v>
      </c>
      <c r="AD187">
        <v>1.4938994720498906E-11</v>
      </c>
      <c r="AE187">
        <v>-4.2122424350582124E-4</v>
      </c>
      <c r="AF187">
        <v>3.3473741414501941E-2</v>
      </c>
      <c r="AG187">
        <v>0.99616905080240403</v>
      </c>
      <c r="AH187">
        <v>1.0063316989781481</v>
      </c>
      <c r="AI187">
        <v>50.316584948907405</v>
      </c>
      <c r="AJ187"/>
      <c r="AK187"/>
      <c r="AL187"/>
      <c r="AM187"/>
      <c r="AN187"/>
      <c r="AO187"/>
      <c r="AP187"/>
      <c r="AQ187"/>
      <c r="AR187"/>
    </row>
    <row r="188" spans="1:44" ht="15" customHeight="1" x14ac:dyDescent="0.3">
      <c r="A188" s="2">
        <v>1.87</v>
      </c>
      <c r="B188" s="1">
        <f t="shared" si="40"/>
        <v>1.3489628825916524E-2</v>
      </c>
      <c r="C188" s="1">
        <f t="shared" si="41"/>
        <v>7.4872334371392725E-13</v>
      </c>
      <c r="D188" s="1">
        <f t="shared" si="42"/>
        <v>3.618647029716069E-2</v>
      </c>
      <c r="E188" s="1">
        <f t="shared" si="43"/>
        <v>-2.6977450495267816E-3</v>
      </c>
      <c r="F188" s="1">
        <f t="shared" si="44"/>
        <v>3.9809132225250502E-5</v>
      </c>
      <c r="G188" s="1">
        <f t="shared" si="45"/>
        <v>-0.59427600487190824</v>
      </c>
      <c r="H188" s="1">
        <f t="shared" si="53"/>
        <v>-5.9427600487190819</v>
      </c>
      <c r="J188" s="2">
        <v>5.86</v>
      </c>
      <c r="K188" s="1">
        <v>1.3803842646028812E-6</v>
      </c>
      <c r="L188" s="1">
        <v>7.3168031967574185E-9</v>
      </c>
      <c r="M188" s="1">
        <v>1.3636180785972795E-2</v>
      </c>
      <c r="N188" s="1">
        <v>1.060636535671201E-3</v>
      </c>
      <c r="O188" s="1">
        <v>0.28008099405284853</v>
      </c>
      <c r="P188" s="1">
        <v>0.28000849597423083</v>
      </c>
      <c r="Q188" s="2">
        <v>2.8000849597423083</v>
      </c>
      <c r="S188" s="2">
        <v>1.87</v>
      </c>
      <c r="T188" s="1">
        <f t="shared" si="46"/>
        <v>1.3489628825916524E-2</v>
      </c>
      <c r="U188" s="1">
        <f t="shared" si="47"/>
        <v>7.4872334371392725E-13</v>
      </c>
      <c r="V188" s="1">
        <f t="shared" si="48"/>
        <v>-1.3477647653824478E-2</v>
      </c>
      <c r="W188" s="1">
        <f t="shared" si="49"/>
        <v>3.782588255127483E-2</v>
      </c>
      <c r="X188" s="1">
        <f t="shared" si="50"/>
        <v>0.99980729647906608</v>
      </c>
      <c r="Y188" s="1">
        <f t="shared" si="51"/>
        <v>1.2167726412029805</v>
      </c>
      <c r="Z188" s="1">
        <f t="shared" si="52"/>
        <v>60.838632060149024</v>
      </c>
      <c r="AB188">
        <v>3.18</v>
      </c>
      <c r="AC188">
        <v>6.606934480075955E-4</v>
      </c>
      <c r="AD188">
        <v>1.5286968609205713E-11</v>
      </c>
      <c r="AE188">
        <v>-3.9989369269714109E-4</v>
      </c>
      <c r="AF188">
        <v>3.3466631230899047E-2</v>
      </c>
      <c r="AG188">
        <v>0.99608016631581409</v>
      </c>
      <c r="AH188">
        <v>1.0060104230417812</v>
      </c>
      <c r="AI188">
        <v>50.300521152089068</v>
      </c>
      <c r="AJ188"/>
      <c r="AK188"/>
      <c r="AL188"/>
      <c r="AM188"/>
      <c r="AN188"/>
      <c r="AO188"/>
      <c r="AP188"/>
      <c r="AQ188"/>
      <c r="AR188"/>
    </row>
    <row r="189" spans="1:44" ht="15" customHeight="1" x14ac:dyDescent="0.3">
      <c r="A189" s="2">
        <v>1.88</v>
      </c>
      <c r="B189" s="1">
        <f t="shared" si="40"/>
        <v>1.3182567385564075E-2</v>
      </c>
      <c r="C189" s="1">
        <f t="shared" si="41"/>
        <v>7.6616335077947531E-13</v>
      </c>
      <c r="D189" s="1">
        <f t="shared" si="42"/>
        <v>3.5817974315553856E-2</v>
      </c>
      <c r="E189" s="1">
        <f t="shared" si="43"/>
        <v>-2.6363290525923096E-3</v>
      </c>
      <c r="F189" s="1">
        <f t="shared" si="44"/>
        <v>4.0736368261109349E-5</v>
      </c>
      <c r="G189" s="1">
        <f t="shared" si="45"/>
        <v>-0.58232256795418813</v>
      </c>
      <c r="H189" s="1">
        <f t="shared" si="53"/>
        <v>-5.8232256795418813</v>
      </c>
      <c r="J189" s="2">
        <v>5.87</v>
      </c>
      <c r="K189" s="1">
        <v>1.3489628825916527E-6</v>
      </c>
      <c r="L189" s="1">
        <v>7.4872334371392707E-9</v>
      </c>
      <c r="M189" s="1">
        <v>1.3535807975114899E-2</v>
      </c>
      <c r="N189" s="1">
        <v>1.07736533748085E-3</v>
      </c>
      <c r="O189" s="1">
        <v>0.28474724895080145</v>
      </c>
      <c r="P189" s="1">
        <v>0.28467635630434496</v>
      </c>
      <c r="Q189" s="2">
        <v>2.8467635630434494</v>
      </c>
      <c r="S189" s="2">
        <v>1.88</v>
      </c>
      <c r="T189" s="1">
        <f t="shared" si="46"/>
        <v>1.3182567385564075E-2</v>
      </c>
      <c r="U189" s="1">
        <f t="shared" si="47"/>
        <v>7.6616335077947531E-13</v>
      </c>
      <c r="V189" s="1">
        <f t="shared" si="48"/>
        <v>-1.3170286988207157E-2</v>
      </c>
      <c r="W189" s="1">
        <f t="shared" si="49"/>
        <v>3.7723428996069057E-2</v>
      </c>
      <c r="X189" s="1">
        <f t="shared" si="50"/>
        <v>0.99980280872256144</v>
      </c>
      <c r="Y189" s="1">
        <f t="shared" si="51"/>
        <v>1.2114806062038295</v>
      </c>
      <c r="Z189" s="1">
        <f t="shared" si="52"/>
        <v>60.574030310191475</v>
      </c>
      <c r="AB189">
        <v>3.19</v>
      </c>
      <c r="AC189">
        <v>6.4565422903465513E-4</v>
      </c>
      <c r="AD189">
        <v>1.5643047851016069E-11</v>
      </c>
      <c r="AE189">
        <v>-3.787757986806034E-4</v>
      </c>
      <c r="AF189">
        <v>3.3459591932893537E-2</v>
      </c>
      <c r="AG189">
        <v>0.99598922786223587</v>
      </c>
      <c r="AH189">
        <v>1.0056924177305706</v>
      </c>
      <c r="AI189">
        <v>50.284620886528529</v>
      </c>
      <c r="AJ189"/>
      <c r="AK189"/>
      <c r="AL189"/>
      <c r="AM189"/>
      <c r="AN189"/>
      <c r="AO189"/>
      <c r="AP189"/>
      <c r="AQ189"/>
      <c r="AR189"/>
    </row>
    <row r="190" spans="1:44" ht="15" customHeight="1" x14ac:dyDescent="0.3">
      <c r="A190" s="2">
        <v>1.89</v>
      </c>
      <c r="B190" s="1">
        <f t="shared" si="40"/>
        <v>1.2882495516931332E-2</v>
      </c>
      <c r="C190" s="1">
        <f t="shared" si="41"/>
        <v>7.8400958779497902E-13</v>
      </c>
      <c r="D190" s="1">
        <f t="shared" si="42"/>
        <v>3.545786530171869E-2</v>
      </c>
      <c r="E190" s="1">
        <f t="shared" si="43"/>
        <v>-2.5763108836197816E-3</v>
      </c>
      <c r="F190" s="1">
        <f t="shared" si="44"/>
        <v>4.1685200618645372E-5</v>
      </c>
      <c r="G190" s="1">
        <f t="shared" si="45"/>
        <v>-0.5705783590819129</v>
      </c>
      <c r="H190" s="1">
        <f t="shared" si="53"/>
        <v>-5.705783590819129</v>
      </c>
      <c r="J190" s="2">
        <v>5.88</v>
      </c>
      <c r="K190" s="1">
        <v>1.3182567385564063E-6</v>
      </c>
      <c r="L190" s="1">
        <v>7.6616335077947595E-9</v>
      </c>
      <c r="M190" s="1">
        <v>1.3434616194053475E-2</v>
      </c>
      <c r="N190" s="1">
        <v>1.094230634324421E-3</v>
      </c>
      <c r="O190" s="1">
        <v>0.28945998763016223</v>
      </c>
      <c r="P190" s="1">
        <v>0.2893906651350181</v>
      </c>
      <c r="Q190" s="2">
        <v>2.8939066513501808</v>
      </c>
      <c r="S190" s="2">
        <v>1.89</v>
      </c>
      <c r="T190" s="1">
        <f t="shared" si="46"/>
        <v>1.2882495516931332E-2</v>
      </c>
      <c r="U190" s="1">
        <f t="shared" si="47"/>
        <v>7.8400958779497902E-13</v>
      </c>
      <c r="V190" s="1">
        <f t="shared" si="48"/>
        <v>-1.2869908926311747E-2</v>
      </c>
      <c r="W190" s="1">
        <f t="shared" si="49"/>
        <v>3.7623302975437249E-2</v>
      </c>
      <c r="X190" s="1">
        <f t="shared" si="50"/>
        <v>0.9997982164744853</v>
      </c>
      <c r="Y190" s="1">
        <f t="shared" si="51"/>
        <v>1.2063255917709752</v>
      </c>
      <c r="Z190" s="1">
        <f t="shared" si="52"/>
        <v>60.316279588548767</v>
      </c>
      <c r="AB190">
        <v>3.2</v>
      </c>
      <c r="AC190">
        <v>6.3095734448019244E-4</v>
      </c>
      <c r="AD190">
        <v>1.6007421243857267E-11</v>
      </c>
      <c r="AE190">
        <v>-3.5785941553090166E-4</v>
      </c>
      <c r="AF190">
        <v>3.345261980517697E-2</v>
      </c>
      <c r="AG190">
        <v>0.99589618836771099</v>
      </c>
      <c r="AH190">
        <v>1.0053775132016203</v>
      </c>
      <c r="AI190">
        <v>50.268875660081008</v>
      </c>
      <c r="AJ190"/>
      <c r="AK190"/>
      <c r="AL190"/>
      <c r="AM190"/>
      <c r="AN190"/>
      <c r="AO190"/>
      <c r="AP190"/>
      <c r="AQ190"/>
      <c r="AR190"/>
    </row>
    <row r="191" spans="1:44" ht="15" customHeight="1" x14ac:dyDescent="0.3">
      <c r="A191" s="2">
        <v>1.9</v>
      </c>
      <c r="B191" s="1">
        <f t="shared" si="40"/>
        <v>1.2589254117941664E-2</v>
      </c>
      <c r="C191" s="1">
        <f t="shared" si="41"/>
        <v>8.0227151707152477E-13</v>
      </c>
      <c r="D191" s="1">
        <f t="shared" si="42"/>
        <v>3.5105952321093092E-2</v>
      </c>
      <c r="E191" s="1">
        <f t="shared" si="43"/>
        <v>-2.517658720182182E-3</v>
      </c>
      <c r="F191" s="1">
        <f t="shared" si="44"/>
        <v>4.2656132256922061E-5</v>
      </c>
      <c r="G191" s="1">
        <f t="shared" si="45"/>
        <v>-0.55904096235494694</v>
      </c>
      <c r="H191" s="1">
        <f t="shared" si="53"/>
        <v>-5.5904096235494691</v>
      </c>
      <c r="J191" s="2">
        <v>5.89</v>
      </c>
      <c r="K191" s="1">
        <v>1.2882495516931333E-6</v>
      </c>
      <c r="L191" s="1">
        <v>7.8400958779497904E-9</v>
      </c>
      <c r="M191" s="1">
        <v>1.3332622474408307E-2</v>
      </c>
      <c r="N191" s="1">
        <v>1.1112295875986154E-3</v>
      </c>
      <c r="O191" s="1">
        <v>0.29421864028799749</v>
      </c>
      <c r="P191" s="1">
        <v>0.29415085347986442</v>
      </c>
      <c r="Q191" s="2">
        <v>2.9415085347986438</v>
      </c>
      <c r="S191" s="2">
        <v>1.9</v>
      </c>
      <c r="T191" s="1">
        <f t="shared" si="46"/>
        <v>1.2589254117941664E-2</v>
      </c>
      <c r="U191" s="1">
        <f t="shared" si="47"/>
        <v>8.0227151707152477E-13</v>
      </c>
      <c r="V191" s="1">
        <f t="shared" si="48"/>
        <v>-1.2576354203843449E-2</v>
      </c>
      <c r="W191" s="1">
        <f t="shared" si="49"/>
        <v>3.7525451401281149E-2</v>
      </c>
      <c r="X191" s="1">
        <f t="shared" si="50"/>
        <v>0.99979351730288113</v>
      </c>
      <c r="Y191" s="1">
        <f t="shared" si="51"/>
        <v>1.2013036426180972</v>
      </c>
      <c r="Z191" s="1">
        <f t="shared" si="52"/>
        <v>60.065182130904859</v>
      </c>
      <c r="AB191">
        <v>3.21</v>
      </c>
      <c r="AC191">
        <v>6.1659500186148184E-4</v>
      </c>
      <c r="AD191">
        <v>1.6380281983325199E-11</v>
      </c>
      <c r="AE191">
        <v>-3.3713350655974222E-4</v>
      </c>
      <c r="AF191">
        <v>3.3445711168853247E-2</v>
      </c>
      <c r="AG191">
        <v>0.99580099969769853</v>
      </c>
      <c r="AH191">
        <v>1.005065541417099</v>
      </c>
      <c r="AI191">
        <v>50.253277070854949</v>
      </c>
      <c r="AJ191"/>
      <c r="AK191"/>
      <c r="AL191"/>
      <c r="AM191"/>
      <c r="AN191"/>
      <c r="AO191"/>
      <c r="AP191"/>
      <c r="AQ191"/>
      <c r="AR191"/>
    </row>
    <row r="192" spans="1:44" ht="15" customHeight="1" x14ac:dyDescent="0.3">
      <c r="A192" s="2">
        <v>1.91</v>
      </c>
      <c r="B192" s="1">
        <f t="shared" si="40"/>
        <v>1.2302687708123809E-2</v>
      </c>
      <c r="C192" s="1">
        <f t="shared" si="41"/>
        <v>8.2095882132574056E-13</v>
      </c>
      <c r="D192" s="1">
        <f t="shared" si="42"/>
        <v>3.4762048784760344E-2</v>
      </c>
      <c r="E192" s="1">
        <f t="shared" si="43"/>
        <v>-2.460341464126724E-3</v>
      </c>
      <c r="F192" s="1">
        <f t="shared" si="44"/>
        <v>4.3649677846471378E-5</v>
      </c>
      <c r="G192" s="1">
        <f t="shared" si="45"/>
        <v>-0.54770793846931032</v>
      </c>
      <c r="H192" s="1">
        <f t="shared" si="53"/>
        <v>-5.477079384693103</v>
      </c>
      <c r="J192" s="2">
        <v>5.9</v>
      </c>
      <c r="K192" s="1">
        <v>1.2589254117941642E-6</v>
      </c>
      <c r="L192" s="1">
        <v>8.0227151707152622E-9</v>
      </c>
      <c r="M192" s="1">
        <v>1.3229844548842353E-2</v>
      </c>
      <c r="N192" s="1">
        <v>1.1283592418596074E-3</v>
      </c>
      <c r="O192" s="1">
        <v>0.2990226013898924</v>
      </c>
      <c r="P192" s="1">
        <v>0.2989563166024351</v>
      </c>
      <c r="Q192" s="2">
        <v>2.9895631660243507</v>
      </c>
      <c r="S192" s="2">
        <v>1.91</v>
      </c>
      <c r="T192" s="1">
        <f t="shared" si="46"/>
        <v>1.2302687708123809E-2</v>
      </c>
      <c r="U192" s="1">
        <f t="shared" si="47"/>
        <v>8.2095882132574056E-13</v>
      </c>
      <c r="V192" s="1">
        <f t="shared" si="48"/>
        <v>-1.2289467174338405E-2</v>
      </c>
      <c r="W192" s="1">
        <f t="shared" si="49"/>
        <v>3.7429822391446134E-2</v>
      </c>
      <c r="X192" s="1">
        <f t="shared" si="50"/>
        <v>0.99978870871923753</v>
      </c>
      <c r="Y192" s="1">
        <f t="shared" si="51"/>
        <v>1.1964109363924569</v>
      </c>
      <c r="Z192" s="1">
        <f t="shared" si="52"/>
        <v>59.820546819622841</v>
      </c>
      <c r="AB192">
        <v>3.22</v>
      </c>
      <c r="AC192">
        <v>6.0255958607435703E-4</v>
      </c>
      <c r="AD192">
        <v>1.6761827765119381E-11</v>
      </c>
      <c r="AE192">
        <v>-3.1658713857593746E-4</v>
      </c>
      <c r="AF192">
        <v>3.3438862379525314E-2</v>
      </c>
      <c r="AG192">
        <v>0.99570361263403917</v>
      </c>
      <c r="AH192">
        <v>1.0047563360527443</v>
      </c>
      <c r="AI192">
        <v>50.237816802637212</v>
      </c>
      <c r="AJ192"/>
      <c r="AK192"/>
      <c r="AL192"/>
      <c r="AM192"/>
      <c r="AN192"/>
      <c r="AO192"/>
      <c r="AP192"/>
      <c r="AQ192"/>
      <c r="AR192"/>
    </row>
    <row r="193" spans="1:44" ht="15" customHeight="1" x14ac:dyDescent="0.3">
      <c r="A193" s="2">
        <v>1.92</v>
      </c>
      <c r="B193" s="1">
        <f t="shared" si="40"/>
        <v>1.2022644346174125E-2</v>
      </c>
      <c r="C193" s="1">
        <f t="shared" si="41"/>
        <v>8.4008140881369797E-13</v>
      </c>
      <c r="D193" s="1">
        <f t="shared" si="42"/>
        <v>3.4425972350517316E-2</v>
      </c>
      <c r="E193" s="1">
        <f t="shared" si="43"/>
        <v>-2.4043287250862188E-3</v>
      </c>
      <c r="F193" s="1">
        <f t="shared" si="44"/>
        <v>4.4666364041902447E-5</v>
      </c>
      <c r="G193" s="1">
        <f t="shared" si="45"/>
        <v>-0.53657682731508982</v>
      </c>
      <c r="H193" s="1">
        <f t="shared" si="53"/>
        <v>-5.3657682731508975</v>
      </c>
      <c r="J193" s="2">
        <v>5.91</v>
      </c>
      <c r="K193" s="1">
        <v>1.230268770812379E-6</v>
      </c>
      <c r="L193" s="1">
        <v>8.2095882132574187E-9</v>
      </c>
      <c r="M193" s="1">
        <v>1.3126300844165592E-2</v>
      </c>
      <c r="N193" s="1">
        <v>1.1456165259724014E-3</v>
      </c>
      <c r="O193" s="1">
        <v>0.30387122957040053</v>
      </c>
      <c r="P193" s="1">
        <v>0.30380641391709196</v>
      </c>
      <c r="Q193" s="2">
        <v>3.0380641391709196</v>
      </c>
      <c r="S193" s="2">
        <v>1.92</v>
      </c>
      <c r="T193" s="1">
        <f t="shared" si="46"/>
        <v>1.2022644346174125E-2</v>
      </c>
      <c r="U193" s="1">
        <f t="shared" si="47"/>
        <v>8.4008140881369797E-13</v>
      </c>
      <c r="V193" s="1">
        <f t="shared" si="48"/>
        <v>-1.2009095726638228E-2</v>
      </c>
      <c r="W193" s="1">
        <f t="shared" si="49"/>
        <v>3.7336365242212739E-2</v>
      </c>
      <c r="X193" s="1">
        <f t="shared" si="50"/>
        <v>0.99978378817717517</v>
      </c>
      <c r="Y193" s="1">
        <f t="shared" si="51"/>
        <v>1.1916437782943297</v>
      </c>
      <c r="Z193" s="1">
        <f t="shared" si="52"/>
        <v>59.582188914716475</v>
      </c>
      <c r="AB193">
        <v>3.23</v>
      </c>
      <c r="AC193">
        <v>5.8884365535558883E-4</v>
      </c>
      <c r="AD193">
        <v>1.7152260889863622E-11</v>
      </c>
      <c r="AE193">
        <v>-2.9620947620543486E-4</v>
      </c>
      <c r="AF193">
        <v>3.3432069825401811E-2</v>
      </c>
      <c r="AG193">
        <v>0.99560397685146051</v>
      </c>
      <c r="AH193">
        <v>1.00444973240761</v>
      </c>
      <c r="AI193">
        <v>50.222486620380501</v>
      </c>
      <c r="AJ193"/>
      <c r="AK193"/>
      <c r="AL193"/>
      <c r="AM193"/>
      <c r="AN193"/>
      <c r="AO193"/>
      <c r="AP193"/>
      <c r="AQ193"/>
      <c r="AR193"/>
    </row>
    <row r="194" spans="1:44" ht="15" customHeight="1" x14ac:dyDescent="0.3">
      <c r="A194" s="2">
        <v>1.93</v>
      </c>
      <c r="B194" s="1">
        <f t="shared" si="40"/>
        <v>1.1748975549395293E-2</v>
      </c>
      <c r="C194" s="1">
        <f t="shared" si="41"/>
        <v>8.5964941858440034E-13</v>
      </c>
      <c r="D194" s="1">
        <f t="shared" si="42"/>
        <v>3.4097544826194176E-2</v>
      </c>
      <c r="E194" s="1">
        <f t="shared" si="43"/>
        <v>-2.3495908043656959E-3</v>
      </c>
      <c r="F194" s="1">
        <f t="shared" si="44"/>
        <v>4.5706729760851526E-5</v>
      </c>
      <c r="G194" s="1">
        <f t="shared" si="45"/>
        <v>-0.52564515049347904</v>
      </c>
      <c r="H194" s="1">
        <f t="shared" si="53"/>
        <v>-5.2564515049347902</v>
      </c>
      <c r="J194" s="2">
        <v>5.92</v>
      </c>
      <c r="K194" s="1">
        <v>1.2022644346174125E-6</v>
      </c>
      <c r="L194" s="1">
        <v>8.4008140881369799E-9</v>
      </c>
      <c r="M194" s="1">
        <v>1.3022010473237484E-2</v>
      </c>
      <c r="N194" s="1">
        <v>1.1629982544604193E-3</v>
      </c>
      <c r="O194" s="1">
        <v>0.30876384758523689</v>
      </c>
      <c r="P194" s="1">
        <v>0.3087004689416154</v>
      </c>
      <c r="Q194" s="2">
        <v>3.0870046894161538</v>
      </c>
      <c r="S194" s="2">
        <v>1.93</v>
      </c>
      <c r="T194" s="1">
        <f t="shared" si="46"/>
        <v>1.1748975549395293E-2</v>
      </c>
      <c r="U194" s="1">
        <f t="shared" si="47"/>
        <v>8.5964941858440034E-13</v>
      </c>
      <c r="V194" s="1">
        <f t="shared" si="48"/>
        <v>-1.1735091204238959E-2</v>
      </c>
      <c r="W194" s="1">
        <f t="shared" si="49"/>
        <v>3.7245030401412992E-2</v>
      </c>
      <c r="X194" s="1">
        <f t="shared" si="50"/>
        <v>0.99977875307110342</v>
      </c>
      <c r="Y194" s="1">
        <f t="shared" si="51"/>
        <v>1.1869985959566647</v>
      </c>
      <c r="Z194" s="1">
        <f t="shared" si="52"/>
        <v>59.349929797833241</v>
      </c>
      <c r="AB194">
        <v>3.24</v>
      </c>
      <c r="AC194">
        <v>5.7543993733715632E-4</v>
      </c>
      <c r="AD194">
        <v>1.7551788370368709E-11</v>
      </c>
      <c r="AE194">
        <v>-2.7598977626884828E-4</v>
      </c>
      <c r="AF194">
        <v>3.342532992542295E-2</v>
      </c>
      <c r="AG194">
        <v>0.99550204089361483</v>
      </c>
      <c r="AH194">
        <v>1.0041455673150115</v>
      </c>
      <c r="AI194">
        <v>50.207278365750575</v>
      </c>
      <c r="AJ194"/>
      <c r="AK194"/>
      <c r="AL194"/>
      <c r="AM194"/>
      <c r="AN194"/>
      <c r="AO194"/>
      <c r="AP194"/>
      <c r="AQ194"/>
      <c r="AR194"/>
    </row>
    <row r="195" spans="1:44" ht="15" customHeight="1" x14ac:dyDescent="0.3">
      <c r="A195" s="2">
        <v>1.94</v>
      </c>
      <c r="B195" s="1">
        <f t="shared" ref="B195:B258" si="54">10^(-A195)</f>
        <v>1.1481536214968826E-2</v>
      </c>
      <c r="C195" s="1">
        <f t="shared" ref="C195:C258" si="55">Kw/B195</f>
        <v>8.7967322585564147E-13</v>
      </c>
      <c r="D195" s="1">
        <f t="shared" ref="D195:D258" si="56">((WASB_Ca*WASB_Va)-(WASB_Cb*H195))/(WASB_Va+H195)</f>
        <v>3.3776592075174597E-2</v>
      </c>
      <c r="E195" s="1">
        <f t="shared" ref="E195:E258" si="57">(WASB_Ca*H195)/(WASB_Va+H195)</f>
        <v>-2.2960986791957664E-3</v>
      </c>
      <c r="F195" s="1">
        <f t="shared" ref="F195:F258" si="58">WASB_Ka/(B195+WASB_Ka)</f>
        <v>4.6771326469420369E-5</v>
      </c>
      <c r="G195" s="1">
        <f t="shared" ref="G195:G258" si="59">(F195-((B195-C195)/WASB_Ca)) / (1 + ((B195-C195)/WASB_Cb))</f>
        <v>-0.51491041375283952</v>
      </c>
      <c r="H195" s="1">
        <f t="shared" si="53"/>
        <v>-5.1491041375283952</v>
      </c>
      <c r="J195" s="2">
        <v>5.93</v>
      </c>
      <c r="K195" s="1">
        <v>1.1748975549395291E-6</v>
      </c>
      <c r="L195" s="1">
        <v>8.5964941858440049E-9</v>
      </c>
      <c r="M195" s="1">
        <v>1.2916993225659966E-2</v>
      </c>
      <c r="N195" s="1">
        <v>1.1805011290566721E-3</v>
      </c>
      <c r="O195" s="1">
        <v>0.31369974231668751</v>
      </c>
      <c r="P195" s="1">
        <v>0.31363776930301956</v>
      </c>
      <c r="Q195" s="2">
        <v>3.1363776930301954</v>
      </c>
      <c r="S195" s="2">
        <v>1.94</v>
      </c>
      <c r="T195" s="1">
        <f t="shared" ref="T195:T258" si="60">10^-S195</f>
        <v>1.1481536214968826E-2</v>
      </c>
      <c r="U195" s="1">
        <f t="shared" ref="U195:U258" si="61">Kw/T195</f>
        <v>8.7967322585564147E-13</v>
      </c>
      <c r="V195" s="1">
        <f t="shared" ref="V195:V258" si="62">((SAWB_Cb*SAWB_Vb)-(SAWB_Ca*Z195))/(Z195+SAWB_Vb)</f>
        <v>-1.1467308326471682E-2</v>
      </c>
      <c r="W195" s="1">
        <f t="shared" ref="W195:W258" si="63">(SAWB_Cb*Z195)/(Z195+SAWB_Vb)</f>
        <v>3.7155769442157226E-2</v>
      </c>
      <c r="X195" s="1">
        <f t="shared" ref="X195:X258" si="64">T195/(T195+SAWB_Ka)</f>
        <v>0.99977360073484578</v>
      </c>
      <c r="Y195" s="1">
        <f t="shared" ref="Y195:Y258" si="65">(X195+((T195-U195)/SAWB_Cb))/(1-((T195-U195)/SAWB_Ca))</f>
        <v>1.1824719345703023</v>
      </c>
      <c r="Z195" s="1">
        <f t="shared" ref="Z195:Z258" si="66">(Y195*SAWB_Cb*SAWB_Vb)/SAWB_Ca</f>
        <v>59.123596728515118</v>
      </c>
      <c r="AB195">
        <v>3.25</v>
      </c>
      <c r="AC195">
        <v>5.6234132519034856E-4</v>
      </c>
      <c r="AD195">
        <v>1.7960622041393135E-11</v>
      </c>
      <c r="AE195">
        <v>-2.559173822134049E-4</v>
      </c>
      <c r="AF195">
        <v>3.3418639127404469E-2</v>
      </c>
      <c r="AG195">
        <v>0.99539775214864323</v>
      </c>
      <c r="AH195">
        <v>1.0038436790546097</v>
      </c>
      <c r="AI195">
        <v>50.192183952730481</v>
      </c>
      <c r="AJ195"/>
      <c r="AK195"/>
      <c r="AL195"/>
      <c r="AM195"/>
      <c r="AN195"/>
      <c r="AO195"/>
      <c r="AP195"/>
      <c r="AQ195"/>
      <c r="AR195"/>
    </row>
    <row r="196" spans="1:44" ht="15" customHeight="1" x14ac:dyDescent="0.3">
      <c r="A196" s="2">
        <v>1.95</v>
      </c>
      <c r="B196" s="1">
        <f t="shared" si="54"/>
        <v>1.1220184543019634E-2</v>
      </c>
      <c r="C196" s="1">
        <f t="shared" si="55"/>
        <v>9.0016344751508294E-13</v>
      </c>
      <c r="D196" s="1">
        <f t="shared" si="56"/>
        <v>3.3462943924066187E-2</v>
      </c>
      <c r="E196" s="1">
        <f t="shared" si="57"/>
        <v>-2.2438239873443636E-3</v>
      </c>
      <c r="F196" s="1">
        <f t="shared" si="58"/>
        <v>4.7860718474253615E-5</v>
      </c>
      <c r="G196" s="1">
        <f t="shared" si="59"/>
        <v>-0.50437010934383153</v>
      </c>
      <c r="H196" s="1">
        <f t="shared" ref="H196:H259" si="67">G196*(WASB_Va * WASB_Ca)/WASB_Cb</f>
        <v>-5.0437010934383153</v>
      </c>
      <c r="J196" s="2">
        <v>5.94</v>
      </c>
      <c r="K196" s="1">
        <v>1.1481536214968806E-6</v>
      </c>
      <c r="L196" s="1">
        <v>8.7967322585564298E-9</v>
      </c>
      <c r="M196" s="1">
        <v>1.2811269557255959E-2</v>
      </c>
      <c r="N196" s="1">
        <v>1.1981217404573403E-3</v>
      </c>
      <c r="O196" s="1">
        <v>0.31867816483360661</v>
      </c>
      <c r="P196" s="1">
        <v>0.31861756679794706</v>
      </c>
      <c r="Q196" s="2">
        <v>3.1861756679794704</v>
      </c>
      <c r="S196" s="2">
        <v>1.95</v>
      </c>
      <c r="T196" s="1">
        <f t="shared" si="60"/>
        <v>1.1220184543019634E-2</v>
      </c>
      <c r="U196" s="1">
        <f t="shared" si="61"/>
        <v>9.0016344751508294E-13</v>
      </c>
      <c r="V196" s="1">
        <f t="shared" si="62"/>
        <v>-1.1205605111473149E-2</v>
      </c>
      <c r="W196" s="1">
        <f t="shared" si="63"/>
        <v>3.7068535037157721E-2</v>
      </c>
      <c r="X196" s="1">
        <f t="shared" si="64"/>
        <v>0.99976832844023389</v>
      </c>
      <c r="Y196" s="1">
        <f t="shared" si="65"/>
        <v>1.1780604522410127</v>
      </c>
      <c r="Z196" s="1">
        <f t="shared" si="66"/>
        <v>58.903022612050634</v>
      </c>
      <c r="AB196">
        <v>3.26</v>
      </c>
      <c r="AC196">
        <v>5.4954087385762466E-4</v>
      </c>
      <c r="AD196">
        <v>1.8378978671960827E-11</v>
      </c>
      <c r="AE196">
        <v>-2.3598171859697971E-4</v>
      </c>
      <c r="AF196">
        <v>3.3411993906198992E-2</v>
      </c>
      <c r="AG196">
        <v>0.99529105682425822</v>
      </c>
      <c r="AH196">
        <v>1.0035439072655901</v>
      </c>
      <c r="AI196">
        <v>50.177195363279502</v>
      </c>
      <c r="AJ196"/>
      <c r="AK196"/>
      <c r="AL196"/>
      <c r="AM196"/>
      <c r="AN196"/>
      <c r="AO196"/>
      <c r="AP196"/>
      <c r="AQ196"/>
      <c r="AR196"/>
    </row>
    <row r="197" spans="1:44" ht="15" customHeight="1" x14ac:dyDescent="0.3">
      <c r="A197" s="2">
        <v>1.96</v>
      </c>
      <c r="B197" s="1">
        <f t="shared" si="54"/>
        <v>1.0964781961431851E-2</v>
      </c>
      <c r="C197" s="1">
        <f t="shared" si="55"/>
        <v>9.2113094774946882E-13</v>
      </c>
      <c r="D197" s="1">
        <f t="shared" si="56"/>
        <v>3.3156434072472311E-2</v>
      </c>
      <c r="E197" s="1">
        <f t="shared" si="57"/>
        <v>-2.1927390120787191E-3</v>
      </c>
      <c r="F197" s="1">
        <f t="shared" si="58"/>
        <v>4.8975483221409573E-5</v>
      </c>
      <c r="G197" s="1">
        <f t="shared" si="59"/>
        <v>-0.49402171829382785</v>
      </c>
      <c r="H197" s="1">
        <f t="shared" si="67"/>
        <v>-4.9402171829382784</v>
      </c>
      <c r="J197" s="2">
        <v>5.95</v>
      </c>
      <c r="K197" s="1">
        <v>1.1220184543019616E-6</v>
      </c>
      <c r="L197" s="1">
        <v>9.0016344751508437E-9</v>
      </c>
      <c r="M197" s="1">
        <v>1.2704860578331815E-2</v>
      </c>
      <c r="N197" s="1">
        <v>1.2158565702780309E-3</v>
      </c>
      <c r="O197" s="1">
        <v>0.32369833050726338</v>
      </c>
      <c r="P197" s="1">
        <v>0.32363907750890386</v>
      </c>
      <c r="Q197" s="2">
        <v>3.2363907750890384</v>
      </c>
      <c r="S197" s="2">
        <v>1.96</v>
      </c>
      <c r="T197" s="1">
        <f t="shared" si="60"/>
        <v>1.0964781961431851E-2</v>
      </c>
      <c r="U197" s="1">
        <f t="shared" si="61"/>
        <v>9.2113094774946882E-13</v>
      </c>
      <c r="V197" s="1">
        <f t="shared" si="62"/>
        <v>-1.0949842800905567E-2</v>
      </c>
      <c r="W197" s="1">
        <f t="shared" si="63"/>
        <v>3.698328093363519E-2</v>
      </c>
      <c r="X197" s="1">
        <f t="shared" si="64"/>
        <v>0.9997629333956688</v>
      </c>
      <c r="Y197" s="1">
        <f t="shared" si="65"/>
        <v>1.1737609155655018</v>
      </c>
      <c r="Z197" s="1">
        <f t="shared" si="66"/>
        <v>58.68804577827509</v>
      </c>
      <c r="AB197">
        <v>3.27</v>
      </c>
      <c r="AC197">
        <v>5.3703179637025239E-4</v>
      </c>
      <c r="AD197">
        <v>1.8807080080294973E-11</v>
      </c>
      <c r="AE197">
        <v>-2.1617228562115844E-4</v>
      </c>
      <c r="AF197">
        <v>3.3405390761873717E-2</v>
      </c>
      <c r="AG197">
        <v>0.99518189992233885</v>
      </c>
      <c r="AH197">
        <v>1.0032460928608826</v>
      </c>
      <c r="AI197">
        <v>50.162304643044138</v>
      </c>
      <c r="AJ197"/>
      <c r="AK197"/>
      <c r="AL197"/>
      <c r="AM197"/>
      <c r="AN197"/>
      <c r="AO197"/>
      <c r="AP197"/>
      <c r="AQ197"/>
      <c r="AR197"/>
    </row>
    <row r="198" spans="1:44" ht="15" customHeight="1" x14ac:dyDescent="0.3">
      <c r="A198" s="2">
        <v>1.97</v>
      </c>
      <c r="B198" s="1">
        <f t="shared" si="54"/>
        <v>1.0715193052376056E-2</v>
      </c>
      <c r="C198" s="1">
        <f t="shared" si="55"/>
        <v>9.4258684380496159E-13</v>
      </c>
      <c r="D198" s="1">
        <f t="shared" si="56"/>
        <v>3.2856900004817467E-2</v>
      </c>
      <c r="E198" s="1">
        <f t="shared" si="57"/>
        <v>-2.1428166674695784E-3</v>
      </c>
      <c r="F198" s="1">
        <f t="shared" si="58"/>
        <v>5.0116211602181963E-5</v>
      </c>
      <c r="G198" s="1">
        <f t="shared" si="59"/>
        <v>-0.48386271260097413</v>
      </c>
      <c r="H198" s="1">
        <f t="shared" si="67"/>
        <v>-4.8386271260097411</v>
      </c>
      <c r="J198" s="2">
        <v>5.96</v>
      </c>
      <c r="K198" s="1">
        <v>1.0964781961431832E-6</v>
      </c>
      <c r="L198" s="1">
        <v>9.2113094774947035E-9</v>
      </c>
      <c r="M198" s="1">
        <v>1.2597788040725777E-2</v>
      </c>
      <c r="N198" s="1">
        <v>1.2337019932123707E-3</v>
      </c>
      <c r="O198" s="1">
        <v>0.3287594191841684</v>
      </c>
      <c r="P198" s="1">
        <v>0.32870148197746563</v>
      </c>
      <c r="Q198" s="2">
        <v>3.2870148197746563</v>
      </c>
      <c r="S198" s="2">
        <v>1.97</v>
      </c>
      <c r="T198" s="1">
        <f t="shared" si="60"/>
        <v>1.0715193052376056E-2</v>
      </c>
      <c r="U198" s="1">
        <f t="shared" si="61"/>
        <v>9.4258684380496159E-13</v>
      </c>
      <c r="V198" s="1">
        <f t="shared" si="62"/>
        <v>-1.0699885786385217E-2</v>
      </c>
      <c r="W198" s="1">
        <f t="shared" si="63"/>
        <v>3.6899961928795078E-2</v>
      </c>
      <c r="X198" s="1">
        <f t="shared" si="64"/>
        <v>0.99975741274464858</v>
      </c>
      <c r="Y198" s="1">
        <f t="shared" si="65"/>
        <v>1.1695701954143194</v>
      </c>
      <c r="Z198" s="1">
        <f t="shared" si="66"/>
        <v>58.478509770715966</v>
      </c>
      <c r="AB198">
        <v>3.28</v>
      </c>
      <c r="AC198">
        <v>5.2480746024977229E-4</v>
      </c>
      <c r="AD198">
        <v>1.9245153251428806E-11</v>
      </c>
      <c r="AE198">
        <v>-1.9647865371095943E-4</v>
      </c>
      <c r="AF198">
        <v>3.3398826217903653E-2</v>
      </c>
      <c r="AG198">
        <v>0.99507022521302857</v>
      </c>
      <c r="AH198">
        <v>1.0029500779423766</v>
      </c>
      <c r="AI198">
        <v>50.147503897118831</v>
      </c>
      <c r="AJ198"/>
      <c r="AK198"/>
      <c r="AL198"/>
      <c r="AM198"/>
      <c r="AN198"/>
      <c r="AO198"/>
      <c r="AP198"/>
      <c r="AQ198"/>
      <c r="AR198"/>
    </row>
    <row r="199" spans="1:44" ht="15" customHeight="1" x14ac:dyDescent="0.3">
      <c r="A199" s="2">
        <v>1.98</v>
      </c>
      <c r="B199" s="1">
        <f t="shared" si="54"/>
        <v>1.0471285480508989E-2</v>
      </c>
      <c r="C199" s="1">
        <f t="shared" si="55"/>
        <v>9.6454251188165087E-13</v>
      </c>
      <c r="D199" s="1">
        <f t="shared" si="56"/>
        <v>3.2564182904179388E-2</v>
      </c>
      <c r="E199" s="1">
        <f t="shared" si="57"/>
        <v>-2.094030484029898E-3</v>
      </c>
      <c r="F199" s="1">
        <f t="shared" si="58"/>
        <v>5.1283508266033967E-5</v>
      </c>
      <c r="G199" s="1">
        <f t="shared" si="59"/>
        <v>-0.47389055734840096</v>
      </c>
      <c r="H199" s="1">
        <f t="shared" si="67"/>
        <v>-4.7389055734840095</v>
      </c>
      <c r="J199" s="2">
        <v>5.97</v>
      </c>
      <c r="K199" s="1">
        <v>1.0715193052376047E-6</v>
      </c>
      <c r="L199" s="1">
        <v>9.4258684380496238E-9</v>
      </c>
      <c r="M199" s="1">
        <v>1.2490074323648055E-2</v>
      </c>
      <c r="N199" s="1">
        <v>1.2516542793919907E-3</v>
      </c>
      <c r="O199" s="1">
        <v>0.33386057541687814</v>
      </c>
      <c r="P199" s="1">
        <v>0.33380392543545429</v>
      </c>
      <c r="Q199" s="2">
        <v>3.3380392543545425</v>
      </c>
      <c r="S199" s="2">
        <v>1.98</v>
      </c>
      <c r="T199" s="1">
        <f t="shared" si="60"/>
        <v>1.0471285480508989E-2</v>
      </c>
      <c r="U199" s="1">
        <f t="shared" si="61"/>
        <v>9.6454251188165087E-13</v>
      </c>
      <c r="V199" s="1">
        <f t="shared" si="62"/>
        <v>-1.0455601537581693E-2</v>
      </c>
      <c r="W199" s="1">
        <f t="shared" si="63"/>
        <v>3.6818533845860563E-2</v>
      </c>
      <c r="X199" s="1">
        <f t="shared" si="64"/>
        <v>0.99975176356426287</v>
      </c>
      <c r="Y199" s="1">
        <f t="shared" si="65"/>
        <v>1.1654852629103902</v>
      </c>
      <c r="Z199" s="1">
        <f t="shared" si="66"/>
        <v>58.274263145519512</v>
      </c>
      <c r="AB199">
        <v>3.29</v>
      </c>
      <c r="AC199">
        <v>5.1286138399136462E-4</v>
      </c>
      <c r="AD199">
        <v>1.9693430457556266E-11</v>
      </c>
      <c r="AE199">
        <v>-1.7689045813882662E-4</v>
      </c>
      <c r="AF199">
        <v>3.3392296819379608E-2</v>
      </c>
      <c r="AG199">
        <v>0.99495597520833201</v>
      </c>
      <c r="AH199">
        <v>1.0026557057170873</v>
      </c>
      <c r="AI199">
        <v>50.132785285854361</v>
      </c>
      <c r="AJ199"/>
      <c r="AK199"/>
      <c r="AL199"/>
      <c r="AM199"/>
      <c r="AN199"/>
      <c r="AO199"/>
      <c r="AP199"/>
      <c r="AQ199"/>
      <c r="AR199"/>
    </row>
    <row r="200" spans="1:44" ht="15" customHeight="1" x14ac:dyDescent="0.3">
      <c r="A200" s="2">
        <v>1.99</v>
      </c>
      <c r="B200" s="1">
        <f t="shared" si="54"/>
        <v>1.0232929922807535E-2</v>
      </c>
      <c r="C200" s="1">
        <f t="shared" si="55"/>
        <v>9.8700959316536932E-13</v>
      </c>
      <c r="D200" s="1">
        <f t="shared" si="56"/>
        <v>3.2278127568082134E-2</v>
      </c>
      <c r="E200" s="1">
        <f t="shared" si="57"/>
        <v>-2.0463545946803564E-3</v>
      </c>
      <c r="F200" s="1">
        <f t="shared" si="58"/>
        <v>5.247799194081032E-5</v>
      </c>
      <c r="G200" s="1">
        <f t="shared" si="59"/>
        <v>-0.46410271273921372</v>
      </c>
      <c r="H200" s="1">
        <f t="shared" si="67"/>
        <v>-4.6410271273921371</v>
      </c>
      <c r="J200" s="2">
        <v>5.98</v>
      </c>
      <c r="K200" s="1">
        <v>1.0471285480508979E-6</v>
      </c>
      <c r="L200" s="1">
        <v>9.6454251188165172E-9</v>
      </c>
      <c r="M200" s="1">
        <v>1.238174241832176E-2</v>
      </c>
      <c r="N200" s="1">
        <v>1.2697095969463736E-3</v>
      </c>
      <c r="O200" s="1">
        <v>0.33900090875364197</v>
      </c>
      <c r="P200" s="1">
        <v>0.33894551809494922</v>
      </c>
      <c r="Q200" s="2">
        <v>3.3894551809494922</v>
      </c>
      <c r="S200" s="2">
        <v>1.99</v>
      </c>
      <c r="T200" s="1">
        <f t="shared" si="60"/>
        <v>1.0232929922807535E-2</v>
      </c>
      <c r="U200" s="1">
        <f t="shared" si="61"/>
        <v>9.8700959316536932E-13</v>
      </c>
      <c r="V200" s="1">
        <f t="shared" si="62"/>
        <v>-1.021686053194891E-2</v>
      </c>
      <c r="W200" s="1">
        <f t="shared" si="63"/>
        <v>3.6738953510649638E-2</v>
      </c>
      <c r="X200" s="1">
        <f t="shared" si="64"/>
        <v>0.99974598286365157</v>
      </c>
      <c r="Y200" s="1">
        <f t="shared" si="65"/>
        <v>1.1615031855925566</v>
      </c>
      <c r="Z200" s="1">
        <f t="shared" si="66"/>
        <v>58.075159279627833</v>
      </c>
      <c r="AB200">
        <v>3.3</v>
      </c>
      <c r="AC200">
        <v>5.0118723362727209E-4</v>
      </c>
      <c r="AD200">
        <v>2.0152149381185689E-11</v>
      </c>
      <c r="AE200">
        <v>-1.5739739368993301E-4</v>
      </c>
      <c r="AF200">
        <v>3.3385799131229979E-2</v>
      </c>
      <c r="AG200">
        <v>0.99483909113520019</v>
      </c>
      <c r="AH200">
        <v>1.0023628204142236</v>
      </c>
      <c r="AI200">
        <v>50.118141020711185</v>
      </c>
      <c r="AJ200"/>
      <c r="AK200"/>
      <c r="AL200"/>
      <c r="AM200"/>
      <c r="AN200"/>
      <c r="AO200"/>
      <c r="AP200"/>
      <c r="AQ200"/>
      <c r="AR200"/>
    </row>
    <row r="201" spans="1:44" ht="15" customHeight="1" x14ac:dyDescent="0.3">
      <c r="A201" s="2">
        <v>2</v>
      </c>
      <c r="B201" s="1">
        <f t="shared" si="54"/>
        <v>0.01</v>
      </c>
      <c r="C201" s="1">
        <f t="shared" si="55"/>
        <v>1.0099999999999999E-12</v>
      </c>
      <c r="D201" s="1">
        <f t="shared" si="56"/>
        <v>3.1998582326205831E-2</v>
      </c>
      <c r="E201" s="1">
        <f t="shared" si="57"/>
        <v>-1.9997637210343042E-3</v>
      </c>
      <c r="F201" s="1">
        <f t="shared" si="58"/>
        <v>5.3700295760395468E-5</v>
      </c>
      <c r="G201" s="1">
        <f t="shared" si="59"/>
        <v>-0.45449663605302731</v>
      </c>
      <c r="H201" s="1">
        <f t="shared" si="67"/>
        <v>-4.5449663605302728</v>
      </c>
      <c r="J201" s="2">
        <v>5.99</v>
      </c>
      <c r="K201" s="1">
        <v>1.0232929922807527E-6</v>
      </c>
      <c r="L201" s="1">
        <v>9.8700959316537015E-9</v>
      </c>
      <c r="M201" s="1">
        <v>1.2272815911437727E-2</v>
      </c>
      <c r="N201" s="1">
        <v>1.2878640147603788E-3</v>
      </c>
      <c r="O201" s="1">
        <v>0.34417949408760518</v>
      </c>
      <c r="P201" s="1">
        <v>0.34412533549784563</v>
      </c>
      <c r="Q201" s="2">
        <v>3.4412533549784561</v>
      </c>
      <c r="S201" s="2">
        <v>2</v>
      </c>
      <c r="T201" s="1">
        <f t="shared" si="60"/>
        <v>0.01</v>
      </c>
      <c r="U201" s="1">
        <f t="shared" si="61"/>
        <v>1.0099999999999999E-12</v>
      </c>
      <c r="V201" s="1">
        <f t="shared" si="62"/>
        <v>-9.983536186050827E-3</v>
      </c>
      <c r="W201" s="1">
        <f t="shared" si="63"/>
        <v>3.6661178728683609E-2</v>
      </c>
      <c r="X201" s="1">
        <f t="shared" si="64"/>
        <v>0.9997400675824285</v>
      </c>
      <c r="Y201" s="1">
        <f t="shared" si="65"/>
        <v>1.1576211237541922</v>
      </c>
      <c r="Z201" s="1">
        <f t="shared" si="66"/>
        <v>57.881056187709611</v>
      </c>
      <c r="AB201">
        <v>3.31</v>
      </c>
      <c r="AC201">
        <v>4.8977881936844566E-4</v>
      </c>
      <c r="AD201">
        <v>2.0621553241162266E-11</v>
      </c>
      <c r="AE201">
        <v>-1.3798920936653909E-4</v>
      </c>
      <c r="AF201">
        <v>3.3379329736455514E-2</v>
      </c>
      <c r="AG201">
        <v>0.99471951290810012</v>
      </c>
      <c r="AH201">
        <v>1.0020712672031167</v>
      </c>
      <c r="AI201">
        <v>50.103563360155839</v>
      </c>
      <c r="AJ201"/>
      <c r="AK201"/>
      <c r="AL201"/>
      <c r="AM201"/>
      <c r="AN201"/>
      <c r="AO201"/>
      <c r="AP201"/>
      <c r="AQ201"/>
      <c r="AR201"/>
    </row>
    <row r="202" spans="1:44" ht="15" customHeight="1" x14ac:dyDescent="0.3">
      <c r="A202" s="2">
        <v>2.0099999999999998</v>
      </c>
      <c r="B202" s="1">
        <f t="shared" si="54"/>
        <v>9.7723722095581049E-3</v>
      </c>
      <c r="C202" s="1">
        <f t="shared" si="55"/>
        <v>1.0335259222035619E-12</v>
      </c>
      <c r="D202" s="1">
        <f t="shared" si="56"/>
        <v>3.1725398959968912E-2</v>
      </c>
      <c r="E202" s="1">
        <f t="shared" si="57"/>
        <v>-1.9542331599948191E-3</v>
      </c>
      <c r="F202" s="1">
        <f t="shared" si="58"/>
        <v>5.4951067599991607E-5</v>
      </c>
      <c r="G202" s="1">
        <f t="shared" si="59"/>
        <v>-0.44506978352490101</v>
      </c>
      <c r="H202" s="1">
        <f t="shared" si="67"/>
        <v>-4.4506978352490094</v>
      </c>
      <c r="J202" s="2">
        <v>6</v>
      </c>
      <c r="K202" s="1">
        <v>9.9999999999999995E-7</v>
      </c>
      <c r="L202" s="1">
        <v>1.0099999999999999E-8</v>
      </c>
      <c r="M202" s="1">
        <v>1.2163318967439924E-2</v>
      </c>
      <c r="N202" s="1">
        <v>1.3061135054266797E-3</v>
      </c>
      <c r="O202" s="1">
        <v>0.34939537206612731</v>
      </c>
      <c r="P202" s="1">
        <v>0.34934241892552237</v>
      </c>
      <c r="Q202" s="2">
        <v>3.4934241892552236</v>
      </c>
      <c r="S202" s="2">
        <v>2.0099999999999998</v>
      </c>
      <c r="T202" s="1">
        <f t="shared" si="60"/>
        <v>9.7723722095581049E-3</v>
      </c>
      <c r="U202" s="1">
        <f t="shared" si="61"/>
        <v>1.0335259222035619E-12</v>
      </c>
      <c r="V202" s="1">
        <f t="shared" si="62"/>
        <v>-9.7555047884458363E-3</v>
      </c>
      <c r="W202" s="1">
        <f t="shared" si="63"/>
        <v>3.6585168262815278E-2</v>
      </c>
      <c r="X202" s="1">
        <f t="shared" si="64"/>
        <v>0.99973401458906885</v>
      </c>
      <c r="Y202" s="1">
        <f t="shared" si="65"/>
        <v>1.1538363269475564</v>
      </c>
      <c r="Z202" s="1">
        <f t="shared" si="66"/>
        <v>57.691816347377824</v>
      </c>
      <c r="AB202">
        <v>3.32</v>
      </c>
      <c r="AC202">
        <v>4.7863009232263827E-4</v>
      </c>
      <c r="AD202">
        <v>2.11018909216258E-11</v>
      </c>
      <c r="AE202">
        <v>-1.1865570312889919E-4</v>
      </c>
      <c r="AF202">
        <v>3.3372885234376301E-2</v>
      </c>
      <c r="AG202">
        <v>0.99459717910105905</v>
      </c>
      <c r="AH202">
        <v>1.0017808921119622</v>
      </c>
      <c r="AI202">
        <v>50.089044605598104</v>
      </c>
      <c r="AJ202"/>
      <c r="AK202"/>
      <c r="AL202"/>
      <c r="AM202"/>
      <c r="AN202"/>
      <c r="AO202"/>
      <c r="AP202"/>
      <c r="AQ202"/>
      <c r="AR202"/>
    </row>
    <row r="203" spans="1:44" ht="15" customHeight="1" x14ac:dyDescent="0.3">
      <c r="A203" s="2">
        <v>2.02</v>
      </c>
      <c r="B203" s="1">
        <f t="shared" si="54"/>
        <v>9.5499258602143571E-3</v>
      </c>
      <c r="C203" s="1">
        <f t="shared" si="55"/>
        <v>1.0575998335314087E-12</v>
      </c>
      <c r="D203" s="1">
        <f t="shared" si="56"/>
        <v>3.1458432623940859E-2</v>
      </c>
      <c r="E203" s="1">
        <f t="shared" si="57"/>
        <v>-1.9097387706568105E-3</v>
      </c>
      <c r="F203" s="1">
        <f t="shared" si="58"/>
        <v>5.6230970419192671E-5</v>
      </c>
      <c r="G203" s="1">
        <f t="shared" si="59"/>
        <v>-0.4358196121476533</v>
      </c>
      <c r="H203" s="1">
        <f t="shared" si="67"/>
        <v>-4.3581961214765323</v>
      </c>
      <c r="J203" s="2">
        <v>6.01</v>
      </c>
      <c r="K203" s="1">
        <v>9.7723722095580961E-7</v>
      </c>
      <c r="L203" s="1">
        <v>1.0335259222035628E-8</v>
      </c>
      <c r="M203" s="1">
        <v>1.2053276309661994E-2</v>
      </c>
      <c r="N203" s="1">
        <v>1.3244539483896673E-3</v>
      </c>
      <c r="O203" s="1">
        <v>0.35464754956061767</v>
      </c>
      <c r="P203" s="1">
        <v>0.3545957758690178</v>
      </c>
      <c r="Q203" s="2">
        <v>3.5459577586901778</v>
      </c>
      <c r="S203" s="2">
        <v>2.02</v>
      </c>
      <c r="T203" s="1">
        <f t="shared" si="60"/>
        <v>9.5499258602143571E-3</v>
      </c>
      <c r="U203" s="1">
        <f t="shared" si="61"/>
        <v>1.0575998335314087E-12</v>
      </c>
      <c r="V203" s="1">
        <f t="shared" si="62"/>
        <v>-9.5326454340936874E-3</v>
      </c>
      <c r="W203" s="1">
        <f t="shared" si="63"/>
        <v>3.6510881811364568E-2</v>
      </c>
      <c r="X203" s="1">
        <f t="shared" si="64"/>
        <v>0.99972782067925836</v>
      </c>
      <c r="Y203" s="1">
        <f t="shared" si="65"/>
        <v>1.15014613064511</v>
      </c>
      <c r="Z203" s="1">
        <f t="shared" si="66"/>
        <v>57.507306532255498</v>
      </c>
      <c r="AB203">
        <v>3.33</v>
      </c>
      <c r="AC203">
        <v>4.677351412871977E-4</v>
      </c>
      <c r="AD203">
        <v>2.1593417103972565E-11</v>
      </c>
      <c r="AE203">
        <v>-9.9386716670467397E-5</v>
      </c>
      <c r="AF203">
        <v>3.3366462238890157E-2</v>
      </c>
      <c r="AG203">
        <v>0.99447202691917846</v>
      </c>
      <c r="AH203">
        <v>1.0014915419473416</v>
      </c>
      <c r="AI203">
        <v>50.074577097367076</v>
      </c>
      <c r="AJ203"/>
      <c r="AK203"/>
      <c r="AL203"/>
      <c r="AM203"/>
      <c r="AN203"/>
      <c r="AO203"/>
      <c r="AP203"/>
      <c r="AQ203"/>
      <c r="AR203"/>
    </row>
    <row r="204" spans="1:44" ht="15" customHeight="1" x14ac:dyDescent="0.3">
      <c r="A204" s="2">
        <v>2.0299999999999998</v>
      </c>
      <c r="B204" s="1">
        <f t="shared" si="54"/>
        <v>9.3325430079699099E-3</v>
      </c>
      <c r="C204" s="1">
        <f t="shared" si="55"/>
        <v>1.0822344982899825E-12</v>
      </c>
      <c r="D204" s="1">
        <f t="shared" si="56"/>
        <v>3.1197541769043102E-2</v>
      </c>
      <c r="E204" s="1">
        <f t="shared" si="57"/>
        <v>-1.8662569615071837E-3</v>
      </c>
      <c r="F204" s="1">
        <f t="shared" si="58"/>
        <v>5.7540682613035949E-5</v>
      </c>
      <c r="G204" s="1">
        <f t="shared" si="59"/>
        <v>-0.42674358139861246</v>
      </c>
      <c r="H204" s="1">
        <f t="shared" si="67"/>
        <v>-4.2674358139861246</v>
      </c>
      <c r="J204" s="2">
        <v>6.02</v>
      </c>
      <c r="K204" s="1">
        <v>9.5499258602143498E-7</v>
      </c>
      <c r="L204" s="1">
        <v>1.0575998335314095E-8</v>
      </c>
      <c r="M204" s="1">
        <v>1.1942713200339281E-2</v>
      </c>
      <c r="N204" s="1">
        <v>1.3428811332767865E-3</v>
      </c>
      <c r="O204" s="1">
        <v>0.359935000197115</v>
      </c>
      <c r="P204" s="1">
        <v>0.35988438055994421</v>
      </c>
      <c r="Q204" s="2">
        <v>3.5988438055994418</v>
      </c>
      <c r="S204" s="2">
        <v>2.0299999999999998</v>
      </c>
      <c r="T204" s="1">
        <f t="shared" si="60"/>
        <v>9.3325430079699099E-3</v>
      </c>
      <c r="U204" s="1">
        <f t="shared" si="61"/>
        <v>1.0822344982899825E-12</v>
      </c>
      <c r="V204" s="1">
        <f t="shared" si="62"/>
        <v>-9.3148399602505372E-3</v>
      </c>
      <c r="W204" s="1">
        <f t="shared" si="63"/>
        <v>3.6438279986750179E-2</v>
      </c>
      <c r="X204" s="1">
        <f t="shared" si="64"/>
        <v>0.99972148257420579</v>
      </c>
      <c r="Y204" s="1">
        <f t="shared" si="65"/>
        <v>1.1465479530495526</v>
      </c>
      <c r="Z204" s="1">
        <f t="shared" si="66"/>
        <v>57.327397652477622</v>
      </c>
      <c r="AB204">
        <v>3.34</v>
      </c>
      <c r="AC204">
        <v>4.5708818961487499E-4</v>
      </c>
      <c r="AD204">
        <v>2.2096392401890481E-11</v>
      </c>
      <c r="AE204">
        <v>-8.0172130224526221E-5</v>
      </c>
      <c r="AF204">
        <v>3.3360057376741505E-2</v>
      </c>
      <c r="AG204">
        <v>0.994343992169609</v>
      </c>
      <c r="AH204">
        <v>1.0012030642144722</v>
      </c>
      <c r="AI204">
        <v>50.060153210723612</v>
      </c>
      <c r="AJ204"/>
      <c r="AK204"/>
      <c r="AL204"/>
      <c r="AM204"/>
      <c r="AN204"/>
      <c r="AO204"/>
      <c r="AP204"/>
      <c r="AQ204"/>
      <c r="AR204"/>
    </row>
    <row r="205" spans="1:44" ht="15" customHeight="1" x14ac:dyDescent="0.3">
      <c r="A205" s="2">
        <v>2.04</v>
      </c>
      <c r="B205" s="1">
        <f t="shared" si="54"/>
        <v>9.1201083935590881E-3</v>
      </c>
      <c r="C205" s="1">
        <f t="shared" si="55"/>
        <v>1.1074429781046179E-12</v>
      </c>
      <c r="D205" s="1">
        <f t="shared" si="56"/>
        <v>3.0942588067497879E-2</v>
      </c>
      <c r="E205" s="1">
        <f t="shared" si="57"/>
        <v>-1.8237646779163134E-3</v>
      </c>
      <c r="F205" s="1">
        <f t="shared" si="58"/>
        <v>5.8880898371216175E-5</v>
      </c>
      <c r="G205" s="1">
        <f t="shared" si="59"/>
        <v>-0.41783915489196033</v>
      </c>
      <c r="H205" s="1">
        <f t="shared" si="67"/>
        <v>-4.1783915489196026</v>
      </c>
      <c r="J205" s="2">
        <v>6.03</v>
      </c>
      <c r="K205" s="1">
        <v>9.3325430079699009E-7</v>
      </c>
      <c r="L205" s="1">
        <v>1.0822344982899836E-8</v>
      </c>
      <c r="M205" s="1">
        <v>1.1831655419524193E-2</v>
      </c>
      <c r="N205" s="1">
        <v>1.3613907634126344E-3</v>
      </c>
      <c r="O205" s="1">
        <v>0.36525666494768333</v>
      </c>
      <c r="P205" s="1">
        <v>0.36520717456220952</v>
      </c>
      <c r="Q205" s="2">
        <v>3.652071745622095</v>
      </c>
      <c r="S205" s="2">
        <v>2.04</v>
      </c>
      <c r="T205" s="1">
        <f t="shared" si="60"/>
        <v>9.1201083935590881E-3</v>
      </c>
      <c r="U205" s="1">
        <f t="shared" si="61"/>
        <v>1.1074429781046179E-12</v>
      </c>
      <c r="V205" s="1">
        <f t="shared" si="62"/>
        <v>-9.1019728838179614E-3</v>
      </c>
      <c r="W205" s="1">
        <f t="shared" si="63"/>
        <v>3.6367324294605992E-2</v>
      </c>
      <c r="X205" s="1">
        <f t="shared" si="64"/>
        <v>0.99971499691891541</v>
      </c>
      <c r="Y205" s="1">
        <f t="shared" si="65"/>
        <v>1.1430392920448322</v>
      </c>
      <c r="Z205" s="1">
        <f t="shared" si="66"/>
        <v>57.151964602241613</v>
      </c>
      <c r="AB205">
        <v>3.35</v>
      </c>
      <c r="AC205">
        <v>4.4668359215096267E-4</v>
      </c>
      <c r="AD205">
        <v>2.2611083499540251E-11</v>
      </c>
      <c r="AE205">
        <v>-6.1001857400484752E-5</v>
      </c>
      <c r="AF205">
        <v>3.3353667285800158E-2</v>
      </c>
      <c r="AG205">
        <v>0.99421300923198108</v>
      </c>
      <c r="AH205">
        <v>1.0009153070381542</v>
      </c>
      <c r="AI205">
        <v>50.045765351907718</v>
      </c>
      <c r="AJ205"/>
      <c r="AK205"/>
      <c r="AL205"/>
      <c r="AM205"/>
      <c r="AN205"/>
      <c r="AO205"/>
      <c r="AP205"/>
      <c r="AQ205"/>
      <c r="AR205"/>
    </row>
    <row r="206" spans="1:44" ht="15" customHeight="1" x14ac:dyDescent="0.3">
      <c r="A206" s="2">
        <v>2.0499999999999998</v>
      </c>
      <c r="B206" s="1">
        <f t="shared" si="54"/>
        <v>8.9125093813374554E-3</v>
      </c>
      <c r="C206" s="1">
        <f t="shared" si="55"/>
        <v>1.1332386388449829E-12</v>
      </c>
      <c r="D206" s="1">
        <f t="shared" si="56"/>
        <v>3.0693436339485108E-2</v>
      </c>
      <c r="E206" s="1">
        <f t="shared" si="57"/>
        <v>-1.7822393899141846E-3</v>
      </c>
      <c r="F206" s="1">
        <f t="shared" si="58"/>
        <v>6.0252328045651026E-5</v>
      </c>
      <c r="G206" s="1">
        <f t="shared" si="59"/>
        <v>-0.40910380195789559</v>
      </c>
      <c r="H206" s="1">
        <f t="shared" si="67"/>
        <v>-4.0910380195789555</v>
      </c>
      <c r="J206" s="2">
        <v>6.04</v>
      </c>
      <c r="K206" s="1">
        <v>9.12010839355909E-7</v>
      </c>
      <c r="L206" s="1">
        <v>1.1074429781046177E-8</v>
      </c>
      <c r="M206" s="1">
        <v>1.1720129242936842E-2</v>
      </c>
      <c r="N206" s="1">
        <v>1.3799784595105267E-3</v>
      </c>
      <c r="O206" s="1">
        <v>0.3706114527824978</v>
      </c>
      <c r="P206" s="1">
        <v>0.37056306742442424</v>
      </c>
      <c r="Q206" s="2">
        <v>3.7056306742442424</v>
      </c>
      <c r="S206" s="2">
        <v>2.0499999999999998</v>
      </c>
      <c r="T206" s="1">
        <f t="shared" si="60"/>
        <v>8.9125093813374554E-3</v>
      </c>
      <c r="U206" s="1">
        <f t="shared" si="61"/>
        <v>1.1332386388449829E-12</v>
      </c>
      <c r="V206" s="1">
        <f t="shared" si="62"/>
        <v>-8.8939313401128779E-3</v>
      </c>
      <c r="W206" s="1">
        <f t="shared" si="63"/>
        <v>3.6297977113370961E-2</v>
      </c>
      <c r="X206" s="1">
        <f t="shared" si="64"/>
        <v>0.99970836028041976</v>
      </c>
      <c r="Y206" s="1">
        <f t="shared" si="65"/>
        <v>1.1396177222808366</v>
      </c>
      <c r="Z206" s="1">
        <f t="shared" si="66"/>
        <v>56.98088611404183</v>
      </c>
      <c r="AB206">
        <v>3.36</v>
      </c>
      <c r="AC206">
        <v>4.3651583224016562E-4</v>
      </c>
      <c r="AD206">
        <v>2.3137763292954523E-11</v>
      </c>
      <c r="AE206">
        <v>-4.1865840047052414E-5</v>
      </c>
      <c r="AF206">
        <v>3.334728861334902E-2</v>
      </c>
      <c r="AG206">
        <v>0.99407901102828378</v>
      </c>
      <c r="AH206">
        <v>1.0006281190843713</v>
      </c>
      <c r="AI206">
        <v>50.031405954218563</v>
      </c>
      <c r="AJ206"/>
      <c r="AK206"/>
      <c r="AL206"/>
      <c r="AM206"/>
      <c r="AN206"/>
      <c r="AO206"/>
      <c r="AP206"/>
      <c r="AQ206"/>
      <c r="AR206"/>
    </row>
    <row r="207" spans="1:44" ht="15" customHeight="1" x14ac:dyDescent="0.3">
      <c r="A207" s="2">
        <v>2.06</v>
      </c>
      <c r="B207" s="1">
        <f t="shared" si="54"/>
        <v>8.7096358995608011E-3</v>
      </c>
      <c r="C207" s="1">
        <f t="shared" si="55"/>
        <v>1.1596351577118522E-12</v>
      </c>
      <c r="D207" s="1">
        <f t="shared" si="56"/>
        <v>3.0449954481468134E-2</v>
      </c>
      <c r="E207" s="1">
        <f t="shared" si="57"/>
        <v>-1.7416590802446887E-3</v>
      </c>
      <c r="F207" s="1">
        <f t="shared" si="58"/>
        <v>6.1655698526593452E-5</v>
      </c>
      <c r="G207" s="1">
        <f t="shared" si="59"/>
        <v>-0.40053499914991025</v>
      </c>
      <c r="H207" s="1">
        <f t="shared" si="67"/>
        <v>-4.0053499914991022</v>
      </c>
      <c r="J207" s="2">
        <v>6.05</v>
      </c>
      <c r="K207" s="1">
        <v>8.9125093813374487E-7</v>
      </c>
      <c r="L207" s="1">
        <v>1.1332386388449838E-8</v>
      </c>
      <c r="M207" s="1">
        <v>1.1608161418786261E-2</v>
      </c>
      <c r="N207" s="1">
        <v>1.3986397635356233E-3</v>
      </c>
      <c r="O207" s="1">
        <v>0.3759982413823329</v>
      </c>
      <c r="P207" s="1">
        <v>0.37595093739270202</v>
      </c>
      <c r="Q207" s="2">
        <v>3.75950937392702</v>
      </c>
      <c r="S207" s="2">
        <v>2.06</v>
      </c>
      <c r="T207" s="1">
        <f t="shared" si="60"/>
        <v>8.7096358995608011E-3</v>
      </c>
      <c r="U207" s="1">
        <f t="shared" si="61"/>
        <v>1.1596351577118522E-12</v>
      </c>
      <c r="V207" s="1">
        <f t="shared" si="62"/>
        <v>-8.6906050230256444E-3</v>
      </c>
      <c r="W207" s="1">
        <f t="shared" si="63"/>
        <v>3.6230201674341878E-2</v>
      </c>
      <c r="X207" s="1">
        <f t="shared" si="64"/>
        <v>0.99970156914597186</v>
      </c>
      <c r="Y207" s="1">
        <f t="shared" si="65"/>
        <v>1.1362808923848977</v>
      </c>
      <c r="Z207" s="1">
        <f t="shared" si="66"/>
        <v>56.814044619244882</v>
      </c>
      <c r="AB207">
        <v>3.37</v>
      </c>
      <c r="AC207">
        <v>4.2657951880159235E-4</v>
      </c>
      <c r="AD207">
        <v>2.3676711034731227E-11</v>
      </c>
      <c r="AE207">
        <v>-2.2754043140218024E-5</v>
      </c>
      <c r="AF207">
        <v>3.3340918014380071E-2</v>
      </c>
      <c r="AG207">
        <v>0.99394192899218481</v>
      </c>
      <c r="AH207">
        <v>1.0003413494825075</v>
      </c>
      <c r="AI207">
        <v>50.017067474125376</v>
      </c>
      <c r="AJ207"/>
      <c r="AK207"/>
      <c r="AL207"/>
      <c r="AM207"/>
      <c r="AN207"/>
      <c r="AO207"/>
      <c r="AP207"/>
      <c r="AQ207"/>
      <c r="AR207"/>
    </row>
    <row r="208" spans="1:44" ht="15" customHeight="1" x14ac:dyDescent="0.3">
      <c r="A208" s="2">
        <v>2.0699999999999998</v>
      </c>
      <c r="B208" s="1">
        <f t="shared" si="54"/>
        <v>8.5113803820237675E-3</v>
      </c>
      <c r="C208" s="1">
        <f t="shared" si="55"/>
        <v>1.1866465304889244E-12</v>
      </c>
      <c r="D208" s="1">
        <f t="shared" si="56"/>
        <v>3.0212013396150837E-2</v>
      </c>
      <c r="E208" s="1">
        <f t="shared" si="57"/>
        <v>-1.7020022326918063E-3</v>
      </c>
      <c r="F208" s="1">
        <f t="shared" si="58"/>
        <v>6.309175362748653E-5</v>
      </c>
      <c r="G208" s="1">
        <f t="shared" si="59"/>
        <v>-0.39213023168155364</v>
      </c>
      <c r="H208" s="1">
        <f t="shared" si="67"/>
        <v>-3.9213023168155363</v>
      </c>
      <c r="J208" s="2">
        <v>6.06</v>
      </c>
      <c r="K208" s="1">
        <v>8.7096358995607992E-7</v>
      </c>
      <c r="L208" s="1">
        <v>1.1596351577118525E-8</v>
      </c>
      <c r="M208" s="1">
        <v>1.1495779143601215E-2</v>
      </c>
      <c r="N208" s="1">
        <v>1.4173701427331307E-3</v>
      </c>
      <c r="O208" s="1">
        <v>0.38141587791096926</v>
      </c>
      <c r="P208" s="1">
        <v>0.38136963218337422</v>
      </c>
      <c r="Q208" s="2">
        <v>3.8136963218337421</v>
      </c>
      <c r="S208" s="2">
        <v>2.0699999999999998</v>
      </c>
      <c r="T208" s="1">
        <f t="shared" si="60"/>
        <v>8.5113803820237675E-3</v>
      </c>
      <c r="U208" s="1">
        <f t="shared" si="61"/>
        <v>1.1866465304889244E-12</v>
      </c>
      <c r="V208" s="1">
        <f t="shared" si="62"/>
        <v>-8.4918861265350191E-3</v>
      </c>
      <c r="W208" s="1">
        <f t="shared" si="63"/>
        <v>3.6163962042178338E-2</v>
      </c>
      <c r="X208" s="1">
        <f t="shared" si="64"/>
        <v>0.99969461992119579</v>
      </c>
      <c r="Y208" s="1">
        <f t="shared" si="65"/>
        <v>1.1330265222936589</v>
      </c>
      <c r="Z208" s="1">
        <f t="shared" si="66"/>
        <v>56.651326114682945</v>
      </c>
      <c r="AB208">
        <v>3.38</v>
      </c>
      <c r="AC208">
        <v>4.1686938347033518E-4</v>
      </c>
      <c r="AD208">
        <v>2.4228212482096864E-11</v>
      </c>
      <c r="AE208">
        <v>-3.6564496936925532E-6</v>
      </c>
      <c r="AF208">
        <v>3.3334552149897903E-2</v>
      </c>
      <c r="AG208">
        <v>0.99380169303778554</v>
      </c>
      <c r="AH208">
        <v>1.0000548477481455</v>
      </c>
      <c r="AI208">
        <v>50.002742387407274</v>
      </c>
      <c r="AJ208"/>
      <c r="AK208"/>
      <c r="AL208"/>
      <c r="AM208"/>
      <c r="AN208"/>
      <c r="AO208"/>
      <c r="AP208"/>
      <c r="AQ208"/>
      <c r="AR208"/>
    </row>
    <row r="209" spans="1:44" ht="15" customHeight="1" x14ac:dyDescent="0.3">
      <c r="A209" s="2">
        <v>2.08</v>
      </c>
      <c r="B209" s="1">
        <f t="shared" si="54"/>
        <v>8.3176377110267055E-3</v>
      </c>
      <c r="C209" s="1">
        <f t="shared" si="55"/>
        <v>1.2142870789635876E-12</v>
      </c>
      <c r="D209" s="1">
        <f t="shared" si="56"/>
        <v>2.9979486924028433E-2</v>
      </c>
      <c r="E209" s="1">
        <f t="shared" si="57"/>
        <v>-1.6632478206714059E-3</v>
      </c>
      <c r="F209" s="1">
        <f t="shared" si="58"/>
        <v>6.4561254478766951E-5</v>
      </c>
      <c r="G209" s="1">
        <f t="shared" si="59"/>
        <v>-0.38388699479408372</v>
      </c>
      <c r="H209" s="1">
        <f t="shared" si="67"/>
        <v>-3.8388699479408372</v>
      </c>
      <c r="J209" s="2">
        <v>6.07</v>
      </c>
      <c r="K209" s="1">
        <v>8.511380382023744E-7</v>
      </c>
      <c r="L209" s="1">
        <v>1.1866465304889276E-8</v>
      </c>
      <c r="M209" s="1">
        <v>1.1383010037113077E-2</v>
      </c>
      <c r="N209" s="1">
        <v>1.4361649938144871E-3</v>
      </c>
      <c r="O209" s="1">
        <v>0.38686317984685742</v>
      </c>
      <c r="P209" s="1">
        <v>0.38681796981495298</v>
      </c>
      <c r="Q209" s="2">
        <v>3.8681796981495298</v>
      </c>
      <c r="S209" s="2">
        <v>2.08</v>
      </c>
      <c r="T209" s="1">
        <f t="shared" si="60"/>
        <v>8.3176377110267055E-3</v>
      </c>
      <c r="U209" s="1">
        <f t="shared" si="61"/>
        <v>1.2142870789635876E-12</v>
      </c>
      <c r="V209" s="1">
        <f t="shared" si="62"/>
        <v>-8.2976692875483971E-3</v>
      </c>
      <c r="W209" s="1">
        <f t="shared" si="63"/>
        <v>3.6099223095849467E-2</v>
      </c>
      <c r="X209" s="1">
        <f t="shared" si="64"/>
        <v>0.99968750892819391</v>
      </c>
      <c r="Y209" s="1">
        <f t="shared" si="65"/>
        <v>1.129852400699207</v>
      </c>
      <c r="Z209" s="1">
        <f t="shared" si="66"/>
        <v>56.492620034960353</v>
      </c>
      <c r="AB209">
        <v>3.39</v>
      </c>
      <c r="AC209">
        <v>4.0738027780411217E-4</v>
      </c>
      <c r="AD209">
        <v>2.479256004841884E-11</v>
      </c>
      <c r="AE209">
        <v>1.5436944310380748E-5</v>
      </c>
      <c r="AF209">
        <v>3.3328187685229875E-2</v>
      </c>
      <c r="AG209">
        <v>0.99365823152780464</v>
      </c>
      <c r="AH209">
        <v>0.99976846370640848</v>
      </c>
      <c r="AI209">
        <v>49.988423185320428</v>
      </c>
      <c r="AJ209"/>
      <c r="AK209"/>
      <c r="AL209"/>
      <c r="AM209"/>
      <c r="AN209"/>
      <c r="AO209"/>
      <c r="AP209"/>
      <c r="AQ209"/>
      <c r="AR209"/>
    </row>
    <row r="210" spans="1:44" ht="15" customHeight="1" x14ac:dyDescent="0.3">
      <c r="A210" s="2">
        <v>2.09</v>
      </c>
      <c r="B210" s="1">
        <f t="shared" si="54"/>
        <v>8.1283051616409894E-3</v>
      </c>
      <c r="C210" s="1">
        <f t="shared" si="55"/>
        <v>1.2425714585205058E-12</v>
      </c>
      <c r="D210" s="1">
        <f t="shared" si="56"/>
        <v>2.975225177649618E-2</v>
      </c>
      <c r="E210" s="1">
        <f t="shared" si="57"/>
        <v>-1.6253752960826971E-3</v>
      </c>
      <c r="F210" s="1">
        <f t="shared" si="58"/>
        <v>6.6064979930821285E-5</v>
      </c>
      <c r="G210" s="1">
        <f t="shared" si="59"/>
        <v>-0.37580279505649172</v>
      </c>
      <c r="H210" s="1">
        <f t="shared" si="67"/>
        <v>-3.7580279505649172</v>
      </c>
      <c r="J210" s="2">
        <v>6.08</v>
      </c>
      <c r="K210" s="1">
        <v>8.3176377110266907E-7</v>
      </c>
      <c r="L210" s="1">
        <v>1.2142870789635897E-8</v>
      </c>
      <c r="M210" s="1">
        <v>1.1269882116236665E-2</v>
      </c>
      <c r="N210" s="1">
        <v>1.4550196472938892E-3</v>
      </c>
      <c r="O210" s="1">
        <v>0.39233893587318064</v>
      </c>
      <c r="P210" s="1">
        <v>0.39229473949848925</v>
      </c>
      <c r="Q210" s="2">
        <v>3.9229473949848925</v>
      </c>
      <c r="S210" s="2">
        <v>2.09</v>
      </c>
      <c r="T210" s="1">
        <f t="shared" si="60"/>
        <v>8.1283051616409894E-3</v>
      </c>
      <c r="U210" s="1">
        <f t="shared" si="61"/>
        <v>1.2425714585205058E-12</v>
      </c>
      <c r="V210" s="1">
        <f t="shared" si="62"/>
        <v>-8.1078515300377421E-3</v>
      </c>
      <c r="W210" s="1">
        <f t="shared" si="63"/>
        <v>3.6035950510012585E-2</v>
      </c>
      <c r="X210" s="1">
        <f t="shared" si="64"/>
        <v>0.99968023240361159</v>
      </c>
      <c r="Y210" s="1">
        <f t="shared" si="65"/>
        <v>1.1267563826037452</v>
      </c>
      <c r="Z210" s="1">
        <f t="shared" si="66"/>
        <v>56.337819130187263</v>
      </c>
      <c r="AB210">
        <v>3.4</v>
      </c>
      <c r="AC210">
        <v>3.9810717055349708E-4</v>
      </c>
      <c r="AD210">
        <v>2.537005295824677E-11</v>
      </c>
      <c r="AE210">
        <v>3.4536134972595129E-5</v>
      </c>
      <c r="AF210">
        <v>3.3321821288342469E-2</v>
      </c>
      <c r="AG210">
        <v>0.99351147124118433</v>
      </c>
      <c r="AH210">
        <v>0.99948204741581281</v>
      </c>
      <c r="AI210">
        <v>49.974102370790639</v>
      </c>
      <c r="AJ210"/>
      <c r="AK210"/>
      <c r="AL210"/>
      <c r="AM210"/>
      <c r="AN210"/>
      <c r="AO210"/>
      <c r="AP210"/>
      <c r="AQ210"/>
      <c r="AR210"/>
    </row>
    <row r="211" spans="1:44" ht="15" customHeight="1" x14ac:dyDescent="0.3">
      <c r="A211" s="2">
        <v>2.1</v>
      </c>
      <c r="B211" s="1">
        <f t="shared" si="54"/>
        <v>7.9432823472428121E-3</v>
      </c>
      <c r="C211" s="1">
        <f t="shared" si="55"/>
        <v>1.2715146659121093E-12</v>
      </c>
      <c r="D211" s="1">
        <f t="shared" si="56"/>
        <v>2.9530187470480029E-2</v>
      </c>
      <c r="E211" s="1">
        <f t="shared" si="57"/>
        <v>-1.5883645784133382E-3</v>
      </c>
      <c r="F211" s="1">
        <f t="shared" si="58"/>
        <v>6.7603726966310672E-5</v>
      </c>
      <c r="G211" s="1">
        <f t="shared" si="59"/>
        <v>-0.36787515159938916</v>
      </c>
      <c r="H211" s="1">
        <f t="shared" si="67"/>
        <v>-3.6787515159938913</v>
      </c>
      <c r="J211" s="2">
        <v>6.09</v>
      </c>
      <c r="K211" s="1">
        <v>8.1283051616409889E-7</v>
      </c>
      <c r="L211" s="1">
        <v>1.2425714585205057E-8</v>
      </c>
      <c r="M211" s="1">
        <v>1.1156423768198066E-2</v>
      </c>
      <c r="N211" s="1">
        <v>1.4739293719669888E-3</v>
      </c>
      <c r="O211" s="1">
        <v>0.39784190682528303</v>
      </c>
      <c r="P211" s="1">
        <v>0.39779870258528804</v>
      </c>
      <c r="Q211" s="2">
        <v>3.9779870258528804</v>
      </c>
      <c r="S211" s="2">
        <v>2.1</v>
      </c>
      <c r="T211" s="1">
        <f t="shared" si="60"/>
        <v>7.9432823472428121E-3</v>
      </c>
      <c r="U211" s="1">
        <f t="shared" si="61"/>
        <v>1.2715146659121093E-12</v>
      </c>
      <c r="V211" s="1">
        <f t="shared" si="62"/>
        <v>-7.9223322104407835E-3</v>
      </c>
      <c r="W211" s="1">
        <f t="shared" si="63"/>
        <v>3.5974110736813593E-2</v>
      </c>
      <c r="X211" s="1">
        <f t="shared" si="64"/>
        <v>0.99967278649665603</v>
      </c>
      <c r="Y211" s="1">
        <f t="shared" si="65"/>
        <v>1.1237363869773842</v>
      </c>
      <c r="Z211" s="1">
        <f t="shared" si="66"/>
        <v>56.186819348869207</v>
      </c>
      <c r="AB211">
        <v>3.41</v>
      </c>
      <c r="AC211">
        <v>3.8904514499428012E-4</v>
      </c>
      <c r="AD211">
        <v>2.5960997405965556E-11</v>
      </c>
      <c r="AE211">
        <v>5.3651115511660416E-5</v>
      </c>
      <c r="AF211">
        <v>3.3315449628162783E-2</v>
      </c>
      <c r="AG211">
        <v>0.99336133734011189</v>
      </c>
      <c r="AH211">
        <v>0.99919544909259339</v>
      </c>
      <c r="AI211">
        <v>49.959772454629672</v>
      </c>
      <c r="AJ211"/>
      <c r="AK211"/>
      <c r="AL211"/>
      <c r="AM211"/>
      <c r="AN211"/>
      <c r="AO211"/>
      <c r="AP211"/>
      <c r="AQ211"/>
      <c r="AR211"/>
    </row>
    <row r="212" spans="1:44" ht="15" customHeight="1" x14ac:dyDescent="0.3">
      <c r="A212" s="2">
        <v>2.11</v>
      </c>
      <c r="B212" s="1">
        <f t="shared" si="54"/>
        <v>7.7624711662869156E-3</v>
      </c>
      <c r="C212" s="1">
        <f t="shared" si="55"/>
        <v>1.3011320472100655E-12</v>
      </c>
      <c r="D212" s="1">
        <f t="shared" si="56"/>
        <v>2.9313176264554978E-2</v>
      </c>
      <c r="E212" s="1">
        <f t="shared" si="57"/>
        <v>-1.552196044092496E-3</v>
      </c>
      <c r="F212" s="1">
        <f t="shared" si="58"/>
        <v>6.9178311122078615E-5</v>
      </c>
      <c r="G212" s="1">
        <f t="shared" si="59"/>
        <v>-0.36010159728431862</v>
      </c>
      <c r="H212" s="1">
        <f t="shared" si="67"/>
        <v>-3.6010159728431859</v>
      </c>
      <c r="J212" s="2">
        <v>6.1</v>
      </c>
      <c r="K212" s="1">
        <v>7.9432823472428114E-7</v>
      </c>
      <c r="L212" s="1">
        <v>1.2715146659121094E-8</v>
      </c>
      <c r="M212" s="1">
        <v>1.1042663722861744E-2</v>
      </c>
      <c r="N212" s="1">
        <v>1.4928893795230426E-3</v>
      </c>
      <c r="O212" s="1">
        <v>0.40337082669422597</v>
      </c>
      <c r="P212" s="1">
        <v>0.40332859357074741</v>
      </c>
      <c r="Q212" s="2">
        <v>4.0332859357074735</v>
      </c>
      <c r="S212" s="2">
        <v>2.11</v>
      </c>
      <c r="T212" s="1">
        <f t="shared" si="60"/>
        <v>7.7624711662869156E-3</v>
      </c>
      <c r="U212" s="1">
        <f t="shared" si="61"/>
        <v>1.3011320472100655E-12</v>
      </c>
      <c r="V212" s="1">
        <f t="shared" si="62"/>
        <v>-7.7410129642993151E-3</v>
      </c>
      <c r="W212" s="1">
        <f t="shared" si="63"/>
        <v>3.591367098809977E-2</v>
      </c>
      <c r="X212" s="1">
        <f t="shared" si="64"/>
        <v>0.99966516726707044</v>
      </c>
      <c r="Y212" s="1">
        <f t="shared" si="65"/>
        <v>1.1207903945139668</v>
      </c>
      <c r="Z212" s="1">
        <f t="shared" si="66"/>
        <v>56.039519725698348</v>
      </c>
      <c r="AB212">
        <v>3.42</v>
      </c>
      <c r="AC212">
        <v>3.8018939632056113E-4</v>
      </c>
      <c r="AD212">
        <v>2.6565706718143359E-11</v>
      </c>
      <c r="AE212">
        <v>7.2791881285955861E-5</v>
      </c>
      <c r="AF212">
        <v>3.3309069372904683E-2</v>
      </c>
      <c r="AG212">
        <v>0.99320775333645173</v>
      </c>
      <c r="AH212">
        <v>0.99890851903547462</v>
      </c>
      <c r="AI212">
        <v>49.945425951773728</v>
      </c>
      <c r="AJ212"/>
      <c r="AK212"/>
      <c r="AL212"/>
      <c r="AM212"/>
      <c r="AN212"/>
      <c r="AO212"/>
      <c r="AP212"/>
      <c r="AQ212"/>
      <c r="AR212"/>
    </row>
    <row r="213" spans="1:44" ht="15" customHeight="1" x14ac:dyDescent="0.3">
      <c r="A213" s="2">
        <v>2.12</v>
      </c>
      <c r="B213" s="1">
        <f t="shared" si="54"/>
        <v>7.5857757502918299E-3</v>
      </c>
      <c r="C213" s="1">
        <f t="shared" si="55"/>
        <v>1.3314393059419724E-12</v>
      </c>
      <c r="D213" s="1">
        <f t="shared" si="56"/>
        <v>2.9101103096517027E-2</v>
      </c>
      <c r="E213" s="1">
        <f t="shared" si="57"/>
        <v>-1.5168505160861711E-3</v>
      </c>
      <c r="F213" s="1">
        <f t="shared" si="58"/>
        <v>7.0789566920865819E-5</v>
      </c>
      <c r="G213" s="1">
        <f t="shared" si="59"/>
        <v>-0.35247967981005429</v>
      </c>
      <c r="H213" s="1">
        <f t="shared" si="67"/>
        <v>-3.5247967981005428</v>
      </c>
      <c r="J213" s="2">
        <v>6.11</v>
      </c>
      <c r="K213" s="1">
        <v>7.7624711662869019E-7</v>
      </c>
      <c r="L213" s="1">
        <v>1.3011320472100678E-8</v>
      </c>
      <c r="M213" s="1">
        <v>1.0928631024312083E-2</v>
      </c>
      <c r="N213" s="1">
        <v>1.5118948292813196E-3</v>
      </c>
      <c r="O213" s="1">
        <v>0.40892440368505695</v>
      </c>
      <c r="P213" s="1">
        <v>0.40888312115290404</v>
      </c>
      <c r="Q213" s="2">
        <v>4.0888312115290404</v>
      </c>
      <c r="S213" s="2">
        <v>2.12</v>
      </c>
      <c r="T213" s="1">
        <f t="shared" si="60"/>
        <v>7.5857757502918299E-3</v>
      </c>
      <c r="U213" s="1">
        <f t="shared" si="61"/>
        <v>1.3314393059419724E-12</v>
      </c>
      <c r="V213" s="1">
        <f t="shared" si="62"/>
        <v>-7.5637976541056721E-3</v>
      </c>
      <c r="W213" s="1">
        <f t="shared" si="63"/>
        <v>3.585459921803523E-2</v>
      </c>
      <c r="X213" s="1">
        <f t="shared" si="64"/>
        <v>0.99965737068306082</v>
      </c>
      <c r="Y213" s="1">
        <f t="shared" si="65"/>
        <v>1.1179164454800994</v>
      </c>
      <c r="Z213" s="1">
        <f t="shared" si="66"/>
        <v>55.895822274004964</v>
      </c>
      <c r="AB213">
        <v>3.43</v>
      </c>
      <c r="AC213">
        <v>3.7153522909717215E-4</v>
      </c>
      <c r="AD213">
        <v>2.7184501519661874E-11</v>
      </c>
      <c r="AE213">
        <v>9.1968434803461611E-5</v>
      </c>
      <c r="AF213">
        <v>3.3302677188398848E-2</v>
      </c>
      <c r="AG213">
        <v>0.99305064105758212</v>
      </c>
      <c r="AH213">
        <v>0.99862110755084965</v>
      </c>
      <c r="AI213">
        <v>49.931055377542478</v>
      </c>
      <c r="AJ213"/>
      <c r="AK213"/>
      <c r="AL213"/>
      <c r="AM213"/>
      <c r="AN213"/>
      <c r="AO213"/>
      <c r="AP213"/>
      <c r="AQ213"/>
      <c r="AR213"/>
    </row>
    <row r="214" spans="1:44" ht="15" customHeight="1" x14ac:dyDescent="0.3">
      <c r="A214" s="2">
        <v>2.13</v>
      </c>
      <c r="B214" s="1">
        <f t="shared" si="54"/>
        <v>7.4131024130091741E-3</v>
      </c>
      <c r="C214" s="1">
        <f t="shared" si="55"/>
        <v>1.3624525114175703E-12</v>
      </c>
      <c r="D214" s="1">
        <f t="shared" si="56"/>
        <v>2.8893855522375715E-2</v>
      </c>
      <c r="E214" s="1">
        <f t="shared" si="57"/>
        <v>-1.4823092537292861E-3</v>
      </c>
      <c r="F214" s="1">
        <f t="shared" si="58"/>
        <v>7.2438348313058328E-5</v>
      </c>
      <c r="G214" s="1">
        <f t="shared" si="59"/>
        <v>-0.34500696275749781</v>
      </c>
      <c r="H214" s="1">
        <f t="shared" si="67"/>
        <v>-3.4500696275749778</v>
      </c>
      <c r="J214" s="2">
        <v>6.12</v>
      </c>
      <c r="K214" s="1">
        <v>7.585775750291823E-7</v>
      </c>
      <c r="L214" s="1">
        <v>1.3314393059419737E-8</v>
      </c>
      <c r="M214" s="1">
        <v>1.0814355001747274E-2</v>
      </c>
      <c r="N214" s="1">
        <v>1.5309408330421213E-3</v>
      </c>
      <c r="O214" s="1">
        <v>0.41450132132819084</v>
      </c>
      <c r="P214" s="1">
        <v>0.41446096934408422</v>
      </c>
      <c r="Q214" s="2">
        <v>4.1446096934408416</v>
      </c>
      <c r="S214" s="2">
        <v>2.13</v>
      </c>
      <c r="T214" s="1">
        <f t="shared" si="60"/>
        <v>7.4131024130091741E-3</v>
      </c>
      <c r="U214" s="1">
        <f t="shared" si="61"/>
        <v>1.3624525114175703E-12</v>
      </c>
      <c r="V214" s="1">
        <f t="shared" si="62"/>
        <v>-7.3905923183302351E-3</v>
      </c>
      <c r="W214" s="1">
        <f t="shared" si="63"/>
        <v>3.5796864106110077E-2</v>
      </c>
      <c r="X214" s="1">
        <f t="shared" si="64"/>
        <v>0.9996493926191754</v>
      </c>
      <c r="Y214" s="1">
        <f t="shared" si="65"/>
        <v>1.1151126376528531</v>
      </c>
      <c r="Z214" s="1">
        <f t="shared" si="66"/>
        <v>55.755631882642653</v>
      </c>
      <c r="AB214">
        <v>3.44</v>
      </c>
      <c r="AC214">
        <v>3.6307805477010102E-4</v>
      </c>
      <c r="AD214">
        <v>2.7817709903715505E-11</v>
      </c>
      <c r="AE214">
        <v>1.1119079072202186E-4</v>
      </c>
      <c r="AF214">
        <v>3.3296269736425993E-2</v>
      </c>
      <c r="AG214">
        <v>0.99288992061163028</v>
      </c>
      <c r="AH214">
        <v>0.99833306487834095</v>
      </c>
      <c r="AI214">
        <v>49.916653243917047</v>
      </c>
      <c r="AJ214"/>
      <c r="AK214"/>
      <c r="AL214"/>
      <c r="AM214"/>
      <c r="AN214"/>
      <c r="AO214"/>
      <c r="AP214"/>
      <c r="AQ214"/>
      <c r="AR214"/>
    </row>
    <row r="215" spans="1:44" ht="15" customHeight="1" x14ac:dyDescent="0.3">
      <c r="A215" s="2">
        <v>2.14</v>
      </c>
      <c r="B215" s="1">
        <f t="shared" si="54"/>
        <v>7.244359600749894E-3</v>
      </c>
      <c r="C215" s="1">
        <f t="shared" si="55"/>
        <v>1.394188107248915E-12</v>
      </c>
      <c r="D215" s="1">
        <f t="shared" si="56"/>
        <v>2.8691323656734782E-2</v>
      </c>
      <c r="E215" s="1">
        <f t="shared" si="57"/>
        <v>-1.4485539427891302E-3</v>
      </c>
      <c r="F215" s="1">
        <f t="shared" si="58"/>
        <v>7.4125529128703281E-5</v>
      </c>
      <c r="G215" s="1">
        <f t="shared" si="59"/>
        <v>-0.33768102657478338</v>
      </c>
      <c r="H215" s="1">
        <f t="shared" si="67"/>
        <v>-3.3768102657478338</v>
      </c>
      <c r="J215" s="2">
        <v>6.13</v>
      </c>
      <c r="K215" s="1">
        <v>7.4131024130091606E-7</v>
      </c>
      <c r="L215" s="1">
        <v>1.3624525114175727E-8</v>
      </c>
      <c r="M215" s="1">
        <v>1.0699865239745922E-2</v>
      </c>
      <c r="N215" s="1">
        <v>1.5500224600423467E-3</v>
      </c>
      <c r="O215" s="1">
        <v>0.42010023964211884</v>
      </c>
      <c r="P215" s="1">
        <v>0.42006079863387852</v>
      </c>
      <c r="Q215" s="2">
        <v>4.2006079863387846</v>
      </c>
      <c r="S215" s="2">
        <v>2.14</v>
      </c>
      <c r="T215" s="1">
        <f t="shared" si="60"/>
        <v>7.244359600749894E-3</v>
      </c>
      <c r="U215" s="1">
        <f t="shared" si="61"/>
        <v>1.394188107248915E-12</v>
      </c>
      <c r="V215" s="1">
        <f t="shared" si="62"/>
        <v>-7.2213051216023939E-3</v>
      </c>
      <c r="W215" s="1">
        <f t="shared" si="63"/>
        <v>3.5740435040534133E-2</v>
      </c>
      <c r="X215" s="1">
        <f t="shared" si="64"/>
        <v>0.99964122885413476</v>
      </c>
      <c r="Y215" s="1">
        <f t="shared" si="65"/>
        <v>1.1123771243418392</v>
      </c>
      <c r="Z215" s="1">
        <f t="shared" si="66"/>
        <v>55.61885621709196</v>
      </c>
      <c r="AB215">
        <v>3.45</v>
      </c>
      <c r="AC215">
        <v>3.5481338923357516E-4</v>
      </c>
      <c r="AD215">
        <v>2.8465667605771006E-11</v>
      </c>
      <c r="AE215">
        <v>1.3046898084217222E-4</v>
      </c>
      <c r="AF215">
        <v>3.3289843673052613E-2</v>
      </c>
      <c r="AG215">
        <v>0.99272551035210133</v>
      </c>
      <c r="AH215">
        <v>0.99804424111670875</v>
      </c>
      <c r="AI215">
        <v>49.902212055835435</v>
      </c>
      <c r="AJ215"/>
      <c r="AK215"/>
      <c r="AL215"/>
      <c r="AM215"/>
      <c r="AN215"/>
      <c r="AO215"/>
      <c r="AP215"/>
      <c r="AQ215"/>
      <c r="AR215"/>
    </row>
    <row r="216" spans="1:44" ht="15" customHeight="1" x14ac:dyDescent="0.3">
      <c r="A216" s="2">
        <v>2.15</v>
      </c>
      <c r="B216" s="1">
        <f t="shared" si="54"/>
        <v>7.0794578438413795E-3</v>
      </c>
      <c r="C216" s="1">
        <f t="shared" si="55"/>
        <v>1.4266629200689817E-12</v>
      </c>
      <c r="D216" s="1">
        <f t="shared" si="56"/>
        <v>2.8493400114529589E-2</v>
      </c>
      <c r="E216" s="1">
        <f t="shared" si="57"/>
        <v>-1.4155666857549316E-3</v>
      </c>
      <c r="F216" s="1">
        <f t="shared" si="58"/>
        <v>7.5852003540027678E-5</v>
      </c>
      <c r="G216" s="1">
        <f t="shared" si="59"/>
        <v>-0.33049946950423897</v>
      </c>
      <c r="H216" s="1">
        <f t="shared" si="67"/>
        <v>-3.3049946950423896</v>
      </c>
      <c r="J216" s="2">
        <v>6.14</v>
      </c>
      <c r="K216" s="1">
        <v>7.2443596007499005E-7</v>
      </c>
      <c r="L216" s="1">
        <v>1.3941881072489136E-8</v>
      </c>
      <c r="M216" s="1">
        <v>1.0585191547969415E-2</v>
      </c>
      <c r="N216" s="1">
        <v>1.5691347420050971E-3</v>
      </c>
      <c r="O216" s="1">
        <v>0.42571979634547541</v>
      </c>
      <c r="P216" s="1">
        <v>0.42568124720146855</v>
      </c>
      <c r="Q216" s="2">
        <v>4.2568124720146852</v>
      </c>
      <c r="S216" s="2">
        <v>2.15</v>
      </c>
      <c r="T216" s="1">
        <f t="shared" si="60"/>
        <v>7.0794578438413795E-3</v>
      </c>
      <c r="U216" s="1">
        <f t="shared" si="61"/>
        <v>1.4266629200689817E-12</v>
      </c>
      <c r="V216" s="1">
        <f t="shared" si="62"/>
        <v>-7.0558463060192318E-3</v>
      </c>
      <c r="W216" s="1">
        <f t="shared" si="63"/>
        <v>3.5685282102006409E-2</v>
      </c>
      <c r="X216" s="1">
        <f t="shared" si="64"/>
        <v>0.99963287506861287</v>
      </c>
      <c r="Y216" s="1">
        <f t="shared" si="65"/>
        <v>1.1097081124916097</v>
      </c>
      <c r="Z216" s="1">
        <f t="shared" si="66"/>
        <v>55.485405624580487</v>
      </c>
      <c r="AB216">
        <v>3.46</v>
      </c>
      <c r="AC216">
        <v>3.4673685045253142E-4</v>
      </c>
      <c r="AD216">
        <v>2.9128718181578737E-11</v>
      </c>
      <c r="AE216">
        <v>1.4981305909440366E-4</v>
      </c>
      <c r="AF216">
        <v>3.3283395646968535E-2</v>
      </c>
      <c r="AG216">
        <v>0.99255732684189502</v>
      </c>
      <c r="AH216">
        <v>0.99775448615007944</v>
      </c>
      <c r="AI216">
        <v>49.887724307503966</v>
      </c>
      <c r="AJ216"/>
      <c r="AK216"/>
      <c r="AL216"/>
      <c r="AM216"/>
      <c r="AN216"/>
      <c r="AO216"/>
      <c r="AP216"/>
      <c r="AQ216"/>
      <c r="AR216"/>
    </row>
    <row r="217" spans="1:44" ht="15" customHeight="1" x14ac:dyDescent="0.3">
      <c r="A217" s="2">
        <v>2.16</v>
      </c>
      <c r="B217" s="1">
        <f t="shared" si="54"/>
        <v>6.9183097091893601E-3</v>
      </c>
      <c r="C217" s="1">
        <f t="shared" si="55"/>
        <v>1.4598941684533876E-12</v>
      </c>
      <c r="D217" s="1">
        <f t="shared" si="56"/>
        <v>2.8299979954090067E-2</v>
      </c>
      <c r="E217" s="1">
        <f t="shared" si="57"/>
        <v>-1.3833299923483445E-3</v>
      </c>
      <c r="F217" s="1">
        <f t="shared" si="58"/>
        <v>7.7618686534707272E-5</v>
      </c>
      <c r="G217" s="1">
        <f t="shared" si="59"/>
        <v>-0.3234599084528334</v>
      </c>
      <c r="H217" s="1">
        <f t="shared" si="67"/>
        <v>-3.2345990845283339</v>
      </c>
      <c r="J217" s="2">
        <v>6.15</v>
      </c>
      <c r="K217" s="1">
        <v>7.0794578438413674E-7</v>
      </c>
      <c r="L217" s="1">
        <v>1.4266629200689841E-8</v>
      </c>
      <c r="M217" s="1">
        <v>1.0470363930364842E-2</v>
      </c>
      <c r="N217" s="1">
        <v>1.5882726782725264E-3</v>
      </c>
      <c r="O217" s="1">
        <v>0.4313586081163327</v>
      </c>
      <c r="P217" s="1">
        <v>0.43132093217517509</v>
      </c>
      <c r="Q217" s="2">
        <v>4.3132093217517502</v>
      </c>
      <c r="S217" s="2">
        <v>2.16</v>
      </c>
      <c r="T217" s="1">
        <f t="shared" si="60"/>
        <v>6.9183097091893601E-3</v>
      </c>
      <c r="U217" s="1">
        <f t="shared" si="61"/>
        <v>1.4598941684533876E-12</v>
      </c>
      <c r="V217" s="1">
        <f t="shared" si="62"/>
        <v>-6.8941281435554091E-3</v>
      </c>
      <c r="W217" s="1">
        <f t="shared" si="63"/>
        <v>3.5631376047851805E-2</v>
      </c>
      <c r="X217" s="1">
        <f t="shared" si="64"/>
        <v>0.99962432684296576</v>
      </c>
      <c r="Y217" s="1">
        <f t="shared" si="65"/>
        <v>1.1071038608605417</v>
      </c>
      <c r="Z217" s="1">
        <f t="shared" si="66"/>
        <v>55.355193043027079</v>
      </c>
      <c r="AB217">
        <v>3.47</v>
      </c>
      <c r="AC217">
        <v>3.3884415613920208E-4</v>
      </c>
      <c r="AD217">
        <v>2.9807213189330532E-11</v>
      </c>
      <c r="AE217">
        <v>1.6923310652282533E-4</v>
      </c>
      <c r="AF217">
        <v>3.3276922297825723E-2</v>
      </c>
      <c r="AG217">
        <v>0.99238528481670651</v>
      </c>
      <c r="AH217">
        <v>0.99746364957446632</v>
      </c>
      <c r="AI217">
        <v>49.873182478723315</v>
      </c>
      <c r="AJ217"/>
      <c r="AK217"/>
      <c r="AL217"/>
      <c r="AM217"/>
      <c r="AN217"/>
      <c r="AO217"/>
      <c r="AP217"/>
      <c r="AQ217"/>
      <c r="AR217"/>
    </row>
    <row r="218" spans="1:44" ht="15" customHeight="1" x14ac:dyDescent="0.3">
      <c r="A218" s="2">
        <v>2.17</v>
      </c>
      <c r="B218" s="1">
        <f t="shared" si="54"/>
        <v>6.7608297539198132E-3</v>
      </c>
      <c r="C218" s="1">
        <f t="shared" si="55"/>
        <v>1.4938994720498905E-12</v>
      </c>
      <c r="D218" s="1">
        <f t="shared" si="56"/>
        <v>2.8110960621499374E-2</v>
      </c>
      <c r="E218" s="1">
        <f t="shared" si="57"/>
        <v>-1.3518267702498955E-3</v>
      </c>
      <c r="F218" s="1">
        <f t="shared" si="58"/>
        <v>7.9426514400130789E-5</v>
      </c>
      <c r="G218" s="1">
        <f t="shared" si="59"/>
        <v>-0.31655997980777784</v>
      </c>
      <c r="H218" s="1">
        <f t="shared" si="67"/>
        <v>-3.1655997980777784</v>
      </c>
      <c r="J218" s="2">
        <v>6.16</v>
      </c>
      <c r="K218" s="1">
        <v>6.9183097091893534E-7</v>
      </c>
      <c r="L218" s="1">
        <v>1.4598941684533892E-8</v>
      </c>
      <c r="M218" s="1">
        <v>1.0355412553935482E-2</v>
      </c>
      <c r="N218" s="1">
        <v>1.6074312410107531E-3</v>
      </c>
      <c r="O218" s="1">
        <v>0.43701527189640449</v>
      </c>
      <c r="P218" s="1">
        <v>0.43697845093691218</v>
      </c>
      <c r="Q218" s="2">
        <v>4.3697845093691212</v>
      </c>
      <c r="S218" s="2">
        <v>2.17</v>
      </c>
      <c r="T218" s="1">
        <f t="shared" si="60"/>
        <v>6.7608297539198132E-3</v>
      </c>
      <c r="U218" s="1">
        <f t="shared" si="61"/>
        <v>1.4938994720498905E-12</v>
      </c>
      <c r="V218" s="1">
        <f t="shared" si="62"/>
        <v>-6.7360648895496596E-3</v>
      </c>
      <c r="W218" s="1">
        <f t="shared" si="63"/>
        <v>3.5578688296516552E-2</v>
      </c>
      <c r="X218" s="1">
        <f t="shared" si="64"/>
        <v>0.9996155796549091</v>
      </c>
      <c r="Y218" s="1">
        <f t="shared" si="65"/>
        <v>1.1045626782725912</v>
      </c>
      <c r="Z218" s="1">
        <f t="shared" si="66"/>
        <v>55.228133913629563</v>
      </c>
      <c r="AB218">
        <v>3.48</v>
      </c>
      <c r="AC218">
        <v>3.3113112148259094E-4</v>
      </c>
      <c r="AD218">
        <v>3.0501512376060377E-11</v>
      </c>
      <c r="AE218">
        <v>1.8873923626723139E-4</v>
      </c>
      <c r="AF218">
        <v>3.3270420254577597E-2</v>
      </c>
      <c r="AG218">
        <v>0.99220929714780692</v>
      </c>
      <c r="AH218">
        <v>0.99717158062455535</v>
      </c>
      <c r="AI218">
        <v>49.858579031227762</v>
      </c>
      <c r="AJ218"/>
      <c r="AK218"/>
      <c r="AL218"/>
      <c r="AM218"/>
      <c r="AN218"/>
      <c r="AO218"/>
      <c r="AP218"/>
      <c r="AQ218"/>
      <c r="AR218"/>
    </row>
    <row r="219" spans="1:44" ht="15" customHeight="1" x14ac:dyDescent="0.3">
      <c r="A219" s="2">
        <v>2.1800000000000002</v>
      </c>
      <c r="B219" s="1">
        <f t="shared" si="54"/>
        <v>6.6069344800759565E-3</v>
      </c>
      <c r="C219" s="1">
        <f t="shared" si="55"/>
        <v>1.5286968609205709E-12</v>
      </c>
      <c r="D219" s="1">
        <f t="shared" si="56"/>
        <v>2.7926241896218406E-2</v>
      </c>
      <c r="E219" s="1">
        <f t="shared" si="57"/>
        <v>-1.3210403160364005E-3</v>
      </c>
      <c r="F219" s="1">
        <f t="shared" si="58"/>
        <v>8.1276445218917993E-5</v>
      </c>
      <c r="G219" s="1">
        <f t="shared" si="59"/>
        <v>-0.3097973401989193</v>
      </c>
      <c r="H219" s="1">
        <f t="shared" si="67"/>
        <v>-3.0979734019891927</v>
      </c>
      <c r="J219" s="2">
        <v>6.17</v>
      </c>
      <c r="K219" s="1">
        <v>6.7608297539198085E-7</v>
      </c>
      <c r="L219" s="1">
        <v>1.4938994720498914E-8</v>
      </c>
      <c r="M219" s="1">
        <v>1.0240367717147205E-2</v>
      </c>
      <c r="N219" s="1">
        <v>1.6266053804754657E-3</v>
      </c>
      <c r="O219" s="1">
        <v>0.44268836623770746</v>
      </c>
      <c r="P219" s="1">
        <v>0.44265238246909189</v>
      </c>
      <c r="Q219" s="2">
        <v>4.4265238246909187</v>
      </c>
      <c r="S219" s="2">
        <v>2.1800000000000002</v>
      </c>
      <c r="T219" s="1">
        <f t="shared" si="60"/>
        <v>6.6069344800759565E-3</v>
      </c>
      <c r="U219" s="1">
        <f t="shared" si="61"/>
        <v>1.5286968609205709E-12</v>
      </c>
      <c r="V219" s="1">
        <f t="shared" si="62"/>
        <v>-6.5815727372426419E-3</v>
      </c>
      <c r="W219" s="1">
        <f t="shared" si="63"/>
        <v>3.5527190912414214E-2</v>
      </c>
      <c r="X219" s="1">
        <f t="shared" si="64"/>
        <v>0.99960662887714136</v>
      </c>
      <c r="Y219" s="1">
        <f t="shared" si="65"/>
        <v>1.1020829219384813</v>
      </c>
      <c r="Z219" s="1">
        <f t="shared" si="66"/>
        <v>55.104146096924076</v>
      </c>
      <c r="AB219">
        <v>3.49</v>
      </c>
      <c r="AC219">
        <v>3.235936569296281E-4</v>
      </c>
      <c r="AD219">
        <v>3.1211983868387276E-11</v>
      </c>
      <c r="AE219">
        <v>2.0834159854547617E-4</v>
      </c>
      <c r="AF219">
        <v>3.3263886133818178E-2</v>
      </c>
      <c r="AG219">
        <v>0.99202927480419734</v>
      </c>
      <c r="AH219">
        <v>0.99687812810072751</v>
      </c>
      <c r="AI219">
        <v>49.843906405036378</v>
      </c>
      <c r="AJ219"/>
      <c r="AK219"/>
      <c r="AL219"/>
      <c r="AM219"/>
      <c r="AN219"/>
      <c r="AO219"/>
      <c r="AP219"/>
      <c r="AQ219"/>
      <c r="AR219"/>
    </row>
    <row r="220" spans="1:44" ht="15" customHeight="1" x14ac:dyDescent="0.3">
      <c r="A220" s="2">
        <v>2.19</v>
      </c>
      <c r="B220" s="1">
        <f t="shared" si="54"/>
        <v>6.4565422903465524E-3</v>
      </c>
      <c r="C220" s="1">
        <f t="shared" si="55"/>
        <v>1.5643047851016066E-12</v>
      </c>
      <c r="D220" s="1">
        <f t="shared" si="56"/>
        <v>2.7745725837947592E-2</v>
      </c>
      <c r="E220" s="1">
        <f t="shared" si="57"/>
        <v>-1.2909543063245983E-3</v>
      </c>
      <c r="F220" s="1">
        <f t="shared" si="58"/>
        <v>8.3169459375949975E-5</v>
      </c>
      <c r="G220" s="1">
        <f t="shared" si="59"/>
        <v>-0.30316966720958888</v>
      </c>
      <c r="H220" s="1">
        <f t="shared" si="67"/>
        <v>-3.0316966720958884</v>
      </c>
      <c r="J220" s="2">
        <v>6.18</v>
      </c>
      <c r="K220" s="1">
        <v>6.6069344800759506E-7</v>
      </c>
      <c r="L220" s="1">
        <v>1.5286968609205723E-8</v>
      </c>
      <c r="M220" s="1">
        <v>1.0125259818040876E-2</v>
      </c>
      <c r="N220" s="1">
        <v>1.6457900303265204E-3</v>
      </c>
      <c r="O220" s="1">
        <v>0.4483764526890397</v>
      </c>
      <c r="P220" s="1">
        <v>0.44834128874134244</v>
      </c>
      <c r="Q220" s="2">
        <v>4.483412887413424</v>
      </c>
      <c r="S220" s="2">
        <v>2.19</v>
      </c>
      <c r="T220" s="1">
        <f t="shared" si="60"/>
        <v>6.4565422903465524E-3</v>
      </c>
      <c r="U220" s="1">
        <f t="shared" si="61"/>
        <v>1.5643047851016066E-12</v>
      </c>
      <c r="V220" s="1">
        <f t="shared" si="62"/>
        <v>-6.4305697733425737E-3</v>
      </c>
      <c r="W220" s="1">
        <f t="shared" si="63"/>
        <v>3.5476856591114193E-2</v>
      </c>
      <c r="X220" s="1">
        <f t="shared" si="64"/>
        <v>0.99959746977491326</v>
      </c>
      <c r="Y220" s="1">
        <f t="shared" si="65"/>
        <v>1.099662995843085</v>
      </c>
      <c r="Z220" s="1">
        <f t="shared" si="66"/>
        <v>54.983149792154258</v>
      </c>
      <c r="AB220">
        <v>3.5</v>
      </c>
      <c r="AC220">
        <v>3.1622776601683783E-4</v>
      </c>
      <c r="AD220">
        <v>3.1939004367700641E-11</v>
      </c>
      <c r="AE220">
        <v>2.2805038563813006E-4</v>
      </c>
      <c r="AF220">
        <v>3.325731653812062E-2</v>
      </c>
      <c r="AG220">
        <v>0.99184512681413484</v>
      </c>
      <c r="AH220">
        <v>0.99658314029629347</v>
      </c>
      <c r="AI220">
        <v>49.829157014814676</v>
      </c>
      <c r="AJ220"/>
      <c r="AK220"/>
      <c r="AL220"/>
      <c r="AM220"/>
      <c r="AN220"/>
      <c r="AO220"/>
      <c r="AP220"/>
      <c r="AQ220"/>
      <c r="AR220"/>
    </row>
    <row r="221" spans="1:44" ht="15" customHeight="1" x14ac:dyDescent="0.3">
      <c r="A221" s="2">
        <v>2.2000000000000002</v>
      </c>
      <c r="B221" s="1">
        <f t="shared" si="54"/>
        <v>6.3095734448019251E-3</v>
      </c>
      <c r="C221" s="1">
        <f t="shared" si="55"/>
        <v>1.6007421243857264E-12</v>
      </c>
      <c r="D221" s="1">
        <f t="shared" si="56"/>
        <v>2.7569316734697685E-2</v>
      </c>
      <c r="E221" s="1">
        <f t="shared" si="57"/>
        <v>-1.2615527891162806E-3</v>
      </c>
      <c r="F221" s="1">
        <f t="shared" si="58"/>
        <v>8.510656007717948E-5</v>
      </c>
      <c r="G221" s="1">
        <f t="shared" si="59"/>
        <v>-0.29667466003754561</v>
      </c>
      <c r="H221" s="1">
        <f t="shared" si="67"/>
        <v>-2.9667466003754561</v>
      </c>
      <c r="J221" s="2">
        <v>6.19</v>
      </c>
      <c r="K221" s="1">
        <v>6.456542290346535E-7</v>
      </c>
      <c r="L221" s="1">
        <v>1.5643047851016108E-8</v>
      </c>
      <c r="M221" s="1">
        <v>1.0010119322121694E-2</v>
      </c>
      <c r="N221" s="1">
        <v>1.6649801129797177E-3</v>
      </c>
      <c r="O221" s="1">
        <v>0.45407807721951687</v>
      </c>
      <c r="P221" s="1">
        <v>0.45404371613427857</v>
      </c>
      <c r="Q221" s="2">
        <v>4.5404371613427852</v>
      </c>
      <c r="S221" s="2">
        <v>2.2000000000000002</v>
      </c>
      <c r="T221" s="1">
        <f t="shared" si="60"/>
        <v>6.3095734448019251E-3</v>
      </c>
      <c r="U221" s="1">
        <f t="shared" si="61"/>
        <v>1.6007421243857264E-12</v>
      </c>
      <c r="V221" s="1">
        <f t="shared" si="62"/>
        <v>-6.2829759345947667E-3</v>
      </c>
      <c r="W221" s="1">
        <f t="shared" si="63"/>
        <v>3.5427658644864926E-2</v>
      </c>
      <c r="X221" s="1">
        <f t="shared" si="64"/>
        <v>0.99958809750354038</v>
      </c>
      <c r="Y221" s="1">
        <f t="shared" si="65"/>
        <v>1.0973013491959296</v>
      </c>
      <c r="Z221" s="1">
        <f t="shared" si="66"/>
        <v>54.865067459796478</v>
      </c>
      <c r="AB221">
        <v>3.51</v>
      </c>
      <c r="AC221">
        <v>3.0902954325135899E-4</v>
      </c>
      <c r="AD221">
        <v>3.2682959349892461E-11</v>
      </c>
      <c r="AE221">
        <v>2.4787583687691943E-4</v>
      </c>
      <c r="AF221">
        <v>3.3250708054374363E-2</v>
      </c>
      <c r="AG221">
        <v>0.99165676022602622</v>
      </c>
      <c r="AH221">
        <v>0.99628646492491857</v>
      </c>
      <c r="AI221">
        <v>49.814323246245934</v>
      </c>
      <c r="AJ221"/>
      <c r="AK221"/>
      <c r="AL221"/>
      <c r="AM221"/>
      <c r="AN221"/>
      <c r="AO221"/>
      <c r="AP221"/>
      <c r="AQ221"/>
      <c r="AR221"/>
    </row>
    <row r="222" spans="1:44" ht="15" customHeight="1" x14ac:dyDescent="0.3">
      <c r="A222" s="2">
        <v>2.21</v>
      </c>
      <c r="B222" s="1">
        <f t="shared" si="54"/>
        <v>6.1659500186148197E-3</v>
      </c>
      <c r="C222" s="1">
        <f t="shared" si="55"/>
        <v>1.6380281983325196E-12</v>
      </c>
      <c r="D222" s="1">
        <f t="shared" si="56"/>
        <v>2.7396921052042035E-2</v>
      </c>
      <c r="E222" s="1">
        <f t="shared" si="57"/>
        <v>-1.2328201753403392E-3</v>
      </c>
      <c r="F222" s="1">
        <f t="shared" si="58"/>
        <v>8.7088773880493654E-5</v>
      </c>
      <c r="G222" s="1">
        <f t="shared" si="59"/>
        <v>-0.29031004010765576</v>
      </c>
      <c r="H222" s="1">
        <f t="shared" si="67"/>
        <v>-2.9031004010765575</v>
      </c>
      <c r="J222" s="2">
        <v>6.2</v>
      </c>
      <c r="K222" s="1">
        <v>6.3095734448019254E-7</v>
      </c>
      <c r="L222" s="1">
        <v>1.6007421243857263E-8</v>
      </c>
      <c r="M222" s="1">
        <v>9.8949767300974302E-3</v>
      </c>
      <c r="N222" s="1">
        <v>1.6841705449837615E-3</v>
      </c>
      <c r="O222" s="1">
        <v>0.45979177167625451</v>
      </c>
      <c r="P222" s="1">
        <v>0.45975819689741382</v>
      </c>
      <c r="Q222" s="2">
        <v>4.5975819689741382</v>
      </c>
      <c r="S222" s="2">
        <v>2.21</v>
      </c>
      <c r="T222" s="1">
        <f t="shared" si="60"/>
        <v>6.1659500186148197E-3</v>
      </c>
      <c r="U222" s="1">
        <f t="shared" si="61"/>
        <v>1.6380281983325196E-12</v>
      </c>
      <c r="V222" s="1">
        <f t="shared" si="62"/>
        <v>-6.1387129653320766E-3</v>
      </c>
      <c r="W222" s="1">
        <f t="shared" si="63"/>
        <v>3.5379570988444027E-2</v>
      </c>
      <c r="X222" s="1">
        <f t="shared" si="64"/>
        <v>0.99957850710585894</v>
      </c>
      <c r="Y222" s="1">
        <f t="shared" si="65"/>
        <v>1.094996474941915</v>
      </c>
      <c r="Z222" s="1">
        <f t="shared" si="66"/>
        <v>54.749823747095746</v>
      </c>
      <c r="AB222">
        <v>3.52</v>
      </c>
      <c r="AC222">
        <v>3.0199517204020158E-4</v>
      </c>
      <c r="AD222">
        <v>3.3444243269741701E-11</v>
      </c>
      <c r="AE222">
        <v>2.678282436393278E-4</v>
      </c>
      <c r="AF222">
        <v>3.3244057252120221E-2</v>
      </c>
      <c r="AG222">
        <v>0.99146408006868592</v>
      </c>
      <c r="AH222">
        <v>0.99598794904820909</v>
      </c>
      <c r="AI222">
        <v>49.799397452410453</v>
      </c>
      <c r="AJ222"/>
      <c r="AK222"/>
      <c r="AL222"/>
      <c r="AM222"/>
      <c r="AN222"/>
      <c r="AO222"/>
      <c r="AP222"/>
      <c r="AQ222"/>
      <c r="AR222"/>
    </row>
    <row r="223" spans="1:44" ht="15" customHeight="1" x14ac:dyDescent="0.3">
      <c r="A223" s="2">
        <v>2.2200000000000002</v>
      </c>
      <c r="B223" s="1">
        <f t="shared" si="54"/>
        <v>6.0255958607435718E-3</v>
      </c>
      <c r="C223" s="1">
        <f t="shared" si="55"/>
        <v>1.6761827765119377E-12</v>
      </c>
      <c r="D223" s="1">
        <f t="shared" si="56"/>
        <v>2.7228447383523393E-2</v>
      </c>
      <c r="E223" s="1">
        <f t="shared" si="57"/>
        <v>-1.2047412305872319E-3</v>
      </c>
      <c r="F223" s="1">
        <f t="shared" si="58"/>
        <v>8.9117151238910034E-5</v>
      </c>
      <c r="G223" s="1">
        <f t="shared" si="59"/>
        <v>-0.28407355163792974</v>
      </c>
      <c r="H223" s="1">
        <f t="shared" si="67"/>
        <v>-2.8407355163792971</v>
      </c>
      <c r="J223" s="2">
        <v>6.21</v>
      </c>
      <c r="K223" s="1">
        <v>6.1659500186148145E-7</v>
      </c>
      <c r="L223" s="1">
        <v>1.6380281983325209E-8</v>
      </c>
      <c r="M223" s="1">
        <v>9.7798625455379536E-3</v>
      </c>
      <c r="N223" s="1">
        <v>1.7033562424103412E-3</v>
      </c>
      <c r="O223" s="1">
        <v>0.46551605527316869</v>
      </c>
      <c r="P223" s="1">
        <v>0.46548325063818585</v>
      </c>
      <c r="Q223" s="2">
        <v>4.6548325063818581</v>
      </c>
      <c r="S223" s="2">
        <v>2.2200000000000002</v>
      </c>
      <c r="T223" s="1">
        <f t="shared" si="60"/>
        <v>6.0255958607435718E-3</v>
      </c>
      <c r="U223" s="1">
        <f t="shared" si="61"/>
        <v>1.6761827765119377E-12</v>
      </c>
      <c r="V223" s="1">
        <f t="shared" si="62"/>
        <v>-5.997704375983853E-3</v>
      </c>
      <c r="W223" s="1">
        <f t="shared" si="63"/>
        <v>3.5332568125327951E-2</v>
      </c>
      <c r="X223" s="1">
        <f t="shared" si="64"/>
        <v>0.99956869350962341</v>
      </c>
      <c r="Y223" s="1">
        <f t="shared" si="65"/>
        <v>1.0927469083294916</v>
      </c>
      <c r="Z223" s="1">
        <f t="shared" si="66"/>
        <v>54.637345416474581</v>
      </c>
      <c r="AB223">
        <v>3.53</v>
      </c>
      <c r="AC223">
        <v>2.9512092266663857E-4</v>
      </c>
      <c r="AD223">
        <v>3.4223259770059455E-11</v>
      </c>
      <c r="AE223">
        <v>2.8791795435056933E-4</v>
      </c>
      <c r="AF223">
        <v>3.3237360681883148E-2</v>
      </c>
      <c r="AG223">
        <v>0.99126698931095525</v>
      </c>
      <c r="AH223">
        <v>0.99568743900344214</v>
      </c>
      <c r="AI223">
        <v>49.784371950172108</v>
      </c>
      <c r="AJ223"/>
      <c r="AK223"/>
      <c r="AL223"/>
      <c r="AM223"/>
      <c r="AN223"/>
      <c r="AO223"/>
      <c r="AP223"/>
      <c r="AQ223"/>
      <c r="AR223"/>
    </row>
    <row r="224" spans="1:44" ht="15" customHeight="1" x14ac:dyDescent="0.3">
      <c r="A224" s="2">
        <v>2.23</v>
      </c>
      <c r="B224" s="1">
        <f t="shared" si="54"/>
        <v>5.8884365535558899E-3</v>
      </c>
      <c r="C224" s="1">
        <f t="shared" si="55"/>
        <v>1.7152260889863617E-12</v>
      </c>
      <c r="D224" s="1">
        <f t="shared" si="56"/>
        <v>2.7063806402189087E-2</v>
      </c>
      <c r="E224" s="1">
        <f t="shared" si="57"/>
        <v>-1.1773010670315151E-3</v>
      </c>
      <c r="F224" s="1">
        <f t="shared" si="58"/>
        <v>9.1192767056388286E-5</v>
      </c>
      <c r="G224" s="1">
        <f t="shared" si="59"/>
        <v>-0.27796296216053673</v>
      </c>
      <c r="H224" s="1">
        <f t="shared" si="67"/>
        <v>-2.7796296216053671</v>
      </c>
      <c r="J224" s="2">
        <v>6.22</v>
      </c>
      <c r="K224" s="1">
        <v>6.0255958607435721E-7</v>
      </c>
      <c r="L224" s="1">
        <v>1.6761827765119375E-8</v>
      </c>
      <c r="M224" s="1">
        <v>9.6648072425289996E-3</v>
      </c>
      <c r="N224" s="1">
        <v>1.722532126245167E-3</v>
      </c>
      <c r="O224" s="1">
        <v>0.47124943610773146</v>
      </c>
      <c r="P224" s="1">
        <v>0.47121738583893302</v>
      </c>
      <c r="Q224" s="2">
        <v>4.7121738583893302</v>
      </c>
      <c r="S224" s="2">
        <v>2.23</v>
      </c>
      <c r="T224" s="1">
        <f t="shared" si="60"/>
        <v>5.8884365535558899E-3</v>
      </c>
      <c r="U224" s="1">
        <f t="shared" si="61"/>
        <v>1.7152260889863617E-12</v>
      </c>
      <c r="V224" s="1">
        <f t="shared" si="62"/>
        <v>-5.8598754025214238E-3</v>
      </c>
      <c r="W224" s="1">
        <f t="shared" si="63"/>
        <v>3.5286625134173813E-2</v>
      </c>
      <c r="X224" s="1">
        <f t="shared" si="64"/>
        <v>0.99955865152484402</v>
      </c>
      <c r="Y224" s="1">
        <f t="shared" si="65"/>
        <v>1.0905512255336864</v>
      </c>
      <c r="Z224" s="1">
        <f t="shared" si="66"/>
        <v>54.527561276684317</v>
      </c>
      <c r="AB224">
        <v>3.54</v>
      </c>
      <c r="AC224">
        <v>2.8840315031266012E-4</v>
      </c>
      <c r="AD224">
        <v>3.502042189570575E-11</v>
      </c>
      <c r="AE224">
        <v>3.0815537949510061E-4</v>
      </c>
      <c r="AF224">
        <v>3.3230614873501631E-2</v>
      </c>
      <c r="AG224">
        <v>0.99106538882068285</v>
      </c>
      <c r="AH224">
        <v>0.99538478033141553</v>
      </c>
      <c r="AI224">
        <v>49.769239016570779</v>
      </c>
      <c r="AJ224"/>
      <c r="AK224"/>
      <c r="AL224"/>
      <c r="AM224"/>
      <c r="AN224"/>
      <c r="AO224"/>
      <c r="AP224"/>
      <c r="AQ224"/>
      <c r="AR224"/>
    </row>
    <row r="225" spans="1:44" ht="15" customHeight="1" x14ac:dyDescent="0.3">
      <c r="A225" s="2">
        <v>2.2400000000000002</v>
      </c>
      <c r="B225" s="1">
        <f t="shared" si="54"/>
        <v>5.7543993733715649E-3</v>
      </c>
      <c r="C225" s="1">
        <f t="shared" si="55"/>
        <v>1.7551788370368705E-12</v>
      </c>
      <c r="D225" s="1">
        <f t="shared" si="56"/>
        <v>2.6902910813228664E-2</v>
      </c>
      <c r="E225" s="1">
        <f t="shared" si="57"/>
        <v>-1.1504851355381104E-3</v>
      </c>
      <c r="F225" s="1">
        <f t="shared" si="58"/>
        <v>9.3316721256554223E-5</v>
      </c>
      <c r="G225" s="1">
        <f t="shared" si="59"/>
        <v>-0.27197606299937949</v>
      </c>
      <c r="H225" s="1">
        <f t="shared" si="67"/>
        <v>-2.7197606299937949</v>
      </c>
      <c r="J225" s="2">
        <v>6.23</v>
      </c>
      <c r="K225" s="1">
        <v>5.8884365535558744E-7</v>
      </c>
      <c r="L225" s="1">
        <v>1.7152260889863662E-8</v>
      </c>
      <c r="M225" s="1">
        <v>9.5498412333928327E-3</v>
      </c>
      <c r="N225" s="1">
        <v>1.7416931277678611E-3</v>
      </c>
      <c r="O225" s="1">
        <v>0.47699041270243819</v>
      </c>
      <c r="P225" s="1">
        <v>0.47695910139857711</v>
      </c>
      <c r="Q225" s="2">
        <v>4.7695910139857709</v>
      </c>
      <c r="S225" s="2">
        <v>2.2400000000000002</v>
      </c>
      <c r="T225" s="1">
        <f t="shared" si="60"/>
        <v>5.7543993733715649E-3</v>
      </c>
      <c r="U225" s="1">
        <f t="shared" si="61"/>
        <v>1.7551788370368705E-12</v>
      </c>
      <c r="V225" s="1">
        <f t="shared" si="62"/>
        <v>-5.7251529668183795E-3</v>
      </c>
      <c r="W225" s="1">
        <f t="shared" si="63"/>
        <v>3.5241717655606131E-2</v>
      </c>
      <c r="X225" s="1">
        <f t="shared" si="64"/>
        <v>0.99954837584106293</v>
      </c>
      <c r="Y225" s="1">
        <f t="shared" si="65"/>
        <v>1.0884080423314997</v>
      </c>
      <c r="Z225" s="1">
        <f t="shared" si="66"/>
        <v>54.420402116574977</v>
      </c>
      <c r="AB225">
        <v>3.55</v>
      </c>
      <c r="AC225">
        <v>2.8183829312644545E-4</v>
      </c>
      <c r="AD225">
        <v>3.5836152312591112E-11</v>
      </c>
      <c r="AE225">
        <v>3.285509966391707E-4</v>
      </c>
      <c r="AF225">
        <v>3.3223816334453614E-2</v>
      </c>
      <c r="AG225">
        <v>0.99085917732306106</v>
      </c>
      <c r="AH225">
        <v>0.99507981770439669</v>
      </c>
      <c r="AI225">
        <v>49.753990885219835</v>
      </c>
      <c r="AJ225"/>
      <c r="AK225"/>
      <c r="AL225"/>
      <c r="AM225"/>
      <c r="AN225"/>
      <c r="AO225"/>
      <c r="AP225"/>
      <c r="AQ225"/>
      <c r="AR225"/>
    </row>
    <row r="226" spans="1:44" ht="15" customHeight="1" x14ac:dyDescent="0.3">
      <c r="A226" s="2">
        <v>2.25</v>
      </c>
      <c r="B226" s="1">
        <f t="shared" si="54"/>
        <v>5.6234132519034866E-3</v>
      </c>
      <c r="C226" s="1">
        <f t="shared" si="55"/>
        <v>1.7960622041393131E-12</v>
      </c>
      <c r="D226" s="1">
        <f t="shared" si="56"/>
        <v>2.6745675307689114E-2</v>
      </c>
      <c r="E226" s="1">
        <f t="shared" si="57"/>
        <v>-1.1242792179481851E-3</v>
      </c>
      <c r="F226" s="1">
        <f t="shared" si="58"/>
        <v>9.5490139364630468E-5</v>
      </c>
      <c r="G226" s="1">
        <f t="shared" si="59"/>
        <v>-0.26611066970581992</v>
      </c>
      <c r="H226" s="1">
        <f t="shared" si="67"/>
        <v>-2.6611066970581989</v>
      </c>
      <c r="J226" s="2">
        <v>6.24</v>
      </c>
      <c r="K226" s="1">
        <v>5.7543993733715549E-7</v>
      </c>
      <c r="L226" s="1">
        <v>1.7551788370368735E-8</v>
      </c>
      <c r="M226" s="1">
        <v>9.4349948365484784E-3</v>
      </c>
      <c r="N226" s="1">
        <v>1.7608341939085873E-3</v>
      </c>
      <c r="O226" s="1">
        <v>0.48273747556762431</v>
      </c>
      <c r="P226" s="1">
        <v>0.48270688819565249</v>
      </c>
      <c r="Q226" s="2">
        <v>4.8270688819565244</v>
      </c>
      <c r="S226" s="2">
        <v>2.25</v>
      </c>
      <c r="T226" s="1">
        <f t="shared" si="60"/>
        <v>5.6234132519034866E-3</v>
      </c>
      <c r="U226" s="1">
        <f t="shared" si="61"/>
        <v>1.7960622041393131E-12</v>
      </c>
      <c r="V226" s="1">
        <f t="shared" si="62"/>
        <v>-5.5934656379049734E-3</v>
      </c>
      <c r="W226" s="1">
        <f t="shared" si="63"/>
        <v>3.5197821879301663E-2</v>
      </c>
      <c r="X226" s="1">
        <f t="shared" si="64"/>
        <v>0.99953786102456821</v>
      </c>
      <c r="Y226" s="1">
        <f t="shared" si="65"/>
        <v>1.0863160128273277</v>
      </c>
      <c r="Z226" s="1">
        <f t="shared" si="66"/>
        <v>54.31580064136638</v>
      </c>
      <c r="AB226">
        <v>3.56</v>
      </c>
      <c r="AC226">
        <v>2.7542287033381624E-4</v>
      </c>
      <c r="AD226">
        <v>3.6670883531780289E-11</v>
      </c>
      <c r="AE226">
        <v>3.4911535546610468E-4</v>
      </c>
      <c r="AF226">
        <v>3.3216961548177965E-2</v>
      </c>
      <c r="AG226">
        <v>0.9906482513583208</v>
      </c>
      <c r="AH226">
        <v>0.99477239485415203</v>
      </c>
      <c r="AI226">
        <v>49.738619742707598</v>
      </c>
      <c r="AJ226"/>
      <c r="AK226"/>
      <c r="AL226"/>
      <c r="AM226"/>
      <c r="AN226"/>
      <c r="AO226"/>
      <c r="AP226"/>
      <c r="AQ226"/>
      <c r="AR226"/>
    </row>
    <row r="227" spans="1:44" ht="15" customHeight="1" x14ac:dyDescent="0.3">
      <c r="A227" s="2">
        <v>2.2599999999999998</v>
      </c>
      <c r="B227" s="1">
        <f t="shared" si="54"/>
        <v>5.4954087385762473E-3</v>
      </c>
      <c r="C227" s="1">
        <f t="shared" si="55"/>
        <v>1.8378978671960825E-12</v>
      </c>
      <c r="D227" s="1">
        <f t="shared" si="56"/>
        <v>2.6592016517242939E-2</v>
      </c>
      <c r="E227" s="1">
        <f t="shared" si="57"/>
        <v>-1.0986694195404896E-3</v>
      </c>
      <c r="F227" s="1">
        <f t="shared" si="58"/>
        <v>9.7714173102883881E-5</v>
      </c>
      <c r="G227" s="1">
        <f t="shared" si="59"/>
        <v>-0.26036462245409636</v>
      </c>
      <c r="H227" s="1">
        <f t="shared" si="67"/>
        <v>-2.6036462245409635</v>
      </c>
      <c r="J227" s="2">
        <v>6.25</v>
      </c>
      <c r="K227" s="1">
        <v>5.6234132519034872E-7</v>
      </c>
      <c r="L227" s="1">
        <v>1.796062204139313E-8</v>
      </c>
      <c r="M227" s="1">
        <v>9.3202982445834259E-3</v>
      </c>
      <c r="N227" s="1">
        <v>1.7799502925694294E-3</v>
      </c>
      <c r="O227" s="1">
        <v>0.4884891087822083</v>
      </c>
      <c r="P227" s="1">
        <v>0.48845923066925639</v>
      </c>
      <c r="Q227" s="2">
        <v>4.8845923066925634</v>
      </c>
      <c r="S227" s="2">
        <v>2.2599999999999998</v>
      </c>
      <c r="T227" s="1">
        <f t="shared" si="60"/>
        <v>5.4954087385762473E-3</v>
      </c>
      <c r="U227" s="1">
        <f t="shared" si="61"/>
        <v>1.8378978671960825E-12</v>
      </c>
      <c r="V227" s="1">
        <f t="shared" si="62"/>
        <v>-5.464743594095791E-3</v>
      </c>
      <c r="W227" s="1">
        <f t="shared" si="63"/>
        <v>3.5154914531365267E-2</v>
      </c>
      <c r="X227" s="1">
        <f t="shared" si="64"/>
        <v>0.99952710151554369</v>
      </c>
      <c r="Y227" s="1">
        <f t="shared" si="65"/>
        <v>1.0842738282261815</v>
      </c>
      <c r="Z227" s="1">
        <f t="shared" si="66"/>
        <v>54.213691411309078</v>
      </c>
      <c r="AB227">
        <v>3.57</v>
      </c>
      <c r="AC227">
        <v>2.6915348039269167E-4</v>
      </c>
      <c r="AD227">
        <v>3.7525058138814409E-11</v>
      </c>
      <c r="AE227">
        <v>3.6985908282604067E-4</v>
      </c>
      <c r="AF227">
        <v>3.321004697239132E-2</v>
      </c>
      <c r="AG227">
        <v>0.99043250523878135</v>
      </c>
      <c r="AH227">
        <v>0.99446235450003739</v>
      </c>
      <c r="AI227">
        <v>49.723117725001877</v>
      </c>
      <c r="AJ227"/>
      <c r="AK227"/>
      <c r="AL227"/>
      <c r="AM227"/>
      <c r="AN227"/>
      <c r="AO227"/>
      <c r="AP227"/>
      <c r="AQ227"/>
      <c r="AR227"/>
    </row>
    <row r="228" spans="1:44" ht="15" customHeight="1" x14ac:dyDescent="0.3">
      <c r="A228" s="2">
        <v>2.27</v>
      </c>
      <c r="B228" s="1">
        <f t="shared" si="54"/>
        <v>5.3703179637025244E-3</v>
      </c>
      <c r="C228" s="1">
        <f t="shared" si="55"/>
        <v>1.8807080080294972E-12</v>
      </c>
      <c r="D228" s="1">
        <f t="shared" si="56"/>
        <v>2.6441852969985198E-2</v>
      </c>
      <c r="E228" s="1">
        <f t="shared" si="57"/>
        <v>-1.0736421616641999E-3</v>
      </c>
      <c r="F228" s="1">
        <f t="shared" si="58"/>
        <v>9.9990000999900015E-5</v>
      </c>
      <c r="G228" s="1">
        <f t="shared" si="59"/>
        <v>-0.25473578639797251</v>
      </c>
      <c r="H228" s="1">
        <f t="shared" si="67"/>
        <v>-2.547357863979725</v>
      </c>
      <c r="J228" s="2">
        <v>6.26</v>
      </c>
      <c r="K228" s="1">
        <v>5.4954087385762417E-7</v>
      </c>
      <c r="L228" s="1">
        <v>1.8378978671960844E-8</v>
      </c>
      <c r="M228" s="1">
        <v>9.2057814926080912E-3</v>
      </c>
      <c r="N228" s="1">
        <v>1.7990364178986512E-3</v>
      </c>
      <c r="O228" s="1">
        <v>0.49424379158885517</v>
      </c>
      <c r="P228" s="1">
        <v>0.49421460841441561</v>
      </c>
      <c r="Q228" s="2">
        <v>4.9421460841441558</v>
      </c>
      <c r="S228" s="2">
        <v>2.27</v>
      </c>
      <c r="T228" s="1">
        <f t="shared" si="60"/>
        <v>5.3703179637025244E-3</v>
      </c>
      <c r="U228" s="1">
        <f t="shared" si="61"/>
        <v>1.8807080080294972E-12</v>
      </c>
      <c r="V228" s="1">
        <f t="shared" si="62"/>
        <v>-5.3389185859708255E-3</v>
      </c>
      <c r="W228" s="1">
        <f t="shared" si="63"/>
        <v>3.5112972861990277E-2</v>
      </c>
      <c r="X228" s="1">
        <f t="shared" si="64"/>
        <v>0.9995160916251532</v>
      </c>
      <c r="Y228" s="1">
        <f t="shared" si="65"/>
        <v>1.0822802156525888</v>
      </c>
      <c r="Z228" s="1">
        <f t="shared" si="66"/>
        <v>54.114010782629443</v>
      </c>
      <c r="AB228">
        <v>3.58</v>
      </c>
      <c r="AC228">
        <v>2.6302679918953782E-4</v>
      </c>
      <c r="AD228">
        <v>3.8399129028376734E-11</v>
      </c>
      <c r="AE228">
        <v>3.9079288780173804E-4</v>
      </c>
      <c r="AF228">
        <v>3.3203069037399419E-2</v>
      </c>
      <c r="AG228">
        <v>0.99021183100525645</v>
      </c>
      <c r="AH228">
        <v>0.99414953827713215</v>
      </c>
      <c r="AI228">
        <v>49.70747691385661</v>
      </c>
      <c r="AJ228"/>
      <c r="AK228"/>
      <c r="AL228"/>
      <c r="AM228"/>
      <c r="AN228"/>
      <c r="AO228"/>
      <c r="AP228"/>
      <c r="AQ228"/>
      <c r="AR228"/>
    </row>
    <row r="229" spans="1:44" ht="15" customHeight="1" x14ac:dyDescent="0.3">
      <c r="A229" s="2">
        <v>2.2799999999999998</v>
      </c>
      <c r="B229" s="1">
        <f t="shared" si="54"/>
        <v>5.2480746024977237E-3</v>
      </c>
      <c r="C229" s="1">
        <f t="shared" si="55"/>
        <v>1.9245153251428802E-12</v>
      </c>
      <c r="D229" s="1">
        <f t="shared" si="56"/>
        <v>2.629510504723612E-2</v>
      </c>
      <c r="E229" s="1">
        <f t="shared" si="57"/>
        <v>-1.0491841745393538E-3</v>
      </c>
      <c r="F229" s="1">
        <f t="shared" si="58"/>
        <v>1.0231882901400456E-4</v>
      </c>
      <c r="G229" s="1">
        <f t="shared" si="59"/>
        <v>-0.24922205199012526</v>
      </c>
      <c r="H229" s="1">
        <f t="shared" si="67"/>
        <v>-2.4922205199012524</v>
      </c>
      <c r="J229" s="2">
        <v>6.27</v>
      </c>
      <c r="K229" s="1">
        <v>5.3703179637025244E-7</v>
      </c>
      <c r="L229" s="1">
        <v>1.8807080080294971E-8</v>
      </c>
      <c r="M229" s="1">
        <v>9.0914744269632291E-3</v>
      </c>
      <c r="N229" s="1">
        <v>1.8180875955061289E-3</v>
      </c>
      <c r="O229" s="1">
        <v>0.5</v>
      </c>
      <c r="P229" s="1">
        <v>0.49997149778830952</v>
      </c>
      <c r="Q229" s="2">
        <v>4.9997149778830945</v>
      </c>
      <c r="S229" s="2">
        <v>2.2799999999999998</v>
      </c>
      <c r="T229" s="1">
        <f t="shared" si="60"/>
        <v>5.2480746024977237E-3</v>
      </c>
      <c r="U229" s="1">
        <f t="shared" si="61"/>
        <v>1.9245153251428802E-12</v>
      </c>
      <c r="V229" s="1">
        <f t="shared" si="62"/>
        <v>-5.2159239001902825E-3</v>
      </c>
      <c r="W229" s="1">
        <f t="shared" si="63"/>
        <v>3.5071974633396764E-2</v>
      </c>
      <c r="X229" s="1">
        <f t="shared" si="64"/>
        <v>0.99950482553255859</v>
      </c>
      <c r="Y229" s="1">
        <f t="shared" si="65"/>
        <v>1.080333937013171</v>
      </c>
      <c r="Z229" s="1">
        <f t="shared" si="66"/>
        <v>54.016696850658555</v>
      </c>
      <c r="AB229">
        <v>3.59</v>
      </c>
      <c r="AC229">
        <v>2.5703957827688604E-4</v>
      </c>
      <c r="AD229">
        <v>3.9293559644422391E-11</v>
      </c>
      <c r="AE229">
        <v>4.1192756679175451E-4</v>
      </c>
      <c r="AF229">
        <v>3.3196024144402751E-2</v>
      </c>
      <c r="AG229">
        <v>0.98998611838281714</v>
      </c>
      <c r="AH229">
        <v>0.99383378666440181</v>
      </c>
      <c r="AI229">
        <v>49.691689333220097</v>
      </c>
      <c r="AJ229"/>
      <c r="AK229"/>
      <c r="AL229"/>
      <c r="AM229"/>
      <c r="AN229"/>
      <c r="AO229"/>
      <c r="AP229"/>
      <c r="AQ229"/>
      <c r="AR229"/>
    </row>
    <row r="230" spans="1:44" ht="15" customHeight="1" x14ac:dyDescent="0.3">
      <c r="A230" s="2">
        <v>2.29</v>
      </c>
      <c r="B230" s="1">
        <f t="shared" si="54"/>
        <v>5.1286138399136471E-3</v>
      </c>
      <c r="C230" s="1">
        <f t="shared" si="55"/>
        <v>1.9693430457556263E-12</v>
      </c>
      <c r="D230" s="1">
        <f t="shared" si="56"/>
        <v>2.6151694941326204E-2</v>
      </c>
      <c r="E230" s="1">
        <f t="shared" si="57"/>
        <v>-1.0252824902210339E-3</v>
      </c>
      <c r="F230" s="1">
        <f t="shared" si="58"/>
        <v>1.047018911711619E-4</v>
      </c>
      <c r="G230" s="1">
        <f t="shared" si="59"/>
        <v>-0.24382133526574448</v>
      </c>
      <c r="H230" s="1">
        <f t="shared" si="67"/>
        <v>-2.4382133526574448</v>
      </c>
      <c r="J230" s="2">
        <v>6.28</v>
      </c>
      <c r="K230" s="1">
        <v>5.2480746024977148E-7</v>
      </c>
      <c r="L230" s="1">
        <v>1.9245153251428837E-8</v>
      </c>
      <c r="M230" s="1">
        <v>8.9774066743487802E-3</v>
      </c>
      <c r="N230" s="1">
        <v>1.8370988876085365E-3</v>
      </c>
      <c r="O230" s="1">
        <v>0.50575620841114532</v>
      </c>
      <c r="P230" s="1">
        <v>0.5057283735237631</v>
      </c>
      <c r="Q230" s="2">
        <v>5.0572837352376308</v>
      </c>
      <c r="S230" s="2">
        <v>2.29</v>
      </c>
      <c r="T230" s="1">
        <f t="shared" si="60"/>
        <v>5.1286138399136471E-3</v>
      </c>
      <c r="U230" s="1">
        <f t="shared" si="61"/>
        <v>1.9693430457556263E-12</v>
      </c>
      <c r="V230" s="1">
        <f t="shared" si="62"/>
        <v>-5.0956943241237769E-3</v>
      </c>
      <c r="W230" s="1">
        <f t="shared" si="63"/>
        <v>3.5031898108041255E-2</v>
      </c>
      <c r="X230" s="1">
        <f t="shared" si="64"/>
        <v>0.99949329728186809</v>
      </c>
      <c r="Y230" s="1">
        <f t="shared" si="65"/>
        <v>1.0784337879009898</v>
      </c>
      <c r="Z230" s="1">
        <f t="shared" si="66"/>
        <v>53.921689395049484</v>
      </c>
      <c r="AB230">
        <v>3.6</v>
      </c>
      <c r="AC230">
        <v>2.5118864315095774E-4</v>
      </c>
      <c r="AD230">
        <v>4.020882422590326E-11</v>
      </c>
      <c r="AE230">
        <v>4.332740086129768E-4</v>
      </c>
      <c r="AF230">
        <v>3.3188908663795674E-2</v>
      </c>
      <c r="AG230">
        <v>0.9897552547359123</v>
      </c>
      <c r="AH230">
        <v>0.9935149389128719</v>
      </c>
      <c r="AI230">
        <v>49.675746945643596</v>
      </c>
      <c r="AJ230"/>
      <c r="AK230"/>
      <c r="AL230"/>
      <c r="AM230"/>
      <c r="AN230"/>
      <c r="AO230"/>
      <c r="AP230"/>
      <c r="AQ230"/>
      <c r="AR230"/>
    </row>
    <row r="231" spans="1:44" ht="15" customHeight="1" x14ac:dyDescent="0.3">
      <c r="A231" s="2">
        <v>2.2999999999999998</v>
      </c>
      <c r="B231" s="1">
        <f t="shared" si="54"/>
        <v>5.0118723362727212E-3</v>
      </c>
      <c r="C231" s="1">
        <f t="shared" si="55"/>
        <v>2.015214938118569E-12</v>
      </c>
      <c r="D231" s="1">
        <f t="shared" si="56"/>
        <v>2.6011546614341626E-2</v>
      </c>
      <c r="E231" s="1">
        <f t="shared" si="57"/>
        <v>-1.0019244357236047E-3</v>
      </c>
      <c r="F231" s="1">
        <f t="shared" si="58"/>
        <v>1.0714045021768261E-4</v>
      </c>
      <c r="G231" s="1">
        <f t="shared" si="59"/>
        <v>-0.2385315780918065</v>
      </c>
      <c r="H231" s="1">
        <f t="shared" si="67"/>
        <v>-2.3853157809180647</v>
      </c>
      <c r="J231" s="2">
        <v>6.29</v>
      </c>
      <c r="K231" s="1">
        <v>5.1286138399136375E-7</v>
      </c>
      <c r="L231" s="1">
        <v>1.96934304575563E-8</v>
      </c>
      <c r="M231" s="1">
        <v>8.8636076114417279E-3</v>
      </c>
      <c r="N231" s="1">
        <v>1.8560653980930449E-3</v>
      </c>
      <c r="O231" s="1">
        <v>0.51151089121779203</v>
      </c>
      <c r="P231" s="1">
        <v>0.5114837103463683</v>
      </c>
      <c r="Q231" s="2">
        <v>5.1148371034636826</v>
      </c>
      <c r="S231" s="2">
        <v>2.2999999999999998</v>
      </c>
      <c r="T231" s="1">
        <f t="shared" si="60"/>
        <v>5.0118723362727212E-3</v>
      </c>
      <c r="U231" s="1">
        <f t="shared" si="61"/>
        <v>2.015214938118569E-12</v>
      </c>
      <c r="V231" s="1">
        <f t="shared" si="62"/>
        <v>-4.9781661112754958E-3</v>
      </c>
      <c r="W231" s="1">
        <f t="shared" si="63"/>
        <v>3.4992722037091833E-2</v>
      </c>
      <c r="X231" s="1">
        <f t="shared" si="64"/>
        <v>0.99948150077901665</v>
      </c>
      <c r="Y231" s="1">
        <f t="shared" si="65"/>
        <v>1.0765785965398511</v>
      </c>
      <c r="Z231" s="1">
        <f t="shared" si="66"/>
        <v>53.82892982699255</v>
      </c>
      <c r="AB231">
        <v>3.61</v>
      </c>
      <c r="AC231">
        <v>2.4547089156850275E-4</v>
      </c>
      <c r="AD231">
        <v>4.1145408058215434E-11</v>
      </c>
      <c r="AE231">
        <v>4.5484319962348947E-4</v>
      </c>
      <c r="AF231">
        <v>3.3181718933458837E-2</v>
      </c>
      <c r="AG231">
        <v>0.98951912502284844</v>
      </c>
      <c r="AH231">
        <v>0.99319283297380034</v>
      </c>
      <c r="AI231">
        <v>49.65964164869002</v>
      </c>
      <c r="AJ231"/>
      <c r="AK231"/>
      <c r="AL231"/>
      <c r="AM231"/>
      <c r="AN231"/>
      <c r="AO231"/>
      <c r="AP231"/>
      <c r="AQ231"/>
      <c r="AR231"/>
    </row>
    <row r="232" spans="1:44" ht="15" customHeight="1" x14ac:dyDescent="0.3">
      <c r="A232" s="2">
        <v>2.31</v>
      </c>
      <c r="B232" s="1">
        <f t="shared" si="54"/>
        <v>4.8977881936844566E-3</v>
      </c>
      <c r="C232" s="1">
        <f t="shared" si="55"/>
        <v>2.0621553241162269E-12</v>
      </c>
      <c r="D232" s="1">
        <f t="shared" si="56"/>
        <v>2.5874585757808016E-2</v>
      </c>
      <c r="E232" s="1">
        <f t="shared" si="57"/>
        <v>-9.7909762630133562E-4</v>
      </c>
      <c r="F232" s="1">
        <f t="shared" si="58"/>
        <v>1.0963579828808459E-4</v>
      </c>
      <c r="G232" s="1">
        <f t="shared" si="59"/>
        <v>-0.23335074838344058</v>
      </c>
      <c r="H232" s="1">
        <f t="shared" si="67"/>
        <v>-2.3335074838344059</v>
      </c>
      <c r="J232" s="2">
        <v>6.3</v>
      </c>
      <c r="K232" s="1">
        <v>5.0118723362727218E-7</v>
      </c>
      <c r="L232" s="1">
        <v>2.0152149381185686E-8</v>
      </c>
      <c r="M232" s="1">
        <v>8.7501063350677918E-3</v>
      </c>
      <c r="N232" s="1">
        <v>1.8749822774887014E-3</v>
      </c>
      <c r="O232" s="1">
        <v>0.51726252443237619</v>
      </c>
      <c r="P232" s="1">
        <v>0.51723598459160969</v>
      </c>
      <c r="Q232" s="2">
        <v>5.1723598459160964</v>
      </c>
      <c r="S232" s="2">
        <v>2.31</v>
      </c>
      <c r="T232" s="1">
        <f t="shared" si="60"/>
        <v>4.8977881936844566E-3</v>
      </c>
      <c r="U232" s="1">
        <f t="shared" si="61"/>
        <v>2.0621553241162269E-12</v>
      </c>
      <c r="V232" s="1">
        <f t="shared" si="62"/>
        <v>-4.8632769474865455E-3</v>
      </c>
      <c r="W232" s="1">
        <f t="shared" si="63"/>
        <v>3.4954425649162187E-2</v>
      </c>
      <c r="X232" s="1">
        <f t="shared" si="64"/>
        <v>0.99946942978857245</v>
      </c>
      <c r="Y232" s="1">
        <f t="shared" si="65"/>
        <v>1.0747672227668461</v>
      </c>
      <c r="Z232" s="1">
        <f t="shared" si="66"/>
        <v>53.738361138342306</v>
      </c>
      <c r="AB232">
        <v>3.62</v>
      </c>
      <c r="AC232">
        <v>2.398832919019488E-4</v>
      </c>
      <c r="AD232">
        <v>4.2103807730503913E-11</v>
      </c>
      <c r="AE232">
        <v>4.7664622886771629E-4</v>
      </c>
      <c r="AF232">
        <v>3.3174451257044095E-2</v>
      </c>
      <c r="AG232">
        <v>0.98927761174963202</v>
      </c>
      <c r="AH232">
        <v>0.99286730542683399</v>
      </c>
      <c r="AI232">
        <v>49.6433652713417</v>
      </c>
      <c r="AJ232"/>
      <c r="AK232"/>
      <c r="AL232"/>
      <c r="AM232"/>
      <c r="AN232"/>
      <c r="AO232"/>
      <c r="AP232"/>
      <c r="AQ232"/>
      <c r="AR232"/>
    </row>
    <row r="233" spans="1:44" ht="15" customHeight="1" x14ac:dyDescent="0.3">
      <c r="A233" s="2">
        <v>2.3199999999999998</v>
      </c>
      <c r="B233" s="1">
        <f t="shared" si="54"/>
        <v>4.7863009232263836E-3</v>
      </c>
      <c r="C233" s="1">
        <f t="shared" si="55"/>
        <v>2.1101890921625798E-12</v>
      </c>
      <c r="D233" s="1">
        <f t="shared" si="56"/>
        <v>2.5740739753291123E-2</v>
      </c>
      <c r="E233" s="1">
        <f t="shared" si="57"/>
        <v>-9.567899588818539E-4</v>
      </c>
      <c r="F233" s="1">
        <f t="shared" si="58"/>
        <v>1.1218925758845741E-4</v>
      </c>
      <c r="G233" s="1">
        <f t="shared" si="59"/>
        <v>-0.22827684028878423</v>
      </c>
      <c r="H233" s="1">
        <f t="shared" si="67"/>
        <v>-2.2827684028878421</v>
      </c>
      <c r="J233" s="2">
        <v>6.31</v>
      </c>
      <c r="K233" s="1">
        <v>4.8977881936844619E-7</v>
      </c>
      <c r="L233" s="1">
        <v>2.0621553241162245E-8</v>
      </c>
      <c r="M233" s="1">
        <v>8.6369316329905771E-3</v>
      </c>
      <c r="N233" s="1">
        <v>1.8938447278349037E-3</v>
      </c>
      <c r="O233" s="1">
        <v>0.5230095872975622</v>
      </c>
      <c r="P233" s="1">
        <v>0.52298367581834004</v>
      </c>
      <c r="Q233" s="2">
        <v>5.2298367581834002</v>
      </c>
      <c r="S233" s="2">
        <v>2.3199999999999998</v>
      </c>
      <c r="T233" s="1">
        <f t="shared" si="60"/>
        <v>4.7863009232263836E-3</v>
      </c>
      <c r="U233" s="1">
        <f t="shared" si="61"/>
        <v>2.1101890921625798E-12</v>
      </c>
      <c r="V233" s="1">
        <f t="shared" si="62"/>
        <v>-4.7509659178971795E-3</v>
      </c>
      <c r="W233" s="1">
        <f t="shared" si="63"/>
        <v>3.4916988639299061E-2</v>
      </c>
      <c r="X233" s="1">
        <f t="shared" si="64"/>
        <v>0.99945707793047256</v>
      </c>
      <c r="Y233" s="1">
        <f t="shared" si="65"/>
        <v>1.0729985570514942</v>
      </c>
      <c r="Z233" s="1">
        <f t="shared" si="66"/>
        <v>53.649927852574713</v>
      </c>
      <c r="AB233">
        <v>3.63</v>
      </c>
      <c r="AC233">
        <v>2.3442288153199204E-4</v>
      </c>
      <c r="AD233">
        <v>4.3084531398960887E-11</v>
      </c>
      <c r="AE233">
        <v>4.9869429324470146E-4</v>
      </c>
      <c r="AF233">
        <v>3.3167101902251771E-2</v>
      </c>
      <c r="AG233">
        <v>0.98903059492317802</v>
      </c>
      <c r="AH233">
        <v>0.99253819140813959</v>
      </c>
      <c r="AI233">
        <v>49.62690957040698</v>
      </c>
      <c r="AJ233"/>
      <c r="AK233"/>
      <c r="AL233"/>
      <c r="AM233"/>
      <c r="AN233"/>
      <c r="AO233"/>
      <c r="AP233"/>
      <c r="AQ233"/>
      <c r="AR233"/>
    </row>
    <row r="234" spans="1:44" ht="15" customHeight="1" x14ac:dyDescent="0.3">
      <c r="A234" s="2">
        <v>2.33</v>
      </c>
      <c r="B234" s="1">
        <f t="shared" si="54"/>
        <v>4.6773514128719777E-3</v>
      </c>
      <c r="C234" s="1">
        <f t="shared" si="55"/>
        <v>2.1593417103972561E-12</v>
      </c>
      <c r="D234" s="1">
        <f t="shared" si="56"/>
        <v>2.5609937633893631E-2</v>
      </c>
      <c r="E234" s="1">
        <f t="shared" si="57"/>
        <v>-9.3498960564893845E-4</v>
      </c>
      <c r="F234" s="1">
        <f t="shared" si="58"/>
        <v>1.1480218109569025E-4</v>
      </c>
      <c r="G234" s="1">
        <f t="shared" si="59"/>
        <v>-0.22330787434368918</v>
      </c>
      <c r="H234" s="1">
        <f t="shared" si="67"/>
        <v>-2.2330787434368915</v>
      </c>
      <c r="J234" s="2">
        <v>6.32</v>
      </c>
      <c r="K234" s="1">
        <v>4.7863009232263745E-7</v>
      </c>
      <c r="L234" s="1">
        <v>2.1101890921625836E-8</v>
      </c>
      <c r="M234" s="1">
        <v>8.5241119553788255E-3</v>
      </c>
      <c r="N234" s="1">
        <v>1.9126480074368626E-3</v>
      </c>
      <c r="O234" s="1">
        <v>0.52875056389226893</v>
      </c>
      <c r="P234" s="1">
        <v>0.52872526841498801</v>
      </c>
      <c r="Q234" s="2">
        <v>5.2872526841498795</v>
      </c>
      <c r="S234" s="2">
        <v>2.33</v>
      </c>
      <c r="T234" s="1">
        <f t="shared" si="60"/>
        <v>4.6773514128719777E-3</v>
      </c>
      <c r="U234" s="1">
        <f t="shared" si="61"/>
        <v>2.1593417103972561E-12</v>
      </c>
      <c r="V234" s="1">
        <f t="shared" si="62"/>
        <v>-4.6411734746505352E-3</v>
      </c>
      <c r="W234" s="1">
        <f t="shared" si="63"/>
        <v>3.4880391158216846E-2</v>
      </c>
      <c r="X234" s="1">
        <f t="shared" si="64"/>
        <v>0.99944443867668176</v>
      </c>
      <c r="Y234" s="1">
        <f t="shared" si="65"/>
        <v>1.0712715195499236</v>
      </c>
      <c r="Z234" s="1">
        <f t="shared" si="66"/>
        <v>53.563575977496185</v>
      </c>
      <c r="AB234">
        <v>3.64</v>
      </c>
      <c r="AC234">
        <v>2.2908676527677712E-4</v>
      </c>
      <c r="AD234">
        <v>4.4088099056256794E-11</v>
      </c>
      <c r="AE234">
        <v>5.2099870270135734E-4</v>
      </c>
      <c r="AF234">
        <v>3.3159667099099545E-2</v>
      </c>
      <c r="AG234">
        <v>0.98877795200388763</v>
      </c>
      <c r="AH234">
        <v>0.99220532453849675</v>
      </c>
      <c r="AI234">
        <v>49.610266226924836</v>
      </c>
      <c r="AJ234"/>
      <c r="AK234"/>
      <c r="AL234"/>
      <c r="AM234"/>
      <c r="AN234"/>
      <c r="AO234"/>
      <c r="AP234"/>
      <c r="AQ234"/>
      <c r="AR234"/>
    </row>
    <row r="235" spans="1:44" ht="15" customHeight="1" x14ac:dyDescent="0.3">
      <c r="A235" s="2">
        <v>2.34</v>
      </c>
      <c r="B235" s="1">
        <f t="shared" si="54"/>
        <v>4.5708818961487504E-3</v>
      </c>
      <c r="C235" s="1">
        <f t="shared" si="55"/>
        <v>2.2096392401890477E-12</v>
      </c>
      <c r="D235" s="1">
        <f t="shared" si="56"/>
        <v>2.5482110046627645E-2</v>
      </c>
      <c r="E235" s="1">
        <f t="shared" si="57"/>
        <v>-9.1368500777127431E-4</v>
      </c>
      <c r="F235" s="1">
        <f t="shared" si="58"/>
        <v>1.1747595327292643E-4</v>
      </c>
      <c r="G235" s="1">
        <f t="shared" si="59"/>
        <v>-0.21844189759761615</v>
      </c>
      <c r="H235" s="1">
        <f t="shared" si="67"/>
        <v>-2.1844189759761612</v>
      </c>
      <c r="J235" s="2">
        <v>6.33</v>
      </c>
      <c r="K235" s="1">
        <v>4.6773514128719735E-7</v>
      </c>
      <c r="L235" s="1">
        <v>2.159341710397258E-8</v>
      </c>
      <c r="M235" s="1">
        <v>8.4116753870102211E-3</v>
      </c>
      <c r="N235" s="1">
        <v>1.9313874354982964E-3</v>
      </c>
      <c r="O235" s="1">
        <v>0.53448394472683181</v>
      </c>
      <c r="P235" s="1">
        <v>0.53445925319489529</v>
      </c>
      <c r="Q235" s="2">
        <v>5.3445925319489529</v>
      </c>
      <c r="S235" s="2">
        <v>2.34</v>
      </c>
      <c r="T235" s="1">
        <f t="shared" si="60"/>
        <v>4.5708818961487504E-3</v>
      </c>
      <c r="U235" s="1">
        <f t="shared" si="61"/>
        <v>2.2096392401890477E-12</v>
      </c>
      <c r="V235" s="1">
        <f t="shared" si="62"/>
        <v>-4.5338414053218909E-3</v>
      </c>
      <c r="W235" s="1">
        <f t="shared" si="63"/>
        <v>3.4844613801773963E-2</v>
      </c>
      <c r="X235" s="1">
        <f t="shared" si="64"/>
        <v>0.99943150534777681</v>
      </c>
      <c r="Y235" s="1">
        <f t="shared" si="65"/>
        <v>1.0695850591926248</v>
      </c>
      <c r="Z235" s="1">
        <f t="shared" si="66"/>
        <v>53.479252959631239</v>
      </c>
      <c r="AB235">
        <v>3.65</v>
      </c>
      <c r="AC235">
        <v>2.2387211385683381E-4</v>
      </c>
      <c r="AD235">
        <v>4.5115042807247301E-11</v>
      </c>
      <c r="AE235">
        <v>5.435708854516668E-4</v>
      </c>
      <c r="AF235">
        <v>3.3152143038182778E-2</v>
      </c>
      <c r="AG235">
        <v>0.98851955785760171</v>
      </c>
      <c r="AH235">
        <v>0.99186853685134369</v>
      </c>
      <c r="AI235">
        <v>49.593426842567183</v>
      </c>
      <c r="AJ235"/>
      <c r="AK235"/>
      <c r="AL235"/>
      <c r="AM235"/>
      <c r="AN235"/>
      <c r="AO235"/>
      <c r="AP235"/>
      <c r="AQ235"/>
      <c r="AR235"/>
    </row>
    <row r="236" spans="1:44" ht="15" customHeight="1" x14ac:dyDescent="0.3">
      <c r="A236" s="2">
        <v>2.35</v>
      </c>
      <c r="B236" s="1">
        <f t="shared" si="54"/>
        <v>4.4668359215096279E-3</v>
      </c>
      <c r="C236" s="1">
        <f t="shared" si="55"/>
        <v>2.2611083499540245E-12</v>
      </c>
      <c r="D236" s="1">
        <f t="shared" si="56"/>
        <v>2.5357189215642843E-2</v>
      </c>
      <c r="E236" s="1">
        <f t="shared" si="57"/>
        <v>-8.9286486927380674E-4</v>
      </c>
      <c r="F236" s="1">
        <f t="shared" si="58"/>
        <v>1.2021199080162578E-4</v>
      </c>
      <c r="G236" s="1">
        <f t="shared" si="59"/>
        <v>-0.21367698371200949</v>
      </c>
      <c r="H236" s="1">
        <f t="shared" si="67"/>
        <v>-2.1367698371200947</v>
      </c>
      <c r="J236" s="2">
        <v>6.34</v>
      </c>
      <c r="K236" s="1">
        <v>4.5708818961487426E-7</v>
      </c>
      <c r="L236" s="1">
        <v>2.2096392401890515E-8</v>
      </c>
      <c r="M236" s="1">
        <v>8.2996496202672517E-3</v>
      </c>
      <c r="N236" s="1">
        <v>1.9500583966221246E-3</v>
      </c>
      <c r="O236" s="1">
        <v>0.54020822832374593</v>
      </c>
      <c r="P236" s="1">
        <v>0.54018412897723445</v>
      </c>
      <c r="Q236" s="2">
        <v>5.401841289772344</v>
      </c>
      <c r="S236" s="2">
        <v>2.35</v>
      </c>
      <c r="T236" s="1">
        <f t="shared" si="60"/>
        <v>4.4668359215096279E-3</v>
      </c>
      <c r="U236" s="1">
        <f t="shared" si="61"/>
        <v>2.2611083499540245E-12</v>
      </c>
      <c r="V236" s="1">
        <f t="shared" si="62"/>
        <v>-4.428912802055476E-3</v>
      </c>
      <c r="W236" s="1">
        <f t="shared" si="63"/>
        <v>3.4809637600685159E-2</v>
      </c>
      <c r="X236" s="1">
        <f t="shared" si="64"/>
        <v>0.99941827110945092</v>
      </c>
      <c r="Y236" s="1">
        <f t="shared" si="65"/>
        <v>1.0679381528043479</v>
      </c>
      <c r="Z236" s="1">
        <f t="shared" si="66"/>
        <v>53.3969076402174</v>
      </c>
      <c r="AB236">
        <v>3.66</v>
      </c>
      <c r="AC236">
        <v>2.1877616239495513E-4</v>
      </c>
      <c r="AD236">
        <v>4.6165907151102404E-11</v>
      </c>
      <c r="AE236">
        <v>5.6642239322326799E-4</v>
      </c>
      <c r="AF236">
        <v>3.3144525868925578E-2</v>
      </c>
      <c r="AG236">
        <v>0.98825528470693524</v>
      </c>
      <c r="AH236">
        <v>0.99152765872076876</v>
      </c>
      <c r="AI236">
        <v>49.576382936038442</v>
      </c>
      <c r="AJ236"/>
      <c r="AK236"/>
      <c r="AL236"/>
      <c r="AM236"/>
      <c r="AN236"/>
      <c r="AO236"/>
      <c r="AP236"/>
      <c r="AQ236"/>
      <c r="AR236"/>
    </row>
    <row r="237" spans="1:44" ht="15" customHeight="1" x14ac:dyDescent="0.3">
      <c r="A237" s="2">
        <v>2.36</v>
      </c>
      <c r="B237" s="1">
        <f t="shared" si="54"/>
        <v>4.3651583224016566E-3</v>
      </c>
      <c r="C237" s="1">
        <f t="shared" si="55"/>
        <v>2.3137763292954521E-12</v>
      </c>
      <c r="D237" s="1">
        <f t="shared" si="56"/>
        <v>2.5235108906290906E-2</v>
      </c>
      <c r="E237" s="1">
        <f t="shared" si="57"/>
        <v>-8.7251815104848402E-4</v>
      </c>
      <c r="F237" s="1">
        <f t="shared" si="58"/>
        <v>1.230117433306119E-4</v>
      </c>
      <c r="G237" s="1">
        <f t="shared" si="59"/>
        <v>-0.20901123303243002</v>
      </c>
      <c r="H237" s="1">
        <f t="shared" si="67"/>
        <v>-2.0901123303242999</v>
      </c>
      <c r="J237" s="2">
        <v>6.35</v>
      </c>
      <c r="K237" s="1">
        <v>4.4668359215096327E-7</v>
      </c>
      <c r="L237" s="1">
        <v>2.2611083499540222E-8</v>
      </c>
      <c r="M237" s="1">
        <v>8.1880619289780385E-3</v>
      </c>
      <c r="N237" s="1">
        <v>1.9686563451703268E-3</v>
      </c>
      <c r="O237" s="1">
        <v>0.54592192278048346</v>
      </c>
      <c r="P237" s="1">
        <v>0.5458984041499938</v>
      </c>
      <c r="Q237" s="2">
        <v>5.4589840414999378</v>
      </c>
      <c r="S237" s="2">
        <v>2.36</v>
      </c>
      <c r="T237" s="1">
        <f t="shared" si="60"/>
        <v>4.3651583224016566E-3</v>
      </c>
      <c r="U237" s="1">
        <f t="shared" si="61"/>
        <v>2.3137763292954521E-12</v>
      </c>
      <c r="V237" s="1">
        <f t="shared" si="62"/>
        <v>-4.3263320313935106E-3</v>
      </c>
      <c r="W237" s="1">
        <f t="shared" si="63"/>
        <v>3.47754440104645E-2</v>
      </c>
      <c r="X237" s="1">
        <f t="shared" si="64"/>
        <v>0.99940472896893928</v>
      </c>
      <c r="Y237" s="1">
        <f t="shared" si="65"/>
        <v>1.066329804254821</v>
      </c>
      <c r="Z237" s="1">
        <f t="shared" si="66"/>
        <v>53.316490212741051</v>
      </c>
      <c r="AB237">
        <v>3.67</v>
      </c>
      <c r="AC237">
        <v>2.137962089502231E-4</v>
      </c>
      <c r="AD237">
        <v>4.7241249270007036E-11</v>
      </c>
      <c r="AE237">
        <v>5.895649065325206E-4</v>
      </c>
      <c r="AF237">
        <v>3.3136811697822496E-2</v>
      </c>
      <c r="AG237">
        <v>0.98798500208200002</v>
      </c>
      <c r="AH237">
        <v>0.99118251878944086</v>
      </c>
      <c r="AI237">
        <v>49.559125939472047</v>
      </c>
      <c r="AJ237"/>
      <c r="AK237"/>
      <c r="AL237"/>
      <c r="AM237"/>
      <c r="AN237"/>
      <c r="AO237"/>
      <c r="AP237"/>
      <c r="AQ237"/>
      <c r="AR237"/>
    </row>
    <row r="238" spans="1:44" ht="15" customHeight="1" x14ac:dyDescent="0.3">
      <c r="A238" s="2">
        <v>2.37</v>
      </c>
      <c r="B238" s="1">
        <f t="shared" si="54"/>
        <v>4.2657951880159251E-3</v>
      </c>
      <c r="C238" s="1">
        <f t="shared" si="55"/>
        <v>2.3676711034731221E-12</v>
      </c>
      <c r="D238" s="1">
        <f t="shared" si="56"/>
        <v>2.5115804390007081E-2</v>
      </c>
      <c r="E238" s="1">
        <f t="shared" si="57"/>
        <v>-8.5263406500118055E-4</v>
      </c>
      <c r="F238" s="1">
        <f t="shared" si="58"/>
        <v>1.2587669424250325E-4</v>
      </c>
      <c r="G238" s="1">
        <f t="shared" si="59"/>
        <v>-0.20444277263567193</v>
      </c>
      <c r="H238" s="1">
        <f t="shared" si="67"/>
        <v>-2.044427726356719</v>
      </c>
      <c r="J238" s="2">
        <v>6.36</v>
      </c>
      <c r="K238" s="1">
        <v>4.365158322401653E-7</v>
      </c>
      <c r="L238" s="1">
        <v>2.3137763292954543E-8</v>
      </c>
      <c r="M238" s="1">
        <v>8.0769391431515219E-3</v>
      </c>
      <c r="N238" s="1">
        <v>1.9871768094747461E-3</v>
      </c>
      <c r="O238" s="1">
        <v>0.55162354731096075</v>
      </c>
      <c r="P238" s="1">
        <v>0.55160059821161223</v>
      </c>
      <c r="Q238" s="2">
        <v>5.5160059821161216</v>
      </c>
      <c r="S238" s="2">
        <v>2.37</v>
      </c>
      <c r="T238" s="1">
        <f t="shared" si="60"/>
        <v>4.2657951880159251E-3</v>
      </c>
      <c r="U238" s="1">
        <f t="shared" si="61"/>
        <v>2.3676711034731221E-12</v>
      </c>
      <c r="V238" s="1">
        <f t="shared" si="62"/>
        <v>-4.2260447047808109E-3</v>
      </c>
      <c r="W238" s="1">
        <f t="shared" si="63"/>
        <v>3.47420149015936E-2</v>
      </c>
      <c r="X238" s="1">
        <f t="shared" si="64"/>
        <v>0.99939087177136265</v>
      </c>
      <c r="Y238" s="1">
        <f t="shared" si="65"/>
        <v>1.0647590436389984</v>
      </c>
      <c r="Z238" s="1">
        <f t="shared" si="66"/>
        <v>53.237952181949922</v>
      </c>
      <c r="AB238">
        <v>3.68</v>
      </c>
      <c r="AC238">
        <v>2.0892961308540387E-4</v>
      </c>
      <c r="AD238">
        <v>4.8341639324586487E-11</v>
      </c>
      <c r="AE238">
        <v>6.1301023998921306E-4</v>
      </c>
      <c r="AF238">
        <v>3.3128996586670262E-2</v>
      </c>
      <c r="AG238">
        <v>0.98770857677052393</v>
      </c>
      <c r="AH238">
        <v>0.99083294389647192</v>
      </c>
      <c r="AI238">
        <v>49.541647194823589</v>
      </c>
      <c r="AJ238"/>
      <c r="AK238"/>
      <c r="AL238"/>
      <c r="AM238"/>
      <c r="AN238"/>
      <c r="AO238"/>
      <c r="AP238"/>
      <c r="AQ238"/>
      <c r="AR238"/>
    </row>
    <row r="239" spans="1:44" ht="15" customHeight="1" x14ac:dyDescent="0.3">
      <c r="A239" s="2">
        <v>2.38</v>
      </c>
      <c r="B239" s="1">
        <f t="shared" si="54"/>
        <v>4.1686938347033527E-3</v>
      </c>
      <c r="C239" s="1">
        <f t="shared" si="55"/>
        <v>2.4228212482096858E-12</v>
      </c>
      <c r="D239" s="1">
        <f t="shared" si="56"/>
        <v>2.4999212409990326E-2</v>
      </c>
      <c r="E239" s="1">
        <f t="shared" si="57"/>
        <v>-8.3320206833172082E-4</v>
      </c>
      <c r="F239" s="1">
        <f t="shared" si="58"/>
        <v>1.2880836143792568E-4</v>
      </c>
      <c r="G239" s="1">
        <f t="shared" si="59"/>
        <v>-0.19996975635307174</v>
      </c>
      <c r="H239" s="1">
        <f t="shared" si="67"/>
        <v>-1.9996975635307173</v>
      </c>
      <c r="J239" s="2">
        <v>6.37</v>
      </c>
      <c r="K239" s="1">
        <v>4.2657951880159212E-7</v>
      </c>
      <c r="L239" s="1">
        <v>2.3676711034731241E-8</v>
      </c>
      <c r="M239" s="1">
        <v>7.9663076246537096E-3</v>
      </c>
      <c r="N239" s="1">
        <v>2.0056153958910479E-3</v>
      </c>
      <c r="O239" s="1">
        <v>0.55731163376229287</v>
      </c>
      <c r="P239" s="1">
        <v>0.55728924328789586</v>
      </c>
      <c r="Q239" s="2">
        <v>5.572892432878958</v>
      </c>
      <c r="S239" s="2">
        <v>2.38</v>
      </c>
      <c r="T239" s="1">
        <f t="shared" si="60"/>
        <v>4.1686938347033527E-3</v>
      </c>
      <c r="U239" s="1">
        <f t="shared" si="61"/>
        <v>2.4228212482096858E-12</v>
      </c>
      <c r="V239" s="1">
        <f t="shared" si="62"/>
        <v>-4.1279976497297106E-3</v>
      </c>
      <c r="W239" s="1">
        <f t="shared" si="63"/>
        <v>3.4709332549909905E-2</v>
      </c>
      <c r="X239" s="1">
        <f t="shared" si="64"/>
        <v>0.99937669219598746</v>
      </c>
      <c r="Y239" s="1">
        <f t="shared" si="65"/>
        <v>1.0632249264856306</v>
      </c>
      <c r="Z239" s="1">
        <f t="shared" si="66"/>
        <v>53.161246324281535</v>
      </c>
      <c r="AB239">
        <v>3.69</v>
      </c>
      <c r="AC239">
        <v>2.0417379446695288E-4</v>
      </c>
      <c r="AD239">
        <v>4.9467660756213076E-11</v>
      </c>
      <c r="AE239">
        <v>6.3677034763203301E-4</v>
      </c>
      <c r="AF239">
        <v>3.3121076550789323E-2</v>
      </c>
      <c r="AG239">
        <v>0.98742587276737548</v>
      </c>
      <c r="AH239">
        <v>0.99047875900521021</v>
      </c>
      <c r="AI239">
        <v>49.52393795026051</v>
      </c>
      <c r="AJ239"/>
      <c r="AK239"/>
      <c r="AL239"/>
      <c r="AM239"/>
      <c r="AN239"/>
      <c r="AO239"/>
      <c r="AP239"/>
      <c r="AQ239"/>
      <c r="AR239"/>
    </row>
    <row r="240" spans="1:44" ht="15" customHeight="1" x14ac:dyDescent="0.3">
      <c r="A240" s="2">
        <v>2.39</v>
      </c>
      <c r="B240" s="1">
        <f t="shared" si="54"/>
        <v>4.0738027780411225E-3</v>
      </c>
      <c r="C240" s="1">
        <f t="shared" si="55"/>
        <v>2.4792560048418833E-12</v>
      </c>
      <c r="D240" s="1">
        <f t="shared" si="56"/>
        <v>2.4885271147663746E-2</v>
      </c>
      <c r="E240" s="1">
        <f t="shared" si="57"/>
        <v>-8.1421185794395775E-4</v>
      </c>
      <c r="F240" s="1">
        <f t="shared" si="58"/>
        <v>1.31808298137919E-4</v>
      </c>
      <c r="G240" s="1">
        <f t="shared" si="59"/>
        <v>-0.19559036477117567</v>
      </c>
      <c r="H240" s="1">
        <f t="shared" si="67"/>
        <v>-1.9559036477117566</v>
      </c>
      <c r="J240" s="2">
        <v>6.38</v>
      </c>
      <c r="K240" s="1">
        <v>4.1686938347033493E-7</v>
      </c>
      <c r="L240" s="1">
        <v>2.422821248209688E-8</v>
      </c>
      <c r="M240" s="1">
        <v>7.8561932438676423E-3</v>
      </c>
      <c r="N240" s="1">
        <v>2.0239677926887265E-3</v>
      </c>
      <c r="O240" s="1">
        <v>0.5629847281035959</v>
      </c>
      <c r="P240" s="1">
        <v>0.56296288562098018</v>
      </c>
      <c r="Q240" s="2">
        <v>5.6296288562098011</v>
      </c>
      <c r="S240" s="2">
        <v>2.39</v>
      </c>
      <c r="T240" s="1">
        <f t="shared" si="60"/>
        <v>4.0738027780411225E-3</v>
      </c>
      <c r="U240" s="1">
        <f t="shared" si="61"/>
        <v>2.4792560048418833E-12</v>
      </c>
      <c r="V240" s="1">
        <f t="shared" si="62"/>
        <v>-4.0321388816296592E-3</v>
      </c>
      <c r="W240" s="1">
        <f t="shared" si="63"/>
        <v>3.4677379627209889E-2</v>
      </c>
      <c r="X240" s="1">
        <f t="shared" si="64"/>
        <v>0.99936218275239974</v>
      </c>
      <c r="Y240" s="1">
        <f t="shared" si="65"/>
        <v>1.061726532992991</v>
      </c>
      <c r="Z240" s="1">
        <f t="shared" si="66"/>
        <v>53.08632664964955</v>
      </c>
      <c r="AB240">
        <v>3.7</v>
      </c>
      <c r="AC240">
        <v>1.9952623149688758E-4</v>
      </c>
      <c r="AD240">
        <v>5.0619910596354591E-11</v>
      </c>
      <c r="AE240">
        <v>6.608573282959457E-4</v>
      </c>
      <c r="AF240">
        <v>3.3113047557234682E-2</v>
      </c>
      <c r="AG240">
        <v>0.98713675122350442</v>
      </c>
      <c r="AH240">
        <v>0.99011978713095894</v>
      </c>
      <c r="AI240">
        <v>49.505989356547943</v>
      </c>
      <c r="AJ240"/>
      <c r="AK240"/>
      <c r="AL240"/>
      <c r="AM240"/>
      <c r="AN240"/>
      <c r="AO240"/>
      <c r="AP240"/>
      <c r="AQ240"/>
      <c r="AR240"/>
    </row>
    <row r="241" spans="1:44" ht="15" customHeight="1" x14ac:dyDescent="0.3">
      <c r="A241" s="2">
        <v>2.4</v>
      </c>
      <c r="B241" s="1">
        <f t="shared" si="54"/>
        <v>3.9810717055349717E-3</v>
      </c>
      <c r="C241" s="1">
        <f t="shared" si="55"/>
        <v>2.5370052958246762E-12</v>
      </c>
      <c r="D241" s="1">
        <f t="shared" si="56"/>
        <v>2.4773920189897696E-2</v>
      </c>
      <c r="E241" s="1">
        <f t="shared" si="57"/>
        <v>-7.9565336498294947E-4</v>
      </c>
      <c r="F241" s="1">
        <f t="shared" si="58"/>
        <v>1.3487809370495705E-4</v>
      </c>
      <c r="G241" s="1">
        <f t="shared" si="59"/>
        <v>-0.19130280521090084</v>
      </c>
      <c r="H241" s="1">
        <f t="shared" si="67"/>
        <v>-1.9130280521090084</v>
      </c>
      <c r="J241" s="2">
        <v>6.39</v>
      </c>
      <c r="K241" s="1">
        <v>4.0738027780411229E-7</v>
      </c>
      <c r="L241" s="1">
        <v>2.4792560048418833E-8</v>
      </c>
      <c r="M241" s="1">
        <v>7.7466213573770268E-3</v>
      </c>
      <c r="N241" s="1">
        <v>2.0422297737704956E-3</v>
      </c>
      <c r="O241" s="1">
        <v>0.5686413918836678</v>
      </c>
      <c r="P241" s="1">
        <v>0.56862008702716638</v>
      </c>
      <c r="Q241" s="2">
        <v>5.6862008702716631</v>
      </c>
      <c r="S241" s="2">
        <v>2.4</v>
      </c>
      <c r="T241" s="1">
        <f t="shared" si="60"/>
        <v>3.9810717055349717E-3</v>
      </c>
      <c r="U241" s="1">
        <f t="shared" si="61"/>
        <v>2.5370052958246762E-12</v>
      </c>
      <c r="V241" s="1">
        <f t="shared" si="62"/>
        <v>-3.9384175761871263E-3</v>
      </c>
      <c r="W241" s="1">
        <f t="shared" si="63"/>
        <v>3.4646139192062372E-2</v>
      </c>
      <c r="X241" s="1">
        <f t="shared" si="64"/>
        <v>0.99934733577659329</v>
      </c>
      <c r="Y241" s="1">
        <f t="shared" si="65"/>
        <v>1.0602629672906605</v>
      </c>
      <c r="Z241" s="1">
        <f t="shared" si="66"/>
        <v>53.013148364533023</v>
      </c>
      <c r="AB241">
        <v>3.71</v>
      </c>
      <c r="AC241">
        <v>1.9498445997580453E-4</v>
      </c>
      <c r="AD241">
        <v>5.1798999783127844E-11</v>
      </c>
      <c r="AE241">
        <v>6.852834310121129E-4</v>
      </c>
      <c r="AF241">
        <v>3.3104905522995963E-2</v>
      </c>
      <c r="AG241">
        <v>0.98684107039430935</v>
      </c>
      <c r="AH241">
        <v>0.98975584926862326</v>
      </c>
      <c r="AI241">
        <v>49.487792463431163</v>
      </c>
      <c r="AJ241"/>
      <c r="AK241"/>
      <c r="AL241"/>
      <c r="AM241"/>
      <c r="AN241"/>
      <c r="AO241"/>
      <c r="AP241"/>
      <c r="AQ241"/>
      <c r="AR241"/>
    </row>
    <row r="242" spans="1:44" ht="15" customHeight="1" x14ac:dyDescent="0.3">
      <c r="A242" s="2">
        <v>2.41</v>
      </c>
      <c r="B242" s="1">
        <f t="shared" si="54"/>
        <v>3.8904514499428023E-3</v>
      </c>
      <c r="C242" s="1">
        <f t="shared" si="55"/>
        <v>2.5960997405965547E-12</v>
      </c>
      <c r="D242" s="1">
        <f t="shared" si="56"/>
        <v>2.4665100496977954E-2</v>
      </c>
      <c r="E242" s="1">
        <f t="shared" si="57"/>
        <v>-7.7751674949632548E-4</v>
      </c>
      <c r="F242" s="1">
        <f t="shared" si="58"/>
        <v>1.3801937448301387E-4</v>
      </c>
      <c r="G242" s="1">
        <f t="shared" si="59"/>
        <v>-0.1871053116862903</v>
      </c>
      <c r="H242" s="1">
        <f t="shared" si="67"/>
        <v>-1.871053116862903</v>
      </c>
      <c r="J242" s="2">
        <v>6.4</v>
      </c>
      <c r="K242" s="1">
        <v>3.9810717055349618E-7</v>
      </c>
      <c r="L242" s="1">
        <v>2.5370052958246826E-8</v>
      </c>
      <c r="M242" s="1">
        <v>7.637616786709287E-3</v>
      </c>
      <c r="N242" s="1">
        <v>2.0603972022151186E-3</v>
      </c>
      <c r="O242" s="1">
        <v>0.57428020365452503</v>
      </c>
      <c r="P242" s="1">
        <v>0.57425942632061211</v>
      </c>
      <c r="Q242" s="2">
        <v>5.7425942632061204</v>
      </c>
      <c r="S242" s="2">
        <v>2.41</v>
      </c>
      <c r="T242" s="1">
        <f t="shared" si="60"/>
        <v>3.8904514499428023E-3</v>
      </c>
      <c r="U242" s="1">
        <f t="shared" si="61"/>
        <v>2.5960997405965547E-12</v>
      </c>
      <c r="V242" s="1">
        <f t="shared" si="62"/>
        <v>-3.8467840424804361E-3</v>
      </c>
      <c r="W242" s="1">
        <f t="shared" si="63"/>
        <v>3.4615594680826818E-2</v>
      </c>
      <c r="X242" s="1">
        <f t="shared" si="64"/>
        <v>0.99933214342696697</v>
      </c>
      <c r="Y242" s="1">
        <f t="shared" si="65"/>
        <v>1.0588333567263082</v>
      </c>
      <c r="Z242" s="1">
        <f t="shared" si="66"/>
        <v>52.941667836315403</v>
      </c>
      <c r="AB242">
        <v>3.72</v>
      </c>
      <c r="AC242">
        <v>1.9054607179632438E-4</v>
      </c>
      <c r="AD242">
        <v>5.3005553485227125E-11</v>
      </c>
      <c r="AE242">
        <v>7.1006106044172715E-4</v>
      </c>
      <c r="AF242">
        <v>3.3096646313186089E-2</v>
      </c>
      <c r="AG242">
        <v>0.98653868558744617</v>
      </c>
      <c r="AH242">
        <v>0.98938676432028139</v>
      </c>
      <c r="AI242">
        <v>49.469338216014066</v>
      </c>
      <c r="AJ242"/>
      <c r="AK242"/>
      <c r="AL242"/>
      <c r="AM242"/>
      <c r="AN242"/>
      <c r="AO242"/>
      <c r="AP242"/>
      <c r="AQ242"/>
      <c r="AR242"/>
    </row>
    <row r="243" spans="1:44" ht="15" customHeight="1" x14ac:dyDescent="0.3">
      <c r="A243" s="2">
        <v>2.42</v>
      </c>
      <c r="B243" s="1">
        <f t="shared" si="54"/>
        <v>3.8018939632056123E-3</v>
      </c>
      <c r="C243" s="1">
        <f t="shared" si="55"/>
        <v>2.6565706718143355E-12</v>
      </c>
      <c r="D243" s="1">
        <f t="shared" si="56"/>
        <v>2.4558754371302203E-2</v>
      </c>
      <c r="E243" s="1">
        <f t="shared" si="57"/>
        <v>-7.5979239521703457E-4</v>
      </c>
      <c r="F243" s="1">
        <f t="shared" si="58"/>
        <v>1.4123380465711052E-4</v>
      </c>
      <c r="G243" s="1">
        <f t="shared" si="59"/>
        <v>-0.18299614484393578</v>
      </c>
      <c r="H243" s="1">
        <f t="shared" si="67"/>
        <v>-1.8299614484393578</v>
      </c>
      <c r="J243" s="2">
        <v>6.41</v>
      </c>
      <c r="K243" s="1">
        <v>3.8904514499428027E-7</v>
      </c>
      <c r="L243" s="1">
        <v>2.5960997405965543E-8</v>
      </c>
      <c r="M243" s="1">
        <v>7.529203798170527E-3</v>
      </c>
      <c r="N243" s="1">
        <v>2.0784660336382456E-3</v>
      </c>
      <c r="O243" s="1">
        <v>0.57989976035788149</v>
      </c>
      <c r="P243" s="1">
        <v>0.57987950069995997</v>
      </c>
      <c r="Q243" s="2">
        <v>5.7987950069995993</v>
      </c>
      <c r="S243" s="2">
        <v>2.42</v>
      </c>
      <c r="T243" s="1">
        <f t="shared" si="60"/>
        <v>3.8018939632056123E-3</v>
      </c>
      <c r="U243" s="1">
        <f t="shared" si="61"/>
        <v>2.6565706718143355E-12</v>
      </c>
      <c r="V243" s="1">
        <f t="shared" si="62"/>
        <v>-3.7571896966159569E-3</v>
      </c>
      <c r="W243" s="1">
        <f t="shared" si="63"/>
        <v>3.4585729898871986E-2</v>
      </c>
      <c r="X243" s="1">
        <f t="shared" si="64"/>
        <v>0.9993165976802314</v>
      </c>
      <c r="Y243" s="1">
        <f t="shared" si="65"/>
        <v>1.0574368511764709</v>
      </c>
      <c r="Z243" s="1">
        <f t="shared" si="66"/>
        <v>52.871842558823538</v>
      </c>
      <c r="AB243">
        <v>3.73</v>
      </c>
      <c r="AC243">
        <v>1.8620871366628676E-4</v>
      </c>
      <c r="AD243">
        <v>5.4240211433395521E-11</v>
      </c>
      <c r="AE243">
        <v>7.3520278234412428E-4</v>
      </c>
      <c r="AF243">
        <v>3.3088265739218622E-2</v>
      </c>
      <c r="AG243">
        <v>0.98622944911009025</v>
      </c>
      <c r="AH243">
        <v>0.98901234902268775</v>
      </c>
      <c r="AI243">
        <v>49.450617451134391</v>
      </c>
      <c r="AJ243"/>
      <c r="AK243"/>
      <c r="AL243"/>
      <c r="AM243"/>
      <c r="AN243"/>
      <c r="AO243"/>
      <c r="AP243"/>
      <c r="AQ243"/>
      <c r="AR243"/>
    </row>
    <row r="244" spans="1:44" ht="15" customHeight="1" x14ac:dyDescent="0.3">
      <c r="A244" s="2">
        <v>2.4300000000000002</v>
      </c>
      <c r="B244" s="1">
        <f t="shared" si="54"/>
        <v>3.7153522909717223E-3</v>
      </c>
      <c r="C244" s="1">
        <f t="shared" si="55"/>
        <v>2.718450151966187E-12</v>
      </c>
      <c r="D244" s="1">
        <f t="shared" si="56"/>
        <v>2.4454825426788077E-2</v>
      </c>
      <c r="E244" s="1">
        <f t="shared" si="57"/>
        <v>-7.4247090446467922E-4</v>
      </c>
      <c r="F244" s="1">
        <f t="shared" si="58"/>
        <v>1.4452308713279951E-4</v>
      </c>
      <c r="G244" s="1">
        <f t="shared" si="59"/>
        <v>-0.17897359188409598</v>
      </c>
      <c r="H244" s="1">
        <f t="shared" si="67"/>
        <v>-1.7897359188409596</v>
      </c>
      <c r="J244" s="2">
        <v>6.42</v>
      </c>
      <c r="K244" s="1">
        <v>3.8018939632056089E-7</v>
      </c>
      <c r="L244" s="1">
        <v>2.6565706718143378E-8</v>
      </c>
      <c r="M244" s="1">
        <v>7.4214060838008623E-3</v>
      </c>
      <c r="N244" s="1">
        <v>2.0964323193665229E-3</v>
      </c>
      <c r="O244" s="1">
        <v>0.5854986786718096</v>
      </c>
      <c r="P244" s="1">
        <v>0.58547892709514571</v>
      </c>
      <c r="Q244" s="2">
        <v>5.8547892709514571</v>
      </c>
      <c r="S244" s="2">
        <v>2.4300000000000002</v>
      </c>
      <c r="T244" s="1">
        <f t="shared" si="60"/>
        <v>3.7153522909717223E-3</v>
      </c>
      <c r="U244" s="1">
        <f t="shared" si="61"/>
        <v>2.718450151966187E-12</v>
      </c>
      <c r="V244" s="1">
        <f t="shared" si="62"/>
        <v>-3.6695870359712557E-3</v>
      </c>
      <c r="W244" s="1">
        <f t="shared" si="63"/>
        <v>3.4556529011990425E-2</v>
      </c>
      <c r="X244" s="1">
        <f t="shared" si="64"/>
        <v>0.99930069032722291</v>
      </c>
      <c r="Y244" s="1">
        <f t="shared" si="65"/>
        <v>1.0560726223803683</v>
      </c>
      <c r="Z244" s="1">
        <f t="shared" si="66"/>
        <v>52.803631119018419</v>
      </c>
      <c r="AB244">
        <v>3.74</v>
      </c>
      <c r="AC244">
        <v>1.8197008586099805E-4</v>
      </c>
      <c r="AD244">
        <v>5.5503628259620163E-11</v>
      </c>
      <c r="AE244">
        <v>7.6072132908050515E-4</v>
      </c>
      <c r="AF244">
        <v>3.3079759556973162E-2</v>
      </c>
      <c r="AG244">
        <v>0.98591321021566791</v>
      </c>
      <c r="AH244">
        <v>0.98863241787470624</v>
      </c>
      <c r="AI244">
        <v>49.431620893735314</v>
      </c>
      <c r="AJ244"/>
      <c r="AK244"/>
      <c r="AL244"/>
      <c r="AM244"/>
      <c r="AN244"/>
      <c r="AO244"/>
      <c r="AP244"/>
      <c r="AQ244"/>
      <c r="AR244"/>
    </row>
    <row r="245" spans="1:44" ht="15" customHeight="1" x14ac:dyDescent="0.3">
      <c r="A245" s="2">
        <v>2.44</v>
      </c>
      <c r="B245" s="1">
        <f t="shared" si="54"/>
        <v>3.630780547701011E-3</v>
      </c>
      <c r="C245" s="1">
        <f t="shared" si="55"/>
        <v>2.7817709903715498E-12</v>
      </c>
      <c r="D245" s="1">
        <f t="shared" si="56"/>
        <v>2.4353258558976579E-2</v>
      </c>
      <c r="E245" s="1">
        <f t="shared" si="57"/>
        <v>-7.2554309316276346E-4</v>
      </c>
      <c r="F245" s="1">
        <f t="shared" si="58"/>
        <v>1.4788896443603927E-4</v>
      </c>
      <c r="G245" s="1">
        <f t="shared" si="59"/>
        <v>-0.17503596646452077</v>
      </c>
      <c r="H245" s="1">
        <f t="shared" si="67"/>
        <v>-1.7503596646452075</v>
      </c>
      <c r="J245" s="2">
        <v>6.43</v>
      </c>
      <c r="K245" s="1">
        <v>3.7153522909717226E-7</v>
      </c>
      <c r="L245" s="1">
        <v>2.7184501519661868E-8</v>
      </c>
      <c r="M245" s="1">
        <v>7.3142467434753585E-3</v>
      </c>
      <c r="N245" s="1">
        <v>2.1142922094207735E-3</v>
      </c>
      <c r="O245" s="1">
        <v>0.59107559631494333</v>
      </c>
      <c r="P245" s="1">
        <v>0.5910563434717454</v>
      </c>
      <c r="Q245" s="2">
        <v>5.9105634347174538</v>
      </c>
      <c r="S245" s="2">
        <v>2.44</v>
      </c>
      <c r="T245" s="1">
        <f t="shared" si="60"/>
        <v>3.630780547701011E-3</v>
      </c>
      <c r="U245" s="1">
        <f t="shared" si="61"/>
        <v>2.7817709903715498E-12</v>
      </c>
      <c r="V245" s="1">
        <f t="shared" si="62"/>
        <v>-3.5839296140116939E-3</v>
      </c>
      <c r="W245" s="1">
        <f t="shared" si="63"/>
        <v>3.4527976538003893E-2</v>
      </c>
      <c r="X245" s="1">
        <f t="shared" si="64"/>
        <v>0.99928441296862081</v>
      </c>
      <c r="Y245" s="1">
        <f t="shared" si="65"/>
        <v>1.0547398632958398</v>
      </c>
      <c r="Z245" s="1">
        <f t="shared" si="66"/>
        <v>52.736993164791997</v>
      </c>
      <c r="AB245">
        <v>3.75</v>
      </c>
      <c r="AC245">
        <v>1.7782794100389203E-4</v>
      </c>
      <c r="AD245">
        <v>5.6796473844225335E-11</v>
      </c>
      <c r="AE245">
        <v>7.8662960515327954E-4</v>
      </c>
      <c r="AF245">
        <v>3.3071123464948907E-2</v>
      </c>
      <c r="AG245">
        <v>0.98558981505007626</v>
      </c>
      <c r="AH245">
        <v>0.98824678306468627</v>
      </c>
      <c r="AI245">
        <v>49.412339153234313</v>
      </c>
      <c r="AJ245"/>
      <c r="AK245"/>
      <c r="AL245"/>
      <c r="AM245"/>
      <c r="AN245"/>
      <c r="AO245"/>
      <c r="AP245"/>
      <c r="AQ245"/>
      <c r="AR245"/>
    </row>
    <row r="246" spans="1:44" ht="15" customHeight="1" x14ac:dyDescent="0.3">
      <c r="A246" s="2">
        <v>2.4500000000000002</v>
      </c>
      <c r="B246" s="1">
        <f t="shared" si="54"/>
        <v>3.5481338923357528E-3</v>
      </c>
      <c r="C246" s="1">
        <f t="shared" si="55"/>
        <v>2.8465667605770997E-12</v>
      </c>
      <c r="D246" s="1">
        <f t="shared" si="56"/>
        <v>2.4253999915815096E-2</v>
      </c>
      <c r="E246" s="1">
        <f t="shared" si="57"/>
        <v>-7.0899998596918204E-4</v>
      </c>
      <c r="F246" s="1">
        <f t="shared" si="58"/>
        <v>1.513332196339369E-4</v>
      </c>
      <c r="G246" s="1">
        <f t="shared" si="59"/>
        <v>-0.17118160858794382</v>
      </c>
      <c r="H246" s="1">
        <f t="shared" si="67"/>
        <v>-1.711816085879438</v>
      </c>
      <c r="J246" s="2">
        <v>6.44</v>
      </c>
      <c r="K246" s="1">
        <v>3.6307805477010047E-7</v>
      </c>
      <c r="L246" s="1">
        <v>2.7817709903715546E-8</v>
      </c>
      <c r="M246" s="1">
        <v>7.2077482681713141E-3</v>
      </c>
      <c r="N246" s="1">
        <v>2.1320419553047813E-3</v>
      </c>
      <c r="O246" s="1">
        <v>0.59662917330577447</v>
      </c>
      <c r="P246" s="1">
        <v>0.59661041009041282</v>
      </c>
      <c r="Q246" s="2">
        <v>5.9661041009041282</v>
      </c>
      <c r="S246" s="2">
        <v>2.4500000000000002</v>
      </c>
      <c r="T246" s="1">
        <f t="shared" si="60"/>
        <v>3.5481338923357528E-3</v>
      </c>
      <c r="U246" s="1">
        <f t="shared" si="61"/>
        <v>2.8465667605770997E-12</v>
      </c>
      <c r="V246" s="1">
        <f t="shared" si="62"/>
        <v>-3.5001720156671561E-3</v>
      </c>
      <c r="W246" s="1">
        <f t="shared" si="63"/>
        <v>3.4500057338555719E-2</v>
      </c>
      <c r="X246" s="1">
        <f t="shared" si="64"/>
        <v>0.99926775701056836</v>
      </c>
      <c r="Y246" s="1">
        <f t="shared" si="65"/>
        <v>1.0534377874765299</v>
      </c>
      <c r="Z246" s="1">
        <f t="shared" si="66"/>
        <v>52.671889373826495</v>
      </c>
      <c r="AB246">
        <v>3.76</v>
      </c>
      <c r="AC246">
        <v>1.737800828749376E-4</v>
      </c>
      <c r="AD246">
        <v>5.8119433671052829E-11</v>
      </c>
      <c r="AE246">
        <v>8.1294069278236485E-4</v>
      </c>
      <c r="AF246">
        <v>3.3062353102405878E-2</v>
      </c>
      <c r="AG246">
        <v>0.98525910659740679</v>
      </c>
      <c r="AH246">
        <v>0.98785525439778221</v>
      </c>
      <c r="AI246">
        <v>49.392762719889106</v>
      </c>
      <c r="AJ246"/>
      <c r="AK246"/>
      <c r="AL246"/>
      <c r="AM246"/>
      <c r="AN246"/>
      <c r="AO246"/>
      <c r="AP246"/>
      <c r="AQ246"/>
      <c r="AR246"/>
    </row>
    <row r="247" spans="1:44" ht="15" customHeight="1" x14ac:dyDescent="0.3">
      <c r="A247" s="2">
        <v>2.46</v>
      </c>
      <c r="B247" s="1">
        <f t="shared" si="54"/>
        <v>3.4673685045253149E-3</v>
      </c>
      <c r="C247" s="1">
        <f t="shared" si="55"/>
        <v>2.9128718181578731E-12</v>
      </c>
      <c r="D247" s="1">
        <f t="shared" si="56"/>
        <v>2.4156996869104368E-2</v>
      </c>
      <c r="E247" s="1">
        <f t="shared" si="57"/>
        <v>-6.9283281151739484E-4</v>
      </c>
      <c r="F247" s="1">
        <f t="shared" si="58"/>
        <v>1.5485767727683485E-4</v>
      </c>
      <c r="G247" s="1">
        <f t="shared" si="59"/>
        <v>-0.16740888447418664</v>
      </c>
      <c r="H247" s="1">
        <f t="shared" si="67"/>
        <v>-1.6740888447418663</v>
      </c>
      <c r="J247" s="2">
        <v>6.45</v>
      </c>
      <c r="K247" s="1">
        <v>3.5481338923357463E-7</v>
      </c>
      <c r="L247" s="1">
        <v>2.8465667605771049E-8</v>
      </c>
      <c r="M247" s="1">
        <v>7.1019325244196041E-3</v>
      </c>
      <c r="N247" s="1">
        <v>2.1496779125967326E-3</v>
      </c>
      <c r="O247" s="1">
        <v>0.60215809317471736</v>
      </c>
      <c r="P247" s="1">
        <v>0.60213981071908262</v>
      </c>
      <c r="Q247" s="2">
        <v>6.0213981071908256</v>
      </c>
      <c r="S247" s="2">
        <v>2.46</v>
      </c>
      <c r="T247" s="1">
        <f t="shared" si="60"/>
        <v>3.4673685045253149E-3</v>
      </c>
      <c r="U247" s="1">
        <f t="shared" si="61"/>
        <v>2.9128718181578731E-12</v>
      </c>
      <c r="V247" s="1">
        <f t="shared" si="62"/>
        <v>-3.4182698332559497E-3</v>
      </c>
      <c r="W247" s="1">
        <f t="shared" si="63"/>
        <v>3.4472756611085321E-2</v>
      </c>
      <c r="X247" s="1">
        <f t="shared" si="64"/>
        <v>0.99925071366019336</v>
      </c>
      <c r="Y247" s="1">
        <f t="shared" si="65"/>
        <v>1.0521656284694896</v>
      </c>
      <c r="Z247" s="1">
        <f t="shared" si="66"/>
        <v>52.60828142347448</v>
      </c>
      <c r="AB247">
        <v>3.77</v>
      </c>
      <c r="AC247">
        <v>1.6982436524617421E-4</v>
      </c>
      <c r="AD247">
        <v>5.9473209190914565E-11</v>
      </c>
      <c r="AE247">
        <v>8.3966785751848471E-4</v>
      </c>
      <c r="AF247">
        <v>3.3053444047493843E-2</v>
      </c>
      <c r="AG247">
        <v>0.98492092462519476</v>
      </c>
      <c r="AH247">
        <v>0.98745763922323093</v>
      </c>
      <c r="AI247">
        <v>49.372881961161546</v>
      </c>
      <c r="AJ247"/>
      <c r="AK247"/>
      <c r="AL247"/>
      <c r="AM247"/>
      <c r="AN247"/>
      <c r="AO247"/>
      <c r="AP247"/>
      <c r="AQ247"/>
      <c r="AR247"/>
    </row>
    <row r="248" spans="1:44" ht="15" customHeight="1" x14ac:dyDescent="0.3">
      <c r="A248" s="2">
        <v>2.4700000000000002</v>
      </c>
      <c r="B248" s="1">
        <f t="shared" si="54"/>
        <v>3.3884415613920213E-3</v>
      </c>
      <c r="C248" s="1">
        <f t="shared" si="55"/>
        <v>2.9807213189330529E-12</v>
      </c>
      <c r="D248" s="1">
        <f t="shared" si="56"/>
        <v>2.4062197986594487E-2</v>
      </c>
      <c r="E248" s="1">
        <f t="shared" si="57"/>
        <v>-6.7703299776574735E-4</v>
      </c>
      <c r="F248" s="1">
        <f t="shared" si="58"/>
        <v>1.5846420436223721E-4</v>
      </c>
      <c r="G248" s="1">
        <f t="shared" si="59"/>
        <v>-0.16371618641777669</v>
      </c>
      <c r="H248" s="1">
        <f t="shared" si="67"/>
        <v>-1.6371618641777668</v>
      </c>
      <c r="J248" s="2">
        <v>6.46</v>
      </c>
      <c r="K248" s="1">
        <v>3.4673685045253148E-7</v>
      </c>
      <c r="L248" s="1">
        <v>2.9128718181578733E-8</v>
      </c>
      <c r="M248" s="1">
        <v>6.9968207399533936E-3</v>
      </c>
      <c r="N248" s="1">
        <v>2.167196543341101E-3</v>
      </c>
      <c r="O248" s="1">
        <v>0.60766106412681975</v>
      </c>
      <c r="P248" s="1">
        <v>0.60764325379581696</v>
      </c>
      <c r="Q248" s="2">
        <v>6.0764325379581692</v>
      </c>
      <c r="S248" s="2">
        <v>2.4700000000000002</v>
      </c>
      <c r="T248" s="1">
        <f t="shared" si="60"/>
        <v>3.3884415613920213E-3</v>
      </c>
      <c r="U248" s="1">
        <f t="shared" si="61"/>
        <v>2.9807213189330529E-12</v>
      </c>
      <c r="V248" s="1">
        <f t="shared" si="62"/>
        <v>-3.3381796429426329E-3</v>
      </c>
      <c r="W248" s="1">
        <f t="shared" si="63"/>
        <v>3.4446059880980873E-2</v>
      </c>
      <c r="X248" s="1">
        <f t="shared" si="64"/>
        <v>0.99923327392102712</v>
      </c>
      <c r="Y248" s="1">
        <f t="shared" si="65"/>
        <v>1.0509226392323918</v>
      </c>
      <c r="Z248" s="1">
        <f t="shared" si="66"/>
        <v>52.546131961619594</v>
      </c>
      <c r="AB248">
        <v>3.78</v>
      </c>
      <c r="AC248">
        <v>1.6595869074375585E-4</v>
      </c>
      <c r="AD248">
        <v>6.0858518193510201E-11</v>
      </c>
      <c r="AE248">
        <v>8.668245538942655E-4</v>
      </c>
      <c r="AF248">
        <v>3.3044391815368578E-2</v>
      </c>
      <c r="AG248">
        <v>0.98457510562921646</v>
      </c>
      <c r="AH248">
        <v>0.98705374236159593</v>
      </c>
      <c r="AI248">
        <v>49.3526871180798</v>
      </c>
      <c r="AJ248"/>
      <c r="AK248"/>
      <c r="AL248"/>
      <c r="AM248"/>
      <c r="AN248"/>
      <c r="AO248"/>
      <c r="AP248"/>
      <c r="AQ248"/>
      <c r="AR248"/>
    </row>
    <row r="249" spans="1:44" ht="15" customHeight="1" x14ac:dyDescent="0.3">
      <c r="A249" s="2">
        <v>2.48</v>
      </c>
      <c r="B249" s="1">
        <f t="shared" si="54"/>
        <v>3.3113112148259105E-3</v>
      </c>
      <c r="C249" s="1">
        <f t="shared" si="55"/>
        <v>3.0501512376060364E-12</v>
      </c>
      <c r="D249" s="1">
        <f t="shared" si="56"/>
        <v>2.3969553004714893E-2</v>
      </c>
      <c r="E249" s="1">
        <f t="shared" si="57"/>
        <v>-6.6159216745248235E-4</v>
      </c>
      <c r="F249" s="1">
        <f t="shared" si="58"/>
        <v>1.6215471132107745E-4</v>
      </c>
      <c r="G249" s="1">
        <f t="shared" si="59"/>
        <v>-0.16010193263195527</v>
      </c>
      <c r="H249" s="1">
        <f t="shared" si="67"/>
        <v>-1.6010193263195527</v>
      </c>
      <c r="J249" s="2">
        <v>6.47</v>
      </c>
      <c r="K249" s="1">
        <v>3.3884415613920242E-7</v>
      </c>
      <c r="L249" s="1">
        <v>2.9807213189330507E-8</v>
      </c>
      <c r="M249" s="1">
        <v>6.8924334905643503E-3</v>
      </c>
      <c r="N249" s="1">
        <v>2.184594418239275E-3</v>
      </c>
      <c r="O249" s="1">
        <v>0.61313682015314297</v>
      </c>
      <c r="P249" s="1">
        <v>0.61311947354031782</v>
      </c>
      <c r="Q249" s="2">
        <v>6.1311947354031782</v>
      </c>
      <c r="S249" s="2">
        <v>2.48</v>
      </c>
      <c r="T249" s="1">
        <f t="shared" si="60"/>
        <v>3.3113112148259105E-3</v>
      </c>
      <c r="U249" s="1">
        <f t="shared" si="61"/>
        <v>3.0501512376060364E-12</v>
      </c>
      <c r="V249" s="1">
        <f t="shared" si="62"/>
        <v>-3.2598589817181231E-3</v>
      </c>
      <c r="W249" s="1">
        <f t="shared" si="63"/>
        <v>3.4419952993906044E-2</v>
      </c>
      <c r="X249" s="1">
        <f t="shared" si="64"/>
        <v>0.99921542858831935</v>
      </c>
      <c r="Y249" s="1">
        <f t="shared" si="65"/>
        <v>1.049708091569608</v>
      </c>
      <c r="Z249" s="1">
        <f t="shared" si="66"/>
        <v>52.485404578480406</v>
      </c>
      <c r="AB249">
        <v>3.79</v>
      </c>
      <c r="AC249">
        <v>1.6218100973589279E-4</v>
      </c>
      <c r="AD249">
        <v>6.227609518800977E-11</v>
      </c>
      <c r="AE249">
        <v>8.9442443111318411E-4</v>
      </c>
      <c r="AF249">
        <v>3.3035191856295602E-2</v>
      </c>
      <c r="AG249">
        <v>0.98422148277785637</v>
      </c>
      <c r="AH249">
        <v>0.98664336603199432</v>
      </c>
      <c r="AI249">
        <v>49.332168301599715</v>
      </c>
      <c r="AJ249"/>
      <c r="AK249"/>
      <c r="AL249"/>
      <c r="AM249"/>
      <c r="AN249"/>
      <c r="AO249"/>
      <c r="AP249"/>
      <c r="AQ249"/>
      <c r="AR249"/>
    </row>
    <row r="250" spans="1:44" ht="15" customHeight="1" x14ac:dyDescent="0.3">
      <c r="A250" s="2">
        <v>2.4900000000000002</v>
      </c>
      <c r="B250" s="1">
        <f t="shared" si="54"/>
        <v>3.2359365692962794E-3</v>
      </c>
      <c r="C250" s="1">
        <f t="shared" si="55"/>
        <v>3.1211983868387292E-12</v>
      </c>
      <c r="D250" s="1">
        <f t="shared" si="56"/>
        <v>2.3879012801924084E-2</v>
      </c>
      <c r="E250" s="1">
        <f t="shared" si="57"/>
        <v>-6.4650213365401448E-4</v>
      </c>
      <c r="F250" s="1">
        <f t="shared" si="58"/>
        <v>1.6593115302684621E-4</v>
      </c>
      <c r="G250" s="1">
        <f t="shared" si="59"/>
        <v>-0.15656456707991454</v>
      </c>
      <c r="H250" s="1">
        <f t="shared" si="67"/>
        <v>-1.5656456707991453</v>
      </c>
      <c r="J250" s="2">
        <v>6.48</v>
      </c>
      <c r="K250" s="1">
        <v>3.3113112148259042E-7</v>
      </c>
      <c r="L250" s="1">
        <v>3.0501512376060421E-8</v>
      </c>
      <c r="M250" s="1">
        <v>6.788790688172436E-3</v>
      </c>
      <c r="N250" s="1">
        <v>2.2018682186379273E-3</v>
      </c>
      <c r="O250" s="1">
        <v>0.61858412208903113</v>
      </c>
      <c r="P250" s="1">
        <v>0.61856723101232725</v>
      </c>
      <c r="Q250" s="2">
        <v>6.1856723101232722</v>
      </c>
      <c r="S250" s="2">
        <v>2.4900000000000002</v>
      </c>
      <c r="T250" s="1">
        <f t="shared" si="60"/>
        <v>3.2359365692962794E-3</v>
      </c>
      <c r="U250" s="1">
        <f t="shared" si="61"/>
        <v>3.1211983868387292E-12</v>
      </c>
      <c r="V250" s="1">
        <f t="shared" si="62"/>
        <v>-3.1832663248890685E-3</v>
      </c>
      <c r="W250" s="1">
        <f t="shared" si="63"/>
        <v>3.4394422108296359E-2</v>
      </c>
      <c r="X250" s="1">
        <f t="shared" si="64"/>
        <v>0.99919716824424643</v>
      </c>
      <c r="Y250" s="1">
        <f t="shared" si="65"/>
        <v>1.0485212755864104</v>
      </c>
      <c r="Z250" s="1">
        <f t="shared" si="66"/>
        <v>52.426063779320522</v>
      </c>
      <c r="AB250">
        <v>3.8</v>
      </c>
      <c r="AC250">
        <v>1.584893192461112E-4</v>
      </c>
      <c r="AD250">
        <v>6.3726691792499571E-11</v>
      </c>
      <c r="AE250">
        <v>9.2248133877698753E-4</v>
      </c>
      <c r="AF250">
        <v>3.3025839553741006E-2</v>
      </c>
      <c r="AG250">
        <v>0.98385988585607131</v>
      </c>
      <c r="AH250">
        <v>0.98622630977931847</v>
      </c>
      <c r="AI250">
        <v>49.311315488965924</v>
      </c>
      <c r="AJ250"/>
      <c r="AK250"/>
      <c r="AL250"/>
      <c r="AM250"/>
      <c r="AN250"/>
      <c r="AO250"/>
      <c r="AP250"/>
      <c r="AQ250"/>
      <c r="AR250"/>
    </row>
    <row r="251" spans="1:44" ht="15" customHeight="1" x14ac:dyDescent="0.3">
      <c r="A251" s="2">
        <v>2.5</v>
      </c>
      <c r="B251" s="1">
        <f t="shared" si="54"/>
        <v>3.1622776601683764E-3</v>
      </c>
      <c r="C251" s="1">
        <f t="shared" si="55"/>
        <v>3.1939004367700658E-12</v>
      </c>
      <c r="D251" s="1">
        <f t="shared" si="56"/>
        <v>2.3790529372664865E-2</v>
      </c>
      <c r="E251" s="1">
        <f t="shared" si="57"/>
        <v>-6.3175489544414407E-4</v>
      </c>
      <c r="F251" s="1">
        <f t="shared" si="58"/>
        <v>1.6979552982809981E-4</v>
      </c>
      <c r="G251" s="1">
        <f t="shared" si="59"/>
        <v>-0.15310255929408281</v>
      </c>
      <c r="H251" s="1">
        <f t="shared" si="67"/>
        <v>-1.5310255929408281</v>
      </c>
      <c r="J251" s="2">
        <v>6.49</v>
      </c>
      <c r="K251" s="1">
        <v>3.2359365692962763E-7</v>
      </c>
      <c r="L251" s="1">
        <v>3.1211983868387323E-8</v>
      </c>
      <c r="M251" s="1">
        <v>6.6859115701119127E-3</v>
      </c>
      <c r="N251" s="1">
        <v>2.2190147383146811E-3</v>
      </c>
      <c r="O251" s="1">
        <v>0.62400175861766749</v>
      </c>
      <c r="P251" s="1">
        <v>0.62398531511531052</v>
      </c>
      <c r="Q251" s="2">
        <v>6.2398531511531052</v>
      </c>
      <c r="S251" s="2">
        <v>2.5</v>
      </c>
      <c r="T251" s="1">
        <f t="shared" si="60"/>
        <v>3.1622776601683764E-3</v>
      </c>
      <c r="U251" s="1">
        <f t="shared" si="61"/>
        <v>3.1939004367700658E-12</v>
      </c>
      <c r="V251" s="1">
        <f t="shared" si="62"/>
        <v>-3.1083610640651464E-3</v>
      </c>
      <c r="W251" s="1">
        <f t="shared" si="63"/>
        <v>3.4369453688021717E-2</v>
      </c>
      <c r="X251" s="1">
        <f t="shared" si="64"/>
        <v>0.99917848325301084</v>
      </c>
      <c r="Y251" s="1">
        <f t="shared" si="65"/>
        <v>1.0473614991606102</v>
      </c>
      <c r="Z251" s="1">
        <f t="shared" si="66"/>
        <v>52.368074958030505</v>
      </c>
      <c r="AB251">
        <v>3.81</v>
      </c>
      <c r="AC251">
        <v>1.5488166189124797E-4</v>
      </c>
      <c r="AD251">
        <v>6.5211077132500267E-11</v>
      </c>
      <c r="AE251">
        <v>9.5100933265163698E-4</v>
      </c>
      <c r="AF251">
        <v>3.3016330222449458E-2</v>
      </c>
      <c r="AG251">
        <v>0.98349014120897782</v>
      </c>
      <c r="AH251">
        <v>0.98580237040147389</v>
      </c>
      <c r="AI251">
        <v>49.290118520073705</v>
      </c>
      <c r="AJ251"/>
      <c r="AK251"/>
      <c r="AL251"/>
      <c r="AM251"/>
      <c r="AN251"/>
      <c r="AO251"/>
      <c r="AP251"/>
      <c r="AQ251"/>
      <c r="AR251"/>
    </row>
    <row r="252" spans="1:44" ht="15" customHeight="1" x14ac:dyDescent="0.3">
      <c r="A252" s="2">
        <v>2.5099999999999998</v>
      </c>
      <c r="B252" s="1">
        <f t="shared" si="54"/>
        <v>3.0902954325135908E-3</v>
      </c>
      <c r="C252" s="1">
        <f t="shared" si="55"/>
        <v>3.2682959349892449E-12</v>
      </c>
      <c r="D252" s="1">
        <f t="shared" si="56"/>
        <v>2.370405580191124E-2</v>
      </c>
      <c r="E252" s="1">
        <f t="shared" si="57"/>
        <v>-6.173426336518737E-4</v>
      </c>
      <c r="F252" s="1">
        <f t="shared" si="58"/>
        <v>1.7374988860489616E-4</v>
      </c>
      <c r="G252" s="1">
        <f t="shared" si="59"/>
        <v>-0.14971440418423268</v>
      </c>
      <c r="H252" s="1">
        <f t="shared" si="67"/>
        <v>-1.4971440418423267</v>
      </c>
      <c r="J252" s="2">
        <v>6.5</v>
      </c>
      <c r="K252" s="1">
        <v>3.1622776601683734E-7</v>
      </c>
      <c r="L252" s="1">
        <v>3.1939004367700689E-8</v>
      </c>
      <c r="M252" s="1">
        <v>6.5838146896325146E-3</v>
      </c>
      <c r="N252" s="1">
        <v>2.2360308850612473E-3</v>
      </c>
      <c r="O252" s="1">
        <v>0.62938854721750259</v>
      </c>
      <c r="P252" s="1">
        <v>0.62937254354400995</v>
      </c>
      <c r="Q252" s="2">
        <v>6.2937254354400993</v>
      </c>
      <c r="S252" s="2">
        <v>2.5099999999999998</v>
      </c>
      <c r="T252" s="1">
        <f t="shared" si="60"/>
        <v>3.0902954325135908E-3</v>
      </c>
      <c r="U252" s="1">
        <f t="shared" si="61"/>
        <v>3.2682959349892449E-12</v>
      </c>
      <c r="V252" s="1">
        <f t="shared" si="62"/>
        <v>-3.0351034856322275E-3</v>
      </c>
      <c r="W252" s="1">
        <f t="shared" si="63"/>
        <v>3.4345034495210744E-2</v>
      </c>
      <c r="X252" s="1">
        <f t="shared" si="64"/>
        <v>0.99915936375582959</v>
      </c>
      <c r="Y252" s="1">
        <f t="shared" si="65"/>
        <v>1.0462280874309624</v>
      </c>
      <c r="Z252" s="1">
        <f t="shared" si="66"/>
        <v>52.311404371548122</v>
      </c>
      <c r="AB252">
        <v>3.82</v>
      </c>
      <c r="AC252">
        <v>1.5135612484362069E-4</v>
      </c>
      <c r="AD252">
        <v>6.6730038248767249E-11</v>
      </c>
      <c r="AE252">
        <v>9.8002268047183631E-4</v>
      </c>
      <c r="AF252">
        <v>3.3006659106509385E-2</v>
      </c>
      <c r="AG252">
        <v>0.98311207168509251</v>
      </c>
      <c r="AH252">
        <v>0.9853713418766511</v>
      </c>
      <c r="AI252">
        <v>49.268567093832559</v>
      </c>
      <c r="AJ252"/>
      <c r="AK252"/>
      <c r="AL252"/>
      <c r="AM252"/>
      <c r="AN252"/>
      <c r="AO252"/>
      <c r="AP252"/>
      <c r="AQ252"/>
      <c r="AR252"/>
    </row>
    <row r="253" spans="1:44" ht="15" customHeight="1" x14ac:dyDescent="0.3">
      <c r="A253" s="2">
        <v>2.52</v>
      </c>
      <c r="B253" s="1">
        <f t="shared" si="54"/>
        <v>3.0199517204020135E-3</v>
      </c>
      <c r="C253" s="1">
        <f t="shared" si="55"/>
        <v>3.3444243269741728E-12</v>
      </c>
      <c r="D253" s="1">
        <f t="shared" si="56"/>
        <v>2.3619546240293613E-2</v>
      </c>
      <c r="E253" s="1">
        <f t="shared" si="57"/>
        <v>-6.0325770671560168E-4</v>
      </c>
      <c r="F253" s="1">
        <f t="shared" si="58"/>
        <v>1.7779632384970408E-4</v>
      </c>
      <c r="G253" s="1">
        <f t="shared" si="59"/>
        <v>-0.14639862183516994</v>
      </c>
      <c r="H253" s="1">
        <f t="shared" si="67"/>
        <v>-1.4639862183516994</v>
      </c>
      <c r="J253" s="2">
        <v>6.51</v>
      </c>
      <c r="K253" s="1">
        <v>3.090295432513585E-7</v>
      </c>
      <c r="L253" s="1">
        <v>3.2682959349892508E-8</v>
      </c>
      <c r="M253" s="1">
        <v>6.4825179076115885E-3</v>
      </c>
      <c r="N253" s="1">
        <v>2.2529136820647355E-3</v>
      </c>
      <c r="O253" s="1">
        <v>0.63474333505231717</v>
      </c>
      <c r="P253" s="1">
        <v>0.63472776367463013</v>
      </c>
      <c r="Q253" s="2">
        <v>6.3472776367463011</v>
      </c>
      <c r="S253" s="2">
        <v>2.52</v>
      </c>
      <c r="T253" s="1">
        <f t="shared" si="60"/>
        <v>3.0199517204020135E-3</v>
      </c>
      <c r="U253" s="1">
        <f t="shared" si="61"/>
        <v>3.3444243269741728E-12</v>
      </c>
      <c r="V253" s="1">
        <f t="shared" si="62"/>
        <v>-2.9634547497001808E-3</v>
      </c>
      <c r="W253" s="1">
        <f t="shared" si="63"/>
        <v>3.4321151583233393E-2</v>
      </c>
      <c r="X253" s="1">
        <f t="shared" si="64"/>
        <v>0.99913979966580879</v>
      </c>
      <c r="Y253" s="1">
        <f t="shared" si="65"/>
        <v>1.0451203823017041</v>
      </c>
      <c r="Z253" s="1">
        <f t="shared" si="66"/>
        <v>52.256019115085202</v>
      </c>
      <c r="AB253">
        <v>3.83</v>
      </c>
      <c r="AC253">
        <v>1.4791083881682062E-4</v>
      </c>
      <c r="AD253">
        <v>6.8284380514590213E-11</v>
      </c>
      <c r="AE253">
        <v>1.0095358677841956E-3</v>
      </c>
      <c r="AF253">
        <v>3.2996821377405269E-2</v>
      </c>
      <c r="AG253">
        <v>0.98272549657925734</v>
      </c>
      <c r="AH253">
        <v>0.98493301529065425</v>
      </c>
      <c r="AI253">
        <v>49.24665076453271</v>
      </c>
      <c r="AJ253"/>
      <c r="AK253"/>
      <c r="AL253"/>
      <c r="AM253"/>
      <c r="AN253"/>
      <c r="AO253"/>
      <c r="AP253"/>
      <c r="AQ253"/>
      <c r="AR253"/>
    </row>
    <row r="254" spans="1:44" ht="15" customHeight="1" x14ac:dyDescent="0.3">
      <c r="A254" s="2">
        <v>2.5299999999999998</v>
      </c>
      <c r="B254" s="1">
        <f t="shared" si="54"/>
        <v>2.9512092266663864E-3</v>
      </c>
      <c r="C254" s="1">
        <f t="shared" si="55"/>
        <v>3.4223259770059446E-12</v>
      </c>
      <c r="D254" s="1">
        <f t="shared" si="56"/>
        <v>2.3536955879788945E-2</v>
      </c>
      <c r="E254" s="1">
        <f t="shared" si="57"/>
        <v>-5.8949264663149114E-4</v>
      </c>
      <c r="F254" s="1">
        <f t="shared" si="58"/>
        <v>1.8193697877334953E-4</v>
      </c>
      <c r="G254" s="1">
        <f t="shared" si="59"/>
        <v>-0.14315375729472726</v>
      </c>
      <c r="H254" s="1">
        <f t="shared" si="67"/>
        <v>-1.4315375729472726</v>
      </c>
      <c r="J254" s="2">
        <v>6.52</v>
      </c>
      <c r="K254" s="1">
        <v>3.0199517204020165E-7</v>
      </c>
      <c r="L254" s="1">
        <v>3.3444243269741692E-8</v>
      </c>
      <c r="M254" s="1">
        <v>6.3820383854693375E-3</v>
      </c>
      <c r="N254" s="1">
        <v>2.2696602690884435E-3</v>
      </c>
      <c r="O254" s="1">
        <v>0.64006499980288489</v>
      </c>
      <c r="P254" s="1">
        <v>0.64004985339662057</v>
      </c>
      <c r="Q254" s="2">
        <v>6.4004985339662053</v>
      </c>
      <c r="S254" s="2">
        <v>2.5299999999999998</v>
      </c>
      <c r="T254" s="1">
        <f t="shared" si="60"/>
        <v>2.9512092266663864E-3</v>
      </c>
      <c r="U254" s="1">
        <f t="shared" si="61"/>
        <v>3.4223259770059446E-12</v>
      </c>
      <c r="V254" s="1">
        <f t="shared" si="62"/>
        <v>-2.8933768695144201E-3</v>
      </c>
      <c r="W254" s="1">
        <f t="shared" si="63"/>
        <v>3.429779228983814E-2</v>
      </c>
      <c r="X254" s="1">
        <f t="shared" si="64"/>
        <v>0.99911978066270224</v>
      </c>
      <c r="Y254" s="1">
        <f t="shared" si="65"/>
        <v>1.0440377419626177</v>
      </c>
      <c r="Z254" s="1">
        <f t="shared" si="66"/>
        <v>52.201887098130882</v>
      </c>
      <c r="AB254">
        <v>3.84</v>
      </c>
      <c r="AC254">
        <v>1.4454397707459266E-4</v>
      </c>
      <c r="AD254">
        <v>6.987492806281262E-11</v>
      </c>
      <c r="AE254">
        <v>1.0395636038289637E-3</v>
      </c>
      <c r="AF254">
        <v>3.2986812132057015E-2</v>
      </c>
      <c r="AG254">
        <v>0.98233023157528243</v>
      </c>
      <c r="AH254">
        <v>0.98448717876431202</v>
      </c>
      <c r="AI254">
        <v>49.224358938215609</v>
      </c>
      <c r="AJ254"/>
      <c r="AK254"/>
      <c r="AL254"/>
      <c r="AM254"/>
      <c r="AN254"/>
      <c r="AO254"/>
      <c r="AP254"/>
      <c r="AQ254"/>
      <c r="AR254"/>
    </row>
    <row r="255" spans="1:44" ht="15" customHeight="1" x14ac:dyDescent="0.3">
      <c r="A255" s="2">
        <v>2.54</v>
      </c>
      <c r="B255" s="1">
        <f t="shared" si="54"/>
        <v>2.8840315031266042E-3</v>
      </c>
      <c r="C255" s="1">
        <f t="shared" si="55"/>
        <v>3.5020421895705715E-12</v>
      </c>
      <c r="D255" s="1">
        <f t="shared" si="56"/>
        <v>2.345624092996312E-2</v>
      </c>
      <c r="E255" s="1">
        <f t="shared" si="57"/>
        <v>-5.7604015499385314E-4</v>
      </c>
      <c r="F255" s="1">
        <f t="shared" si="58"/>
        <v>1.8617404643658174E-4</v>
      </c>
      <c r="G255" s="1">
        <f t="shared" si="59"/>
        <v>-0.13997838035275384</v>
      </c>
      <c r="H255" s="1">
        <f t="shared" si="67"/>
        <v>-1.3997838035275383</v>
      </c>
      <c r="J255" s="2">
        <v>6.53</v>
      </c>
      <c r="K255" s="1">
        <v>2.9512092266663814E-7</v>
      </c>
      <c r="L255" s="1">
        <v>3.4223259770059504E-8</v>
      </c>
      <c r="M255" s="1">
        <v>6.2823925792762038E-3</v>
      </c>
      <c r="N255" s="1">
        <v>2.286267903453966E-3</v>
      </c>
      <c r="O255" s="1">
        <v>0.64535245043938261</v>
      </c>
      <c r="P255" s="1">
        <v>0.64533772188520366</v>
      </c>
      <c r="Q255" s="2">
        <v>6.4533772188520366</v>
      </c>
      <c r="S255" s="2">
        <v>2.54</v>
      </c>
      <c r="T255" s="1">
        <f t="shared" si="60"/>
        <v>2.8840315031266042E-3</v>
      </c>
      <c r="U255" s="1">
        <f t="shared" si="61"/>
        <v>3.5020421895705715E-12</v>
      </c>
      <c r="V255" s="1">
        <f t="shared" si="62"/>
        <v>-2.8248326913195205E-3</v>
      </c>
      <c r="W255" s="1">
        <f t="shared" si="63"/>
        <v>3.4274944230439836E-2</v>
      </c>
      <c r="X255" s="1">
        <f t="shared" si="64"/>
        <v>0.99909929618755144</v>
      </c>
      <c r="Y255" s="1">
        <f t="shared" si="65"/>
        <v>1.0429795404240312</v>
      </c>
      <c r="Z255" s="1">
        <f t="shared" si="66"/>
        <v>52.14897702120156</v>
      </c>
      <c r="AB255">
        <v>3.85</v>
      </c>
      <c r="AC255">
        <v>1.4125375446227535E-4</v>
      </c>
      <c r="AD255">
        <v>7.1502524222797965E-11</v>
      </c>
      <c r="AE255">
        <v>1.0701208274601207E-3</v>
      </c>
      <c r="AF255">
        <v>3.2976626390846628E-2</v>
      </c>
      <c r="AG255">
        <v>0.9819260886883433</v>
      </c>
      <c r="AH255">
        <v>0.98403361738099715</v>
      </c>
      <c r="AI255">
        <v>49.201680869049852</v>
      </c>
      <c r="AJ255"/>
      <c r="AK255"/>
      <c r="AL255"/>
      <c r="AM255"/>
      <c r="AN255"/>
      <c r="AO255"/>
      <c r="AP255"/>
      <c r="AQ255"/>
      <c r="AR255"/>
    </row>
    <row r="256" spans="1:44" ht="15" customHeight="1" x14ac:dyDescent="0.3">
      <c r="A256" s="2">
        <v>2.5499999999999998</v>
      </c>
      <c r="B256" s="1">
        <f t="shared" si="54"/>
        <v>2.8183829312644522E-3</v>
      </c>
      <c r="C256" s="1">
        <f t="shared" si="55"/>
        <v>3.5836152312591138E-12</v>
      </c>
      <c r="D256" s="1">
        <f t="shared" si="56"/>
        <v>2.3377358594752783E-2</v>
      </c>
      <c r="E256" s="1">
        <f t="shared" si="57"/>
        <v>-5.6289309912546388E-4</v>
      </c>
      <c r="F256" s="1">
        <f t="shared" si="58"/>
        <v>1.9050977090783941E-4</v>
      </c>
      <c r="G256" s="1">
        <f t="shared" si="59"/>
        <v>-0.13687108531177544</v>
      </c>
      <c r="H256" s="1">
        <f t="shared" si="67"/>
        <v>-1.3687108531177543</v>
      </c>
      <c r="J256" s="2">
        <v>6.54</v>
      </c>
      <c r="K256" s="1">
        <v>2.8840315031266014E-7</v>
      </c>
      <c r="L256" s="1">
        <v>3.5020421895705747E-8</v>
      </c>
      <c r="M256" s="1">
        <v>6.1835962350385376E-3</v>
      </c>
      <c r="N256" s="1">
        <v>2.3027339608269102E-3</v>
      </c>
      <c r="O256" s="1">
        <v>0.65060462793387275</v>
      </c>
      <c r="P256" s="1">
        <v>0.65059031031397274</v>
      </c>
      <c r="Q256" s="2">
        <v>6.505903103139727</v>
      </c>
      <c r="S256" s="2">
        <v>2.5499999999999998</v>
      </c>
      <c r="T256" s="1">
        <f t="shared" si="60"/>
        <v>2.8183829312644522E-3</v>
      </c>
      <c r="U256" s="1">
        <f t="shared" si="61"/>
        <v>3.5836152312591138E-12</v>
      </c>
      <c r="V256" s="1">
        <f t="shared" si="62"/>
        <v>-2.7577858746652378E-3</v>
      </c>
      <c r="W256" s="1">
        <f t="shared" si="63"/>
        <v>3.4252595291555082E-2</v>
      </c>
      <c r="X256" s="1">
        <f t="shared" si="64"/>
        <v>0.99907833543720348</v>
      </c>
      <c r="Y256" s="1">
        <f t="shared" si="65"/>
        <v>1.0419451670662068</v>
      </c>
      <c r="Z256" s="1">
        <f t="shared" si="66"/>
        <v>52.097258353310337</v>
      </c>
      <c r="AB256">
        <v>3.86</v>
      </c>
      <c r="AC256">
        <v>1.3803842646028844E-4</v>
      </c>
      <c r="AD256">
        <v>7.3168031967574022E-11</v>
      </c>
      <c r="AE256">
        <v>1.1012227131032034E-3</v>
      </c>
      <c r="AF256">
        <v>3.2966259095632264E-2</v>
      </c>
      <c r="AG256">
        <v>0.9815128762071712</v>
      </c>
      <c r="AH256">
        <v>0.98357211311428616</v>
      </c>
      <c r="AI256">
        <v>49.178605655714307</v>
      </c>
      <c r="AJ256"/>
      <c r="AK256"/>
      <c r="AL256"/>
      <c r="AM256"/>
      <c r="AN256"/>
      <c r="AO256"/>
      <c r="AP256"/>
      <c r="AQ256"/>
      <c r="AR256"/>
    </row>
    <row r="257" spans="1:44" ht="15" customHeight="1" x14ac:dyDescent="0.3">
      <c r="A257" s="2">
        <v>2.56</v>
      </c>
      <c r="B257" s="1">
        <f t="shared" si="54"/>
        <v>2.7542287033381651E-3</v>
      </c>
      <c r="C257" s="1">
        <f t="shared" si="55"/>
        <v>3.6670883531780252E-12</v>
      </c>
      <c r="D257" s="1">
        <f t="shared" si="56"/>
        <v>2.3300267049774486E-2</v>
      </c>
      <c r="E257" s="1">
        <f t="shared" si="57"/>
        <v>-5.500445082957478E-4</v>
      </c>
      <c r="F257" s="1">
        <f t="shared" si="58"/>
        <v>1.9494644844782972E-4</v>
      </c>
      <c r="G257" s="1">
        <f t="shared" si="59"/>
        <v>-0.13383049074995995</v>
      </c>
      <c r="H257" s="1">
        <f t="shared" si="67"/>
        <v>-1.3383049074995994</v>
      </c>
      <c r="J257" s="2">
        <v>6.55</v>
      </c>
      <c r="K257" s="1">
        <v>2.8183829312644502E-7</v>
      </c>
      <c r="L257" s="1">
        <v>3.5836152312591163E-8</v>
      </c>
      <c r="M257" s="1">
        <v>6.0856643851452709E-3</v>
      </c>
      <c r="N257" s="1">
        <v>2.3190559358091216E-3</v>
      </c>
      <c r="O257" s="1">
        <v>0.65582050591239516</v>
      </c>
      <c r="P257" s="1">
        <v>0.65580659250709727</v>
      </c>
      <c r="Q257" s="2">
        <v>6.5580659250709727</v>
      </c>
      <c r="S257" s="2">
        <v>2.56</v>
      </c>
      <c r="T257" s="1">
        <f t="shared" si="60"/>
        <v>2.7542287033381651E-3</v>
      </c>
      <c r="U257" s="1">
        <f t="shared" si="61"/>
        <v>3.6670883531780252E-12</v>
      </c>
      <c r="V257" s="1">
        <f t="shared" si="62"/>
        <v>-2.6922008731436026E-3</v>
      </c>
      <c r="W257" s="1">
        <f t="shared" si="63"/>
        <v>3.4230733624381199E-2</v>
      </c>
      <c r="X257" s="1">
        <f t="shared" si="64"/>
        <v>0.99905688735870612</v>
      </c>
      <c r="Y257" s="1">
        <f t="shared" si="65"/>
        <v>1.0409340262025732</v>
      </c>
      <c r="Z257" s="1">
        <f t="shared" si="66"/>
        <v>52.046701310128661</v>
      </c>
      <c r="AB257">
        <v>3.87</v>
      </c>
      <c r="AC257">
        <v>1.3489628825916533E-4</v>
      </c>
      <c r="AD257">
        <v>7.4872334371392682E-11</v>
      </c>
      <c r="AE257">
        <v>1.1328846767509936E-3</v>
      </c>
      <c r="AF257">
        <v>3.2955705107749665E-2</v>
      </c>
      <c r="AG257">
        <v>0.98109039863607594</v>
      </c>
      <c r="AH257">
        <v>0.98310244475578867</v>
      </c>
      <c r="AI257">
        <v>49.155122237789435</v>
      </c>
      <c r="AJ257"/>
      <c r="AK257"/>
      <c r="AL257"/>
      <c r="AM257"/>
      <c r="AN257"/>
      <c r="AO257"/>
      <c r="AP257"/>
      <c r="AQ257"/>
      <c r="AR257"/>
    </row>
    <row r="258" spans="1:44" ht="15" customHeight="1" x14ac:dyDescent="0.3">
      <c r="A258" s="2">
        <v>2.57</v>
      </c>
      <c r="B258" s="1">
        <f t="shared" si="54"/>
        <v>2.6915348039269148E-3</v>
      </c>
      <c r="C258" s="1">
        <f t="shared" si="55"/>
        <v>3.7525058138814435E-12</v>
      </c>
      <c r="D258" s="1">
        <f t="shared" si="56"/>
        <v>2.3224925420148982E-2</v>
      </c>
      <c r="E258" s="1">
        <f t="shared" si="57"/>
        <v>-5.3748757002483041E-4</v>
      </c>
      <c r="F258" s="1">
        <f t="shared" si="58"/>
        <v>1.9948642872153033E-4</v>
      </c>
      <c r="G258" s="1">
        <f t="shared" si="59"/>
        <v>-0.13085523927700679</v>
      </c>
      <c r="H258" s="1">
        <f t="shared" si="67"/>
        <v>-1.3085523927700677</v>
      </c>
      <c r="J258" s="2">
        <v>6.56</v>
      </c>
      <c r="K258" s="1">
        <v>2.7542287033381632E-7</v>
      </c>
      <c r="L258" s="1">
        <v>3.6670883531780278E-8</v>
      </c>
      <c r="M258" s="1">
        <v>5.9886113459560767E-3</v>
      </c>
      <c r="N258" s="1">
        <v>2.3352314423406538E-3</v>
      </c>
      <c r="O258" s="1">
        <v>0.66099909124635836</v>
      </c>
      <c r="P258" s="1">
        <v>0.66098557553082415</v>
      </c>
      <c r="Q258" s="2">
        <v>6.6098557553082413</v>
      </c>
      <c r="S258" s="2">
        <v>2.57</v>
      </c>
      <c r="T258" s="1">
        <f t="shared" si="60"/>
        <v>2.6915348039269148E-3</v>
      </c>
      <c r="U258" s="1">
        <f t="shared" si="61"/>
        <v>3.7525058138814435E-12</v>
      </c>
      <c r="V258" s="1">
        <f t="shared" si="62"/>
        <v>-2.6280429155476482E-3</v>
      </c>
      <c r="W258" s="1">
        <f t="shared" si="63"/>
        <v>3.4209347638515887E-2</v>
      </c>
      <c r="X258" s="1">
        <f t="shared" si="64"/>
        <v>0.9990349406435749</v>
      </c>
      <c r="Y258" s="1">
        <f t="shared" si="65"/>
        <v>1.0399455366563013</v>
      </c>
      <c r="Z258" s="1">
        <f t="shared" si="66"/>
        <v>51.997276832815068</v>
      </c>
      <c r="AB258">
        <v>3.88</v>
      </c>
      <c r="AC258">
        <v>1.3182567385564069E-4</v>
      </c>
      <c r="AD258">
        <v>7.6616335077947569E-11</v>
      </c>
      <c r="AE258">
        <v>1.1651223819958462E-3</v>
      </c>
      <c r="AF258">
        <v>3.2944959206001379E-2</v>
      </c>
      <c r="AG258">
        <v>0.98065845663684648</v>
      </c>
      <c r="AH258">
        <v>0.98262438784318618</v>
      </c>
      <c r="AI258">
        <v>49.131219392159309</v>
      </c>
      <c r="AJ258"/>
      <c r="AK258"/>
      <c r="AL258"/>
      <c r="AM258"/>
      <c r="AN258"/>
      <c r="AO258"/>
      <c r="AP258"/>
      <c r="AQ258"/>
      <c r="AR258"/>
    </row>
    <row r="259" spans="1:44" ht="15" customHeight="1" x14ac:dyDescent="0.3">
      <c r="A259" s="2">
        <v>2.58</v>
      </c>
      <c r="B259" s="1">
        <f t="shared" ref="B259:B322" si="68">10^(-A259)</f>
        <v>2.6302679918953791E-3</v>
      </c>
      <c r="C259" s="1">
        <f t="shared" ref="C259:C322" si="69">Kw/B259</f>
        <v>3.8399129028376718E-12</v>
      </c>
      <c r="D259" s="1">
        <f t="shared" ref="D259:D322" si="70">((WASB_Ca*WASB_Va)-(WASB_Cb*H259))/(WASB_Va+H259)</f>
        <v>2.3151293758828996E-2</v>
      </c>
      <c r="E259" s="1">
        <f t="shared" ref="E259:E322" si="71">(WASB_Ca*H259)/(WASB_Va+H259)</f>
        <v>-5.2521562647149869E-4</v>
      </c>
      <c r="F259" s="1">
        <f t="shared" ref="F259:F322" si="72">WASB_Ka/(B259+WASB_Ka)</f>
        <v>2.0413211603824893E-4</v>
      </c>
      <c r="G259" s="1">
        <f t="shared" ref="G259:G322" si="73">(F259-((B259-C259)/WASB_Ca)) / (1 + ((B259-C259)/WASB_Cb))</f>
        <v>-0.12794399728354736</v>
      </c>
      <c r="H259" s="1">
        <f t="shared" si="67"/>
        <v>-1.2794399728354735</v>
      </c>
      <c r="J259" s="2">
        <v>6.57</v>
      </c>
      <c r="K259" s="1">
        <v>2.691534803926908E-7</v>
      </c>
      <c r="L259" s="1">
        <v>3.7525058138814531E-8</v>
      </c>
      <c r="M259" s="1">
        <v>5.8924507165083921E-3</v>
      </c>
      <c r="N259" s="1">
        <v>2.3512582139152676E-3</v>
      </c>
      <c r="O259" s="1">
        <v>0.66613942458312259</v>
      </c>
      <c r="P259" s="1">
        <v>0.66612630022417041</v>
      </c>
      <c r="Q259" s="2">
        <v>6.6612630022417036</v>
      </c>
      <c r="S259" s="2">
        <v>2.58</v>
      </c>
      <c r="T259" s="1">
        <f t="shared" ref="T259:T322" si="74">10^-S259</f>
        <v>2.6302679918953791E-3</v>
      </c>
      <c r="U259" s="1">
        <f t="shared" ref="U259:U322" si="75">Kw/T259</f>
        <v>3.8399129028376718E-12</v>
      </c>
      <c r="V259" s="1">
        <f t="shared" ref="V259:V322" si="76">((SAWB_Cb*SAWB_Vb)-(SAWB_Ca*Z259))/(Z259+SAWB_Vb)</f>
        <v>-2.5652779874410577E-3</v>
      </c>
      <c r="W259" s="1">
        <f t="shared" ref="W259:W322" si="77">(SAWB_Cb*Z259)/(Z259+SAWB_Vb)</f>
        <v>3.4188425995813683E-2</v>
      </c>
      <c r="X259" s="1">
        <f t="shared" ref="X259:X322" si="78">T259/(T259+SAWB_Ka)</f>
        <v>0.9990124837219323</v>
      </c>
      <c r="Y259" s="1">
        <f t="shared" ref="Y259:Y322" si="79">(X259+((T259-U259)/SAWB_Cb))/(1-((T259-U259)/SAWB_Ca))</f>
        <v>1.038979131349721</v>
      </c>
      <c r="Z259" s="1">
        <f t="shared" ref="Z259:Z322" si="80">(Y259*SAWB_Cb*SAWB_Vb)/SAWB_Ca</f>
        <v>51.948956567486043</v>
      </c>
      <c r="AB259">
        <v>3.89</v>
      </c>
      <c r="AC259">
        <v>1.2882495516931315E-4</v>
      </c>
      <c r="AD259">
        <v>7.8400958779498012E-11</v>
      </c>
      <c r="AE259">
        <v>1.1979517460983722E-3</v>
      </c>
      <c r="AF259">
        <v>3.2934016084633873E-2</v>
      </c>
      <c r="AG259">
        <v>0.98021684697057376</v>
      </c>
      <c r="AH259">
        <v>0.9821377145885144</v>
      </c>
      <c r="AI259">
        <v>49.10688572942572</v>
      </c>
      <c r="AJ259"/>
      <c r="AK259"/>
      <c r="AL259"/>
      <c r="AM259"/>
      <c r="AN259"/>
      <c r="AO259"/>
      <c r="AP259"/>
      <c r="AQ259"/>
      <c r="AR259"/>
    </row>
    <row r="260" spans="1:44" ht="15" customHeight="1" x14ac:dyDescent="0.3">
      <c r="A260" s="2">
        <v>2.59</v>
      </c>
      <c r="B260" s="1">
        <f t="shared" si="68"/>
        <v>2.5703957827688637E-3</v>
      </c>
      <c r="C260" s="1">
        <f t="shared" si="69"/>
        <v>3.9293559644422336E-12</v>
      </c>
      <c r="D260" s="1">
        <f t="shared" si="70"/>
        <v>2.3079333025418945E-2</v>
      </c>
      <c r="E260" s="1">
        <f t="shared" si="71"/>
        <v>-5.1322217090315743E-4</v>
      </c>
      <c r="F260" s="1">
        <f t="shared" si="72"/>
        <v>2.0888597062038316E-4</v>
      </c>
      <c r="G260" s="1">
        <f t="shared" si="73"/>
        <v>-0.12509545468462141</v>
      </c>
      <c r="H260" s="1">
        <f t="shared" ref="H260:H323" si="81">G260*(WASB_Va * WASB_Ca)/WASB_Cb</f>
        <v>-1.250954546846214</v>
      </c>
      <c r="J260" s="2">
        <v>6.58</v>
      </c>
      <c r="K260" s="1">
        <v>2.6302679918953789E-7</v>
      </c>
      <c r="L260" s="1">
        <v>3.8399129028376719E-8</v>
      </c>
      <c r="M260" s="1">
        <v>5.7971953783184822E-3</v>
      </c>
      <c r="N260" s="1">
        <v>2.3671341036135864E-3</v>
      </c>
      <c r="O260" s="1">
        <v>0.67124058081583193</v>
      </c>
      <c r="P260" s="1">
        <v>0.67122784166886174</v>
      </c>
      <c r="Q260" s="2">
        <v>6.7122784166886174</v>
      </c>
      <c r="S260" s="2">
        <v>2.59</v>
      </c>
      <c r="T260" s="1">
        <f t="shared" si="74"/>
        <v>2.5703957827688637E-3</v>
      </c>
      <c r="U260" s="1">
        <f t="shared" si="75"/>
        <v>3.9293559644422336E-12</v>
      </c>
      <c r="V260" s="1">
        <f t="shared" si="76"/>
        <v>-2.5038728131296937E-3</v>
      </c>
      <c r="W260" s="1">
        <f t="shared" si="77"/>
        <v>3.4167957604376561E-2</v>
      </c>
      <c r="X260" s="1">
        <f t="shared" si="78"/>
        <v>0.99898950475651294</v>
      </c>
      <c r="Y260" s="1">
        <f t="shared" si="79"/>
        <v>1.0380342569061194</v>
      </c>
      <c r="Z260" s="1">
        <f t="shared" si="80"/>
        <v>51.901712845305973</v>
      </c>
      <c r="AB260">
        <v>3.9</v>
      </c>
      <c r="AC260">
        <v>1.2589254117941672E-4</v>
      </c>
      <c r="AD260">
        <v>8.0227151707152435E-11</v>
      </c>
      <c r="AE260">
        <v>1.2313889460913742E-3</v>
      </c>
      <c r="AF260">
        <v>3.2922870351302876E-2</v>
      </c>
      <c r="AG260">
        <v>0.97976536243944634</v>
      </c>
      <c r="AH260">
        <v>0.98164219380673368</v>
      </c>
      <c r="AI260">
        <v>49.082109690336686</v>
      </c>
      <c r="AJ260"/>
      <c r="AK260"/>
      <c r="AL260"/>
      <c r="AM260"/>
      <c r="AN260"/>
      <c r="AO260"/>
      <c r="AP260"/>
      <c r="AQ260"/>
      <c r="AR260"/>
    </row>
    <row r="261" spans="1:44" ht="15" customHeight="1" x14ac:dyDescent="0.3">
      <c r="A261" s="2">
        <v>2.6</v>
      </c>
      <c r="B261" s="1">
        <f t="shared" si="68"/>
        <v>2.5118864315095777E-3</v>
      </c>
      <c r="C261" s="1">
        <f t="shared" si="69"/>
        <v>4.0208824225903259E-12</v>
      </c>
      <c r="D261" s="1">
        <f t="shared" si="70"/>
        <v>2.3009005065475385E-2</v>
      </c>
      <c r="E261" s="1">
        <f t="shared" si="71"/>
        <v>-5.0150084424589801E-4</v>
      </c>
      <c r="F261" s="1">
        <f t="shared" si="72"/>
        <v>2.1375050990154516E-4</v>
      </c>
      <c r="G261" s="1">
        <f t="shared" si="73"/>
        <v>-0.12230832465776596</v>
      </c>
      <c r="H261" s="1">
        <f t="shared" si="81"/>
        <v>-1.2230832465776595</v>
      </c>
      <c r="J261" s="2">
        <v>6.59</v>
      </c>
      <c r="K261" s="1">
        <v>2.5703957827688611E-7</v>
      </c>
      <c r="L261" s="1">
        <v>3.9293559644422378E-8</v>
      </c>
      <c r="M261" s="1">
        <v>5.702857496249129E-3</v>
      </c>
      <c r="N261" s="1">
        <v>2.3828570839584781E-3</v>
      </c>
      <c r="O261" s="1">
        <v>0.67630166949273696</v>
      </c>
      <c r="P261" s="1">
        <v>0.67628930959875921</v>
      </c>
      <c r="Q261" s="2">
        <v>6.7628930959875921</v>
      </c>
      <c r="S261" s="2">
        <v>2.6</v>
      </c>
      <c r="T261" s="1">
        <f t="shared" si="74"/>
        <v>2.5118864315095777E-3</v>
      </c>
      <c r="U261" s="1">
        <f t="shared" si="75"/>
        <v>4.0208824225903259E-12</v>
      </c>
      <c r="V261" s="1">
        <f t="shared" si="76"/>
        <v>-2.4437948380247264E-3</v>
      </c>
      <c r="W261" s="1">
        <f t="shared" si="77"/>
        <v>3.414793161267491E-2</v>
      </c>
      <c r="X261" s="1">
        <f t="shared" si="78"/>
        <v>0.99896599163653499</v>
      </c>
      <c r="Y261" s="1">
        <f t="shared" si="79"/>
        <v>1.037110373263463</v>
      </c>
      <c r="Z261" s="1">
        <f t="shared" si="80"/>
        <v>51.85551866317315</v>
      </c>
      <c r="AB261">
        <v>3.91</v>
      </c>
      <c r="AC261">
        <v>1.2302687708123794E-4</v>
      </c>
      <c r="AD261">
        <v>8.2095882132574157E-11</v>
      </c>
      <c r="AE261">
        <v>1.2654504249182544E-3</v>
      </c>
      <c r="AF261">
        <v>3.2911516525027253E-2</v>
      </c>
      <c r="AG261">
        <v>0.97930379182856953</v>
      </c>
      <c r="AH261">
        <v>0.98113759084462937</v>
      </c>
      <c r="AI261">
        <v>49.056879542231471</v>
      </c>
      <c r="AJ261"/>
      <c r="AK261"/>
      <c r="AL261"/>
      <c r="AM261"/>
      <c r="AN261"/>
      <c r="AO261"/>
      <c r="AP261"/>
      <c r="AQ261"/>
      <c r="AR261"/>
    </row>
    <row r="262" spans="1:44" ht="15" customHeight="1" x14ac:dyDescent="0.3">
      <c r="A262" s="2">
        <v>2.61</v>
      </c>
      <c r="B262" s="1">
        <f t="shared" si="68"/>
        <v>2.4547089156850303E-3</v>
      </c>
      <c r="C262" s="1">
        <f t="shared" si="69"/>
        <v>4.114540805821538E-12</v>
      </c>
      <c r="D262" s="1">
        <f t="shared" si="70"/>
        <v>2.2940272590277238E-2</v>
      </c>
      <c r="E262" s="1">
        <f t="shared" si="71"/>
        <v>-4.9004543171287285E-4</v>
      </c>
      <c r="F262" s="1">
        <f t="shared" si="72"/>
        <v>2.1872830985471798E-4</v>
      </c>
      <c r="G262" s="1">
        <f t="shared" si="73"/>
        <v>-0.11958134337623755</v>
      </c>
      <c r="H262" s="1">
        <f t="shared" si="81"/>
        <v>-1.1958134337623754</v>
      </c>
      <c r="J262" s="2">
        <v>6.6</v>
      </c>
      <c r="K262" s="1">
        <v>2.511886431509578E-7</v>
      </c>
      <c r="L262" s="1">
        <v>4.0208824225903253E-8</v>
      </c>
      <c r="M262" s="1">
        <v>5.6094485204147551E-3</v>
      </c>
      <c r="N262" s="1">
        <v>2.3984252465975406E-3</v>
      </c>
      <c r="O262" s="1">
        <v>0.68132183516639377</v>
      </c>
      <c r="P262" s="1">
        <v>0.68130984874916234</v>
      </c>
      <c r="Q262" s="2">
        <v>6.8130984874916232</v>
      </c>
      <c r="S262" s="2">
        <v>2.61</v>
      </c>
      <c r="T262" s="1">
        <f t="shared" si="74"/>
        <v>2.4547089156850303E-3</v>
      </c>
      <c r="U262" s="1">
        <f t="shared" si="75"/>
        <v>4.114540805821538E-12</v>
      </c>
      <c r="V262" s="1">
        <f t="shared" si="76"/>
        <v>-2.3850122113888632E-3</v>
      </c>
      <c r="W262" s="1">
        <f t="shared" si="77"/>
        <v>3.412833740379629E-2</v>
      </c>
      <c r="X262" s="1">
        <f t="shared" si="78"/>
        <v>0.99894193197143255</v>
      </c>
      <c r="Y262" s="1">
        <f t="shared" si="79"/>
        <v>1.0362069532996168</v>
      </c>
      <c r="Z262" s="1">
        <f t="shared" si="80"/>
        <v>51.810347664980839</v>
      </c>
      <c r="AB262">
        <v>3.92</v>
      </c>
      <c r="AC262">
        <v>1.202264434617413E-4</v>
      </c>
      <c r="AD262">
        <v>8.4008140881369759E-11</v>
      </c>
      <c r="AE262">
        <v>1.3001528976043302E-3</v>
      </c>
      <c r="AF262">
        <v>3.289994903413189E-2</v>
      </c>
      <c r="AG262">
        <v>0.97883191984786355</v>
      </c>
      <c r="AH262">
        <v>0.98062366751009344</v>
      </c>
      <c r="AI262">
        <v>49.031183375504675</v>
      </c>
      <c r="AJ262"/>
      <c r="AK262"/>
      <c r="AL262"/>
      <c r="AM262"/>
      <c r="AN262"/>
      <c r="AO262"/>
      <c r="AP262"/>
      <c r="AQ262"/>
      <c r="AR262"/>
    </row>
    <row r="263" spans="1:44" ht="15" customHeight="1" x14ac:dyDescent="0.3">
      <c r="A263" s="2">
        <v>2.62</v>
      </c>
      <c r="B263" s="1">
        <f t="shared" si="68"/>
        <v>2.3988329190194886E-3</v>
      </c>
      <c r="C263" s="1">
        <f t="shared" si="69"/>
        <v>4.2103807730503903E-12</v>
      </c>
      <c r="D263" s="1">
        <f t="shared" si="70"/>
        <v>2.2873099157054943E-2</v>
      </c>
      <c r="E263" s="1">
        <f t="shared" si="71"/>
        <v>-4.7884985950915769E-4</v>
      </c>
      <c r="F263" s="1">
        <f t="shared" si="72"/>
        <v>2.238220063511445E-4</v>
      </c>
      <c r="G263" s="1">
        <f t="shared" si="73"/>
        <v>-0.11691326973785307</v>
      </c>
      <c r="H263" s="1">
        <f t="shared" si="81"/>
        <v>-1.1691326973785305</v>
      </c>
      <c r="J263" s="2">
        <v>6.61</v>
      </c>
      <c r="K263" s="1">
        <v>2.454708915685024E-7</v>
      </c>
      <c r="L263" s="1">
        <v>4.1145408058215489E-8</v>
      </c>
      <c r="M263" s="1">
        <v>5.5169791890924309E-3</v>
      </c>
      <c r="N263" s="1">
        <v>2.4138368018179284E-3</v>
      </c>
      <c r="O263" s="1">
        <v>0.68630025768331293</v>
      </c>
      <c r="P263" s="1">
        <v>0.68628863914655724</v>
      </c>
      <c r="Q263" s="2">
        <v>6.8628863914655724</v>
      </c>
      <c r="S263" s="2">
        <v>2.62</v>
      </c>
      <c r="T263" s="1">
        <f t="shared" si="74"/>
        <v>2.3988329190194886E-3</v>
      </c>
      <c r="U263" s="1">
        <f t="shared" si="75"/>
        <v>4.2103807730503903E-12</v>
      </c>
      <c r="V263" s="1">
        <f t="shared" si="76"/>
        <v>-2.3274937694556562E-3</v>
      </c>
      <c r="W263" s="1">
        <f t="shared" si="77"/>
        <v>3.4109164589818552E-2</v>
      </c>
      <c r="X263" s="1">
        <f t="shared" si="78"/>
        <v>0.9989173130844472</v>
      </c>
      <c r="Y263" s="1">
        <f t="shared" si="79"/>
        <v>1.035323482468641</v>
      </c>
      <c r="Z263" s="1">
        <f t="shared" si="80"/>
        <v>51.766174123432052</v>
      </c>
      <c r="AB263">
        <v>3.93</v>
      </c>
      <c r="AC263">
        <v>1.1748975549395278E-4</v>
      </c>
      <c r="AD263">
        <v>8.5964941858440138E-11</v>
      </c>
      <c r="AE263">
        <v>1.3355133574603994E-3</v>
      </c>
      <c r="AF263">
        <v>3.2888162214179867E-2</v>
      </c>
      <c r="AG263">
        <v>0.97834952707409817</v>
      </c>
      <c r="AH263">
        <v>0.98010018200183191</v>
      </c>
      <c r="AI263">
        <v>49.005009100091591</v>
      </c>
      <c r="AJ263"/>
      <c r="AK263"/>
      <c r="AL263"/>
      <c r="AM263"/>
      <c r="AN263"/>
      <c r="AO263"/>
      <c r="AP263"/>
      <c r="AQ263"/>
      <c r="AR263"/>
    </row>
    <row r="264" spans="1:44" ht="15" customHeight="1" x14ac:dyDescent="0.3">
      <c r="A264" s="2">
        <v>2.63</v>
      </c>
      <c r="B264" s="1">
        <f t="shared" si="68"/>
        <v>2.3442288153199204E-3</v>
      </c>
      <c r="C264" s="1">
        <f t="shared" si="69"/>
        <v>4.3084531398960887E-12</v>
      </c>
      <c r="D264" s="1">
        <f t="shared" si="70"/>
        <v>2.2807449149668323E-2</v>
      </c>
      <c r="E264" s="1">
        <f t="shared" si="71"/>
        <v>-4.6790819161138762E-4</v>
      </c>
      <c r="F264" s="1">
        <f t="shared" si="72"/>
        <v>2.2903429655064312E-4</v>
      </c>
      <c r="G264" s="1">
        <f t="shared" si="73"/>
        <v>-0.11430288508992731</v>
      </c>
      <c r="H264" s="1">
        <f t="shared" si="81"/>
        <v>-1.143028850899273</v>
      </c>
      <c r="J264" s="2">
        <v>6.62</v>
      </c>
      <c r="K264" s="1">
        <v>2.3988329190194845E-7</v>
      </c>
      <c r="L264" s="1">
        <v>4.2103807730503977E-8</v>
      </c>
      <c r="M264" s="1">
        <v>5.4254595326056676E-3</v>
      </c>
      <c r="N264" s="1">
        <v>2.4290900778990553E-3</v>
      </c>
      <c r="O264" s="1">
        <v>0.69123615241476344</v>
      </c>
      <c r="P264" s="1">
        <v>0.69122489633952044</v>
      </c>
      <c r="Q264" s="2">
        <v>6.9122489633952044</v>
      </c>
      <c r="S264" s="2">
        <v>2.63</v>
      </c>
      <c r="T264" s="1">
        <f t="shared" si="74"/>
        <v>2.3442288153199204E-3</v>
      </c>
      <c r="U264" s="1">
        <f t="shared" si="75"/>
        <v>4.3084531398960887E-12</v>
      </c>
      <c r="V264" s="1">
        <f t="shared" si="76"/>
        <v>-2.2712090189137414E-3</v>
      </c>
      <c r="W264" s="1">
        <f t="shared" si="77"/>
        <v>3.409040300630458E-2</v>
      </c>
      <c r="X264" s="1">
        <f t="shared" si="78"/>
        <v>0.9988921220060758</v>
      </c>
      <c r="Y264" s="1">
        <f t="shared" si="79"/>
        <v>1.0344594584477733</v>
      </c>
      <c r="Z264" s="1">
        <f t="shared" si="80"/>
        <v>51.722972922388671</v>
      </c>
      <c r="AB264">
        <v>3.94</v>
      </c>
      <c r="AC264">
        <v>1.148153621496881E-4</v>
      </c>
      <c r="AD264">
        <v>8.796732258556427E-11</v>
      </c>
      <c r="AE264">
        <v>1.3715490823162525E-3</v>
      </c>
      <c r="AF264">
        <v>3.2876150305894587E-2</v>
      </c>
      <c r="AG264">
        <v>0.97785638989312695</v>
      </c>
      <c r="AH264">
        <v>0.979566888839561</v>
      </c>
      <c r="AI264">
        <v>48.978344441978052</v>
      </c>
      <c r="AJ264"/>
      <c r="AK264"/>
      <c r="AL264"/>
      <c r="AM264"/>
      <c r="AN264"/>
      <c r="AO264"/>
      <c r="AP264"/>
      <c r="AQ264"/>
      <c r="AR264"/>
    </row>
    <row r="265" spans="1:44" ht="15" customHeight="1" x14ac:dyDescent="0.3">
      <c r="A265" s="2">
        <v>2.64</v>
      </c>
      <c r="B265" s="1">
        <f t="shared" si="68"/>
        <v>2.2908676527677715E-3</v>
      </c>
      <c r="C265" s="1">
        <f t="shared" si="69"/>
        <v>4.4088099056256792E-12</v>
      </c>
      <c r="D265" s="1">
        <f t="shared" si="70"/>
        <v>2.2743287759722581E-2</v>
      </c>
      <c r="E265" s="1">
        <f t="shared" si="71"/>
        <v>-4.5721462662043057E-4</v>
      </c>
      <c r="F265" s="1">
        <f t="shared" si="72"/>
        <v>2.3436794032408273E-4</v>
      </c>
      <c r="G265" s="1">
        <f t="shared" si="73"/>
        <v>-0.11174899295074836</v>
      </c>
      <c r="H265" s="1">
        <f t="shared" si="81"/>
        <v>-1.1174899295074836</v>
      </c>
      <c r="J265" s="2">
        <v>6.63</v>
      </c>
      <c r="K265" s="1">
        <v>2.3442288153199206E-7</v>
      </c>
      <c r="L265" s="1">
        <v>4.308453139896088E-8</v>
      </c>
      <c r="M265" s="1">
        <v>5.3348988781461402E-3</v>
      </c>
      <c r="N265" s="1">
        <v>2.4441835203089764E-3</v>
      </c>
      <c r="O265" s="1">
        <v>0.69612877042959975</v>
      </c>
      <c r="P265" s="1">
        <v>0.69611787157164262</v>
      </c>
      <c r="Q265" s="2">
        <v>6.961178715716426</v>
      </c>
      <c r="S265" s="2">
        <v>2.64</v>
      </c>
      <c r="T265" s="1">
        <f t="shared" si="74"/>
        <v>2.2908676527677715E-3</v>
      </c>
      <c r="U265" s="1">
        <f t="shared" si="75"/>
        <v>4.4088099056256792E-12</v>
      </c>
      <c r="V265" s="1">
        <f t="shared" si="76"/>
        <v>-2.2161281207466136E-3</v>
      </c>
      <c r="W265" s="1">
        <f t="shared" si="77"/>
        <v>3.4072042706915537E-2</v>
      </c>
      <c r="X265" s="1">
        <f t="shared" si="78"/>
        <v>0.99886634546737008</v>
      </c>
      <c r="Y265" s="1">
        <f t="shared" si="79"/>
        <v>1.0336143907947088</v>
      </c>
      <c r="Z265" s="1">
        <f t="shared" si="80"/>
        <v>51.680719539735435</v>
      </c>
      <c r="AB265">
        <v>3.95</v>
      </c>
      <c r="AC265">
        <v>1.1220184543019618E-4</v>
      </c>
      <c r="AD265">
        <v>9.0016344751508423E-11</v>
      </c>
      <c r="AE265">
        <v>1.4082776407831985E-3</v>
      </c>
      <c r="AF265">
        <v>3.2863907453072265E-2</v>
      </c>
      <c r="AG265">
        <v>0.97735228044238287</v>
      </c>
      <c r="AH265">
        <v>0.97902353879474258</v>
      </c>
      <c r="AI265">
        <v>48.951176939737131</v>
      </c>
      <c r="AJ265"/>
      <c r="AK265"/>
      <c r="AL265"/>
      <c r="AM265"/>
      <c r="AN265"/>
      <c r="AO265"/>
      <c r="AP265"/>
      <c r="AQ265"/>
      <c r="AR265"/>
    </row>
    <row r="266" spans="1:44" ht="15" customHeight="1" x14ac:dyDescent="0.3">
      <c r="A266" s="2">
        <v>2.65</v>
      </c>
      <c r="B266" s="1">
        <f t="shared" si="68"/>
        <v>2.2387211385683386E-3</v>
      </c>
      <c r="C266" s="1">
        <f t="shared" si="69"/>
        <v>4.5115042807247296E-12</v>
      </c>
      <c r="D266" s="1">
        <f t="shared" si="70"/>
        <v>2.2680580968112693E-2</v>
      </c>
      <c r="E266" s="1">
        <f t="shared" si="71"/>
        <v>-4.4676349468544851E-4</v>
      </c>
      <c r="F266" s="1">
        <f t="shared" si="72"/>
        <v>2.3982576170874742E-4</v>
      </c>
      <c r="G266" s="1">
        <f t="shared" si="73"/>
        <v>-0.10925041872802312</v>
      </c>
      <c r="H266" s="1">
        <f t="shared" si="81"/>
        <v>-1.092504187280231</v>
      </c>
      <c r="J266" s="2">
        <v>6.64</v>
      </c>
      <c r="K266" s="1">
        <v>2.2908676527677716E-7</v>
      </c>
      <c r="L266" s="1">
        <v>4.4088099056256784E-8</v>
      </c>
      <c r="M266" s="1">
        <v>5.2453058554971519E-3</v>
      </c>
      <c r="N266" s="1">
        <v>2.4591156907504742E-3</v>
      </c>
      <c r="O266" s="1">
        <v>0.70097739861010799</v>
      </c>
      <c r="P266" s="1">
        <v>0.70096685189747032</v>
      </c>
      <c r="Q266" s="2">
        <v>7.0096685189747028</v>
      </c>
      <c r="S266" s="2">
        <v>2.65</v>
      </c>
      <c r="T266" s="1">
        <f t="shared" si="74"/>
        <v>2.2387211385683386E-3</v>
      </c>
      <c r="U266" s="1">
        <f t="shared" si="75"/>
        <v>4.5115042807247296E-12</v>
      </c>
      <c r="V266" s="1">
        <f t="shared" si="76"/>
        <v>-2.162221874420021E-3</v>
      </c>
      <c r="W266" s="1">
        <f t="shared" si="77"/>
        <v>3.4054073958140009E-2</v>
      </c>
      <c r="X266" s="1">
        <f t="shared" si="78"/>
        <v>0.99883996989308688</v>
      </c>
      <c r="Y266" s="1">
        <f t="shared" si="79"/>
        <v>1.0327878006148177</v>
      </c>
      <c r="Z266" s="1">
        <f t="shared" si="80"/>
        <v>51.639390030740884</v>
      </c>
      <c r="AB266">
        <v>3.96</v>
      </c>
      <c r="AC266">
        <v>1.0964781961431837E-4</v>
      </c>
      <c r="AD266">
        <v>9.2113094774946995E-11</v>
      </c>
      <c r="AE266">
        <v>1.445716898543285E-3</v>
      </c>
      <c r="AF266">
        <v>3.2851427700485575E-2</v>
      </c>
      <c r="AG266">
        <v>0.97683696655370633</v>
      </c>
      <c r="AH266">
        <v>0.97846987882192471</v>
      </c>
      <c r="AI266">
        <v>48.92349394109624</v>
      </c>
      <c r="AJ266"/>
      <c r="AK266"/>
      <c r="AL266"/>
      <c r="AM266"/>
      <c r="AN266"/>
      <c r="AO266"/>
      <c r="AP266"/>
      <c r="AQ266"/>
      <c r="AR266"/>
    </row>
    <row r="267" spans="1:44" ht="15" customHeight="1" x14ac:dyDescent="0.3">
      <c r="A267" s="2">
        <v>2.66</v>
      </c>
      <c r="B267" s="1">
        <f t="shared" si="68"/>
        <v>2.1877616239495499E-3</v>
      </c>
      <c r="C267" s="1">
        <f t="shared" si="69"/>
        <v>4.616590715110243E-12</v>
      </c>
      <c r="D267" s="1">
        <f t="shared" si="70"/>
        <v>2.261929552698624E-2</v>
      </c>
      <c r="E267" s="1">
        <f t="shared" si="71"/>
        <v>-4.3654925449770703E-4</v>
      </c>
      <c r="F267" s="1">
        <f t="shared" si="72"/>
        <v>2.4541065039734974E-4</v>
      </c>
      <c r="G267" s="1">
        <f t="shared" si="73"/>
        <v>-0.10680600943469717</v>
      </c>
      <c r="H267" s="1">
        <f t="shared" si="81"/>
        <v>-1.0680600943469716</v>
      </c>
      <c r="J267" s="2">
        <v>6.65</v>
      </c>
      <c r="K267" s="1">
        <v>2.2387211385683346E-7</v>
      </c>
      <c r="L267" s="1">
        <v>4.511504280724737E-8</v>
      </c>
      <c r="M267" s="1">
        <v>5.1566884036213989E-3</v>
      </c>
      <c r="N267" s="1">
        <v>2.4738852660631003E-3</v>
      </c>
      <c r="O267" s="1">
        <v>0.70578135971200284</v>
      </c>
      <c r="P267" s="1">
        <v>0.7057711602425959</v>
      </c>
      <c r="Q267" s="2">
        <v>7.0577116024259583</v>
      </c>
      <c r="S267" s="2">
        <v>2.66</v>
      </c>
      <c r="T267" s="1">
        <f t="shared" si="74"/>
        <v>2.1877616239495499E-3</v>
      </c>
      <c r="U267" s="1">
        <f t="shared" si="75"/>
        <v>4.616590715110243E-12</v>
      </c>
      <c r="V267" s="1">
        <f t="shared" si="76"/>
        <v>-2.1094617024078272E-3</v>
      </c>
      <c r="W267" s="1">
        <f t="shared" si="77"/>
        <v>3.4036487234135944E-2</v>
      </c>
      <c r="X267" s="1">
        <f t="shared" si="78"/>
        <v>0.99881298139468311</v>
      </c>
      <c r="Y267" s="1">
        <f t="shared" si="79"/>
        <v>1.0319792202379414</v>
      </c>
      <c r="Z267" s="1">
        <f t="shared" si="80"/>
        <v>51.598961011897067</v>
      </c>
      <c r="AB267">
        <v>3.97</v>
      </c>
      <c r="AC267">
        <v>1.0715193052376051E-4</v>
      </c>
      <c r="AD267">
        <v>9.4258684380496202E-11</v>
      </c>
      <c r="AE267">
        <v>1.4838850246634901E-3</v>
      </c>
      <c r="AF267">
        <v>3.2838704991778836E-2</v>
      </c>
      <c r="AG267">
        <v>0.97631021169657595</v>
      </c>
      <c r="AH267">
        <v>0.97790565199075075</v>
      </c>
      <c r="AI267">
        <v>48.895282599537538</v>
      </c>
      <c r="AJ267"/>
      <c r="AK267"/>
      <c r="AL267"/>
      <c r="AM267"/>
      <c r="AN267"/>
      <c r="AO267"/>
      <c r="AP267"/>
      <c r="AQ267"/>
      <c r="AR267"/>
    </row>
    <row r="268" spans="1:44" ht="15" customHeight="1" x14ac:dyDescent="0.3">
      <c r="A268" s="2">
        <v>2.67</v>
      </c>
      <c r="B268" s="1">
        <f t="shared" si="68"/>
        <v>2.1379620895022318E-3</v>
      </c>
      <c r="C268" s="1">
        <f t="shared" si="69"/>
        <v>4.7241249270007018E-12</v>
      </c>
      <c r="D268" s="1">
        <f t="shared" si="70"/>
        <v>2.2559398942115262E-2</v>
      </c>
      <c r="E268" s="1">
        <f t="shared" si="71"/>
        <v>-4.2656649035254396E-4</v>
      </c>
      <c r="F268" s="1">
        <f t="shared" si="72"/>
        <v>2.5112556326146172E-4</v>
      </c>
      <c r="G268" s="1">
        <f t="shared" si="73"/>
        <v>-0.10441463340253759</v>
      </c>
      <c r="H268" s="1">
        <f t="shared" si="81"/>
        <v>-1.0441463340253758</v>
      </c>
      <c r="J268" s="2">
        <v>6.66</v>
      </c>
      <c r="K268" s="1">
        <v>2.1877616239495479E-7</v>
      </c>
      <c r="L268" s="1">
        <v>4.616590715110247E-8</v>
      </c>
      <c r="M268" s="1">
        <v>5.0690537780742782E-3</v>
      </c>
      <c r="N268" s="1">
        <v>2.4884910369876202E-3</v>
      </c>
      <c r="O268" s="1">
        <v>0.7105400123698381</v>
      </c>
      <c r="P268" s="1">
        <v>0.71053015540916098</v>
      </c>
      <c r="Q268" s="2">
        <v>7.1053015540916098</v>
      </c>
      <c r="S268" s="2">
        <v>2.67</v>
      </c>
      <c r="T268" s="1">
        <f t="shared" si="74"/>
        <v>2.1379620895022318E-3</v>
      </c>
      <c r="U268" s="1">
        <f t="shared" si="75"/>
        <v>4.7241249270007018E-12</v>
      </c>
      <c r="V268" s="1">
        <f t="shared" si="76"/>
        <v>-2.0578196350491585E-3</v>
      </c>
      <c r="W268" s="1">
        <f t="shared" si="77"/>
        <v>3.4019273211683049E-2</v>
      </c>
      <c r="X268" s="1">
        <f t="shared" si="78"/>
        <v>0.9987853657631558</v>
      </c>
      <c r="Y268" s="1">
        <f t="shared" si="79"/>
        <v>1.0311881929044395</v>
      </c>
      <c r="Z268" s="1">
        <f t="shared" si="80"/>
        <v>51.559409645221983</v>
      </c>
      <c r="AB268">
        <v>3.98</v>
      </c>
      <c r="AC268">
        <v>1.0471285480508985E-4</v>
      </c>
      <c r="AD268">
        <v>9.6454251188165112E-11</v>
      </c>
      <c r="AE268">
        <v>1.5228004979323279E-3</v>
      </c>
      <c r="AF268">
        <v>3.2825733167355889E-2</v>
      </c>
      <c r="AG268">
        <v>0.97577177492181788</v>
      </c>
      <c r="AH268">
        <v>0.9773305974187082</v>
      </c>
      <c r="AI268">
        <v>48.866529870935409</v>
      </c>
      <c r="AJ268"/>
      <c r="AK268"/>
      <c r="AL268"/>
      <c r="AM268"/>
      <c r="AN268"/>
      <c r="AO268"/>
      <c r="AP268"/>
      <c r="AQ268"/>
      <c r="AR268"/>
    </row>
    <row r="269" spans="1:44" ht="15" customHeight="1" x14ac:dyDescent="0.3">
      <c r="A269" s="2">
        <v>2.68</v>
      </c>
      <c r="B269" s="1">
        <f t="shared" si="68"/>
        <v>2.0892961308540373E-3</v>
      </c>
      <c r="C269" s="1">
        <f t="shared" si="69"/>
        <v>4.834163932458652E-12</v>
      </c>
      <c r="D269" s="1">
        <f t="shared" si="70"/>
        <v>2.2500859455667582E-2</v>
      </c>
      <c r="E269" s="1">
        <f t="shared" si="71"/>
        <v>-4.1680990927792972E-4</v>
      </c>
      <c r="F269" s="1">
        <f t="shared" si="72"/>
        <v>2.5697352591015822E-4</v>
      </c>
      <c r="G269" s="1">
        <f t="shared" si="73"/>
        <v>-0.10207517999384431</v>
      </c>
      <c r="H269" s="1">
        <f t="shared" si="81"/>
        <v>-1.020751799938443</v>
      </c>
      <c r="J269" s="2">
        <v>6.67</v>
      </c>
      <c r="K269" s="1">
        <v>2.1379620895022279E-7</v>
      </c>
      <c r="L269" s="1">
        <v>4.7241249270007107E-8</v>
      </c>
      <c r="M269" s="1">
        <v>4.9824085592033831E-3</v>
      </c>
      <c r="N269" s="1">
        <v>2.5029319067994362E-3</v>
      </c>
      <c r="O269" s="1">
        <v>0.71525275104919883</v>
      </c>
      <c r="P269" s="1">
        <v>0.715243232028138</v>
      </c>
      <c r="Q269" s="2">
        <v>7.1524323202813793</v>
      </c>
      <c r="S269" s="2">
        <v>2.68</v>
      </c>
      <c r="T269" s="1">
        <f t="shared" si="74"/>
        <v>2.0892961308540373E-3</v>
      </c>
      <c r="U269" s="1">
        <f t="shared" si="75"/>
        <v>4.834163932458652E-12</v>
      </c>
      <c r="V269" s="1">
        <f t="shared" si="76"/>
        <v>-2.0072682957277825E-3</v>
      </c>
      <c r="W269" s="1">
        <f t="shared" si="77"/>
        <v>3.4002422765242596E-2</v>
      </c>
      <c r="X269" s="1">
        <f t="shared" si="78"/>
        <v>0.9987571084617195</v>
      </c>
      <c r="Y269" s="1">
        <f t="shared" si="79"/>
        <v>1.030414272460151</v>
      </c>
      <c r="Z269" s="1">
        <f t="shared" si="80"/>
        <v>51.520713623007559</v>
      </c>
      <c r="AB269">
        <v>3.99</v>
      </c>
      <c r="AC269">
        <v>1.0232929922807532E-4</v>
      </c>
      <c r="AD269">
        <v>9.8700959316536969E-11</v>
      </c>
      <c r="AE269">
        <v>1.5624821132167951E-3</v>
      </c>
      <c r="AF269">
        <v>3.2812505962261068E-2</v>
      </c>
      <c r="AG269">
        <v>0.9752214108058741</v>
      </c>
      <c r="AH269">
        <v>0.97674445020468892</v>
      </c>
      <c r="AI269">
        <v>48.837222510234447</v>
      </c>
      <c r="AJ269"/>
      <c r="AK269"/>
      <c r="AL269"/>
      <c r="AM269"/>
      <c r="AN269"/>
      <c r="AO269"/>
      <c r="AP269"/>
      <c r="AQ269"/>
      <c r="AR269"/>
    </row>
    <row r="270" spans="1:44" ht="15" customHeight="1" x14ac:dyDescent="0.3">
      <c r="A270" s="2">
        <v>2.69</v>
      </c>
      <c r="B270" s="1">
        <f t="shared" si="68"/>
        <v>2.0417379446695293E-3</v>
      </c>
      <c r="C270" s="1">
        <f t="shared" si="69"/>
        <v>4.946766075621306E-12</v>
      </c>
      <c r="D270" s="1">
        <f t="shared" si="70"/>
        <v>2.24436460293687E-2</v>
      </c>
      <c r="E270" s="1">
        <f t="shared" si="71"/>
        <v>-4.072743382281169E-4</v>
      </c>
      <c r="F270" s="1">
        <f t="shared" si="72"/>
        <v>2.6295763428466968E-4</v>
      </c>
      <c r="G270" s="1">
        <f t="shared" si="73"/>
        <v>-9.9786559311643708E-2</v>
      </c>
      <c r="H270" s="1">
        <f t="shared" si="81"/>
        <v>-0.99786559311643708</v>
      </c>
      <c r="J270" s="2">
        <v>6.68</v>
      </c>
      <c r="K270" s="1">
        <v>2.089296130854039E-7</v>
      </c>
      <c r="L270" s="1">
        <v>4.8341639324586477E-8</v>
      </c>
      <c r="M270" s="1">
        <v>4.8967586610939107E-3</v>
      </c>
      <c r="N270" s="1">
        <v>2.5172068898176815E-3</v>
      </c>
      <c r="O270" s="1">
        <v>0.71991900594715186</v>
      </c>
      <c r="P270" s="1">
        <v>0.71990982045987018</v>
      </c>
      <c r="Q270" s="2">
        <v>7.1990982045987018</v>
      </c>
      <c r="S270" s="2">
        <v>2.69</v>
      </c>
      <c r="T270" s="1">
        <f t="shared" si="74"/>
        <v>2.0417379446695293E-3</v>
      </c>
      <c r="U270" s="1">
        <f t="shared" si="75"/>
        <v>4.946766075621306E-12</v>
      </c>
      <c r="V270" s="1">
        <f t="shared" si="76"/>
        <v>-1.9577808863666638E-3</v>
      </c>
      <c r="W270" s="1">
        <f t="shared" si="77"/>
        <v>3.3985926962122222E-2</v>
      </c>
      <c r="X270" s="1">
        <f t="shared" si="78"/>
        <v>0.99872819461832152</v>
      </c>
      <c r="Y270" s="1">
        <f t="shared" si="79"/>
        <v>1.0296570230599666</v>
      </c>
      <c r="Z270" s="1">
        <f t="shared" si="80"/>
        <v>51.482851152998329</v>
      </c>
      <c r="AB270">
        <v>4</v>
      </c>
      <c r="AC270">
        <v>1E-4</v>
      </c>
      <c r="AD270">
        <v>1.0099999999999999E-10</v>
      </c>
      <c r="AE270">
        <v>1.6029489878368127E-3</v>
      </c>
      <c r="AF270">
        <v>3.2799017004054395E-2</v>
      </c>
      <c r="AG270">
        <v>0.97465886939571156</v>
      </c>
      <c r="AH270">
        <v>0.97614694136343916</v>
      </c>
      <c r="AI270">
        <v>48.807347068171957</v>
      </c>
      <c r="AJ270"/>
      <c r="AK270"/>
      <c r="AL270"/>
      <c r="AM270"/>
      <c r="AN270"/>
      <c r="AO270"/>
      <c r="AP270"/>
      <c r="AQ270"/>
      <c r="AR270"/>
    </row>
    <row r="271" spans="1:44" ht="15" customHeight="1" x14ac:dyDescent="0.3">
      <c r="A271" s="2">
        <v>2.7</v>
      </c>
      <c r="B271" s="1">
        <f t="shared" si="68"/>
        <v>1.9952623149688781E-3</v>
      </c>
      <c r="C271" s="1">
        <f t="shared" si="69"/>
        <v>5.0619910596354535E-12</v>
      </c>
      <c r="D271" s="1">
        <f t="shared" si="70"/>
        <v>2.238772832804518E-2</v>
      </c>
      <c r="E271" s="1">
        <f t="shared" si="71"/>
        <v>-3.9795472134086313E-4</v>
      </c>
      <c r="F271" s="1">
        <f t="shared" si="72"/>
        <v>2.6908105628988346E-4</v>
      </c>
      <c r="G271" s="1">
        <f t="shared" si="73"/>
        <v>-9.7547701908690054E-2</v>
      </c>
      <c r="H271" s="1">
        <f t="shared" si="81"/>
        <v>-0.97547701908690054</v>
      </c>
      <c r="J271" s="2">
        <v>6.69</v>
      </c>
      <c r="K271" s="1">
        <v>2.0417379446695257E-7</v>
      </c>
      <c r="L271" s="1">
        <v>4.9467660756213149E-8</v>
      </c>
      <c r="M271" s="1">
        <v>4.8121093412191139E-3</v>
      </c>
      <c r="N271" s="1">
        <v>2.5313151097968141E-3</v>
      </c>
      <c r="O271" s="1">
        <v>0.72453824284253632</v>
      </c>
      <c r="P271" s="1">
        <v>0.72452938664444921</v>
      </c>
      <c r="Q271" s="2">
        <v>7.2452938664444915</v>
      </c>
      <c r="S271" s="2">
        <v>2.7</v>
      </c>
      <c r="T271" s="1">
        <f t="shared" si="74"/>
        <v>1.9952623149688781E-3</v>
      </c>
      <c r="U271" s="1">
        <f t="shared" si="75"/>
        <v>5.0619910596354535E-12</v>
      </c>
      <c r="V271" s="1">
        <f t="shared" si="76"/>
        <v>-1.9093311732296609E-3</v>
      </c>
      <c r="W271" s="1">
        <f t="shared" si="77"/>
        <v>3.396977705774322E-2</v>
      </c>
      <c r="X271" s="1">
        <f t="shared" si="78"/>
        <v>0.99869860901798901</v>
      </c>
      <c r="Y271" s="1">
        <f t="shared" si="79"/>
        <v>1.0289160188797084</v>
      </c>
      <c r="Z271" s="1">
        <f t="shared" si="80"/>
        <v>51.445800943985425</v>
      </c>
      <c r="AB271">
        <v>4.01</v>
      </c>
      <c r="AC271">
        <v>9.7723722095581001E-5</v>
      </c>
      <c r="AD271">
        <v>1.0335259222035623E-10</v>
      </c>
      <c r="AE271">
        <v>1.6442205679542458E-3</v>
      </c>
      <c r="AF271">
        <v>3.2785259810681922E-2</v>
      </c>
      <c r="AG271">
        <v>0.97408389615446178</v>
      </c>
      <c r="AH271">
        <v>0.97553779776098049</v>
      </c>
      <c r="AI271">
        <v>48.776889888049027</v>
      </c>
      <c r="AJ271"/>
      <c r="AK271"/>
      <c r="AL271"/>
      <c r="AM271"/>
      <c r="AN271"/>
      <c r="AO271"/>
      <c r="AP271"/>
      <c r="AQ271"/>
      <c r="AR271"/>
    </row>
    <row r="272" spans="1:44" ht="15" customHeight="1" x14ac:dyDescent="0.3">
      <c r="A272" s="2">
        <v>2.71</v>
      </c>
      <c r="B272" s="1">
        <f t="shared" si="68"/>
        <v>1.9498445997580441E-3</v>
      </c>
      <c r="C272" s="1">
        <f t="shared" si="69"/>
        <v>5.1798999783127878E-12</v>
      </c>
      <c r="D272" s="1">
        <f t="shared" si="70"/>
        <v>2.2333076703540816E-2</v>
      </c>
      <c r="E272" s="1">
        <f t="shared" si="71"/>
        <v>-3.8884611725680267E-4</v>
      </c>
      <c r="F272" s="1">
        <f t="shared" si="72"/>
        <v>2.7534703346352221E-4</v>
      </c>
      <c r="G272" s="1">
        <f t="shared" si="73"/>
        <v>-9.5357558495595629E-2</v>
      </c>
      <c r="H272" s="1">
        <f t="shared" si="81"/>
        <v>-0.95357558495595629</v>
      </c>
      <c r="J272" s="2">
        <v>6.7</v>
      </c>
      <c r="K272" s="1">
        <v>1.9952623149688761E-7</v>
      </c>
      <c r="L272" s="1">
        <v>5.0619910596354589E-8</v>
      </c>
      <c r="M272" s="1">
        <v>4.7284652107546891E-3</v>
      </c>
      <c r="N272" s="1">
        <v>2.5452557982075519E-3</v>
      </c>
      <c r="O272" s="1">
        <v>0.72910996289775287</v>
      </c>
      <c r="P272" s="1">
        <v>0.72910143190359</v>
      </c>
      <c r="Q272" s="2">
        <v>7.2910143190358996</v>
      </c>
      <c r="S272" s="2">
        <v>2.71</v>
      </c>
      <c r="T272" s="1">
        <f t="shared" si="74"/>
        <v>1.9498445997580441E-3</v>
      </c>
      <c r="U272" s="1">
        <f t="shared" si="75"/>
        <v>5.1798999783127878E-12</v>
      </c>
      <c r="V272" s="1">
        <f t="shared" si="76"/>
        <v>-1.8618934730228181E-3</v>
      </c>
      <c r="W272" s="1">
        <f t="shared" si="77"/>
        <v>3.3953964491007606E-2</v>
      </c>
      <c r="X272" s="1">
        <f t="shared" si="78"/>
        <v>0.99866833609500516</v>
      </c>
      <c r="Y272" s="1">
        <f t="shared" si="79"/>
        <v>1.0281908438360288</v>
      </c>
      <c r="Z272" s="1">
        <f t="shared" si="80"/>
        <v>51.409542191801435</v>
      </c>
      <c r="AB272">
        <v>4.0199999999999996</v>
      </c>
      <c r="AC272">
        <v>9.5499258602143526E-5</v>
      </c>
      <c r="AD272">
        <v>1.0575998335314092E-10</v>
      </c>
      <c r="AE272">
        <v>1.6863166349734855E-3</v>
      </c>
      <c r="AF272">
        <v>3.2771227788342169E-2</v>
      </c>
      <c r="AG272">
        <v>0.97349623190788126</v>
      </c>
      <c r="AH272">
        <v>0.97491674205109047</v>
      </c>
      <c r="AI272">
        <v>48.745837102554525</v>
      </c>
      <c r="AJ272"/>
      <c r="AK272"/>
      <c r="AL272"/>
      <c r="AM272"/>
      <c r="AN272"/>
      <c r="AO272"/>
      <c r="AP272"/>
      <c r="AQ272"/>
      <c r="AR272"/>
    </row>
    <row r="273" spans="1:44" ht="15" customHeight="1" x14ac:dyDescent="0.3">
      <c r="A273" s="2">
        <v>2.72</v>
      </c>
      <c r="B273" s="1">
        <f t="shared" si="68"/>
        <v>1.905460717963246E-3</v>
      </c>
      <c r="C273" s="1">
        <f t="shared" si="69"/>
        <v>5.3005553485227058E-12</v>
      </c>
      <c r="D273" s="1">
        <f t="shared" si="70"/>
        <v>2.2279662178997125E-2</v>
      </c>
      <c r="E273" s="1">
        <f t="shared" si="71"/>
        <v>-3.7994369649952092E-4</v>
      </c>
      <c r="F273" s="1">
        <f t="shared" si="72"/>
        <v>2.8175888268387657E-4</v>
      </c>
      <c r="G273" s="1">
        <f t="shared" si="73"/>
        <v>-9.3215099648381372E-2</v>
      </c>
      <c r="H273" s="1">
        <f t="shared" si="81"/>
        <v>-0.93215099648381372</v>
      </c>
      <c r="J273" s="2">
        <v>6.71</v>
      </c>
      <c r="K273" s="1">
        <v>1.9498445997580421E-7</v>
      </c>
      <c r="L273" s="1">
        <v>5.1798999783127934E-8</v>
      </c>
      <c r="M273" s="1">
        <v>4.6458302455153798E-3</v>
      </c>
      <c r="N273" s="1">
        <v>2.5590282924141034E-3</v>
      </c>
      <c r="O273" s="1">
        <v>0.73363370241380765</v>
      </c>
      <c r="P273" s="1">
        <v>0.73362549269576016</v>
      </c>
      <c r="Q273" s="2">
        <v>7.3362549269576016</v>
      </c>
      <c r="S273" s="2">
        <v>2.72</v>
      </c>
      <c r="T273" s="1">
        <f t="shared" si="74"/>
        <v>1.905460717963246E-3</v>
      </c>
      <c r="U273" s="1">
        <f t="shared" si="75"/>
        <v>5.3005553485227058E-12</v>
      </c>
      <c r="V273" s="1">
        <f t="shared" si="76"/>
        <v>-1.8154426392881977E-3</v>
      </c>
      <c r="W273" s="1">
        <f t="shared" si="77"/>
        <v>3.3938480879762728E-2</v>
      </c>
      <c r="X273" s="1">
        <f t="shared" si="78"/>
        <v>0.99863735992491087</v>
      </c>
      <c r="Y273" s="1">
        <f t="shared" si="79"/>
        <v>1.0274810913140513</v>
      </c>
      <c r="Z273" s="1">
        <f t="shared" si="80"/>
        <v>51.374054565702572</v>
      </c>
      <c r="AB273">
        <v>4.03</v>
      </c>
      <c r="AC273">
        <v>9.3325430079699046E-5</v>
      </c>
      <c r="AD273">
        <v>1.0822344982899831E-10</v>
      </c>
      <c r="AE273">
        <v>1.7292573119503673E-3</v>
      </c>
      <c r="AF273">
        <v>3.2756914229349877E-2</v>
      </c>
      <c r="AG273">
        <v>0.97289561279172998</v>
      </c>
      <c r="AH273">
        <v>0.97428349261292913</v>
      </c>
      <c r="AI273">
        <v>48.714174630646454</v>
      </c>
      <c r="AJ273"/>
      <c r="AK273"/>
      <c r="AL273"/>
      <c r="AM273"/>
      <c r="AN273"/>
      <c r="AO273"/>
      <c r="AP273"/>
      <c r="AQ273"/>
      <c r="AR273"/>
    </row>
    <row r="274" spans="1:44" ht="15" customHeight="1" x14ac:dyDescent="0.3">
      <c r="A274" s="2">
        <v>2.73</v>
      </c>
      <c r="B274" s="1">
        <f t="shared" si="68"/>
        <v>1.8620871366628665E-3</v>
      </c>
      <c r="C274" s="1">
        <f t="shared" si="69"/>
        <v>5.424021143339555E-12</v>
      </c>
      <c r="D274" s="1">
        <f t="shared" si="70"/>
        <v>2.2227456433489758E-2</v>
      </c>
      <c r="E274" s="1">
        <f t="shared" si="71"/>
        <v>-3.7124273891495909E-4</v>
      </c>
      <c r="F274" s="1">
        <f t="shared" si="72"/>
        <v>2.8831999791696319E-4</v>
      </c>
      <c r="G274" s="1">
        <f t="shared" si="73"/>
        <v>-9.1119315515733892E-2</v>
      </c>
      <c r="H274" s="1">
        <f t="shared" si="81"/>
        <v>-0.9111931551573389</v>
      </c>
      <c r="J274" s="2">
        <v>6.72</v>
      </c>
      <c r="K274" s="1">
        <v>1.9054607179632443E-7</v>
      </c>
      <c r="L274" s="1">
        <v>5.300555348522711E-8</v>
      </c>
      <c r="M274" s="1">
        <v>4.5642077974724325E-3</v>
      </c>
      <c r="N274" s="1">
        <v>2.5726320337545946E-3</v>
      </c>
      <c r="O274" s="1">
        <v>0.73810903254041882</v>
      </c>
      <c r="P274" s="1">
        <v>0.73810114032636931</v>
      </c>
      <c r="Q274" s="2">
        <v>7.3810114032636926</v>
      </c>
      <c r="S274" s="2">
        <v>2.73</v>
      </c>
      <c r="T274" s="1">
        <f t="shared" si="74"/>
        <v>1.8620871366628665E-3</v>
      </c>
      <c r="U274" s="1">
        <f t="shared" si="75"/>
        <v>5.424021143339555E-12</v>
      </c>
      <c r="V274" s="1">
        <f t="shared" si="76"/>
        <v>-1.7699540490828303E-3</v>
      </c>
      <c r="W274" s="1">
        <f t="shared" si="77"/>
        <v>3.3923318016360948E-2</v>
      </c>
      <c r="X274" s="1">
        <f t="shared" si="78"/>
        <v>0.99860566421632901</v>
      </c>
      <c r="Y274" s="1">
        <f t="shared" si="79"/>
        <v>1.0267863639024895</v>
      </c>
      <c r="Z274" s="1">
        <f t="shared" si="80"/>
        <v>51.339318195124477</v>
      </c>
      <c r="AB274">
        <v>4.04</v>
      </c>
      <c r="AC274">
        <v>9.1201083935590923E-5</v>
      </c>
      <c r="AD274">
        <v>1.1074429781046174E-10</v>
      </c>
      <c r="AE274">
        <v>1.7730630700054804E-3</v>
      </c>
      <c r="AF274">
        <v>3.2742312309998176E-2</v>
      </c>
      <c r="AG274">
        <v>0.97228177020016848</v>
      </c>
      <c r="AH274">
        <v>0.97363776348991182</v>
      </c>
      <c r="AI274">
        <v>48.681888174495583</v>
      </c>
      <c r="AJ274"/>
      <c r="AK274"/>
      <c r="AL274"/>
      <c r="AM274"/>
      <c r="AN274"/>
      <c r="AO274"/>
      <c r="AP274"/>
      <c r="AQ274"/>
      <c r="AR274"/>
    </row>
    <row r="275" spans="1:44" ht="15" customHeight="1" x14ac:dyDescent="0.3">
      <c r="A275" s="2">
        <v>2.74</v>
      </c>
      <c r="B275" s="1">
        <f t="shared" si="68"/>
        <v>1.8197008586099809E-3</v>
      </c>
      <c r="C275" s="1">
        <f t="shared" si="69"/>
        <v>5.5503628259620149E-12</v>
      </c>
      <c r="D275" s="1">
        <f t="shared" si="70"/>
        <v>2.2176431787012695E-2</v>
      </c>
      <c r="E275" s="1">
        <f t="shared" si="71"/>
        <v>-3.6273863116878253E-4</v>
      </c>
      <c r="F275" s="1">
        <f t="shared" si="72"/>
        <v>2.9503385200401751E-4</v>
      </c>
      <c r="G275" s="1">
        <f t="shared" si="73"/>
        <v>-8.9069215526232495E-2</v>
      </c>
      <c r="H275" s="1">
        <f t="shared" si="81"/>
        <v>-0.89069215526232492</v>
      </c>
      <c r="J275" s="2">
        <v>6.73</v>
      </c>
      <c r="K275" s="1">
        <v>1.8620871366628614E-7</v>
      </c>
      <c r="L275" s="1">
        <v>5.4240211433395696E-8</v>
      </c>
      <c r="M275" s="1">
        <v>4.4836006068102114E-3</v>
      </c>
      <c r="N275" s="1">
        <v>2.5860665655316317E-3</v>
      </c>
      <c r="O275" s="1">
        <v>0.74253555894307033</v>
      </c>
      <c r="P275" s="1">
        <v>0.74252798061490399</v>
      </c>
      <c r="Q275" s="2">
        <v>7.4252798061490397</v>
      </c>
      <c r="S275" s="2">
        <v>2.74</v>
      </c>
      <c r="T275" s="1">
        <f t="shared" si="74"/>
        <v>1.8197008586099809E-3</v>
      </c>
      <c r="U275" s="1">
        <f t="shared" si="75"/>
        <v>5.5503628259620149E-12</v>
      </c>
      <c r="V275" s="1">
        <f t="shared" si="76"/>
        <v>-1.7254035899356521E-3</v>
      </c>
      <c r="W275" s="1">
        <f t="shared" si="77"/>
        <v>3.3908467863311885E-2</v>
      </c>
      <c r="X275" s="1">
        <f t="shared" si="78"/>
        <v>0.99857323230260497</v>
      </c>
      <c r="Y275" s="1">
        <f t="shared" si="79"/>
        <v>1.026106273135978</v>
      </c>
      <c r="Z275" s="1">
        <f t="shared" si="80"/>
        <v>51.305313656798901</v>
      </c>
      <c r="AB275">
        <v>4.05</v>
      </c>
      <c r="AC275">
        <v>8.912509381337452E-5</v>
      </c>
      <c r="AD275">
        <v>1.1332386388449834E-10</v>
      </c>
      <c r="AE275">
        <v>1.8177547347384524E-3</v>
      </c>
      <c r="AF275">
        <v>3.2727415088420517E-2</v>
      </c>
      <c r="AG275">
        <v>0.97165443073527946</v>
      </c>
      <c r="AH275">
        <v>0.9729792643299251</v>
      </c>
      <c r="AI275">
        <v>48.648963216496256</v>
      </c>
      <c r="AJ275"/>
      <c r="AK275"/>
      <c r="AL275"/>
      <c r="AM275"/>
      <c r="AN275"/>
      <c r="AO275"/>
      <c r="AP275"/>
      <c r="AQ275"/>
      <c r="AR275"/>
    </row>
    <row r="276" spans="1:44" ht="15" customHeight="1" x14ac:dyDescent="0.3">
      <c r="A276" s="2">
        <v>2.75</v>
      </c>
      <c r="B276" s="1">
        <f t="shared" si="68"/>
        <v>1.7782794100389223E-3</v>
      </c>
      <c r="C276" s="1">
        <f t="shared" si="69"/>
        <v>5.6796473844225267E-12</v>
      </c>
      <c r="D276" s="1">
        <f t="shared" si="70"/>
        <v>2.2126561185802359E-2</v>
      </c>
      <c r="E276" s="1">
        <f t="shared" si="71"/>
        <v>-3.5442686430039305E-4</v>
      </c>
      <c r="F276" s="1">
        <f t="shared" si="72"/>
        <v>3.0190399849023782E-4</v>
      </c>
      <c r="G276" s="1">
        <f t="shared" si="73"/>
        <v>-8.7063828095799142E-2</v>
      </c>
      <c r="H276" s="1">
        <f t="shared" si="81"/>
        <v>-0.87063828095799134</v>
      </c>
      <c r="J276" s="2">
        <v>6.74</v>
      </c>
      <c r="K276" s="1">
        <v>1.8197008586099811E-7</v>
      </c>
      <c r="L276" s="1">
        <v>5.550362825962015E-8</v>
      </c>
      <c r="M276" s="1">
        <v>4.4040108144805827E-3</v>
      </c>
      <c r="N276" s="1">
        <v>2.599331530919903E-3</v>
      </c>
      <c r="O276" s="1">
        <v>0.74691292142894339</v>
      </c>
      <c r="P276" s="1">
        <v>0.74690565352094174</v>
      </c>
      <c r="Q276" s="2">
        <v>7.4690565352094174</v>
      </c>
      <c r="S276" s="2">
        <v>2.75</v>
      </c>
      <c r="T276" s="1">
        <f t="shared" si="74"/>
        <v>1.7782794100389223E-3</v>
      </c>
      <c r="U276" s="1">
        <f t="shared" si="75"/>
        <v>5.6796473844225267E-12</v>
      </c>
      <c r="V276" s="1">
        <f t="shared" si="76"/>
        <v>-1.6817676470759716E-3</v>
      </c>
      <c r="W276" s="1">
        <f t="shared" si="77"/>
        <v>3.3893922549025325E-2</v>
      </c>
      <c r="X276" s="1">
        <f t="shared" si="78"/>
        <v>0.99854004713326261</v>
      </c>
      <c r="Y276" s="1">
        <f t="shared" si="79"/>
        <v>1.0254404392443826</v>
      </c>
      <c r="Z276" s="1">
        <f t="shared" si="80"/>
        <v>51.272021962219128</v>
      </c>
      <c r="AB276">
        <v>4.0599999999999996</v>
      </c>
      <c r="AC276">
        <v>8.7096358995608029E-5</v>
      </c>
      <c r="AD276">
        <v>1.159635157711852E-10</v>
      </c>
      <c r="AE276">
        <v>1.8633534926387413E-3</v>
      </c>
      <c r="AF276">
        <v>3.2712215502453755E-2</v>
      </c>
      <c r="AG276">
        <v>0.97101331615782416</v>
      </c>
      <c r="AH276">
        <v>0.97230770032699332</v>
      </c>
      <c r="AI276">
        <v>48.615385016349663</v>
      </c>
      <c r="AJ276"/>
      <c r="AK276"/>
      <c r="AL276"/>
      <c r="AM276"/>
      <c r="AN276"/>
      <c r="AO276"/>
      <c r="AP276"/>
      <c r="AQ276"/>
      <c r="AR276"/>
    </row>
    <row r="277" spans="1:44" ht="15" customHeight="1" x14ac:dyDescent="0.3">
      <c r="A277" s="2">
        <v>2.76</v>
      </c>
      <c r="B277" s="1">
        <f t="shared" si="68"/>
        <v>1.737800828749375E-3</v>
      </c>
      <c r="C277" s="1">
        <f t="shared" si="69"/>
        <v>5.8119433671052859E-12</v>
      </c>
      <c r="D277" s="1">
        <f t="shared" si="70"/>
        <v>2.2077818187993661E-2</v>
      </c>
      <c r="E277" s="1">
        <f t="shared" si="71"/>
        <v>-3.4630303133227662E-4</v>
      </c>
      <c r="F277" s="1">
        <f t="shared" si="72"/>
        <v>3.0893407349573177E-4</v>
      </c>
      <c r="G277" s="1">
        <f t="shared" si="73"/>
        <v>-8.510220033560581E-2</v>
      </c>
      <c r="H277" s="1">
        <f t="shared" si="81"/>
        <v>-0.85102200335605804</v>
      </c>
      <c r="J277" s="2">
        <v>6.75</v>
      </c>
      <c r="K277" s="1">
        <v>1.7782794100389206E-7</v>
      </c>
      <c r="L277" s="1">
        <v>5.6796473844225327E-8</v>
      </c>
      <c r="M277" s="1">
        <v>4.3254399752139438E-3</v>
      </c>
      <c r="N277" s="1">
        <v>2.6124266707976762E-3</v>
      </c>
      <c r="O277" s="1">
        <v>0.75124079353371087</v>
      </c>
      <c r="P277" s="1">
        <v>0.75123383273102329</v>
      </c>
      <c r="Q277" s="2">
        <v>7.5123383273102329</v>
      </c>
      <c r="S277" s="2">
        <v>2.76</v>
      </c>
      <c r="T277" s="1">
        <f t="shared" si="74"/>
        <v>1.737800828749375E-3</v>
      </c>
      <c r="U277" s="1">
        <f t="shared" si="75"/>
        <v>5.8119433671052859E-12</v>
      </c>
      <c r="V277" s="1">
        <f t="shared" si="76"/>
        <v>-1.6390230909260836E-3</v>
      </c>
      <c r="W277" s="1">
        <f t="shared" si="77"/>
        <v>3.3879674363642032E-2</v>
      </c>
      <c r="X277" s="1">
        <f t="shared" si="78"/>
        <v>0.99850609126527001</v>
      </c>
      <c r="Y277" s="1">
        <f t="shared" si="79"/>
        <v>1.0247884909088352</v>
      </c>
      <c r="Z277" s="1">
        <f t="shared" si="80"/>
        <v>51.239424545441757</v>
      </c>
      <c r="AB277">
        <v>4.07</v>
      </c>
      <c r="AC277">
        <v>8.5113803820237487E-5</v>
      </c>
      <c r="AD277">
        <v>1.1866465304889271E-10</v>
      </c>
      <c r="AE277">
        <v>1.9098808974886163E-3</v>
      </c>
      <c r="AF277">
        <v>3.269670636750379E-2</v>
      </c>
      <c r="AG277">
        <v>0.97035814333934833</v>
      </c>
      <c r="AH277">
        <v>0.9716227721645041</v>
      </c>
      <c r="AI277">
        <v>48.58113860822521</v>
      </c>
      <c r="AJ277"/>
      <c r="AK277"/>
      <c r="AL277"/>
      <c r="AM277"/>
      <c r="AN277"/>
      <c r="AO277"/>
      <c r="AP277"/>
      <c r="AQ277"/>
      <c r="AR277"/>
    </row>
    <row r="278" spans="1:44" ht="15" customHeight="1" x14ac:dyDescent="0.3">
      <c r="A278" s="2">
        <v>2.77</v>
      </c>
      <c r="B278" s="1">
        <f t="shared" si="68"/>
        <v>1.6982436524617425E-3</v>
      </c>
      <c r="C278" s="1">
        <f t="shared" si="69"/>
        <v>5.9473209190914544E-12</v>
      </c>
      <c r="D278" s="1">
        <f t="shared" si="70"/>
        <v>2.2030176949600622E-2</v>
      </c>
      <c r="E278" s="1">
        <f t="shared" si="71"/>
        <v>-3.3836282493343659E-4</v>
      </c>
      <c r="F278" s="1">
        <f t="shared" si="72"/>
        <v>3.1612779762961788E-4</v>
      </c>
      <c r="G278" s="1">
        <f t="shared" si="73"/>
        <v>-8.318339776066612E-2</v>
      </c>
      <c r="H278" s="1">
        <f t="shared" si="81"/>
        <v>-0.83183397760666111</v>
      </c>
      <c r="J278" s="2">
        <v>6.76</v>
      </c>
      <c r="K278" s="1">
        <v>1.7378008287493735E-7</v>
      </c>
      <c r="L278" s="1">
        <v>5.8119433671052907E-8</v>
      </c>
      <c r="M278" s="1">
        <v>4.247889070946342E-3</v>
      </c>
      <c r="N278" s="1">
        <v>2.6253518215089431E-3</v>
      </c>
      <c r="O278" s="1">
        <v>0.75551888207119688</v>
      </c>
      <c r="P278" s="1">
        <v>0.75551222520839212</v>
      </c>
      <c r="Q278" s="2">
        <v>7.5551222520839207</v>
      </c>
      <c r="S278" s="2">
        <v>2.77</v>
      </c>
      <c r="T278" s="1">
        <f t="shared" si="74"/>
        <v>1.6982436524617425E-3</v>
      </c>
      <c r="U278" s="1">
        <f t="shared" si="75"/>
        <v>5.9473209190914544E-12</v>
      </c>
      <c r="V278" s="1">
        <f t="shared" si="76"/>
        <v>-1.5971472648521469E-3</v>
      </c>
      <c r="W278" s="1">
        <f t="shared" si="77"/>
        <v>3.3865715754950711E-2</v>
      </c>
      <c r="X278" s="1">
        <f t="shared" si="78"/>
        <v>0.99847134685411165</v>
      </c>
      <c r="Y278" s="1">
        <f t="shared" si="79"/>
        <v>1.0241500650242799</v>
      </c>
      <c r="Z278" s="1">
        <f t="shared" si="80"/>
        <v>51.207503251213993</v>
      </c>
      <c r="AB278">
        <v>4.08</v>
      </c>
      <c r="AC278">
        <v>8.3176377110266955E-5</v>
      </c>
      <c r="AD278">
        <v>1.2142870789635891E-10</v>
      </c>
      <c r="AE278">
        <v>1.9573588767537505E-3</v>
      </c>
      <c r="AF278">
        <v>3.2680880374415418E-2</v>
      </c>
      <c r="AG278">
        <v>0.96968862421575985</v>
      </c>
      <c r="AH278">
        <v>0.97092417596011071</v>
      </c>
      <c r="AI278">
        <v>48.546208798005537</v>
      </c>
      <c r="AJ278"/>
      <c r="AK278"/>
      <c r="AL278"/>
      <c r="AM278"/>
      <c r="AN278"/>
      <c r="AO278"/>
      <c r="AP278"/>
      <c r="AQ278"/>
      <c r="AR278"/>
    </row>
    <row r="279" spans="1:44" ht="15" customHeight="1" x14ac:dyDescent="0.3">
      <c r="A279" s="2">
        <v>2.78</v>
      </c>
      <c r="B279" s="1">
        <f t="shared" si="68"/>
        <v>1.6595869074375606E-3</v>
      </c>
      <c r="C279" s="1">
        <f t="shared" si="69"/>
        <v>6.085851819351013E-12</v>
      </c>
      <c r="D279" s="1">
        <f t="shared" si="70"/>
        <v>2.1983612210813949E-2</v>
      </c>
      <c r="E279" s="1">
        <f t="shared" si="71"/>
        <v>-3.3060203513565788E-4</v>
      </c>
      <c r="F279" s="1">
        <f t="shared" si="72"/>
        <v>3.2348897794827735E-4</v>
      </c>
      <c r="G279" s="1">
        <f t="shared" si="73"/>
        <v>-8.1306503999317478E-2</v>
      </c>
      <c r="H279" s="1">
        <f t="shared" si="81"/>
        <v>-0.8130650399931747</v>
      </c>
      <c r="J279" s="2">
        <v>6.77</v>
      </c>
      <c r="K279" s="1">
        <v>1.6982436524617427E-7</v>
      </c>
      <c r="L279" s="1">
        <v>5.9473209190914539E-8</v>
      </c>
      <c r="M279" s="1">
        <v>4.1713585246223846E-3</v>
      </c>
      <c r="N279" s="1">
        <v>2.6381069125629352E-3</v>
      </c>
      <c r="O279" s="1">
        <v>0.75974692664795795</v>
      </c>
      <c r="P279" s="1">
        <v>0.75974057070765233</v>
      </c>
      <c r="Q279" s="2">
        <v>7.5974057070765229</v>
      </c>
      <c r="S279" s="2">
        <v>2.78</v>
      </c>
      <c r="T279" s="1">
        <f t="shared" si="74"/>
        <v>1.6595869074375606E-3</v>
      </c>
      <c r="U279" s="1">
        <f t="shared" si="75"/>
        <v>6.085851819351013E-12</v>
      </c>
      <c r="V279" s="1">
        <f t="shared" si="76"/>
        <v>-1.5561179731661844E-3</v>
      </c>
      <c r="W279" s="1">
        <f t="shared" si="77"/>
        <v>3.3852039324388725E-2</v>
      </c>
      <c r="X279" s="1">
        <f t="shared" si="78"/>
        <v>0.99843579564466178</v>
      </c>
      <c r="Y279" s="1">
        <f t="shared" si="79"/>
        <v>1.0235248064682956</v>
      </c>
      <c r="Z279" s="1">
        <f t="shared" si="80"/>
        <v>51.176240323414781</v>
      </c>
      <c r="AB279">
        <v>4.09</v>
      </c>
      <c r="AC279">
        <v>8.1283051616409918E-5</v>
      </c>
      <c r="AD279">
        <v>1.2425714585205054E-10</v>
      </c>
      <c r="AE279">
        <v>2.0058097379562776E-3</v>
      </c>
      <c r="AF279">
        <v>3.266473008734791E-2</v>
      </c>
      <c r="AG279">
        <v>0.96900446574250099</v>
      </c>
      <c r="AH279">
        <v>0.97021160321242883</v>
      </c>
      <c r="AI279">
        <v>48.510580160621444</v>
      </c>
      <c r="AJ279"/>
      <c r="AK279"/>
      <c r="AL279"/>
      <c r="AM279"/>
      <c r="AN279"/>
      <c r="AO279"/>
      <c r="AP279"/>
      <c r="AQ279"/>
      <c r="AR279"/>
    </row>
    <row r="280" spans="1:44" ht="15" customHeight="1" x14ac:dyDescent="0.3">
      <c r="A280" s="2">
        <v>2.79</v>
      </c>
      <c r="B280" s="1">
        <f t="shared" si="68"/>
        <v>1.6218100973589284E-3</v>
      </c>
      <c r="C280" s="1">
        <f t="shared" si="69"/>
        <v>6.2276095188009757E-12</v>
      </c>
      <c r="D280" s="1">
        <f t="shared" si="70"/>
        <v>2.1938099282608377E-2</v>
      </c>
      <c r="E280" s="1">
        <f t="shared" si="71"/>
        <v>-3.2301654710139606E-4</v>
      </c>
      <c r="F280" s="1">
        <f t="shared" si="72"/>
        <v>3.3102150995876372E-4</v>
      </c>
      <c r="G280" s="1">
        <f t="shared" si="73"/>
        <v>-7.9470620503792E-2</v>
      </c>
      <c r="H280" s="1">
        <f t="shared" si="81"/>
        <v>-0.79470620503792</v>
      </c>
      <c r="J280" s="2">
        <v>6.78</v>
      </c>
      <c r="K280" s="1">
        <v>1.6595869074375559E-7</v>
      </c>
      <c r="L280" s="1">
        <v>6.0858518193510303E-8</v>
      </c>
      <c r="M280" s="1">
        <v>4.0958482143345848E-3</v>
      </c>
      <c r="N280" s="1">
        <v>2.650691964277569E-3</v>
      </c>
      <c r="O280" s="1">
        <v>0.76392469914483896</v>
      </c>
      <c r="P280" s="1">
        <v>0.76391864125640141</v>
      </c>
      <c r="Q280" s="2">
        <v>7.6391864125640137</v>
      </c>
      <c r="S280" s="2">
        <v>2.79</v>
      </c>
      <c r="T280" s="1">
        <f t="shared" si="74"/>
        <v>1.6218100973589284E-3</v>
      </c>
      <c r="U280" s="1">
        <f t="shared" si="75"/>
        <v>6.2276095188009757E-12</v>
      </c>
      <c r="V280" s="1">
        <f t="shared" si="76"/>
        <v>-1.5159134693733317E-3</v>
      </c>
      <c r="W280" s="1">
        <f t="shared" si="77"/>
        <v>3.3838637823124441E-2</v>
      </c>
      <c r="X280" s="1">
        <f t="shared" si="78"/>
        <v>0.99839941896185747</v>
      </c>
      <c r="Y280" s="1">
        <f t="shared" si="79"/>
        <v>1.0229123678759922</v>
      </c>
      <c r="Z280" s="1">
        <f t="shared" si="80"/>
        <v>51.145618393799609</v>
      </c>
      <c r="AB280">
        <v>4.0999999999999996</v>
      </c>
      <c r="AC280">
        <v>7.9432823472428153E-5</v>
      </c>
      <c r="AD280">
        <v>1.2715146659121088E-10</v>
      </c>
      <c r="AE280">
        <v>2.0552561750251017E-3</v>
      </c>
      <c r="AF280">
        <v>3.2648247941658305E-2</v>
      </c>
      <c r="AG280">
        <v>0.96830536985144888</v>
      </c>
      <c r="AH280">
        <v>0.96948474074965729</v>
      </c>
      <c r="AI280">
        <v>48.474237037482858</v>
      </c>
      <c r="AJ280"/>
      <c r="AK280"/>
      <c r="AL280"/>
      <c r="AM280"/>
      <c r="AN280"/>
      <c r="AO280"/>
      <c r="AP280"/>
      <c r="AQ280"/>
      <c r="AR280"/>
    </row>
    <row r="281" spans="1:44" ht="15" customHeight="1" x14ac:dyDescent="0.3">
      <c r="A281" s="2">
        <v>2.8</v>
      </c>
      <c r="B281" s="1">
        <f t="shared" si="68"/>
        <v>1.5848931924611134E-3</v>
      </c>
      <c r="C281" s="1">
        <f t="shared" si="69"/>
        <v>6.3726691792499515E-12</v>
      </c>
      <c r="D281" s="1">
        <f t="shared" si="70"/>
        <v>2.1893614033652701E-2</v>
      </c>
      <c r="E281" s="1">
        <f t="shared" si="71"/>
        <v>-3.1560233894211695E-4</v>
      </c>
      <c r="F281" s="1">
        <f t="shared" si="72"/>
        <v>3.3872937966838908E-4</v>
      </c>
      <c r="G281" s="1">
        <f t="shared" si="73"/>
        <v>-7.7674866262063075E-2</v>
      </c>
      <c r="H281" s="1">
        <f t="shared" si="81"/>
        <v>-0.77674866262063069</v>
      </c>
      <c r="J281" s="2">
        <v>6.79</v>
      </c>
      <c r="K281" s="1">
        <v>1.6218100973589288E-7</v>
      </c>
      <c r="L281" s="1">
        <v>6.2276095188009744E-8</v>
      </c>
      <c r="M281" s="1">
        <v>4.0213574877603206E-3</v>
      </c>
      <c r="N281" s="1">
        <v>2.6631070853732797E-3</v>
      </c>
      <c r="O281" s="1">
        <v>0.76805200316758404</v>
      </c>
      <c r="P281" s="1">
        <v>0.76804624060591631</v>
      </c>
      <c r="Q281" s="2">
        <v>7.6804624060591626</v>
      </c>
      <c r="S281" s="2">
        <v>2.8</v>
      </c>
      <c r="T281" s="1">
        <f t="shared" si="74"/>
        <v>1.5848931924611134E-3</v>
      </c>
      <c r="U281" s="1">
        <f t="shared" si="75"/>
        <v>6.3726691792499515E-12</v>
      </c>
      <c r="V281" s="1">
        <f t="shared" si="76"/>
        <v>-1.4765124446580681E-3</v>
      </c>
      <c r="W281" s="1">
        <f t="shared" si="77"/>
        <v>3.382550414821936E-2</v>
      </c>
      <c r="X281" s="1">
        <f t="shared" si="78"/>
        <v>0.99836219770116363</v>
      </c>
      <c r="Y281" s="1">
        <f t="shared" si="79"/>
        <v>1.0223124094207714</v>
      </c>
      <c r="Z281" s="1">
        <f t="shared" si="80"/>
        <v>51.115620471038568</v>
      </c>
      <c r="AB281">
        <v>4.1100000000000003</v>
      </c>
      <c r="AC281">
        <v>7.7624711662869057E-5</v>
      </c>
      <c r="AD281">
        <v>1.3011320472100673E-10</v>
      </c>
      <c r="AE281">
        <v>2.1057212746175397E-3</v>
      </c>
      <c r="AF281">
        <v>3.2631426241794152E-2</v>
      </c>
      <c r="AG281">
        <v>0.96759103340967978</v>
      </c>
      <c r="AH281">
        <v>0.96874327068025445</v>
      </c>
      <c r="AI281">
        <v>48.437163534012733</v>
      </c>
      <c r="AJ281"/>
      <c r="AK281"/>
      <c r="AL281"/>
      <c r="AM281"/>
      <c r="AN281"/>
      <c r="AO281"/>
      <c r="AP281"/>
      <c r="AQ281"/>
      <c r="AR281"/>
    </row>
    <row r="282" spans="1:44" ht="15" customHeight="1" x14ac:dyDescent="0.3">
      <c r="A282" s="2">
        <v>2.81</v>
      </c>
      <c r="B282" s="1">
        <f t="shared" si="68"/>
        <v>1.5488166189124802E-3</v>
      </c>
      <c r="C282" s="1">
        <f t="shared" si="69"/>
        <v>6.5211077132500248E-12</v>
      </c>
      <c r="D282" s="1">
        <f t="shared" si="70"/>
        <v>2.1850132877515475E-2</v>
      </c>
      <c r="E282" s="1">
        <f t="shared" si="71"/>
        <v>-3.0835547958591255E-4</v>
      </c>
      <c r="F282" s="1">
        <f t="shared" si="72"/>
        <v>3.4661666568155887E-4</v>
      </c>
      <c r="G282" s="1">
        <f t="shared" si="73"/>
        <v>-7.59183775111366E-2</v>
      </c>
      <c r="H282" s="1">
        <f t="shared" si="81"/>
        <v>-0.75918377511136592</v>
      </c>
      <c r="J282" s="2">
        <v>6.8</v>
      </c>
      <c r="K282" s="1">
        <v>1.5848931924611122E-7</v>
      </c>
      <c r="L282" s="1">
        <v>6.3726691792499566E-8</v>
      </c>
      <c r="M282" s="1">
        <v>3.9478851768584636E-3</v>
      </c>
      <c r="N282" s="1">
        <v>2.6753524705235895E-3</v>
      </c>
      <c r="O282" s="1">
        <v>0.77212867346858394</v>
      </c>
      <c r="P282" s="1">
        <v>0.77212320365297626</v>
      </c>
      <c r="Q282" s="2">
        <v>7.721232036529762</v>
      </c>
      <c r="S282" s="2">
        <v>2.81</v>
      </c>
      <c r="T282" s="1">
        <f t="shared" si="74"/>
        <v>1.5488166189124802E-3</v>
      </c>
      <c r="U282" s="1">
        <f t="shared" si="75"/>
        <v>6.5211077132500248E-12</v>
      </c>
      <c r="V282" s="1">
        <f t="shared" si="76"/>
        <v>-1.4378940166030402E-3</v>
      </c>
      <c r="W282" s="1">
        <f t="shared" si="77"/>
        <v>3.381263133886768E-2</v>
      </c>
      <c r="X282" s="1">
        <f t="shared" si="78"/>
        <v>0.99832411231882867</v>
      </c>
      <c r="Y282" s="1">
        <f t="shared" si="79"/>
        <v>1.021724598600751</v>
      </c>
      <c r="Z282" s="1">
        <f t="shared" si="80"/>
        <v>51.086229930037561</v>
      </c>
      <c r="AB282">
        <v>4.12</v>
      </c>
      <c r="AC282">
        <v>7.5857757502918263E-5</v>
      </c>
      <c r="AD282">
        <v>1.3314393059419731E-10</v>
      </c>
      <c r="AE282">
        <v>2.1572285224069191E-3</v>
      </c>
      <c r="AF282">
        <v>3.2614257159197697E-2</v>
      </c>
      <c r="AG282">
        <v>0.96686114818023838</v>
      </c>
      <c r="AH282">
        <v>0.96798687034580388</v>
      </c>
      <c r="AI282">
        <v>48.399343517290191</v>
      </c>
      <c r="AJ282"/>
      <c r="AK282"/>
      <c r="AL282"/>
      <c r="AM282"/>
      <c r="AN282"/>
      <c r="AO282"/>
      <c r="AP282"/>
      <c r="AQ282"/>
      <c r="AR282"/>
    </row>
    <row r="283" spans="1:44" ht="15" customHeight="1" x14ac:dyDescent="0.3">
      <c r="A283" s="2">
        <v>2.82</v>
      </c>
      <c r="B283" s="1">
        <f t="shared" si="68"/>
        <v>1.5135612484362072E-3</v>
      </c>
      <c r="C283" s="1">
        <f t="shared" si="69"/>
        <v>6.6730038248767236E-12</v>
      </c>
      <c r="D283" s="1">
        <f t="shared" si="70"/>
        <v>2.1807632760159693E-2</v>
      </c>
      <c r="E283" s="1">
        <f t="shared" si="71"/>
        <v>-3.0127212669328249E-4</v>
      </c>
      <c r="F283" s="1">
        <f t="shared" si="72"/>
        <v>3.5468754134491195E-4</v>
      </c>
      <c r="G283" s="1">
        <f t="shared" si="73"/>
        <v>-7.4200307451953371E-2</v>
      </c>
      <c r="H283" s="1">
        <f t="shared" si="81"/>
        <v>-0.74200307451953362</v>
      </c>
      <c r="J283" s="2">
        <v>6.81</v>
      </c>
      <c r="K283" s="1">
        <v>1.5488166189124805E-7</v>
      </c>
      <c r="L283" s="1">
        <v>6.5211077132500241E-8</v>
      </c>
      <c r="M283" s="1">
        <v>3.8754296127888402E-3</v>
      </c>
      <c r="N283" s="1">
        <v>2.6874283978685267E-3</v>
      </c>
      <c r="O283" s="1">
        <v>0.77615457534183074</v>
      </c>
      <c r="P283" s="1">
        <v>0.77614939583489095</v>
      </c>
      <c r="Q283" s="2">
        <v>7.7614939583489093</v>
      </c>
      <c r="S283" s="2">
        <v>2.82</v>
      </c>
      <c r="T283" s="1">
        <f t="shared" si="74"/>
        <v>1.5135612484362072E-3</v>
      </c>
      <c r="U283" s="1">
        <f t="shared" si="75"/>
        <v>6.6730038248767236E-12</v>
      </c>
      <c r="V283" s="1">
        <f t="shared" si="76"/>
        <v>-1.4000377181350519E-3</v>
      </c>
      <c r="W283" s="1">
        <f t="shared" si="77"/>
        <v>3.3800012572711681E-2</v>
      </c>
      <c r="X283" s="1">
        <f t="shared" si="78"/>
        <v>0.99828514282192504</v>
      </c>
      <c r="Y283" s="1">
        <f t="shared" si="79"/>
        <v>1.021148610030671</v>
      </c>
      <c r="Z283" s="1">
        <f t="shared" si="80"/>
        <v>51.057430501533553</v>
      </c>
      <c r="AB283">
        <v>4.13</v>
      </c>
      <c r="AC283">
        <v>7.4131024130091641E-5</v>
      </c>
      <c r="AD283">
        <v>1.362452511417572E-10</v>
      </c>
      <c r="AE283">
        <v>2.2098018093289745E-3</v>
      </c>
      <c r="AF283">
        <v>3.2596732730223676E-2</v>
      </c>
      <c r="AG283">
        <v>0.96611540078506064</v>
      </c>
      <c r="AH283">
        <v>0.96721521227621776</v>
      </c>
      <c r="AI283">
        <v>48.360760613810889</v>
      </c>
      <c r="AJ283"/>
      <c r="AK283"/>
      <c r="AL283"/>
      <c r="AM283"/>
      <c r="AN283"/>
      <c r="AO283"/>
      <c r="AP283"/>
      <c r="AQ283"/>
      <c r="AR283"/>
    </row>
    <row r="284" spans="1:44" ht="15" customHeight="1" x14ac:dyDescent="0.3">
      <c r="A284" s="2">
        <v>2.83</v>
      </c>
      <c r="B284" s="1">
        <f t="shared" si="68"/>
        <v>1.4791083881682066E-3</v>
      </c>
      <c r="C284" s="1">
        <f t="shared" si="69"/>
        <v>6.8284380514590194E-12</v>
      </c>
      <c r="D284" s="1">
        <f t="shared" si="70"/>
        <v>2.1766091147719751E-2</v>
      </c>
      <c r="E284" s="1">
        <f t="shared" si="71"/>
        <v>-2.9434852461995923E-4</v>
      </c>
      <c r="F284" s="1">
        <f t="shared" si="72"/>
        <v>3.6294627694188322E-4</v>
      </c>
      <c r="G284" s="1">
        <f t="shared" si="73"/>
        <v>-7.2519825966049667E-2</v>
      </c>
      <c r="H284" s="1">
        <f t="shared" si="81"/>
        <v>-0.72519825966049667</v>
      </c>
      <c r="J284" s="2">
        <v>6.82</v>
      </c>
      <c r="K284" s="1">
        <v>1.5135612484362046E-7</v>
      </c>
      <c r="L284" s="1">
        <v>6.6730038248767351E-8</v>
      </c>
      <c r="M284" s="1">
        <v>3.8039886410183191E-3</v>
      </c>
      <c r="N284" s="1">
        <v>2.6993352264969468E-3</v>
      </c>
      <c r="O284" s="1">
        <v>0.78012960399315878</v>
      </c>
      <c r="P284" s="1">
        <v>0.7801247124998143</v>
      </c>
      <c r="Q284" s="2">
        <v>7.8012471249981425</v>
      </c>
      <c r="S284" s="2">
        <v>2.83</v>
      </c>
      <c r="T284" s="1">
        <f t="shared" si="74"/>
        <v>1.4791083881682066E-3</v>
      </c>
      <c r="U284" s="1">
        <f t="shared" si="75"/>
        <v>6.8284380514590194E-12</v>
      </c>
      <c r="V284" s="1">
        <f t="shared" si="76"/>
        <v>-1.3629234866918986E-3</v>
      </c>
      <c r="W284" s="1">
        <f t="shared" si="77"/>
        <v>3.3787641162230639E-2</v>
      </c>
      <c r="X284" s="1">
        <f t="shared" si="78"/>
        <v>0.99824526875817021</v>
      </c>
      <c r="Y284" s="1">
        <f t="shared" si="79"/>
        <v>1.0205841252390853</v>
      </c>
      <c r="Z284" s="1">
        <f t="shared" si="80"/>
        <v>51.029206261954258</v>
      </c>
      <c r="AB284">
        <v>4.1399999999999997</v>
      </c>
      <c r="AC284">
        <v>7.2443596007499048E-5</v>
      </c>
      <c r="AD284">
        <v>1.3941881072489127E-10</v>
      </c>
      <c r="AE284">
        <v>2.2634654377810945E-3</v>
      </c>
      <c r="AF284">
        <v>3.2578844854072968E-2</v>
      </c>
      <c r="AG284">
        <v>0.96535347267020388</v>
      </c>
      <c r="AH284">
        <v>0.96642796414742471</v>
      </c>
      <c r="AI284">
        <v>48.321398207371239</v>
      </c>
      <c r="AJ284"/>
      <c r="AK284"/>
      <c r="AL284"/>
      <c r="AM284"/>
      <c r="AN284"/>
      <c r="AO284"/>
      <c r="AP284"/>
      <c r="AQ284"/>
      <c r="AR284"/>
    </row>
    <row r="285" spans="1:44" ht="15" customHeight="1" x14ac:dyDescent="0.3">
      <c r="A285" s="2">
        <v>2.84</v>
      </c>
      <c r="B285" s="1">
        <f t="shared" si="68"/>
        <v>1.4454397707459271E-3</v>
      </c>
      <c r="C285" s="1">
        <f t="shared" si="69"/>
        <v>6.9874928062812599E-12</v>
      </c>
      <c r="D285" s="1">
        <f t="shared" si="70"/>
        <v>2.1725486014554252E-2</v>
      </c>
      <c r="E285" s="1">
        <f t="shared" si="71"/>
        <v>-2.8758100242570869E-4</v>
      </c>
      <c r="F285" s="1">
        <f t="shared" si="72"/>
        <v>3.71397241937803E-4</v>
      </c>
      <c r="G285" s="1">
        <f t="shared" si="73"/>
        <v>-7.0876119334119664E-2</v>
      </c>
      <c r="H285" s="1">
        <f t="shared" si="81"/>
        <v>-0.70876119334119658</v>
      </c>
      <c r="J285" s="2">
        <v>6.83</v>
      </c>
      <c r="K285" s="1">
        <v>1.479108388168204E-7</v>
      </c>
      <c r="L285" s="1">
        <v>6.828438051459031E-8</v>
      </c>
      <c r="M285" s="1">
        <v>3.7335596365787667E-3</v>
      </c>
      <c r="N285" s="1">
        <v>2.7110733939035387E-3</v>
      </c>
      <c r="O285" s="1">
        <v>0.78405368388781538</v>
      </c>
      <c r="P285" s="1">
        <v>0.78404907825438797</v>
      </c>
      <c r="Q285" s="2">
        <v>7.8404907825438794</v>
      </c>
      <c r="S285" s="2">
        <v>2.84</v>
      </c>
      <c r="T285" s="1">
        <f t="shared" si="74"/>
        <v>1.4454397707459271E-3</v>
      </c>
      <c r="U285" s="1">
        <f t="shared" si="75"/>
        <v>6.9874928062812599E-12</v>
      </c>
      <c r="V285" s="1">
        <f t="shared" si="76"/>
        <v>-1.3265316536046781E-3</v>
      </c>
      <c r="W285" s="1">
        <f t="shared" si="77"/>
        <v>3.3775510551201565E-2</v>
      </c>
      <c r="X285" s="1">
        <f t="shared" si="78"/>
        <v>0.99820446920552419</v>
      </c>
      <c r="Y285" s="1">
        <f t="shared" si="79"/>
        <v>1.0200308324706722</v>
      </c>
      <c r="Z285" s="1">
        <f t="shared" si="80"/>
        <v>51.001541623533605</v>
      </c>
      <c r="AB285">
        <v>4.1500000000000004</v>
      </c>
      <c r="AC285">
        <v>7.0794578438413704E-5</v>
      </c>
      <c r="AD285">
        <v>1.4266629200689834E-10</v>
      </c>
      <c r="AE285">
        <v>2.3182441277669538E-3</v>
      </c>
      <c r="AF285">
        <v>3.2560585290744348E-2</v>
      </c>
      <c r="AG285">
        <v>0.96457504007354322</v>
      </c>
      <c r="AH285">
        <v>0.9656247887416971</v>
      </c>
      <c r="AI285">
        <v>48.281239437084857</v>
      </c>
      <c r="AJ285"/>
      <c r="AK285"/>
      <c r="AL285"/>
      <c r="AM285"/>
      <c r="AN285"/>
      <c r="AO285"/>
      <c r="AP285"/>
      <c r="AQ285"/>
      <c r="AR285"/>
    </row>
    <row r="286" spans="1:44" ht="15" customHeight="1" x14ac:dyDescent="0.3">
      <c r="A286" s="2">
        <v>2.85</v>
      </c>
      <c r="B286" s="1">
        <f t="shared" si="68"/>
        <v>1.4125375446227527E-3</v>
      </c>
      <c r="C286" s="1">
        <f t="shared" si="69"/>
        <v>7.1502524222798007E-12</v>
      </c>
      <c r="D286" s="1">
        <f t="shared" si="70"/>
        <v>2.1685795831568263E-2</v>
      </c>
      <c r="E286" s="1">
        <f t="shared" si="71"/>
        <v>-2.8096597192804341E-4</v>
      </c>
      <c r="F286" s="1">
        <f t="shared" si="72"/>
        <v>3.8004490727668917E-4</v>
      </c>
      <c r="G286" s="1">
        <f t="shared" si="73"/>
        <v>-6.9268389956608389E-2</v>
      </c>
      <c r="H286" s="1">
        <f t="shared" si="81"/>
        <v>-0.69268389956608389</v>
      </c>
      <c r="J286" s="2">
        <v>6.84</v>
      </c>
      <c r="K286" s="1">
        <v>1.4454397707459271E-7</v>
      </c>
      <c r="L286" s="1">
        <v>6.9874928062812601E-8</v>
      </c>
      <c r="M286" s="1">
        <v>3.6641395194429074E-3</v>
      </c>
      <c r="N286" s="1">
        <v>2.7226434134261825E-3</v>
      </c>
      <c r="O286" s="1">
        <v>0.78792676807740203</v>
      </c>
      <c r="P286" s="1">
        <v>0.78792244629075381</v>
      </c>
      <c r="Q286" s="2">
        <v>7.8792244629075379</v>
      </c>
      <c r="S286" s="2">
        <v>2.85</v>
      </c>
      <c r="T286" s="1">
        <f t="shared" si="74"/>
        <v>1.4125375446227527E-3</v>
      </c>
      <c r="U286" s="1">
        <f t="shared" si="75"/>
        <v>7.1502524222798007E-12</v>
      </c>
      <c r="V286" s="1">
        <f t="shared" si="76"/>
        <v>-1.2908429336898647E-3</v>
      </c>
      <c r="W286" s="1">
        <f t="shared" si="77"/>
        <v>3.3763614311229956E-2</v>
      </c>
      <c r="X286" s="1">
        <f t="shared" si="78"/>
        <v>0.99816272276155804</v>
      </c>
      <c r="Y286" s="1">
        <f t="shared" si="79"/>
        <v>1.0194884264934871</v>
      </c>
      <c r="Z286" s="1">
        <f t="shared" si="80"/>
        <v>50.97442132467436</v>
      </c>
      <c r="AB286">
        <v>4.16</v>
      </c>
      <c r="AC286">
        <v>6.9183097091893571E-5</v>
      </c>
      <c r="AD286">
        <v>1.4598941684533883E-10</v>
      </c>
      <c r="AE286">
        <v>2.3741630229790448E-3</v>
      </c>
      <c r="AF286">
        <v>3.2541945659006991E-2</v>
      </c>
      <c r="AG286">
        <v>0.96377977399510095</v>
      </c>
      <c r="AH286">
        <v>0.96480534391078165</v>
      </c>
      <c r="AI286">
        <v>48.240267195539083</v>
      </c>
      <c r="AJ286"/>
      <c r="AK286"/>
      <c r="AL286"/>
      <c r="AM286"/>
      <c r="AN286"/>
      <c r="AO286"/>
      <c r="AP286"/>
      <c r="AQ286"/>
      <c r="AR286"/>
    </row>
    <row r="287" spans="1:44" ht="15" customHeight="1" x14ac:dyDescent="0.3">
      <c r="A287" s="2">
        <v>2.86</v>
      </c>
      <c r="B287" s="1">
        <f t="shared" si="68"/>
        <v>1.3803842646028844E-3</v>
      </c>
      <c r="C287" s="1">
        <f t="shared" si="69"/>
        <v>7.3168031967574018E-12</v>
      </c>
      <c r="D287" s="1">
        <f t="shared" si="70"/>
        <v>2.1646999554798943E-2</v>
      </c>
      <c r="E287" s="1">
        <f t="shared" si="71"/>
        <v>-2.744999257998234E-4</v>
      </c>
      <c r="F287" s="1">
        <f t="shared" si="72"/>
        <v>3.8889384773090264E-4</v>
      </c>
      <c r="G287" s="1">
        <f t="shared" si="73"/>
        <v>-6.7695856076458671E-2</v>
      </c>
      <c r="H287" s="1">
        <f t="shared" si="81"/>
        <v>-0.67695856076458671</v>
      </c>
      <c r="J287" s="2">
        <v>6.85</v>
      </c>
      <c r="K287" s="1">
        <v>1.4125375446227539E-7</v>
      </c>
      <c r="L287" s="1">
        <v>7.1502524222797944E-8</v>
      </c>
      <c r="M287" s="1">
        <v>3.5957247699855165E-3</v>
      </c>
      <c r="N287" s="1">
        <v>2.7340458716690803E-3</v>
      </c>
      <c r="O287" s="1">
        <v>0.79174883750818437</v>
      </c>
      <c r="P287" s="1">
        <v>0.79174479769493566</v>
      </c>
      <c r="Q287" s="2">
        <v>7.9174479769493562</v>
      </c>
      <c r="S287" s="2">
        <v>2.86</v>
      </c>
      <c r="T287" s="1">
        <f t="shared" si="74"/>
        <v>1.3803842646028844E-3</v>
      </c>
      <c r="U287" s="1">
        <f t="shared" si="75"/>
        <v>7.3168031967574018E-12</v>
      </c>
      <c r="V287" s="1">
        <f t="shared" si="76"/>
        <v>-1.2558384150456101E-3</v>
      </c>
      <c r="W287" s="1">
        <f t="shared" si="77"/>
        <v>3.3751946138348539E-2</v>
      </c>
      <c r="X287" s="1">
        <f t="shared" si="78"/>
        <v>0.99812000753259</v>
      </c>
      <c r="Y287" s="1">
        <f t="shared" si="79"/>
        <v>1.0189566084109916</v>
      </c>
      <c r="Z287" s="1">
        <f t="shared" si="80"/>
        <v>50.947830420549579</v>
      </c>
      <c r="AB287">
        <v>4.17</v>
      </c>
      <c r="AC287">
        <v>6.7608297539198107E-5</v>
      </c>
      <c r="AD287">
        <v>1.493899472049891E-10</v>
      </c>
      <c r="AE287">
        <v>2.4312476968114992E-3</v>
      </c>
      <c r="AF287">
        <v>3.252291743439617E-2</v>
      </c>
      <c r="AG287">
        <v>0.96296734017017882</v>
      </c>
      <c r="AH287">
        <v>0.96396928254199854</v>
      </c>
      <c r="AI287">
        <v>48.198464127099932</v>
      </c>
      <c r="AJ287"/>
      <c r="AK287"/>
      <c r="AL287"/>
      <c r="AM287"/>
      <c r="AN287"/>
      <c r="AO287"/>
      <c r="AP287"/>
      <c r="AQ287"/>
      <c r="AR287"/>
    </row>
    <row r="288" spans="1:44" ht="15" customHeight="1" x14ac:dyDescent="0.3">
      <c r="A288" s="2">
        <v>2.87</v>
      </c>
      <c r="B288" s="1">
        <f t="shared" si="68"/>
        <v>1.3489628825916523E-3</v>
      </c>
      <c r="C288" s="1">
        <f t="shared" si="69"/>
        <v>7.4872334371392743E-12</v>
      </c>
      <c r="D288" s="1">
        <f t="shared" si="70"/>
        <v>2.1609076614258357E-2</v>
      </c>
      <c r="E288" s="1">
        <f t="shared" si="71"/>
        <v>-2.6817943570972645E-4</v>
      </c>
      <c r="F288" s="1">
        <f t="shared" si="72"/>
        <v>3.9794874430487687E-4</v>
      </c>
      <c r="G288" s="1">
        <f t="shared" si="73"/>
        <v>-6.6157751504121634E-2</v>
      </c>
      <c r="H288" s="1">
        <f t="shared" si="81"/>
        <v>-0.66157751504121631</v>
      </c>
      <c r="J288" s="2">
        <v>6.86</v>
      </c>
      <c r="K288" s="1">
        <v>1.3803842646028823E-7</v>
      </c>
      <c r="L288" s="1">
        <v>7.316803196757413E-8</v>
      </c>
      <c r="M288" s="1">
        <v>3.5283114444985813E-3</v>
      </c>
      <c r="N288" s="1">
        <v>2.7452814259169029E-3</v>
      </c>
      <c r="O288" s="1">
        <v>0.79551990031274233</v>
      </c>
      <c r="P288" s="1">
        <v>0.79551614073855892</v>
      </c>
      <c r="Q288" s="2">
        <v>7.9551614073855887</v>
      </c>
      <c r="S288" s="2">
        <v>2.87</v>
      </c>
      <c r="T288" s="1">
        <f t="shared" si="74"/>
        <v>1.3489628825916523E-3</v>
      </c>
      <c r="U288" s="1">
        <f t="shared" si="75"/>
        <v>7.4872334371392743E-12</v>
      </c>
      <c r="V288" s="1">
        <f t="shared" si="76"/>
        <v>-1.221499549047045E-3</v>
      </c>
      <c r="W288" s="1">
        <f t="shared" si="77"/>
        <v>3.3740499849682352E-2</v>
      </c>
      <c r="X288" s="1">
        <f t="shared" si="78"/>
        <v>0.99807630112258305</v>
      </c>
      <c r="Y288" s="1">
        <f t="shared" si="79"/>
        <v>1.0184350854787001</v>
      </c>
      <c r="Z288" s="1">
        <f t="shared" si="80"/>
        <v>50.921754273935001</v>
      </c>
      <c r="AB288">
        <v>4.18</v>
      </c>
      <c r="AC288">
        <v>6.6069344800759539E-5</v>
      </c>
      <c r="AD288">
        <v>1.5286968609205716E-10</v>
      </c>
      <c r="AE288">
        <v>2.4895241582947986E-3</v>
      </c>
      <c r="AF288">
        <v>3.2503491947235071E-2</v>
      </c>
      <c r="AG288">
        <v>0.9621373990454728</v>
      </c>
      <c r="AH288">
        <v>0.96311625252748445</v>
      </c>
      <c r="AI288">
        <v>48.155812626374214</v>
      </c>
      <c r="AJ288"/>
      <c r="AK288"/>
      <c r="AL288"/>
      <c r="AM288"/>
      <c r="AN288"/>
      <c r="AO288"/>
      <c r="AP288"/>
      <c r="AQ288"/>
      <c r="AR288"/>
    </row>
    <row r="289" spans="1:44" ht="15" customHeight="1" x14ac:dyDescent="0.3">
      <c r="A289" s="2">
        <v>2.88</v>
      </c>
      <c r="B289" s="1">
        <f t="shared" si="68"/>
        <v>1.3182567385564071E-3</v>
      </c>
      <c r="C289" s="1">
        <f t="shared" si="69"/>
        <v>7.6616335077947559E-12</v>
      </c>
      <c r="D289" s="1">
        <f t="shared" si="70"/>
        <v>2.1572006903027689E-2</v>
      </c>
      <c r="E289" s="1">
        <f t="shared" si="71"/>
        <v>-2.6200115050461494E-4</v>
      </c>
      <c r="F289" s="1">
        <f t="shared" si="72"/>
        <v>4.0721438669413519E-4</v>
      </c>
      <c r="G289" s="1">
        <f t="shared" si="73"/>
        <v>-6.465332534493759E-2</v>
      </c>
      <c r="H289" s="1">
        <f t="shared" si="81"/>
        <v>-0.64653325344937584</v>
      </c>
      <c r="J289" s="2">
        <v>6.87</v>
      </c>
      <c r="K289" s="1">
        <v>1.3489628825916511E-7</v>
      </c>
      <c r="L289" s="1">
        <v>7.4872334371392797E-8</v>
      </c>
      <c r="M289" s="1">
        <v>3.461895190730114E-3</v>
      </c>
      <c r="N289" s="1">
        <v>2.7563508015449809E-3</v>
      </c>
      <c r="O289" s="1">
        <v>0.79923999108689847</v>
      </c>
      <c r="P289" s="1">
        <v>0.79923651015584973</v>
      </c>
      <c r="Q289" s="2">
        <v>7.9923651015584971</v>
      </c>
      <c r="S289" s="2">
        <v>2.88</v>
      </c>
      <c r="T289" s="1">
        <f t="shared" si="74"/>
        <v>1.3182567385564071E-3</v>
      </c>
      <c r="U289" s="1">
        <f t="shared" si="75"/>
        <v>7.6616335077947559E-12</v>
      </c>
      <c r="V289" s="1">
        <f t="shared" si="76"/>
        <v>-1.1878081405352907E-3</v>
      </c>
      <c r="W289" s="1">
        <f t="shared" si="77"/>
        <v>3.372926938017843E-2</v>
      </c>
      <c r="X289" s="1">
        <f t="shared" si="78"/>
        <v>0.99803158062180042</v>
      </c>
      <c r="Y289" s="1">
        <f t="shared" si="79"/>
        <v>1.0179235709252918</v>
      </c>
      <c r="Z289" s="1">
        <f t="shared" si="80"/>
        <v>50.896178546264593</v>
      </c>
      <c r="AB289">
        <v>4.1900000000000004</v>
      </c>
      <c r="AC289">
        <v>6.4565422903465383E-5</v>
      </c>
      <c r="AD289">
        <v>1.5643047851016101E-10</v>
      </c>
      <c r="AE289">
        <v>2.549018857943515E-3</v>
      </c>
      <c r="AF289">
        <v>3.2483660380685501E-2</v>
      </c>
      <c r="AG289">
        <v>0.96128960575835443</v>
      </c>
      <c r="AH289">
        <v>0.96224589673676098</v>
      </c>
      <c r="AI289">
        <v>48.112294836838046</v>
      </c>
      <c r="AJ289"/>
      <c r="AK289"/>
      <c r="AL289"/>
      <c r="AM289"/>
      <c r="AN289"/>
      <c r="AO289"/>
      <c r="AP289"/>
      <c r="AQ289"/>
      <c r="AR289"/>
    </row>
    <row r="290" spans="1:44" ht="15" customHeight="1" x14ac:dyDescent="0.3">
      <c r="A290" s="2">
        <v>2.89</v>
      </c>
      <c r="B290" s="1">
        <f t="shared" si="68"/>
        <v>1.288249551693133E-3</v>
      </c>
      <c r="C290" s="1">
        <f t="shared" si="69"/>
        <v>7.8400958779497924E-12</v>
      </c>
      <c r="D290" s="1">
        <f t="shared" si="70"/>
        <v>2.1535770766596931E-2</v>
      </c>
      <c r="E290" s="1">
        <f t="shared" si="71"/>
        <v>-2.5596179443282185E-4</v>
      </c>
      <c r="F290" s="1">
        <f t="shared" si="72"/>
        <v>4.166956758008696E-4</v>
      </c>
      <c r="G290" s="1">
        <f t="shared" si="73"/>
        <v>-6.3181841728979463E-2</v>
      </c>
      <c r="H290" s="1">
        <f t="shared" si="81"/>
        <v>-0.6318184172897946</v>
      </c>
      <c r="J290" s="2">
        <v>6.88</v>
      </c>
      <c r="K290" s="1">
        <v>1.3182567385564048E-7</v>
      </c>
      <c r="L290" s="1">
        <v>7.6616335077947691E-8</v>
      </c>
      <c r="M290" s="1">
        <v>3.396471263417797E-3</v>
      </c>
      <c r="N290" s="1">
        <v>2.7672547894303672E-3</v>
      </c>
      <c r="O290" s="1">
        <v>0.80290917015381602</v>
      </c>
      <c r="P290" s="1">
        <v>0.8029059664078021</v>
      </c>
      <c r="Q290" s="2">
        <v>8.0290596640780212</v>
      </c>
      <c r="S290" s="2">
        <v>2.89</v>
      </c>
      <c r="T290" s="1">
        <f t="shared" si="74"/>
        <v>1.288249551693133E-3</v>
      </c>
      <c r="U290" s="1">
        <f t="shared" si="75"/>
        <v>7.8400958779497924E-12</v>
      </c>
      <c r="V290" s="1">
        <f t="shared" si="76"/>
        <v>-1.1547463381947755E-3</v>
      </c>
      <c r="W290" s="1">
        <f t="shared" si="77"/>
        <v>3.371824877939826E-2</v>
      </c>
      <c r="X290" s="1">
        <f t="shared" si="78"/>
        <v>0.99798582259521285</v>
      </c>
      <c r="Y290" s="1">
        <f t="shared" si="79"/>
        <v>1.0174217837780342</v>
      </c>
      <c r="Z290" s="1">
        <f t="shared" si="80"/>
        <v>50.871089188901706</v>
      </c>
      <c r="AB290">
        <v>4.2</v>
      </c>
      <c r="AC290">
        <v>6.3095734448019279E-5</v>
      </c>
      <c r="AD290">
        <v>1.6007421243857255E-10</v>
      </c>
      <c r="AE290">
        <v>2.6097586935083378E-3</v>
      </c>
      <c r="AF290">
        <v>3.2463413768830558E-2</v>
      </c>
      <c r="AG290">
        <v>0.96042361011950927</v>
      </c>
      <c r="AH290">
        <v>0.96135785299281407</v>
      </c>
      <c r="AI290">
        <v>48.067892649640704</v>
      </c>
      <c r="AJ290"/>
      <c r="AK290"/>
      <c r="AL290"/>
      <c r="AM290"/>
      <c r="AN290"/>
      <c r="AO290"/>
      <c r="AP290"/>
      <c r="AQ290"/>
      <c r="AR290"/>
    </row>
    <row r="291" spans="1:44" ht="15" customHeight="1" x14ac:dyDescent="0.3">
      <c r="A291" s="2">
        <v>2.9</v>
      </c>
      <c r="B291" s="1">
        <f t="shared" si="68"/>
        <v>1.2589254117941662E-3</v>
      </c>
      <c r="C291" s="1">
        <f t="shared" si="69"/>
        <v>8.0227151707152493E-12</v>
      </c>
      <c r="D291" s="1">
        <f t="shared" si="70"/>
        <v>2.1500348992444566E-2</v>
      </c>
      <c r="E291" s="1">
        <f t="shared" si="71"/>
        <v>-2.5005816540742712E-4</v>
      </c>
      <c r="F291" s="1">
        <f t="shared" si="72"/>
        <v>4.2639762630734444E-4</v>
      </c>
      <c r="G291" s="1">
        <f t="shared" si="73"/>
        <v>-6.1742579543448931E-2</v>
      </c>
      <c r="H291" s="1">
        <f t="shared" si="81"/>
        <v>-0.61742579543448928</v>
      </c>
      <c r="J291" s="2">
        <v>6.89</v>
      </c>
      <c r="K291" s="1">
        <v>1.288249551693134E-7</v>
      </c>
      <c r="L291" s="1">
        <v>7.8400958779497854E-8</v>
      </c>
      <c r="M291" s="1">
        <v>3.3320345397899486E-3</v>
      </c>
      <c r="N291" s="1">
        <v>2.7779942433683422E-3</v>
      </c>
      <c r="O291" s="1">
        <v>0.80652752281710771</v>
      </c>
      <c r="P291" s="1">
        <v>0.80652459493535555</v>
      </c>
      <c r="Q291" s="2">
        <v>8.0652459493535549</v>
      </c>
      <c r="S291" s="2">
        <v>2.9</v>
      </c>
      <c r="T291" s="1">
        <f t="shared" si="74"/>
        <v>1.2589254117941662E-3</v>
      </c>
      <c r="U291" s="1">
        <f t="shared" si="75"/>
        <v>8.0227151707152493E-12</v>
      </c>
      <c r="V291" s="1">
        <f t="shared" si="76"/>
        <v>-1.1222966251144494E-3</v>
      </c>
      <c r="W291" s="1">
        <f t="shared" si="77"/>
        <v>3.3707432208371482E-2</v>
      </c>
      <c r="X291" s="1">
        <f t="shared" si="78"/>
        <v>0.99793900307065386</v>
      </c>
      <c r="Y291" s="1">
        <f t="shared" si="79"/>
        <v>1.0169294486923792</v>
      </c>
      <c r="Z291" s="1">
        <f t="shared" si="80"/>
        <v>50.84647243461896</v>
      </c>
      <c r="AB291">
        <v>4.21</v>
      </c>
      <c r="AC291">
        <v>6.1659500186148184E-5</v>
      </c>
      <c r="AD291">
        <v>1.6380281983325201E-10</v>
      </c>
      <c r="AE291">
        <v>2.6717710156224611E-3</v>
      </c>
      <c r="AF291">
        <v>3.2442742994792516E-2</v>
      </c>
      <c r="AG291">
        <v>0.95953905659912908</v>
      </c>
      <c r="AH291">
        <v>0.96045175405187755</v>
      </c>
      <c r="AI291">
        <v>48.022587702593874</v>
      </c>
      <c r="AJ291"/>
      <c r="AK291"/>
      <c r="AL291"/>
      <c r="AM291"/>
      <c r="AN291"/>
      <c r="AO291"/>
      <c r="AP291"/>
      <c r="AQ291"/>
      <c r="AR291"/>
    </row>
    <row r="292" spans="1:44" ht="15" customHeight="1" x14ac:dyDescent="0.3">
      <c r="A292" s="2">
        <v>2.91</v>
      </c>
      <c r="B292" s="1">
        <f t="shared" si="68"/>
        <v>1.2302687708123808E-3</v>
      </c>
      <c r="C292" s="1">
        <f t="shared" si="69"/>
        <v>8.209588213257406E-12</v>
      </c>
      <c r="D292" s="1">
        <f t="shared" si="70"/>
        <v>2.146572279985156E-2</v>
      </c>
      <c r="E292" s="1">
        <f t="shared" si="71"/>
        <v>-2.4428713330859305E-4</v>
      </c>
      <c r="F292" s="1">
        <f t="shared" si="72"/>
        <v>4.363253693084548E-4</v>
      </c>
      <c r="G292" s="1">
        <f t="shared" si="73"/>
        <v>-6.0334832167703106E-2</v>
      </c>
      <c r="H292" s="1">
        <f t="shared" si="81"/>
        <v>-0.60334832167703101</v>
      </c>
      <c r="J292" s="2">
        <v>6.9</v>
      </c>
      <c r="K292" s="1">
        <v>1.2589254117941651E-7</v>
      </c>
      <c r="L292" s="1">
        <v>8.0227151707152563E-8</v>
      </c>
      <c r="M292" s="1">
        <v>3.2685795350074127E-3</v>
      </c>
      <c r="N292" s="1">
        <v>2.788570077498765E-3</v>
      </c>
      <c r="O292" s="1">
        <v>0.81009515860475689</v>
      </c>
      <c r="P292" s="1">
        <v>0.81009250540338562</v>
      </c>
      <c r="Q292" s="2">
        <v>8.1009250540338549</v>
      </c>
      <c r="S292" s="2">
        <v>2.91</v>
      </c>
      <c r="T292" s="1">
        <f t="shared" si="74"/>
        <v>1.2302687708123808E-3</v>
      </c>
      <c r="U292" s="1">
        <f t="shared" si="75"/>
        <v>8.209588213257406E-12</v>
      </c>
      <c r="V292" s="1">
        <f t="shared" si="76"/>
        <v>-1.0904418095269335E-3</v>
      </c>
      <c r="W292" s="1">
        <f t="shared" si="77"/>
        <v>3.3696813936508974E-2</v>
      </c>
      <c r="X292" s="1">
        <f t="shared" si="78"/>
        <v>0.99789109752671667</v>
      </c>
      <c r="Y292" s="1">
        <f t="shared" si="79"/>
        <v>1.0164462957855862</v>
      </c>
      <c r="Z292" s="1">
        <f t="shared" si="80"/>
        <v>50.822314789279311</v>
      </c>
      <c r="AB292">
        <v>4.22</v>
      </c>
      <c r="AC292">
        <v>6.0255958607435738E-5</v>
      </c>
      <c r="AD292">
        <v>1.6761827765119372E-10</v>
      </c>
      <c r="AE292">
        <v>2.7350836333323654E-3</v>
      </c>
      <c r="AF292">
        <v>3.2421638788889214E-2</v>
      </c>
      <c r="AG292">
        <v>0.95863558431686346</v>
      </c>
      <c r="AH292">
        <v>0.95952722758712461</v>
      </c>
      <c r="AI292">
        <v>47.976361379356234</v>
      </c>
      <c r="AJ292"/>
      <c r="AK292"/>
      <c r="AL292"/>
      <c r="AM292"/>
      <c r="AN292"/>
      <c r="AO292"/>
      <c r="AP292"/>
      <c r="AQ292"/>
      <c r="AR292"/>
    </row>
    <row r="293" spans="1:44" ht="15" customHeight="1" x14ac:dyDescent="0.3">
      <c r="A293" s="2">
        <v>2.92</v>
      </c>
      <c r="B293" s="1">
        <f t="shared" si="68"/>
        <v>1.2022644346174124E-3</v>
      </c>
      <c r="C293" s="1">
        <f t="shared" si="69"/>
        <v>8.4008140881369807E-12</v>
      </c>
      <c r="D293" s="1">
        <f t="shared" si="70"/>
        <v>2.1431873829944395E-2</v>
      </c>
      <c r="E293" s="1">
        <f t="shared" si="71"/>
        <v>-2.3864563832406605E-4</v>
      </c>
      <c r="F293" s="1">
        <f t="shared" si="72"/>
        <v>4.4648415500476703E-4</v>
      </c>
      <c r="G293" s="1">
        <f t="shared" si="73"/>
        <v>-5.895790721098567E-2</v>
      </c>
      <c r="H293" s="1">
        <f t="shared" si="81"/>
        <v>-0.58957907210985672</v>
      </c>
      <c r="J293" s="2">
        <v>6.91</v>
      </c>
      <c r="K293" s="1">
        <v>1.2302687708123796E-7</v>
      </c>
      <c r="L293" s="1">
        <v>8.2095882132574147E-8</v>
      </c>
      <c r="M293" s="1">
        <v>3.2061004175216643E-3</v>
      </c>
      <c r="N293" s="1">
        <v>2.798983263746389E-3</v>
      </c>
      <c r="O293" s="1">
        <v>0.81361221050558685</v>
      </c>
      <c r="P293" s="1">
        <v>0.8136098309372406</v>
      </c>
      <c r="Q293" s="2">
        <v>8.1360983093724055</v>
      </c>
      <c r="S293" s="2">
        <v>2.92</v>
      </c>
      <c r="T293" s="1">
        <f t="shared" si="74"/>
        <v>1.2022644346174124E-3</v>
      </c>
      <c r="U293" s="1">
        <f t="shared" si="75"/>
        <v>8.4008140881369807E-12</v>
      </c>
      <c r="V293" s="1">
        <f t="shared" si="76"/>
        <v>-1.0591650157219653E-3</v>
      </c>
      <c r="W293" s="1">
        <f t="shared" si="77"/>
        <v>3.3686388338573986E-2</v>
      </c>
      <c r="X293" s="1">
        <f t="shared" si="78"/>
        <v>0.99784208088038917</v>
      </c>
      <c r="Y293" s="1">
        <f t="shared" si="79"/>
        <v>1.0159720604742462</v>
      </c>
      <c r="Z293" s="1">
        <f t="shared" si="80"/>
        <v>50.798603023712303</v>
      </c>
      <c r="AB293">
        <v>4.2300000000000004</v>
      </c>
      <c r="AC293">
        <v>5.8884365535558766E-5</v>
      </c>
      <c r="AD293">
        <v>1.7152260889863656E-10</v>
      </c>
      <c r="AE293">
        <v>2.7997248195026315E-3</v>
      </c>
      <c r="AF293">
        <v>3.2400091726832461E-2</v>
      </c>
      <c r="AG293">
        <v>0.95771282703573934</v>
      </c>
      <c r="AH293">
        <v>0.95858389617646955</v>
      </c>
      <c r="AI293">
        <v>47.929194808823482</v>
      </c>
      <c r="AJ293"/>
      <c r="AK293"/>
      <c r="AL293"/>
      <c r="AM293"/>
      <c r="AN293"/>
      <c r="AO293"/>
      <c r="AP293"/>
      <c r="AQ293"/>
      <c r="AR293"/>
    </row>
    <row r="294" spans="1:44" ht="15" customHeight="1" x14ac:dyDescent="0.3">
      <c r="A294" s="2">
        <v>2.93</v>
      </c>
      <c r="B294" s="1">
        <f t="shared" si="68"/>
        <v>1.174897554939528E-3</v>
      </c>
      <c r="C294" s="1">
        <f t="shared" si="69"/>
        <v>8.5964941858440125E-12</v>
      </c>
      <c r="D294" s="1">
        <f t="shared" si="70"/>
        <v>2.139878413596177E-2</v>
      </c>
      <c r="E294" s="1">
        <f t="shared" si="71"/>
        <v>-2.3313068932696165E-4</v>
      </c>
      <c r="F294" s="1">
        <f t="shared" si="72"/>
        <v>4.5687935545741691E-4</v>
      </c>
      <c r="G294" s="1">
        <f t="shared" si="73"/>
        <v>-5.7611126252928031E-2</v>
      </c>
      <c r="H294" s="1">
        <f t="shared" si="81"/>
        <v>-0.57611126252928024</v>
      </c>
      <c r="J294" s="2">
        <v>6.92</v>
      </c>
      <c r="K294" s="1">
        <v>1.2022644346174111E-7</v>
      </c>
      <c r="L294" s="1">
        <v>8.4008140881369888E-8</v>
      </c>
      <c r="M294" s="1">
        <v>3.1445910243253225E-3</v>
      </c>
      <c r="N294" s="1">
        <v>2.8092348292791127E-3</v>
      </c>
      <c r="O294" s="1">
        <v>0.8170788341999744</v>
      </c>
      <c r="P294" s="1">
        <v>0.81707672735352399</v>
      </c>
      <c r="Q294" s="2">
        <v>8.1707672735352386</v>
      </c>
      <c r="S294" s="2">
        <v>2.93</v>
      </c>
      <c r="T294" s="1">
        <f t="shared" si="74"/>
        <v>1.174897554939528E-3</v>
      </c>
      <c r="U294" s="1">
        <f t="shared" si="75"/>
        <v>8.5964941858440125E-12</v>
      </c>
      <c r="V294" s="1">
        <f t="shared" si="76"/>
        <v>-1.0284496751282106E-3</v>
      </c>
      <c r="W294" s="1">
        <f t="shared" si="77"/>
        <v>3.3676149891709403E-2</v>
      </c>
      <c r="X294" s="1">
        <f t="shared" si="78"/>
        <v>0.99779192747441969</v>
      </c>
      <c r="Y294" s="1">
        <f t="shared" si="79"/>
        <v>1.0155064833155645</v>
      </c>
      <c r="Z294" s="1">
        <f t="shared" si="80"/>
        <v>50.775324165778223</v>
      </c>
      <c r="AB294">
        <v>4.24</v>
      </c>
      <c r="AC294">
        <v>5.7543993733715576E-5</v>
      </c>
      <c r="AD294">
        <v>1.7551788370368726E-10</v>
      </c>
      <c r="AE294">
        <v>2.8657233160834339E-3</v>
      </c>
      <c r="AF294">
        <v>3.2378092227972187E-2</v>
      </c>
      <c r="AG294">
        <v>0.95677041316026723</v>
      </c>
      <c r="AH294">
        <v>0.95762137729469876</v>
      </c>
      <c r="AI294">
        <v>47.881068864734942</v>
      </c>
      <c r="AJ294"/>
      <c r="AK294"/>
      <c r="AL294"/>
      <c r="AM294"/>
      <c r="AN294"/>
      <c r="AO294"/>
      <c r="AP294"/>
      <c r="AQ294"/>
      <c r="AR294"/>
    </row>
    <row r="295" spans="1:44" ht="15" customHeight="1" x14ac:dyDescent="0.3">
      <c r="A295" s="2">
        <v>2.94</v>
      </c>
      <c r="B295" s="1">
        <f t="shared" si="68"/>
        <v>1.1481536214968825E-3</v>
      </c>
      <c r="C295" s="1">
        <f t="shared" si="69"/>
        <v>8.7967322585564163E-12</v>
      </c>
      <c r="D295" s="1">
        <f t="shared" si="70"/>
        <v>2.1366436173739851E-2</v>
      </c>
      <c r="E295" s="1">
        <f t="shared" si="71"/>
        <v>-2.2773936228997552E-4</v>
      </c>
      <c r="F295" s="1">
        <f t="shared" si="72"/>
        <v>4.6751646740626166E-4</v>
      </c>
      <c r="G295" s="1">
        <f t="shared" si="73"/>
        <v>-5.6293824586879898E-2</v>
      </c>
      <c r="H295" s="1">
        <f t="shared" si="81"/>
        <v>-0.56293824586879893</v>
      </c>
      <c r="J295" s="2">
        <v>6.93</v>
      </c>
      <c r="K295" s="1">
        <v>1.174897554939528E-7</v>
      </c>
      <c r="L295" s="1">
        <v>8.5964941858440139E-8</v>
      </c>
      <c r="M295" s="1">
        <v>3.0840448760730589E-3</v>
      </c>
      <c r="N295" s="1">
        <v>2.8193258539878233E-3</v>
      </c>
      <c r="O295" s="1">
        <v>0.82049520728642311</v>
      </c>
      <c r="P295" s="1">
        <v>0.82049337238673492</v>
      </c>
      <c r="Q295" s="2">
        <v>8.2049337238673488</v>
      </c>
      <c r="S295" s="2">
        <v>2.94</v>
      </c>
      <c r="T295" s="1">
        <f t="shared" si="74"/>
        <v>1.1481536214968825E-3</v>
      </c>
      <c r="U295" s="1">
        <f t="shared" si="75"/>
        <v>8.7967322585564163E-12</v>
      </c>
      <c r="V295" s="1">
        <f t="shared" si="76"/>
        <v>-9.9827951755968947E-4</v>
      </c>
      <c r="W295" s="1">
        <f t="shared" si="77"/>
        <v>3.3666093172519895E-2</v>
      </c>
      <c r="X295" s="1">
        <f t="shared" si="78"/>
        <v>0.99774061106441014</v>
      </c>
      <c r="Y295" s="1">
        <f t="shared" si="79"/>
        <v>1.0150493098522901</v>
      </c>
      <c r="Z295" s="1">
        <f t="shared" si="80"/>
        <v>50.752465492614505</v>
      </c>
      <c r="AB295">
        <v>4.25</v>
      </c>
      <c r="AC295">
        <v>5.6234132519034887E-5</v>
      </c>
      <c r="AD295">
        <v>1.7960622041393126E-10</v>
      </c>
      <c r="AE295">
        <v>2.9331083392296654E-3</v>
      </c>
      <c r="AF295">
        <v>3.2355630553590108E-2</v>
      </c>
      <c r="AG295">
        <v>0.95580796573895588</v>
      </c>
      <c r="AH295">
        <v>0.95663928331014503</v>
      </c>
      <c r="AI295">
        <v>47.831964165507245</v>
      </c>
      <c r="AJ295"/>
      <c r="AK295"/>
      <c r="AL295"/>
      <c r="AM295"/>
      <c r="AN295"/>
      <c r="AO295"/>
      <c r="AP295"/>
      <c r="AQ295"/>
      <c r="AR295"/>
    </row>
    <row r="296" spans="1:44" ht="15" customHeight="1" x14ac:dyDescent="0.3">
      <c r="A296" s="2">
        <v>2.95</v>
      </c>
      <c r="B296" s="1">
        <f t="shared" si="68"/>
        <v>1.1220184543019622E-3</v>
      </c>
      <c r="C296" s="1">
        <f t="shared" si="69"/>
        <v>9.0016344751508397E-12</v>
      </c>
      <c r="D296" s="1">
        <f t="shared" si="70"/>
        <v>2.1334812792411045E-2</v>
      </c>
      <c r="E296" s="1">
        <f t="shared" si="71"/>
        <v>-2.224687987351743E-4</v>
      </c>
      <c r="F296" s="1">
        <f t="shared" si="72"/>
        <v>4.7840111515272578E-4</v>
      </c>
      <c r="G296" s="1">
        <f t="shared" si="73"/>
        <v>-5.5005350966121587E-2</v>
      </c>
      <c r="H296" s="1">
        <f t="shared" si="81"/>
        <v>-0.5500535096612158</v>
      </c>
      <c r="J296" s="2">
        <v>6.94</v>
      </c>
      <c r="K296" s="1">
        <v>1.1481536214968794E-7</v>
      </c>
      <c r="L296" s="1">
        <v>8.7967322585564398E-8</v>
      </c>
      <c r="M296" s="1">
        <v>3.0244551920519235E-3</v>
      </c>
      <c r="N296" s="1">
        <v>2.8292574679913461E-3</v>
      </c>
      <c r="O296" s="1">
        <v>0.8238615285055727</v>
      </c>
      <c r="P296" s="1">
        <v>0.82385996491334512</v>
      </c>
      <c r="Q296" s="2">
        <v>8.2385996491334499</v>
      </c>
      <c r="S296" s="2">
        <v>2.95</v>
      </c>
      <c r="T296" s="1">
        <f t="shared" si="74"/>
        <v>1.1220184543019622E-3</v>
      </c>
      <c r="U296" s="1">
        <f t="shared" si="75"/>
        <v>9.0016344751508397E-12</v>
      </c>
      <c r="V296" s="1">
        <f t="shared" si="76"/>
        <v>-9.6863856262171784E-4</v>
      </c>
      <c r="W296" s="1">
        <f t="shared" si="77"/>
        <v>3.3656212854207238E-2</v>
      </c>
      <c r="X296" s="1">
        <f t="shared" si="78"/>
        <v>0.99768810480563053</v>
      </c>
      <c r="Y296" s="1">
        <f t="shared" si="79"/>
        <v>1.0146002904611564</v>
      </c>
      <c r="Z296" s="1">
        <f t="shared" si="80"/>
        <v>50.730014523057825</v>
      </c>
      <c r="AB296">
        <v>4.26</v>
      </c>
      <c r="AC296">
        <v>5.4954087385762447E-5</v>
      </c>
      <c r="AD296">
        <v>1.8378978671960834E-10</v>
      </c>
      <c r="AE296">
        <v>3.0019095842590917E-3</v>
      </c>
      <c r="AF296">
        <v>3.2332696805246967E-2</v>
      </c>
      <c r="AG296">
        <v>0.9548251024714679</v>
      </c>
      <c r="AH296">
        <v>0.95563722148613905</v>
      </c>
      <c r="AI296">
        <v>47.78186107430696</v>
      </c>
      <c r="AJ296"/>
      <c r="AK296"/>
      <c r="AL296"/>
      <c r="AM296"/>
      <c r="AN296"/>
      <c r="AO296"/>
      <c r="AP296"/>
      <c r="AQ296"/>
      <c r="AR296"/>
    </row>
    <row r="297" spans="1:44" ht="15" customHeight="1" x14ac:dyDescent="0.3">
      <c r="A297" s="2">
        <v>2.96</v>
      </c>
      <c r="B297" s="1">
        <f t="shared" si="68"/>
        <v>1.0964781961431849E-3</v>
      </c>
      <c r="C297" s="1">
        <f t="shared" si="69"/>
        <v>9.2113094774946882E-12</v>
      </c>
      <c r="D297" s="1">
        <f t="shared" si="70"/>
        <v>2.1303897225311327E-2</v>
      </c>
      <c r="E297" s="1">
        <f t="shared" si="71"/>
        <v>-2.1731620421855489E-4</v>
      </c>
      <c r="F297" s="1">
        <f t="shared" si="72"/>
        <v>4.8953905350878366E-4</v>
      </c>
      <c r="G297" s="1">
        <f t="shared" si="73"/>
        <v>-5.3745067353007416E-2</v>
      </c>
      <c r="H297" s="1">
        <f t="shared" si="81"/>
        <v>-0.53745067353007414</v>
      </c>
      <c r="J297" s="2">
        <v>6.95</v>
      </c>
      <c r="K297" s="1">
        <v>1.1220184543019621E-7</v>
      </c>
      <c r="L297" s="1">
        <v>9.0016344751508404E-8</v>
      </c>
      <c r="M297" s="1">
        <v>2.9658149049815517E-3</v>
      </c>
      <c r="N297" s="1">
        <v>2.8390308491697412E-3</v>
      </c>
      <c r="O297" s="1">
        <v>0.82717801696313953</v>
      </c>
      <c r="P297" s="1">
        <v>0.82717672417480781</v>
      </c>
      <c r="Q297" s="2">
        <v>8.2717672417480781</v>
      </c>
      <c r="S297" s="2">
        <v>2.96</v>
      </c>
      <c r="T297" s="1">
        <f t="shared" si="74"/>
        <v>1.0964781961431849E-3</v>
      </c>
      <c r="U297" s="1">
        <f t="shared" si="75"/>
        <v>9.2113094774946882E-12</v>
      </c>
      <c r="V297" s="1">
        <f t="shared" si="76"/>
        <v>-9.3951111127192329E-4</v>
      </c>
      <c r="W297" s="1">
        <f t="shared" si="77"/>
        <v>3.3646503703757311E-2</v>
      </c>
      <c r="X297" s="1">
        <f t="shared" si="78"/>
        <v>0.99763438123954806</v>
      </c>
      <c r="Y297" s="1">
        <f t="shared" si="79"/>
        <v>1.014159180204723</v>
      </c>
      <c r="Z297" s="1">
        <f t="shared" si="80"/>
        <v>50.707959010236152</v>
      </c>
      <c r="AB297">
        <v>4.2699999999999996</v>
      </c>
      <c r="AC297">
        <v>5.370317963702527E-5</v>
      </c>
      <c r="AD297">
        <v>1.880708008029496E-10</v>
      </c>
      <c r="AE297">
        <v>3.0721572304375864E-3</v>
      </c>
      <c r="AF297">
        <v>3.2309280923187474E-2</v>
      </c>
      <c r="AG297">
        <v>0.95382143572065281</v>
      </c>
      <c r="AH297">
        <v>0.95461479398746762</v>
      </c>
      <c r="AI297">
        <v>47.73073969937338</v>
      </c>
      <c r="AJ297"/>
      <c r="AK297"/>
      <c r="AL297"/>
      <c r="AM297"/>
      <c r="AN297"/>
      <c r="AO297"/>
      <c r="AP297"/>
      <c r="AQ297"/>
      <c r="AR297"/>
    </row>
    <row r="298" spans="1:44" ht="15" customHeight="1" x14ac:dyDescent="0.3">
      <c r="A298" s="2">
        <v>2.97</v>
      </c>
      <c r="B298" s="1">
        <f t="shared" si="68"/>
        <v>1.0715193052376053E-3</v>
      </c>
      <c r="C298" s="1">
        <f t="shared" si="69"/>
        <v>9.4258684380496179E-12</v>
      </c>
      <c r="D298" s="1">
        <f t="shared" si="70"/>
        <v>2.1273673081091338E-2</v>
      </c>
      <c r="E298" s="1">
        <f t="shared" si="71"/>
        <v>-2.12278846848556E-4</v>
      </c>
      <c r="F298" s="1">
        <f t="shared" si="72"/>
        <v>5.0093617081359862E-4</v>
      </c>
      <c r="G298" s="1">
        <f t="shared" si="73"/>
        <v>-5.25123486710787E-2</v>
      </c>
      <c r="H298" s="1">
        <f t="shared" si="81"/>
        <v>-0.52512348671078701</v>
      </c>
      <c r="J298" s="2">
        <v>6.96</v>
      </c>
      <c r="K298" s="1">
        <v>1.0964781961431838E-7</v>
      </c>
      <c r="L298" s="1">
        <v>9.2113094774946972E-8</v>
      </c>
      <c r="M298" s="1">
        <v>2.9081166756260365E-3</v>
      </c>
      <c r="N298" s="1">
        <v>2.8486472207289943E-3</v>
      </c>
      <c r="O298" s="1">
        <v>0.83044491135323728</v>
      </c>
      <c r="P298" s="1">
        <v>0.83044388900094435</v>
      </c>
      <c r="Q298" s="2">
        <v>8.3044388900094432</v>
      </c>
      <c r="S298" s="2">
        <v>2.97</v>
      </c>
      <c r="T298" s="1">
        <f t="shared" si="74"/>
        <v>1.0715193052376053E-3</v>
      </c>
      <c r="U298" s="1">
        <f t="shared" si="75"/>
        <v>9.4258684380496179E-12</v>
      </c>
      <c r="V298" s="1">
        <f t="shared" si="76"/>
        <v>-9.1088173753233576E-4</v>
      </c>
      <c r="W298" s="1">
        <f t="shared" si="77"/>
        <v>3.363696057917745E-2</v>
      </c>
      <c r="X298" s="1">
        <f t="shared" si="78"/>
        <v>0.99757941228006808</v>
      </c>
      <c r="Y298" s="1">
        <f t="shared" si="79"/>
        <v>1.0137257386865033</v>
      </c>
      <c r="Z298" s="1">
        <f t="shared" si="80"/>
        <v>50.686286934325167</v>
      </c>
      <c r="AB298">
        <v>4.28</v>
      </c>
      <c r="AC298">
        <v>5.2480746024977172E-5</v>
      </c>
      <c r="AD298">
        <v>1.9245153251428827E-10</v>
      </c>
      <c r="AE298">
        <v>3.1438819455776052E-3</v>
      </c>
      <c r="AF298">
        <v>3.2285372684807467E-2</v>
      </c>
      <c r="AG298">
        <v>0.9527965725297004</v>
      </c>
      <c r="AH298">
        <v>0.95357159789208135</v>
      </c>
      <c r="AI298">
        <v>47.67857989460407</v>
      </c>
      <c r="AJ298"/>
      <c r="AK298"/>
      <c r="AL298"/>
      <c r="AM298"/>
      <c r="AN298"/>
      <c r="AO298"/>
      <c r="AP298"/>
      <c r="AQ298"/>
      <c r="AR298"/>
    </row>
    <row r="299" spans="1:44" ht="15" customHeight="1" x14ac:dyDescent="0.3">
      <c r="A299" s="2">
        <v>2.98</v>
      </c>
      <c r="B299" s="1">
        <f t="shared" si="68"/>
        <v>1.0471285480508988E-3</v>
      </c>
      <c r="C299" s="1">
        <f t="shared" si="69"/>
        <v>9.6454251188165099E-12</v>
      </c>
      <c r="D299" s="1">
        <f t="shared" si="70"/>
        <v>2.1244124335026503E-2</v>
      </c>
      <c r="E299" s="1">
        <f t="shared" si="71"/>
        <v>-2.0735405583775015E-4</v>
      </c>
      <c r="F299" s="1">
        <f t="shared" si="72"/>
        <v>5.1259849201931598E-4</v>
      </c>
      <c r="G299" s="1">
        <f t="shared" si="73"/>
        <v>-5.1306582560186088E-2</v>
      </c>
      <c r="H299" s="1">
        <f t="shared" si="81"/>
        <v>-0.51306582560186087</v>
      </c>
      <c r="J299" s="2">
        <v>6.97</v>
      </c>
      <c r="K299" s="1">
        <v>1.0715193052376054E-7</v>
      </c>
      <c r="L299" s="1">
        <v>9.4258684380496176E-8</v>
      </c>
      <c r="M299" s="1">
        <v>2.8513529072005678E-3</v>
      </c>
      <c r="N299" s="1">
        <v>2.8581078487999053E-3</v>
      </c>
      <c r="O299" s="1">
        <v>0.83366246918343823</v>
      </c>
      <c r="P299" s="1">
        <v>0.83366171703507386</v>
      </c>
      <c r="Q299" s="2">
        <v>8.3366171703507383</v>
      </c>
      <c r="S299" s="2">
        <v>2.98</v>
      </c>
      <c r="T299" s="1">
        <f t="shared" si="74"/>
        <v>1.0471285480508988E-3</v>
      </c>
      <c r="U299" s="1">
        <f t="shared" si="75"/>
        <v>9.6454251188165099E-12</v>
      </c>
      <c r="V299" s="1">
        <f t="shared" si="76"/>
        <v>-8.8273528034770539E-4</v>
      </c>
      <c r="W299" s="1">
        <f t="shared" si="77"/>
        <v>3.3627578426782573E-2</v>
      </c>
      <c r="X299" s="1">
        <f t="shared" si="78"/>
        <v>0.99752316919947781</v>
      </c>
      <c r="Y299" s="1">
        <f t="shared" si="79"/>
        <v>1.0132997299092654</v>
      </c>
      <c r="Z299" s="1">
        <f t="shared" si="80"/>
        <v>50.664986495463275</v>
      </c>
      <c r="AB299">
        <v>4.29</v>
      </c>
      <c r="AC299">
        <v>5.12861383991364E-5</v>
      </c>
      <c r="AD299">
        <v>1.9693430457556288E-10</v>
      </c>
      <c r="AE299">
        <v>3.2171148904369478E-3</v>
      </c>
      <c r="AF299">
        <v>3.2260961703187679E-2</v>
      </c>
      <c r="AG299">
        <v>0.95175011464466586</v>
      </c>
      <c r="AH299">
        <v>0.95250722520829845</v>
      </c>
      <c r="AI299">
        <v>47.625361260414927</v>
      </c>
      <c r="AJ299"/>
      <c r="AK299"/>
      <c r="AL299"/>
      <c r="AM299"/>
      <c r="AN299"/>
      <c r="AO299"/>
      <c r="AP299"/>
      <c r="AQ299"/>
      <c r="AR299"/>
    </row>
    <row r="300" spans="1:44" ht="15" customHeight="1" x14ac:dyDescent="0.3">
      <c r="A300" s="2">
        <v>2.99</v>
      </c>
      <c r="B300" s="1">
        <f t="shared" si="68"/>
        <v>1.0232929922807533E-3</v>
      </c>
      <c r="C300" s="1">
        <f t="shared" si="69"/>
        <v>9.8700959316536956E-12</v>
      </c>
      <c r="D300" s="1">
        <f t="shared" si="70"/>
        <v>2.1215235320521619E-2</v>
      </c>
      <c r="E300" s="1">
        <f t="shared" si="71"/>
        <v>-2.0253922008693672E-4</v>
      </c>
      <c r="F300" s="1">
        <f t="shared" si="72"/>
        <v>5.2453218184759793E-4</v>
      </c>
      <c r="G300" s="1">
        <f t="shared" si="73"/>
        <v>-5.0127169134649284E-2</v>
      </c>
      <c r="H300" s="1">
        <f t="shared" si="81"/>
        <v>-0.50127169134649285</v>
      </c>
      <c r="J300" s="2">
        <v>6.98</v>
      </c>
      <c r="K300" s="1">
        <v>1.0471285480508987E-7</v>
      </c>
      <c r="L300" s="1">
        <v>9.6454251188165109E-8</v>
      </c>
      <c r="M300" s="1">
        <v>2.79551575955714E-3</v>
      </c>
      <c r="N300" s="1">
        <v>2.8674140400738101E-3</v>
      </c>
      <c r="O300" s="1">
        <v>0.83683096600289475</v>
      </c>
      <c r="P300" s="1">
        <v>0.83683048396220128</v>
      </c>
      <c r="Q300" s="2">
        <v>8.368304839622013</v>
      </c>
      <c r="S300" s="2">
        <v>2.99</v>
      </c>
      <c r="T300" s="1">
        <f t="shared" si="74"/>
        <v>1.0232929922807533E-3</v>
      </c>
      <c r="U300" s="1">
        <f t="shared" si="75"/>
        <v>9.8700959316536956E-12</v>
      </c>
      <c r="V300" s="1">
        <f t="shared" si="76"/>
        <v>-8.5505683558590926E-4</v>
      </c>
      <c r="W300" s="1">
        <f t="shared" si="77"/>
        <v>3.3618352278528642E-2</v>
      </c>
      <c r="X300" s="1">
        <f t="shared" si="78"/>
        <v>0.99746562261408989</v>
      </c>
      <c r="Y300" s="1">
        <f t="shared" si="79"/>
        <v>1.0128809221363955</v>
      </c>
      <c r="Z300" s="1">
        <f t="shared" si="80"/>
        <v>50.644046106819772</v>
      </c>
      <c r="AB300">
        <v>4.3</v>
      </c>
      <c r="AC300">
        <v>5.0118723362727238E-5</v>
      </c>
      <c r="AD300">
        <v>2.0152149381185678E-10</v>
      </c>
      <c r="AE300">
        <v>3.2918877229030879E-3</v>
      </c>
      <c r="AF300">
        <v>3.2236037425698971E-2</v>
      </c>
      <c r="AG300">
        <v>0.95068165854262254</v>
      </c>
      <c r="AH300">
        <v>0.95142126289775864</v>
      </c>
      <c r="AI300">
        <v>47.57106314488793</v>
      </c>
      <c r="AJ300"/>
      <c r="AK300"/>
      <c r="AL300"/>
      <c r="AM300"/>
      <c r="AN300"/>
      <c r="AO300"/>
      <c r="AP300"/>
      <c r="AQ300"/>
      <c r="AR300"/>
    </row>
    <row r="301" spans="1:44" ht="15" customHeight="1" x14ac:dyDescent="0.3">
      <c r="A301" s="2">
        <v>3</v>
      </c>
      <c r="B301" s="1">
        <f t="shared" si="68"/>
        <v>1E-3</v>
      </c>
      <c r="C301" s="1">
        <f t="shared" si="69"/>
        <v>1.0099999999999999E-11</v>
      </c>
      <c r="D301" s="1">
        <f t="shared" si="70"/>
        <v>2.1186990720805366E-2</v>
      </c>
      <c r="E301" s="1">
        <f t="shared" si="71"/>
        <v>-1.9783178680089444E-4</v>
      </c>
      <c r="F301" s="1">
        <f t="shared" si="72"/>
        <v>5.3674354801846991E-4</v>
      </c>
      <c r="G301" s="1">
        <f t="shared" si="73"/>
        <v>-4.8973520744483023E-2</v>
      </c>
      <c r="H301" s="1">
        <f t="shared" si="81"/>
        <v>-0.48973520744483023</v>
      </c>
      <c r="J301" s="2">
        <v>6.99</v>
      </c>
      <c r="K301" s="1">
        <v>1.0232929922807534E-7</v>
      </c>
      <c r="L301" s="1">
        <v>9.8700959316536942E-8</v>
      </c>
      <c r="M301" s="1">
        <v>2.7405971631349751E-3</v>
      </c>
      <c r="N301" s="1">
        <v>2.8765671394775042E-3</v>
      </c>
      <c r="O301" s="1">
        <v>0.83995069463475347</v>
      </c>
      <c r="P301" s="1">
        <v>0.8399504827414993</v>
      </c>
      <c r="Q301" s="2">
        <v>8.3995048274149919</v>
      </c>
      <c r="S301" s="2">
        <v>3</v>
      </c>
      <c r="T301" s="1">
        <f t="shared" si="74"/>
        <v>1E-3</v>
      </c>
      <c r="U301" s="1">
        <f t="shared" si="75"/>
        <v>1.0099999999999999E-11</v>
      </c>
      <c r="V301" s="1">
        <f t="shared" si="76"/>
        <v>-8.2783174817690651E-4</v>
      </c>
      <c r="W301" s="1">
        <f t="shared" si="77"/>
        <v>3.3609277249392298E-2</v>
      </c>
      <c r="X301" s="1">
        <f t="shared" si="78"/>
        <v>0.99740674246957917</v>
      </c>
      <c r="Y301" s="1">
        <f t="shared" si="79"/>
        <v>1.0124690877562306</v>
      </c>
      <c r="Z301" s="1">
        <f t="shared" si="80"/>
        <v>50.623454387811528</v>
      </c>
      <c r="AB301">
        <v>4.3099999999999996</v>
      </c>
      <c r="AC301">
        <v>4.8977881936844635E-5</v>
      </c>
      <c r="AD301">
        <v>2.0621553241162238E-10</v>
      </c>
      <c r="AE301">
        <v>3.3682326019484287E-3</v>
      </c>
      <c r="AF301">
        <v>3.2210589132683855E-2</v>
      </c>
      <c r="AG301">
        <v>0.94959079546570735</v>
      </c>
      <c r="AH301">
        <v>0.95031329290438804</v>
      </c>
      <c r="AI301">
        <v>47.515664645219402</v>
      </c>
      <c r="AJ301"/>
      <c r="AK301"/>
      <c r="AL301"/>
      <c r="AM301"/>
      <c r="AN301"/>
      <c r="AO301"/>
      <c r="AP301"/>
      <c r="AQ301"/>
      <c r="AR301"/>
    </row>
    <row r="302" spans="1:44" ht="15" customHeight="1" x14ac:dyDescent="0.3">
      <c r="A302" s="2">
        <v>3.01</v>
      </c>
      <c r="B302" s="1">
        <f t="shared" si="68"/>
        <v>9.7723722095581023E-4</v>
      </c>
      <c r="C302" s="1">
        <f t="shared" si="69"/>
        <v>1.0335259222035621E-11</v>
      </c>
      <c r="D302" s="1">
        <f t="shared" si="70"/>
        <v>2.1159375560810326E-2</v>
      </c>
      <c r="E302" s="1">
        <f t="shared" si="71"/>
        <v>-1.9322926013505445E-4</v>
      </c>
      <c r="F302" s="1">
        <f t="shared" si="72"/>
        <v>5.4923904455312397E-4</v>
      </c>
      <c r="G302" s="1">
        <f t="shared" si="73"/>
        <v>-4.7845061739709614E-2</v>
      </c>
      <c r="H302" s="1">
        <f t="shared" si="81"/>
        <v>-0.4784506173970961</v>
      </c>
      <c r="J302" s="2">
        <v>7</v>
      </c>
      <c r="K302" s="1">
        <v>9.9999999999999995E-8</v>
      </c>
      <c r="L302" s="1">
        <v>1.0099999999999999E-7</v>
      </c>
      <c r="M302" s="1">
        <v>2.6865888326624895E-3</v>
      </c>
      <c r="N302" s="1">
        <v>2.8855685278895847E-3</v>
      </c>
      <c r="O302" s="1">
        <v>0.8430219644140361</v>
      </c>
      <c r="P302" s="1">
        <v>0.84302202284425642</v>
      </c>
      <c r="Q302" s="2">
        <v>8.4302202284425629</v>
      </c>
      <c r="S302" s="2">
        <v>3.01</v>
      </c>
      <c r="T302" s="1">
        <f t="shared" si="74"/>
        <v>9.7723722095581023E-4</v>
      </c>
      <c r="U302" s="1">
        <f t="shared" si="75"/>
        <v>1.0335259222035621E-11</v>
      </c>
      <c r="V302" s="1">
        <f t="shared" si="76"/>
        <v>-8.0104560438504647E-4</v>
      </c>
      <c r="W302" s="1">
        <f t="shared" si="77"/>
        <v>3.3600348534795016E-2</v>
      </c>
      <c r="X302" s="1">
        <f t="shared" si="78"/>
        <v>0.99734649802600506</v>
      </c>
      <c r="Y302" s="1">
        <f t="shared" si="79"/>
        <v>1.0120640031492456</v>
      </c>
      <c r="Z302" s="1">
        <f t="shared" si="80"/>
        <v>50.603200157462283</v>
      </c>
      <c r="AB302">
        <v>4.32</v>
      </c>
      <c r="AC302">
        <v>4.786300923226377E-5</v>
      </c>
      <c r="AD302">
        <v>2.1101890921625825E-10</v>
      </c>
      <c r="AE302">
        <v>3.4461821913410471E-3</v>
      </c>
      <c r="AF302">
        <v>3.2184605936219655E-2</v>
      </c>
      <c r="AG302">
        <v>0.94847711146132607</v>
      </c>
      <c r="AH302">
        <v>0.9491828921896418</v>
      </c>
      <c r="AI302">
        <v>47.459144609482088</v>
      </c>
      <c r="AJ302"/>
      <c r="AK302"/>
      <c r="AL302"/>
      <c r="AM302"/>
      <c r="AN302"/>
      <c r="AO302"/>
      <c r="AP302"/>
      <c r="AQ302"/>
      <c r="AR302"/>
    </row>
    <row r="303" spans="1:44" ht="15" customHeight="1" x14ac:dyDescent="0.3">
      <c r="A303" s="2">
        <v>3.02</v>
      </c>
      <c r="B303" s="1">
        <f t="shared" si="68"/>
        <v>9.5499258602143547E-4</v>
      </c>
      <c r="C303" s="1">
        <f t="shared" si="69"/>
        <v>1.0575998335314089E-11</v>
      </c>
      <c r="D303" s="1">
        <f t="shared" si="70"/>
        <v>2.1132375199234284E-2</v>
      </c>
      <c r="E303" s="1">
        <f t="shared" si="71"/>
        <v>-1.8872919987238056E-4</v>
      </c>
      <c r="F303" s="1">
        <f t="shared" si="72"/>
        <v>5.6202527515232948E-4</v>
      </c>
      <c r="G303" s="1">
        <f t="shared" si="73"/>
        <v>-4.6741228237776752E-2</v>
      </c>
      <c r="H303" s="1">
        <f t="shared" si="81"/>
        <v>-0.4674122823777675</v>
      </c>
      <c r="J303" s="2">
        <v>7.01</v>
      </c>
      <c r="K303" s="1">
        <v>9.7723722095581017E-8</v>
      </c>
      <c r="L303" s="1">
        <v>1.0335259222035622E-7</v>
      </c>
      <c r="M303" s="1">
        <v>2.6334822805988696E-3</v>
      </c>
      <c r="N303" s="1">
        <v>2.8944196199001881E-3</v>
      </c>
      <c r="O303" s="1">
        <v>0.8460451004320948</v>
      </c>
      <c r="P303" s="1">
        <v>0.84604542949839956</v>
      </c>
      <c r="Q303" s="2">
        <v>8.4604542949839949</v>
      </c>
      <c r="S303" s="2">
        <v>3.02</v>
      </c>
      <c r="T303" s="1">
        <f t="shared" si="74"/>
        <v>9.5499258602143547E-4</v>
      </c>
      <c r="U303" s="1">
        <f t="shared" si="75"/>
        <v>1.0575998335314089E-11</v>
      </c>
      <c r="V303" s="1">
        <f t="shared" si="76"/>
        <v>-7.7468422421186629E-4</v>
      </c>
      <c r="W303" s="1">
        <f t="shared" si="77"/>
        <v>3.3591561408070625E-2</v>
      </c>
      <c r="X303" s="1">
        <f t="shared" si="78"/>
        <v>0.99728485784251697</v>
      </c>
      <c r="Y303" s="1">
        <f t="shared" si="79"/>
        <v>1.0116654485580092</v>
      </c>
      <c r="Z303" s="1">
        <f t="shared" si="80"/>
        <v>50.583272427900461</v>
      </c>
      <c r="AB303">
        <v>4.33</v>
      </c>
      <c r="AC303">
        <v>4.6773514128719762E-5</v>
      </c>
      <c r="AD303">
        <v>2.1593417103972569E-10</v>
      </c>
      <c r="AE303">
        <v>3.5257696630948791E-3</v>
      </c>
      <c r="AF303">
        <v>3.2158076778968377E-2</v>
      </c>
      <c r="AG303">
        <v>0.94734018742879744</v>
      </c>
      <c r="AH303">
        <v>0.94802963277429808</v>
      </c>
      <c r="AI303">
        <v>47.401481638714905</v>
      </c>
      <c r="AJ303"/>
      <c r="AK303"/>
      <c r="AL303"/>
      <c r="AM303"/>
      <c r="AN303"/>
      <c r="AO303"/>
      <c r="AP303"/>
      <c r="AQ303"/>
      <c r="AR303"/>
    </row>
    <row r="304" spans="1:44" ht="15" customHeight="1" x14ac:dyDescent="0.3">
      <c r="A304" s="2">
        <v>3.03</v>
      </c>
      <c r="B304" s="1">
        <f t="shared" si="68"/>
        <v>9.3325430079699062E-4</v>
      </c>
      <c r="C304" s="1">
        <f t="shared" si="69"/>
        <v>1.0822344982899829E-11</v>
      </c>
      <c r="D304" s="1">
        <f t="shared" si="70"/>
        <v>2.1105975320778514E-2</v>
      </c>
      <c r="E304" s="1">
        <f t="shared" si="71"/>
        <v>-1.8432922012975197E-4</v>
      </c>
      <c r="F304" s="1">
        <f t="shared" si="72"/>
        <v>5.7510899665216136E-4</v>
      </c>
      <c r="G304" s="1">
        <f t="shared" si="73"/>
        <v>-4.5661467894093102E-2</v>
      </c>
      <c r="H304" s="1">
        <f t="shared" si="81"/>
        <v>-0.456614678940931</v>
      </c>
      <c r="J304" s="2">
        <v>7.02</v>
      </c>
      <c r="K304" s="1">
        <v>9.5499258602143556E-8</v>
      </c>
      <c r="L304" s="1">
        <v>1.0575998335314089E-7</v>
      </c>
      <c r="M304" s="1">
        <v>2.5812688303044301E-3</v>
      </c>
      <c r="N304" s="1">
        <v>2.9031218616159282E-3</v>
      </c>
      <c r="O304" s="1">
        <v>0.84902044278867661</v>
      </c>
      <c r="P304" s="1">
        <v>0.84902104294062652</v>
      </c>
      <c r="Q304" s="2">
        <v>8.4902104294062646</v>
      </c>
      <c r="S304" s="2">
        <v>3.03</v>
      </c>
      <c r="T304" s="1">
        <f t="shared" si="74"/>
        <v>9.3325430079699062E-4</v>
      </c>
      <c r="U304" s="1">
        <f t="shared" si="75"/>
        <v>1.0822344982899829E-11</v>
      </c>
      <c r="V304" s="1">
        <f t="shared" si="76"/>
        <v>-7.4873365392456718E-4</v>
      </c>
      <c r="W304" s="1">
        <f t="shared" si="77"/>
        <v>3.3582911217974853E-2</v>
      </c>
      <c r="X304" s="1">
        <f t="shared" si="78"/>
        <v>0.99722178976173348</v>
      </c>
      <c r="Y304" s="1">
        <f t="shared" si="79"/>
        <v>1.0112732079598044</v>
      </c>
      <c r="Z304" s="1">
        <f t="shared" si="80"/>
        <v>50.563660397990219</v>
      </c>
      <c r="AB304">
        <v>4.34</v>
      </c>
      <c r="AC304">
        <v>4.5708818961487455E-5</v>
      </c>
      <c r="AD304">
        <v>2.2096392401890503E-10</v>
      </c>
      <c r="AE304">
        <v>3.6070287006427981E-3</v>
      </c>
      <c r="AF304">
        <v>3.2130990433119067E-2</v>
      </c>
      <c r="AG304">
        <v>0.94617959917271499</v>
      </c>
      <c r="AH304">
        <v>0.9468530817870815</v>
      </c>
      <c r="AI304">
        <v>47.342654089354077</v>
      </c>
      <c r="AJ304"/>
      <c r="AK304"/>
      <c r="AL304"/>
      <c r="AM304"/>
      <c r="AN304"/>
      <c r="AO304"/>
      <c r="AP304"/>
      <c r="AQ304"/>
      <c r="AR304"/>
    </row>
    <row r="305" spans="1:44" ht="15" customHeight="1" x14ac:dyDescent="0.3">
      <c r="A305" s="2">
        <v>3.04</v>
      </c>
      <c r="B305" s="1">
        <f t="shared" si="68"/>
        <v>9.1201083935590866E-4</v>
      </c>
      <c r="C305" s="1">
        <f t="shared" si="69"/>
        <v>1.1074429781046181E-11</v>
      </c>
      <c r="D305" s="1">
        <f t="shared" si="70"/>
        <v>2.1080161928558994E-2</v>
      </c>
      <c r="E305" s="1">
        <f t="shared" si="71"/>
        <v>-1.8002698809316552E-4</v>
      </c>
      <c r="F305" s="1">
        <f t="shared" si="72"/>
        <v>5.8849712255877563E-4</v>
      </c>
      <c r="G305" s="1">
        <f t="shared" si="73"/>
        <v>-4.4605239675691952E-2</v>
      </c>
      <c r="H305" s="1">
        <f t="shared" si="81"/>
        <v>-0.44605239675691949</v>
      </c>
      <c r="J305" s="2">
        <v>7.03</v>
      </c>
      <c r="K305" s="1">
        <v>9.3325430079699072E-8</v>
      </c>
      <c r="L305" s="1">
        <v>1.0822344982899828E-7</v>
      </c>
      <c r="M305" s="1">
        <v>2.5299396289300579E-3</v>
      </c>
      <c r="N305" s="1">
        <v>2.911676728511657E-3</v>
      </c>
      <c r="O305" s="1">
        <v>0.85194834585257373</v>
      </c>
      <c r="P305" s="1">
        <v>0.85194921767712395</v>
      </c>
      <c r="Q305" s="2">
        <v>8.519492176771239</v>
      </c>
      <c r="S305" s="2">
        <v>3.04</v>
      </c>
      <c r="T305" s="1">
        <f t="shared" si="74"/>
        <v>9.1201083935590866E-4</v>
      </c>
      <c r="U305" s="1">
        <f t="shared" si="75"/>
        <v>1.1074429781046181E-11</v>
      </c>
      <c r="V305" s="1">
        <f t="shared" si="76"/>
        <v>-7.2318015870687124E-4</v>
      </c>
      <c r="W305" s="1">
        <f t="shared" si="77"/>
        <v>3.3574393386235621E-2</v>
      </c>
      <c r="X305" s="1">
        <f t="shared" si="78"/>
        <v>0.99715726089379075</v>
      </c>
      <c r="Y305" s="1">
        <f t="shared" si="79"/>
        <v>1.010887068941829</v>
      </c>
      <c r="Z305" s="1">
        <f t="shared" si="80"/>
        <v>50.544353447091453</v>
      </c>
      <c r="AB305">
        <v>4.3499999999999996</v>
      </c>
      <c r="AC305">
        <v>4.4668359215096341E-5</v>
      </c>
      <c r="AD305">
        <v>2.2611083499540212E-10</v>
      </c>
      <c r="AE305">
        <v>3.6899935017152123E-3</v>
      </c>
      <c r="AF305">
        <v>3.2103335499428259E-2</v>
      </c>
      <c r="AG305">
        <v>0.94499491746331599</v>
      </c>
      <c r="AH305">
        <v>0.94565280152040232</v>
      </c>
      <c r="AI305">
        <v>47.282640076020122</v>
      </c>
      <c r="AJ305"/>
      <c r="AK305"/>
      <c r="AL305"/>
      <c r="AM305"/>
      <c r="AN305"/>
      <c r="AO305"/>
      <c r="AP305"/>
      <c r="AQ305"/>
      <c r="AR305"/>
    </row>
    <row r="306" spans="1:44" ht="15" customHeight="1" x14ac:dyDescent="0.3">
      <c r="A306" s="2">
        <v>3.05</v>
      </c>
      <c r="B306" s="1">
        <f t="shared" si="68"/>
        <v>8.9125093813374539E-4</v>
      </c>
      <c r="C306" s="1">
        <f t="shared" si="69"/>
        <v>1.1332386388449832E-11</v>
      </c>
      <c r="D306" s="1">
        <f t="shared" si="70"/>
        <v>2.105492133668653E-2</v>
      </c>
      <c r="E306" s="1">
        <f t="shared" si="71"/>
        <v>-1.7582022278108777E-4</v>
      </c>
      <c r="F306" s="1">
        <f t="shared" si="72"/>
        <v>6.0219672666400354E-4</v>
      </c>
      <c r="G306" s="1">
        <f t="shared" si="73"/>
        <v>-4.3572013638028997E-2</v>
      </c>
      <c r="H306" s="1">
        <f t="shared" si="81"/>
        <v>-0.43572013638028995</v>
      </c>
      <c r="J306" s="2">
        <v>7.04</v>
      </c>
      <c r="K306" s="1">
        <v>9.120108393559095E-8</v>
      </c>
      <c r="L306" s="1">
        <v>1.1074429781046171E-7</v>
      </c>
      <c r="M306" s="1">
        <v>2.4794856600172887E-3</v>
      </c>
      <c r="N306" s="1">
        <v>2.9200857233304522E-3</v>
      </c>
      <c r="O306" s="1">
        <v>0.85482917753175947</v>
      </c>
      <c r="P306" s="1">
        <v>0.85483032175377116</v>
      </c>
      <c r="Q306" s="2">
        <v>8.5483032175377112</v>
      </c>
      <c r="S306" s="2">
        <v>3.05</v>
      </c>
      <c r="T306" s="1">
        <f t="shared" si="74"/>
        <v>8.9125093813374539E-4</v>
      </c>
      <c r="U306" s="1">
        <f t="shared" si="75"/>
        <v>1.1332386388449832E-11</v>
      </c>
      <c r="V306" s="1">
        <f t="shared" si="76"/>
        <v>-6.9801021542810905E-4</v>
      </c>
      <c r="W306" s="1">
        <f t="shared" si="77"/>
        <v>3.3566003405142708E-2</v>
      </c>
      <c r="X306" s="1">
        <f t="shared" si="78"/>
        <v>0.99709123760005391</v>
      </c>
      <c r="Y306" s="1">
        <f t="shared" si="79"/>
        <v>1.0105068225788802</v>
      </c>
      <c r="Z306" s="1">
        <f t="shared" si="80"/>
        <v>50.525341128944014</v>
      </c>
      <c r="AB306">
        <v>4.3600000000000003</v>
      </c>
      <c r="AC306">
        <v>4.3651583224016559E-5</v>
      </c>
      <c r="AD306">
        <v>2.3137763292954526E-10</v>
      </c>
      <c r="AE306">
        <v>3.7746987809064454E-3</v>
      </c>
      <c r="AF306">
        <v>3.2075100406364521E-2</v>
      </c>
      <c r="AG306">
        <v>0.94378570810415141</v>
      </c>
      <c r="AH306">
        <v>0.94442834949350252</v>
      </c>
      <c r="AI306">
        <v>47.221417474675121</v>
      </c>
      <c r="AJ306"/>
      <c r="AK306"/>
      <c r="AL306"/>
      <c r="AM306"/>
      <c r="AN306"/>
      <c r="AO306"/>
      <c r="AP306"/>
      <c r="AQ306"/>
      <c r="AR306"/>
    </row>
    <row r="307" spans="1:44" ht="15" customHeight="1" x14ac:dyDescent="0.3">
      <c r="A307" s="2">
        <v>3.06</v>
      </c>
      <c r="B307" s="1">
        <f t="shared" si="68"/>
        <v>8.7096358995607975E-4</v>
      </c>
      <c r="C307" s="1">
        <f t="shared" si="69"/>
        <v>1.1596351577118526E-11</v>
      </c>
      <c r="D307" s="1">
        <f t="shared" si="70"/>
        <v>2.1030240163011787E-2</v>
      </c>
      <c r="E307" s="1">
        <f t="shared" si="71"/>
        <v>-1.7170669383529774E-4</v>
      </c>
      <c r="F307" s="1">
        <f t="shared" si="72"/>
        <v>6.1621504674358853E-4</v>
      </c>
      <c r="G307" s="1">
        <f t="shared" si="73"/>
        <v>-4.2561270704915916E-2</v>
      </c>
      <c r="H307" s="1">
        <f t="shared" si="81"/>
        <v>-0.42561270704915916</v>
      </c>
      <c r="J307" s="2">
        <v>7.05</v>
      </c>
      <c r="K307" s="1">
        <v>8.9125093813374537E-8</v>
      </c>
      <c r="L307" s="1">
        <v>1.1332386388449832E-7</v>
      </c>
      <c r="M307" s="1">
        <v>2.4298977558013441E-3</v>
      </c>
      <c r="N307" s="1">
        <v>2.9283503740331089E-3</v>
      </c>
      <c r="O307" s="1">
        <v>0.85766331855385691</v>
      </c>
      <c r="P307" s="1">
        <v>0.85766473603667803</v>
      </c>
      <c r="Q307" s="2">
        <v>8.5766473603667794</v>
      </c>
      <c r="S307" s="2">
        <v>3.06</v>
      </c>
      <c r="T307" s="1">
        <f t="shared" si="74"/>
        <v>8.7096358995607975E-4</v>
      </c>
      <c r="U307" s="1">
        <f t="shared" si="75"/>
        <v>1.1596351577118526E-11</v>
      </c>
      <c r="V307" s="1">
        <f t="shared" si="76"/>
        <v>-6.7321050552707391E-4</v>
      </c>
      <c r="W307" s="1">
        <f t="shared" si="77"/>
        <v>3.355773683517569E-2</v>
      </c>
      <c r="X307" s="1">
        <f t="shared" si="78"/>
        <v>0.99702368547648523</v>
      </c>
      <c r="Y307" s="1">
        <f t="shared" si="79"/>
        <v>1.0101322633134429</v>
      </c>
      <c r="Z307" s="1">
        <f t="shared" si="80"/>
        <v>50.50661316567215</v>
      </c>
      <c r="AB307">
        <v>4.37</v>
      </c>
      <c r="AC307">
        <v>4.265795188015923E-5</v>
      </c>
      <c r="AD307">
        <v>2.367671103473123E-10</v>
      </c>
      <c r="AE307">
        <v>3.8611797719101002E-3</v>
      </c>
      <c r="AF307">
        <v>3.20462734093633E-2</v>
      </c>
      <c r="AG307">
        <v>0.94255153200735486</v>
      </c>
      <c r="AH307">
        <v>0.94317927852330419</v>
      </c>
      <c r="AI307">
        <v>47.158963926165214</v>
      </c>
      <c r="AJ307"/>
      <c r="AK307"/>
      <c r="AL307"/>
      <c r="AM307"/>
      <c r="AN307"/>
      <c r="AO307"/>
      <c r="AP307"/>
      <c r="AQ307"/>
      <c r="AR307"/>
    </row>
    <row r="308" spans="1:44" ht="15" customHeight="1" x14ac:dyDescent="0.3">
      <c r="A308" s="2">
        <v>3.07</v>
      </c>
      <c r="B308" s="1">
        <f t="shared" si="68"/>
        <v>8.5113803820237646E-4</v>
      </c>
      <c r="C308" s="1">
        <f t="shared" si="69"/>
        <v>1.1866465304889248E-11</v>
      </c>
      <c r="D308" s="1">
        <f t="shared" si="70"/>
        <v>2.100610532203152E-2</v>
      </c>
      <c r="E308" s="1">
        <f t="shared" si="71"/>
        <v>-1.6768422033858676E-4</v>
      </c>
      <c r="F308" s="1">
        <f t="shared" si="72"/>
        <v>6.305594883398932E-4</v>
      </c>
      <c r="G308" s="1">
        <f t="shared" si="73"/>
        <v>-4.1572502451590741E-2</v>
      </c>
      <c r="H308" s="1">
        <f t="shared" si="81"/>
        <v>-0.41572502451590737</v>
      </c>
      <c r="J308" s="2">
        <v>7.06</v>
      </c>
      <c r="K308" s="1">
        <v>8.7096358995608061E-8</v>
      </c>
      <c r="L308" s="1">
        <v>1.1596351577118515E-7</v>
      </c>
      <c r="M308" s="1">
        <v>2.381166609210806E-3</v>
      </c>
      <c r="N308" s="1">
        <v>2.936472231798199E-3</v>
      </c>
      <c r="O308" s="1">
        <v>0.86045116175771208</v>
      </c>
      <c r="P308" s="1">
        <v>0.86045285350382505</v>
      </c>
      <c r="Q308" s="2">
        <v>8.6045285350382503</v>
      </c>
      <c r="S308" s="2">
        <v>3.07</v>
      </c>
      <c r="T308" s="1">
        <f t="shared" si="74"/>
        <v>8.5113803820237646E-4</v>
      </c>
      <c r="U308" s="1">
        <f t="shared" si="75"/>
        <v>1.1866465304889248E-11</v>
      </c>
      <c r="V308" s="1">
        <f t="shared" si="76"/>
        <v>-6.4876790800682789E-4</v>
      </c>
      <c r="W308" s="1">
        <f t="shared" si="77"/>
        <v>3.3549589302668943E-2</v>
      </c>
      <c r="X308" s="1">
        <f t="shared" si="78"/>
        <v>0.99695456933666149</v>
      </c>
      <c r="Y308" s="1">
        <f t="shared" si="79"/>
        <v>1.0097631888380922</v>
      </c>
      <c r="Z308" s="1">
        <f t="shared" si="80"/>
        <v>50.488159441904607</v>
      </c>
      <c r="AB308">
        <v>4.38</v>
      </c>
      <c r="AC308">
        <v>4.1686938347033504E-5</v>
      </c>
      <c r="AD308">
        <v>2.4228212482096872E-10</v>
      </c>
      <c r="AE308">
        <v>3.9494722294046844E-3</v>
      </c>
      <c r="AF308">
        <v>3.2016842590198435E-2</v>
      </c>
      <c r="AG308">
        <v>0.94129194527681415</v>
      </c>
      <c r="AH308">
        <v>0.94190513680326271</v>
      </c>
      <c r="AI308">
        <v>47.095256840163131</v>
      </c>
      <c r="AJ308"/>
      <c r="AK308"/>
      <c r="AL308"/>
      <c r="AM308"/>
      <c r="AN308"/>
      <c r="AO308"/>
      <c r="AP308"/>
      <c r="AQ308"/>
      <c r="AR308"/>
    </row>
    <row r="309" spans="1:44" ht="15" customHeight="1" x14ac:dyDescent="0.3">
      <c r="A309" s="2">
        <v>3.08</v>
      </c>
      <c r="B309" s="1">
        <f t="shared" si="68"/>
        <v>8.3176377110267033E-4</v>
      </c>
      <c r="C309" s="1">
        <f t="shared" si="69"/>
        <v>1.2142870789635878E-11</v>
      </c>
      <c r="D309" s="1">
        <f t="shared" si="70"/>
        <v>2.0982504017952083E-2</v>
      </c>
      <c r="E309" s="1">
        <f t="shared" si="71"/>
        <v>-1.6375066965868047E-4</v>
      </c>
      <c r="F309" s="1">
        <f t="shared" si="72"/>
        <v>6.4523762863099784E-4</v>
      </c>
      <c r="G309" s="1">
        <f t="shared" si="73"/>
        <v>-4.0605210890919119E-2</v>
      </c>
      <c r="H309" s="1">
        <f t="shared" si="81"/>
        <v>-0.40605210890919119</v>
      </c>
      <c r="J309" s="2">
        <v>7.07</v>
      </c>
      <c r="K309" s="1">
        <v>8.5113803820237355E-8</v>
      </c>
      <c r="L309" s="1">
        <v>1.1866465304889288E-7</v>
      </c>
      <c r="M309" s="1">
        <v>2.3332827855582104E-3</v>
      </c>
      <c r="N309" s="1">
        <v>2.9444528690736314E-3</v>
      </c>
      <c r="O309" s="1">
        <v>0.86319311139679022</v>
      </c>
      <c r="P309" s="1">
        <v>0.86319507854853095</v>
      </c>
      <c r="Q309" s="2">
        <v>8.6319507854853086</v>
      </c>
      <c r="S309" s="2">
        <v>3.08</v>
      </c>
      <c r="T309" s="1">
        <f t="shared" si="74"/>
        <v>8.3176377110267033E-4</v>
      </c>
      <c r="U309" s="1">
        <f t="shared" si="75"/>
        <v>1.2142870789635878E-11</v>
      </c>
      <c r="V309" s="1">
        <f t="shared" si="76"/>
        <v>-6.2466949253675824E-4</v>
      </c>
      <c r="W309" s="1">
        <f t="shared" si="77"/>
        <v>3.3541556497512254E-2</v>
      </c>
      <c r="X309" s="1">
        <f t="shared" si="78"/>
        <v>0.99688385319443595</v>
      </c>
      <c r="Y309" s="1">
        <f t="shared" si="79"/>
        <v>1.0093993999801301</v>
      </c>
      <c r="Z309" s="1">
        <f t="shared" si="80"/>
        <v>50.469969999006501</v>
      </c>
      <c r="AB309">
        <v>4.3899999999999997</v>
      </c>
      <c r="AC309">
        <v>4.0738027780411247E-5</v>
      </c>
      <c r="AD309">
        <v>2.4792560048418819E-10</v>
      </c>
      <c r="AE309">
        <v>4.0396124305691252E-3</v>
      </c>
      <c r="AF309">
        <v>3.1986795856476957E-2</v>
      </c>
      <c r="AG309">
        <v>0.94000649929955515</v>
      </c>
      <c r="AH309">
        <v>0.94060546799052946</v>
      </c>
      <c r="AI309">
        <v>47.030273399526479</v>
      </c>
      <c r="AJ309"/>
      <c r="AK309"/>
      <c r="AL309"/>
      <c r="AM309"/>
      <c r="AN309"/>
      <c r="AO309"/>
      <c r="AP309"/>
      <c r="AQ309"/>
      <c r="AR309"/>
    </row>
    <row r="310" spans="1:44" ht="15" customHeight="1" x14ac:dyDescent="0.3">
      <c r="A310" s="2">
        <v>3.09</v>
      </c>
      <c r="B310" s="1">
        <f t="shared" si="68"/>
        <v>8.1283051616409872E-4</v>
      </c>
      <c r="C310" s="1">
        <f t="shared" si="69"/>
        <v>1.2425714585205061E-11</v>
      </c>
      <c r="D310" s="1">
        <f t="shared" si="70"/>
        <v>2.0959423737906675E-2</v>
      </c>
      <c r="E310" s="1">
        <f t="shared" si="71"/>
        <v>-1.5990395631777896E-4</v>
      </c>
      <c r="F310" s="1">
        <f t="shared" si="72"/>
        <v>6.6025722038808596E-4</v>
      </c>
      <c r="G310" s="1">
        <f t="shared" si="73"/>
        <v>-3.9658908262722087E-2</v>
      </c>
      <c r="H310" s="1">
        <f t="shared" si="81"/>
        <v>-0.39658908262722087</v>
      </c>
      <c r="J310" s="2">
        <v>7.08</v>
      </c>
      <c r="K310" s="1">
        <v>8.3176377110266823E-8</v>
      </c>
      <c r="L310" s="1">
        <v>1.2142870789635911E-7</v>
      </c>
      <c r="M310" s="1">
        <v>2.2862367339171888E-3</v>
      </c>
      <c r="N310" s="1">
        <v>2.9522938776804686E-3</v>
      </c>
      <c r="O310" s="1">
        <v>0.86588958245504422</v>
      </c>
      <c r="P310" s="1">
        <v>0.86589182629538908</v>
      </c>
      <c r="Q310" s="2">
        <v>8.6589182629538897</v>
      </c>
      <c r="S310" s="2">
        <v>3.09</v>
      </c>
      <c r="T310" s="1">
        <f t="shared" si="74"/>
        <v>8.1283051616409872E-4</v>
      </c>
      <c r="U310" s="1">
        <f t="shared" si="75"/>
        <v>1.2425714585205061E-11</v>
      </c>
      <c r="V310" s="1">
        <f t="shared" si="76"/>
        <v>-6.0090251265875502E-4</v>
      </c>
      <c r="W310" s="1">
        <f t="shared" si="77"/>
        <v>3.3533634170886256E-2</v>
      </c>
      <c r="X310" s="1">
        <f t="shared" si="78"/>
        <v>0.9968115002462371</v>
      </c>
      <c r="Y310" s="1">
        <f t="shared" si="79"/>
        <v>1.0090407005883799</v>
      </c>
      <c r="Z310" s="1">
        <f t="shared" si="80"/>
        <v>50.452035029419001</v>
      </c>
      <c r="AB310">
        <v>4.4000000000000004</v>
      </c>
      <c r="AC310">
        <v>3.9810717055349634E-5</v>
      </c>
      <c r="AD310">
        <v>2.5370052958246817E-10</v>
      </c>
      <c r="AE310">
        <v>4.1316371762082126E-3</v>
      </c>
      <c r="AF310">
        <v>3.1956120941263925E-2</v>
      </c>
      <c r="AG310">
        <v>0.93869474084565041</v>
      </c>
      <c r="AH310">
        <v>0.93927981130173732</v>
      </c>
      <c r="AI310">
        <v>46.963990565086867</v>
      </c>
      <c r="AJ310"/>
      <c r="AK310"/>
      <c r="AL310"/>
      <c r="AM310"/>
      <c r="AN310"/>
      <c r="AO310"/>
      <c r="AP310"/>
      <c r="AQ310"/>
      <c r="AR310"/>
    </row>
    <row r="311" spans="1:44" ht="15" customHeight="1" x14ac:dyDescent="0.3">
      <c r="A311" s="2">
        <v>3.1</v>
      </c>
      <c r="B311" s="1">
        <f t="shared" si="68"/>
        <v>7.9432823472428099E-4</v>
      </c>
      <c r="C311" s="1">
        <f t="shared" si="69"/>
        <v>1.2715146659121097E-11</v>
      </c>
      <c r="D311" s="1">
        <f t="shared" si="70"/>
        <v>2.093685224532266E-2</v>
      </c>
      <c r="E311" s="1">
        <f t="shared" si="71"/>
        <v>-1.5614204088710963E-4</v>
      </c>
      <c r="F311" s="1">
        <f t="shared" si="72"/>
        <v>6.7562619602312181E-4</v>
      </c>
      <c r="G311" s="1">
        <f t="shared" si="73"/>
        <v>-3.8733116826219174E-2</v>
      </c>
      <c r="H311" s="1">
        <f t="shared" si="81"/>
        <v>-0.38733116826219172</v>
      </c>
      <c r="J311" s="2">
        <v>7.09</v>
      </c>
      <c r="K311" s="1">
        <v>8.128305161640995E-8</v>
      </c>
      <c r="L311" s="1">
        <v>1.2425714585205047E-7</v>
      </c>
      <c r="M311" s="1">
        <v>2.2400187981822905E-3</v>
      </c>
      <c r="N311" s="1">
        <v>2.9599968669696184E-3</v>
      </c>
      <c r="O311" s="1">
        <v>0.86854099997585166</v>
      </c>
      <c r="P311" s="1">
        <v>0.86854352192927509</v>
      </c>
      <c r="Q311" s="2">
        <v>8.6854352192927511</v>
      </c>
      <c r="S311" s="2">
        <v>3.1</v>
      </c>
      <c r="T311" s="1">
        <f t="shared" si="74"/>
        <v>7.9432823472428099E-4</v>
      </c>
      <c r="U311" s="1">
        <f t="shared" si="75"/>
        <v>1.2715146659121097E-11</v>
      </c>
      <c r="V311" s="1">
        <f t="shared" si="76"/>
        <v>-5.7745439909344864E-4</v>
      </c>
      <c r="W311" s="1">
        <f t="shared" si="77"/>
        <v>3.3525818133031154E-2</v>
      </c>
      <c r="X311" s="1">
        <f t="shared" si="78"/>
        <v>0.99673747285299852</v>
      </c>
      <c r="Y311" s="1">
        <f t="shared" si="79"/>
        <v>1.0086868974220558</v>
      </c>
      <c r="Z311" s="1">
        <f t="shared" si="80"/>
        <v>50.434344871102795</v>
      </c>
      <c r="AB311">
        <v>4.41</v>
      </c>
      <c r="AC311">
        <v>3.8904514499428046E-5</v>
      </c>
      <c r="AD311">
        <v>2.5960997405965533E-10</v>
      </c>
      <c r="AE311">
        <v>4.2255837914661623E-3</v>
      </c>
      <c r="AF311">
        <v>3.1924805402844612E-2</v>
      </c>
      <c r="AG311">
        <v>0.93735621217697096</v>
      </c>
      <c r="AH311">
        <v>0.93792770161772354</v>
      </c>
      <c r="AI311">
        <v>46.896385080886176</v>
      </c>
      <c r="AJ311"/>
      <c r="AK311"/>
      <c r="AL311"/>
      <c r="AM311"/>
      <c r="AN311"/>
      <c r="AO311"/>
      <c r="AP311"/>
      <c r="AQ311"/>
      <c r="AR311"/>
    </row>
    <row r="312" spans="1:44" ht="15" customHeight="1" x14ac:dyDescent="0.3">
      <c r="A312" s="2">
        <v>3.11</v>
      </c>
      <c r="B312" s="1">
        <f t="shared" si="68"/>
        <v>7.7624711662869128E-4</v>
      </c>
      <c r="C312" s="1">
        <f t="shared" si="69"/>
        <v>1.301132047210066E-11</v>
      </c>
      <c r="D312" s="1">
        <f t="shared" si="70"/>
        <v>2.0914777573435465E-2</v>
      </c>
      <c r="E312" s="1">
        <f t="shared" si="71"/>
        <v>-1.5246292890591119E-4</v>
      </c>
      <c r="F312" s="1">
        <f t="shared" si="72"/>
        <v>6.9135267172880702E-4</v>
      </c>
      <c r="G312" s="1">
        <f t="shared" si="73"/>
        <v>-3.7827368655576163E-2</v>
      </c>
      <c r="H312" s="1">
        <f t="shared" si="81"/>
        <v>-0.3782736865557616</v>
      </c>
      <c r="J312" s="2">
        <v>7.1</v>
      </c>
      <c r="K312" s="1">
        <v>7.943282347242818E-8</v>
      </c>
      <c r="L312" s="1">
        <v>1.2715146659121083E-7</v>
      </c>
      <c r="M312" s="1">
        <v>2.1946192278087672E-3</v>
      </c>
      <c r="N312" s="1">
        <v>2.9675634620318723E-3</v>
      </c>
      <c r="O312" s="1">
        <v>0.87114779840455547</v>
      </c>
      <c r="P312" s="1">
        <v>0.8711506000379573</v>
      </c>
      <c r="Q312" s="2">
        <v>8.7115060003795719</v>
      </c>
      <c r="S312" s="2">
        <v>3.11</v>
      </c>
      <c r="T312" s="1">
        <f t="shared" si="74"/>
        <v>7.7624711662869128E-4</v>
      </c>
      <c r="U312" s="1">
        <f t="shared" si="75"/>
        <v>1.301132047210066E-11</v>
      </c>
      <c r="V312" s="1">
        <f t="shared" si="76"/>
        <v>-5.5431275314371206E-4</v>
      </c>
      <c r="W312" s="1">
        <f t="shared" si="77"/>
        <v>3.3518104251047905E-2</v>
      </c>
      <c r="X312" s="1">
        <f t="shared" si="78"/>
        <v>0.99666173252171197</v>
      </c>
      <c r="Y312" s="1">
        <f t="shared" si="79"/>
        <v>1.0083378000416368</v>
      </c>
      <c r="Z312" s="1">
        <f t="shared" si="80"/>
        <v>50.416890002081843</v>
      </c>
      <c r="AB312">
        <v>4.42</v>
      </c>
      <c r="AC312">
        <v>3.8018939632056103E-5</v>
      </c>
      <c r="AD312">
        <v>2.6565706718143368E-10</v>
      </c>
      <c r="AE312">
        <v>4.3214901261072825E-3</v>
      </c>
      <c r="AF312">
        <v>3.1892836624630903E-2</v>
      </c>
      <c r="AG312">
        <v>0.93599045116509871</v>
      </c>
      <c r="AH312">
        <v>0.93654866959750438</v>
      </c>
      <c r="AI312">
        <v>46.827433479875225</v>
      </c>
      <c r="AJ312"/>
      <c r="AK312"/>
      <c r="AL312"/>
      <c r="AM312"/>
      <c r="AN312"/>
      <c r="AO312"/>
      <c r="AP312"/>
      <c r="AQ312"/>
      <c r="AR312"/>
    </row>
    <row r="313" spans="1:44" ht="15" customHeight="1" x14ac:dyDescent="0.3">
      <c r="A313" s="2">
        <v>3.12</v>
      </c>
      <c r="B313" s="1">
        <f t="shared" si="68"/>
        <v>7.5857757502918277E-4</v>
      </c>
      <c r="C313" s="1">
        <f t="shared" si="69"/>
        <v>1.3314393059419728E-11</v>
      </c>
      <c r="D313" s="1">
        <f t="shared" si="70"/>
        <v>2.0893188018945651E-2</v>
      </c>
      <c r="E313" s="1">
        <f t="shared" si="71"/>
        <v>-1.4886466982427527E-4</v>
      </c>
      <c r="F313" s="1">
        <f t="shared" si="72"/>
        <v>7.0744495171288948E-4</v>
      </c>
      <c r="G313" s="1">
        <f t="shared" si="73"/>
        <v>-3.6941205438542846E-2</v>
      </c>
      <c r="H313" s="1">
        <f t="shared" si="81"/>
        <v>-0.36941205438542846</v>
      </c>
      <c r="J313" s="2">
        <v>7.11</v>
      </c>
      <c r="K313" s="1">
        <v>7.7624711662868932E-8</v>
      </c>
      <c r="L313" s="1">
        <v>1.3011320472100693E-7</v>
      </c>
      <c r="M313" s="1">
        <v>2.1500281882302109E-3</v>
      </c>
      <c r="N313" s="1">
        <v>2.9749953019616313E-3</v>
      </c>
      <c r="O313" s="1">
        <v>0.87371042094508167</v>
      </c>
      <c r="P313" s="1">
        <v>0.87371350396878655</v>
      </c>
      <c r="Q313" s="2">
        <v>8.7371350396878658</v>
      </c>
      <c r="S313" s="2">
        <v>3.12</v>
      </c>
      <c r="T313" s="1">
        <f t="shared" si="74"/>
        <v>7.5857757502918277E-4</v>
      </c>
      <c r="U313" s="1">
        <f t="shared" si="75"/>
        <v>1.3314393059419728E-11</v>
      </c>
      <c r="V313" s="1">
        <f t="shared" si="76"/>
        <v>-5.3146534019162721E-4</v>
      </c>
      <c r="W313" s="1">
        <f t="shared" si="77"/>
        <v>3.3510488446730546E-2</v>
      </c>
      <c r="X313" s="1">
        <f t="shared" si="78"/>
        <v>0.99658423988659905</v>
      </c>
      <c r="Y313" s="1">
        <f t="shared" si="79"/>
        <v>1.0079932207016715</v>
      </c>
      <c r="Z313" s="1">
        <f t="shared" si="80"/>
        <v>50.399661035083575</v>
      </c>
      <c r="AB313">
        <v>4.43</v>
      </c>
      <c r="AC313">
        <v>3.7153522909717237E-5</v>
      </c>
      <c r="AD313">
        <v>2.7184501519661858E-10</v>
      </c>
      <c r="AE313">
        <v>4.4193945543405623E-3</v>
      </c>
      <c r="AF313">
        <v>3.1860201815219813E-2</v>
      </c>
      <c r="AG313">
        <v>0.93459699141872865</v>
      </c>
      <c r="AH313">
        <v>0.93514224180183003</v>
      </c>
      <c r="AI313">
        <v>46.75711209009151</v>
      </c>
      <c r="AJ313"/>
      <c r="AK313"/>
      <c r="AL313"/>
      <c r="AM313"/>
      <c r="AN313"/>
      <c r="AO313"/>
      <c r="AP313"/>
      <c r="AQ313"/>
      <c r="AR313"/>
    </row>
    <row r="314" spans="1:44" ht="15" customHeight="1" x14ac:dyDescent="0.3">
      <c r="A314" s="2">
        <v>3.13</v>
      </c>
      <c r="B314" s="1">
        <f t="shared" si="68"/>
        <v>7.4131024130091731E-4</v>
      </c>
      <c r="C314" s="1">
        <f t="shared" si="69"/>
        <v>1.3624525114175705E-11</v>
      </c>
      <c r="D314" s="1">
        <f t="shared" si="70"/>
        <v>2.0872072135815711E-2</v>
      </c>
      <c r="E314" s="1">
        <f t="shared" si="71"/>
        <v>-1.4534535596928569E-4</v>
      </c>
      <c r="F314" s="1">
        <f t="shared" si="72"/>
        <v>7.2391153252891294E-4</v>
      </c>
      <c r="G314" s="1">
        <f t="shared" si="73"/>
        <v>-3.6074178278164455E-2</v>
      </c>
      <c r="H314" s="1">
        <f t="shared" si="81"/>
        <v>-0.36074178278164454</v>
      </c>
      <c r="J314" s="2">
        <v>7.12</v>
      </c>
      <c r="K314" s="1">
        <v>7.5857757502918145E-8</v>
      </c>
      <c r="L314" s="1">
        <v>1.3314393059419751E-7</v>
      </c>
      <c r="M314" s="1">
        <v>2.1062357709529271E-3</v>
      </c>
      <c r="N314" s="1">
        <v>2.9822940381745121E-3</v>
      </c>
      <c r="O314" s="1">
        <v>0.87622931893106482</v>
      </c>
      <c r="P314" s="1">
        <v>0.87623268519989217</v>
      </c>
      <c r="Q314" s="2">
        <v>8.762326851998921</v>
      </c>
      <c r="S314" s="2">
        <v>3.13</v>
      </c>
      <c r="T314" s="1">
        <f t="shared" si="74"/>
        <v>7.4131024130091731E-4</v>
      </c>
      <c r="U314" s="1">
        <f t="shared" si="75"/>
        <v>1.3624525114175705E-11</v>
      </c>
      <c r="V314" s="1">
        <f t="shared" si="76"/>
        <v>-5.0890008328566304E-4</v>
      </c>
      <c r="W314" s="1">
        <f t="shared" si="77"/>
        <v>3.3502966694428558E-2</v>
      </c>
      <c r="X314" s="1">
        <f t="shared" si="78"/>
        <v>0.9965049546898922</v>
      </c>
      <c r="Y314" s="1">
        <f t="shared" si="79"/>
        <v>1.0076529742454394</v>
      </c>
      <c r="Z314" s="1">
        <f t="shared" si="80"/>
        <v>50.382648712271966</v>
      </c>
      <c r="AB314">
        <v>4.4400000000000004</v>
      </c>
      <c r="AC314">
        <v>3.6307805477010065E-5</v>
      </c>
      <c r="AD314">
        <v>2.7817709903715533E-10</v>
      </c>
      <c r="AE314">
        <v>4.5193359741652096E-3</v>
      </c>
      <c r="AF314">
        <v>3.1826888008611595E-2</v>
      </c>
      <c r="AG314">
        <v>0.9331753624208825</v>
      </c>
      <c r="AH314">
        <v>0.9337079408266401</v>
      </c>
      <c r="AI314">
        <v>46.685397041332003</v>
      </c>
      <c r="AJ314"/>
      <c r="AK314"/>
      <c r="AL314"/>
      <c r="AM314"/>
      <c r="AN314"/>
      <c r="AO314"/>
      <c r="AP314"/>
      <c r="AQ314"/>
      <c r="AR314"/>
    </row>
    <row r="315" spans="1:44" ht="15" customHeight="1" x14ac:dyDescent="0.3">
      <c r="A315" s="2">
        <v>3.14</v>
      </c>
      <c r="B315" s="1">
        <f t="shared" si="68"/>
        <v>7.2443596007498929E-4</v>
      </c>
      <c r="C315" s="1">
        <f t="shared" si="69"/>
        <v>1.394188107248915E-11</v>
      </c>
      <c r="D315" s="1">
        <f t="shared" si="70"/>
        <v>2.0851418729203437E-2</v>
      </c>
      <c r="E315" s="1">
        <f t="shared" si="71"/>
        <v>-1.4190312153390618E-4</v>
      </c>
      <c r="F315" s="1">
        <f t="shared" si="72"/>
        <v>7.4076110750556667E-4</v>
      </c>
      <c r="G315" s="1">
        <f t="shared" si="73"/>
        <v>-3.5225847497547577E-2</v>
      </c>
      <c r="H315" s="1">
        <f t="shared" si="81"/>
        <v>-0.35225847497547574</v>
      </c>
      <c r="J315" s="2">
        <v>7.13</v>
      </c>
      <c r="K315" s="1">
        <v>7.413102413009154E-8</v>
      </c>
      <c r="L315" s="1">
        <v>1.3624525114175739E-7</v>
      </c>
      <c r="M315" s="1">
        <v>2.0632320033262506E-3</v>
      </c>
      <c r="N315" s="1">
        <v>2.9894613327789582E-3</v>
      </c>
      <c r="O315" s="1">
        <v>0.87870495121185177</v>
      </c>
      <c r="P315" s="1">
        <v>0.8787086027262585</v>
      </c>
      <c r="Q315" s="2">
        <v>8.7870860272625837</v>
      </c>
      <c r="S315" s="2">
        <v>3.14</v>
      </c>
      <c r="T315" s="1">
        <f t="shared" si="74"/>
        <v>7.2443596007498929E-4</v>
      </c>
      <c r="U315" s="1">
        <f t="shared" si="75"/>
        <v>1.394188107248915E-11</v>
      </c>
      <c r="V315" s="1">
        <f t="shared" si="76"/>
        <v>-4.8660505681519001E-4</v>
      </c>
      <c r="W315" s="1">
        <f t="shared" si="77"/>
        <v>3.3495535018938399E-2</v>
      </c>
      <c r="X315" s="1">
        <f t="shared" si="78"/>
        <v>0.99642383576222038</v>
      </c>
      <c r="Y315" s="1">
        <f t="shared" si="79"/>
        <v>1.0073168780014057</v>
      </c>
      <c r="Z315" s="1">
        <f t="shared" si="80"/>
        <v>50.365843900070288</v>
      </c>
      <c r="AB315">
        <v>4.45</v>
      </c>
      <c r="AC315">
        <v>3.5481338923357479E-5</v>
      </c>
      <c r="AD315">
        <v>2.8465667605771037E-10</v>
      </c>
      <c r="AE315">
        <v>4.6213538062134961E-3</v>
      </c>
      <c r="AF315">
        <v>3.1792882064595504E-2</v>
      </c>
      <c r="AG315">
        <v>0.93172508967626466</v>
      </c>
      <c r="AH315">
        <v>0.93224528544674545</v>
      </c>
      <c r="AI315">
        <v>46.612264272337271</v>
      </c>
      <c r="AJ315"/>
      <c r="AK315"/>
      <c r="AL315"/>
      <c r="AM315"/>
      <c r="AN315"/>
      <c r="AO315"/>
      <c r="AP315"/>
      <c r="AQ315"/>
      <c r="AR315"/>
    </row>
    <row r="316" spans="1:44" ht="15" customHeight="1" x14ac:dyDescent="0.3">
      <c r="A316" s="2">
        <v>3.15</v>
      </c>
      <c r="B316" s="1">
        <f t="shared" si="68"/>
        <v>7.079457843841378E-4</v>
      </c>
      <c r="C316" s="1">
        <f t="shared" si="69"/>
        <v>1.4266629200689819E-11</v>
      </c>
      <c r="D316" s="1">
        <f t="shared" si="70"/>
        <v>2.083121684952852E-2</v>
      </c>
      <c r="E316" s="1">
        <f t="shared" si="71"/>
        <v>-1.3853614158808685E-4</v>
      </c>
      <c r="F316" s="1">
        <f t="shared" si="72"/>
        <v>7.5800257127679846E-4</v>
      </c>
      <c r="G316" s="1">
        <f t="shared" si="73"/>
        <v>-3.4395782447661595E-2</v>
      </c>
      <c r="H316" s="1">
        <f t="shared" si="81"/>
        <v>-0.34395782447661594</v>
      </c>
      <c r="J316" s="2">
        <v>7.14</v>
      </c>
      <c r="K316" s="1">
        <v>7.2443596007499061E-8</v>
      </c>
      <c r="L316" s="1">
        <v>1.3941881072489126E-7</v>
      </c>
      <c r="M316" s="1">
        <v>2.0210068579892783E-3</v>
      </c>
      <c r="N316" s="1">
        <v>2.9964988570017866E-3</v>
      </c>
      <c r="O316" s="1">
        <v>0.8811377835536981</v>
      </c>
      <c r="P316" s="1">
        <v>0.88114172246099454</v>
      </c>
      <c r="Q316" s="2">
        <v>8.8114172246099454</v>
      </c>
      <c r="S316" s="2">
        <v>3.15</v>
      </c>
      <c r="T316" s="1">
        <f t="shared" si="74"/>
        <v>7.079457843841378E-4</v>
      </c>
      <c r="U316" s="1">
        <f t="shared" si="75"/>
        <v>1.4266629200689819E-11</v>
      </c>
      <c r="V316" s="1">
        <f t="shared" si="76"/>
        <v>-4.6456848026844703E-4</v>
      </c>
      <c r="W316" s="1">
        <f t="shared" si="77"/>
        <v>3.3488189493422818E-2</v>
      </c>
      <c r="X316" s="1">
        <f t="shared" si="78"/>
        <v>0.99634084100259146</v>
      </c>
      <c r="Y316" s="1">
        <f t="shared" si="79"/>
        <v>1.006984751681395</v>
      </c>
      <c r="Z316" s="1">
        <f t="shared" si="80"/>
        <v>50.349237584069755</v>
      </c>
      <c r="AB316">
        <v>4.46</v>
      </c>
      <c r="AC316">
        <v>3.4673685045253161E-5</v>
      </c>
      <c r="AD316">
        <v>2.9128718181578721E-10</v>
      </c>
      <c r="AE316">
        <v>4.7254879920662395E-3</v>
      </c>
      <c r="AF316">
        <v>3.1758170669311254E-2</v>
      </c>
      <c r="AG316">
        <v>0.93024569486909059</v>
      </c>
      <c r="AH316">
        <v>0.93075379077006715</v>
      </c>
      <c r="AI316">
        <v>46.537689538503358</v>
      </c>
      <c r="AJ316"/>
      <c r="AK316"/>
      <c r="AL316"/>
      <c r="AM316"/>
      <c r="AN316"/>
      <c r="AO316"/>
      <c r="AP316"/>
      <c r="AQ316"/>
      <c r="AR316"/>
    </row>
    <row r="317" spans="1:44" ht="15" customHeight="1" x14ac:dyDescent="0.3">
      <c r="A317" s="2">
        <v>3.16</v>
      </c>
      <c r="B317" s="1">
        <f t="shared" si="68"/>
        <v>6.9183097091893579E-4</v>
      </c>
      <c r="C317" s="1">
        <f t="shared" si="69"/>
        <v>1.4598941684533881E-11</v>
      </c>
      <c r="D317" s="1">
        <f t="shared" si="70"/>
        <v>2.081145578666934E-2</v>
      </c>
      <c r="E317" s="1">
        <f t="shared" si="71"/>
        <v>-1.3524263111155683E-4</v>
      </c>
      <c r="F317" s="1">
        <f t="shared" si="72"/>
        <v>7.7564502441496261E-4</v>
      </c>
      <c r="G317" s="1">
        <f t="shared" si="73"/>
        <v>-3.3583561318151059E-2</v>
      </c>
      <c r="H317" s="1">
        <f t="shared" si="81"/>
        <v>-0.33583561318151056</v>
      </c>
      <c r="J317" s="2">
        <v>7.15</v>
      </c>
      <c r="K317" s="1">
        <v>7.0794578438413597E-8</v>
      </c>
      <c r="L317" s="1">
        <v>1.4266629200689857E-7</v>
      </c>
      <c r="M317" s="1">
        <v>1.9795502619945789E-3</v>
      </c>
      <c r="N317" s="1">
        <v>3.0034082896675703E-3</v>
      </c>
      <c r="O317" s="1">
        <v>0.88352828805643946</v>
      </c>
      <c r="P317" s="1">
        <v>0.88353251665207755</v>
      </c>
      <c r="Q317" s="2">
        <v>8.835325166520775</v>
      </c>
      <c r="S317" s="2">
        <v>3.16</v>
      </c>
      <c r="T317" s="1">
        <f t="shared" si="74"/>
        <v>6.9183097091893579E-4</v>
      </c>
      <c r="U317" s="1">
        <f t="shared" si="75"/>
        <v>1.4598941684533881E-11</v>
      </c>
      <c r="V317" s="1">
        <f t="shared" si="76"/>
        <v>-4.4277871207172489E-4</v>
      </c>
      <c r="W317" s="1">
        <f t="shared" si="77"/>
        <v>3.3480926237357239E-2</v>
      </c>
      <c r="X317" s="1">
        <f t="shared" si="78"/>
        <v>0.9962559273579642</v>
      </c>
      <c r="Y317" s="1">
        <f t="shared" si="79"/>
        <v>1.006656417280428</v>
      </c>
      <c r="Z317" s="1">
        <f t="shared" si="80"/>
        <v>50.3328208640214</v>
      </c>
      <c r="AB317">
        <v>4.47</v>
      </c>
      <c r="AC317">
        <v>3.3884415613920256E-5</v>
      </c>
      <c r="AD317">
        <v>2.9807213189330492E-10</v>
      </c>
      <c r="AE317">
        <v>4.8317789920156572E-3</v>
      </c>
      <c r="AF317">
        <v>3.172274033599478E-2</v>
      </c>
      <c r="AG317">
        <v>0.92873669603171616</v>
      </c>
      <c r="AH317">
        <v>0.92923296840275948</v>
      </c>
      <c r="AI317">
        <v>46.461648420137969</v>
      </c>
      <c r="AJ317"/>
      <c r="AK317"/>
      <c r="AL317"/>
      <c r="AM317"/>
      <c r="AN317"/>
      <c r="AO317"/>
      <c r="AP317"/>
      <c r="AQ317"/>
      <c r="AR317"/>
    </row>
    <row r="318" spans="1:44" ht="15" customHeight="1" x14ac:dyDescent="0.3">
      <c r="A318" s="2">
        <v>3.17</v>
      </c>
      <c r="B318" s="1">
        <f t="shared" si="68"/>
        <v>6.7608297539198121E-4</v>
      </c>
      <c r="C318" s="1">
        <f t="shared" si="69"/>
        <v>1.4938994720498906E-11</v>
      </c>
      <c r="D318" s="1">
        <f t="shared" si="70"/>
        <v>2.079212506428681E-2</v>
      </c>
      <c r="E318" s="1">
        <f t="shared" si="71"/>
        <v>-1.3202084404780176E-4</v>
      </c>
      <c r="F318" s="1">
        <f t="shared" si="72"/>
        <v>7.93697778169244E-4</v>
      </c>
      <c r="G318" s="1">
        <f t="shared" si="73"/>
        <v>-3.2788770951137483E-2</v>
      </c>
      <c r="H318" s="1">
        <f t="shared" si="81"/>
        <v>-0.3278877095113748</v>
      </c>
      <c r="J318" s="2">
        <v>7.16</v>
      </c>
      <c r="K318" s="1">
        <v>6.9183097091893466E-8</v>
      </c>
      <c r="L318" s="1">
        <v>1.4598941684533906E-7</v>
      </c>
      <c r="M318" s="1">
        <v>1.9388521056104382E-3</v>
      </c>
      <c r="N318" s="1">
        <v>3.0101913157315934E-3</v>
      </c>
      <c r="O318" s="1">
        <v>0.88587694258584981</v>
      </c>
      <c r="P318" s="1">
        <v>0.88588146331478679</v>
      </c>
      <c r="Q318" s="2">
        <v>8.8588146331478672</v>
      </c>
      <c r="S318" s="2">
        <v>3.17</v>
      </c>
      <c r="T318" s="1">
        <f t="shared" si="74"/>
        <v>6.7608297539198121E-4</v>
      </c>
      <c r="U318" s="1">
        <f t="shared" si="75"/>
        <v>1.4938994720498906E-11</v>
      </c>
      <c r="V318" s="1">
        <f t="shared" si="76"/>
        <v>-4.2122424350582124E-4</v>
      </c>
      <c r="W318" s="1">
        <f t="shared" si="77"/>
        <v>3.3473741414501941E-2</v>
      </c>
      <c r="X318" s="1">
        <f t="shared" si="78"/>
        <v>0.99616905080240403</v>
      </c>
      <c r="Y318" s="1">
        <f t="shared" si="79"/>
        <v>1.0063316989781481</v>
      </c>
      <c r="Z318" s="1">
        <f t="shared" si="80"/>
        <v>50.316584948907405</v>
      </c>
      <c r="AB318">
        <v>4.4800000000000004</v>
      </c>
      <c r="AC318">
        <v>3.3113112148259056E-5</v>
      </c>
      <c r="AD318">
        <v>3.0501512376060411E-10</v>
      </c>
      <c r="AE318">
        <v>4.9402677822500459E-3</v>
      </c>
      <c r="AF318">
        <v>3.1686577405916648E-2</v>
      </c>
      <c r="AG318">
        <v>0.92719760772440141</v>
      </c>
      <c r="AH318">
        <v>0.92768232662554473</v>
      </c>
      <c r="AI318">
        <v>46.384116331277241</v>
      </c>
      <c r="AJ318"/>
      <c r="AK318"/>
      <c r="AL318"/>
      <c r="AM318"/>
      <c r="AN318"/>
      <c r="AO318"/>
      <c r="AP318"/>
      <c r="AQ318"/>
      <c r="AR318"/>
    </row>
    <row r="319" spans="1:44" ht="15" customHeight="1" x14ac:dyDescent="0.3">
      <c r="A319" s="2">
        <v>3.18</v>
      </c>
      <c r="B319" s="1">
        <f t="shared" si="68"/>
        <v>6.606934480075955E-4</v>
      </c>
      <c r="C319" s="1">
        <f t="shared" si="69"/>
        <v>1.5286968609205713E-11</v>
      </c>
      <c r="D319" s="1">
        <f t="shared" si="70"/>
        <v>2.077321443427229E-2</v>
      </c>
      <c r="E319" s="1">
        <f t="shared" si="71"/>
        <v>-1.2886907237871485E-4</v>
      </c>
      <c r="F319" s="1">
        <f t="shared" si="72"/>
        <v>8.1217035931172694E-4</v>
      </c>
      <c r="G319" s="1">
        <f t="shared" si="73"/>
        <v>-3.2011006657982566E-2</v>
      </c>
      <c r="H319" s="1">
        <f t="shared" si="81"/>
        <v>-0.32011006657982566</v>
      </c>
      <c r="J319" s="2">
        <v>7.17</v>
      </c>
      <c r="K319" s="1">
        <v>6.7608297539197998E-8</v>
      </c>
      <c r="L319" s="1">
        <v>1.4938994720498934E-7</v>
      </c>
      <c r="M319" s="1">
        <v>1.8989022508034449E-3</v>
      </c>
      <c r="N319" s="1">
        <v>3.0168496248660923E-3</v>
      </c>
      <c r="O319" s="1">
        <v>0.8881842302218832</v>
      </c>
      <c r="P319" s="1">
        <v>0.88818904568002022</v>
      </c>
      <c r="Q319" s="2">
        <v>8.8818904568002015</v>
      </c>
      <c r="S319" s="2">
        <v>3.18</v>
      </c>
      <c r="T319" s="1">
        <f t="shared" si="74"/>
        <v>6.606934480075955E-4</v>
      </c>
      <c r="U319" s="1">
        <f t="shared" si="75"/>
        <v>1.5286968609205713E-11</v>
      </c>
      <c r="V319" s="1">
        <f t="shared" si="76"/>
        <v>-3.9989369269714109E-4</v>
      </c>
      <c r="W319" s="1">
        <f t="shared" si="77"/>
        <v>3.3466631230899047E-2</v>
      </c>
      <c r="X319" s="1">
        <f t="shared" si="78"/>
        <v>0.99608016631581409</v>
      </c>
      <c r="Y319" s="1">
        <f t="shared" si="79"/>
        <v>1.0060104230417812</v>
      </c>
      <c r="Z319" s="1">
        <f t="shared" si="80"/>
        <v>50.300521152089068</v>
      </c>
      <c r="AB319">
        <v>4.49</v>
      </c>
      <c r="AC319">
        <v>3.2359365692962775E-5</v>
      </c>
      <c r="AD319">
        <v>3.121198386838731E-10</v>
      </c>
      <c r="AE319">
        <v>5.050995851433487E-3</v>
      </c>
      <c r="AF319">
        <v>3.1649668049522177E-2</v>
      </c>
      <c r="AG319">
        <v>0.92562794122653735</v>
      </c>
      <c r="AH319">
        <v>0.92610137058159259</v>
      </c>
      <c r="AI319">
        <v>46.305068529079634</v>
      </c>
      <c r="AJ319"/>
      <c r="AK319"/>
      <c r="AL319"/>
      <c r="AM319"/>
      <c r="AN319"/>
      <c r="AO319"/>
      <c r="AP319"/>
      <c r="AQ319"/>
      <c r="AR319"/>
    </row>
    <row r="320" spans="1:44" ht="15" customHeight="1" x14ac:dyDescent="0.3">
      <c r="A320" s="2">
        <v>3.19</v>
      </c>
      <c r="B320" s="1">
        <f t="shared" si="68"/>
        <v>6.4565422903465513E-4</v>
      </c>
      <c r="C320" s="1">
        <f t="shared" si="69"/>
        <v>1.5643047851016069E-11</v>
      </c>
      <c r="D320" s="1">
        <f t="shared" si="70"/>
        <v>2.0754713871316645E-2</v>
      </c>
      <c r="E320" s="1">
        <f t="shared" si="71"/>
        <v>-1.257856452194406E-4</v>
      </c>
      <c r="F320" s="1">
        <f t="shared" si="72"/>
        <v>8.3107251509345712E-4</v>
      </c>
      <c r="G320" s="1">
        <f t="shared" si="73"/>
        <v>-3.12498720389877E-2</v>
      </c>
      <c r="H320" s="1">
        <f t="shared" si="81"/>
        <v>-0.31249872038987697</v>
      </c>
      <c r="J320" s="2">
        <v>7.18</v>
      </c>
      <c r="K320" s="1">
        <v>6.606934480075943E-8</v>
      </c>
      <c r="L320" s="1">
        <v>1.5286968609205741E-7</v>
      </c>
      <c r="M320" s="1">
        <v>1.8596905394040802E-3</v>
      </c>
      <c r="N320" s="1">
        <v>3.0233849100993197E-3</v>
      </c>
      <c r="O320" s="1">
        <v>0.89045063872292496</v>
      </c>
      <c r="P320" s="1">
        <v>0.89045575165862112</v>
      </c>
      <c r="Q320" s="2">
        <v>8.9045575165862108</v>
      </c>
      <c r="S320" s="2">
        <v>3.19</v>
      </c>
      <c r="T320" s="1">
        <f t="shared" si="74"/>
        <v>6.4565422903465513E-4</v>
      </c>
      <c r="U320" s="1">
        <f t="shared" si="75"/>
        <v>1.5643047851016069E-11</v>
      </c>
      <c r="V320" s="1">
        <f t="shared" si="76"/>
        <v>-3.787757986806034E-4</v>
      </c>
      <c r="W320" s="1">
        <f t="shared" si="77"/>
        <v>3.3459591932893537E-2</v>
      </c>
      <c r="X320" s="1">
        <f t="shared" si="78"/>
        <v>0.99598922786223587</v>
      </c>
      <c r="Y320" s="1">
        <f t="shared" si="79"/>
        <v>1.0056924177305706</v>
      </c>
      <c r="Z320" s="1">
        <f t="shared" si="80"/>
        <v>50.284620886528529</v>
      </c>
      <c r="AB320">
        <v>4.5</v>
      </c>
      <c r="AC320">
        <v>3.1622776601683748E-5</v>
      </c>
      <c r="AD320">
        <v>3.1939004367700672E-10</v>
      </c>
      <c r="AE320">
        <v>5.1640051966537785E-3</v>
      </c>
      <c r="AF320">
        <v>3.1611998267782077E-2</v>
      </c>
      <c r="AG320">
        <v>0.92402720473966204</v>
      </c>
      <c r="AH320">
        <v>0.92448960247626311</v>
      </c>
      <c r="AI320">
        <v>46.224480123813159</v>
      </c>
      <c r="AJ320"/>
      <c r="AK320"/>
      <c r="AL320"/>
      <c r="AM320"/>
      <c r="AN320"/>
      <c r="AO320"/>
      <c r="AP320"/>
      <c r="AQ320"/>
      <c r="AR320"/>
    </row>
    <row r="321" spans="1:44" ht="15" customHeight="1" x14ac:dyDescent="0.3">
      <c r="A321" s="2">
        <v>3.2</v>
      </c>
      <c r="B321" s="1">
        <f t="shared" si="68"/>
        <v>6.3095734448019244E-4</v>
      </c>
      <c r="C321" s="1">
        <f t="shared" si="69"/>
        <v>1.6007421243857267E-11</v>
      </c>
      <c r="D321" s="1">
        <f t="shared" si="70"/>
        <v>2.073661356759756E-2</v>
      </c>
      <c r="E321" s="1">
        <f t="shared" si="71"/>
        <v>-1.2276892793292623E-4</v>
      </c>
      <c r="F321" s="1">
        <f t="shared" si="72"/>
        <v>8.5041421831294288E-4</v>
      </c>
      <c r="G321" s="1">
        <f t="shared" si="73"/>
        <v>-3.0504978806000095E-2</v>
      </c>
      <c r="H321" s="1">
        <f t="shared" si="81"/>
        <v>-0.30504978806000094</v>
      </c>
      <c r="J321" s="2">
        <v>7.19</v>
      </c>
      <c r="K321" s="1">
        <v>6.4565422903465397E-8</v>
      </c>
      <c r="L321" s="1">
        <v>1.5643047851016097E-7</v>
      </c>
      <c r="M321" s="1">
        <v>1.8212068009582116E-3</v>
      </c>
      <c r="N321" s="1">
        <v>3.0297988665069645E-3</v>
      </c>
      <c r="O321" s="1">
        <v>0.89267666000615431</v>
      </c>
      <c r="P321" s="1">
        <v>0.8926820733218177</v>
      </c>
      <c r="Q321" s="2">
        <v>8.926820733218177</v>
      </c>
      <c r="S321" s="2">
        <v>3.2</v>
      </c>
      <c r="T321" s="1">
        <f t="shared" si="74"/>
        <v>6.3095734448019244E-4</v>
      </c>
      <c r="U321" s="1">
        <f t="shared" si="75"/>
        <v>1.6007421243857267E-11</v>
      </c>
      <c r="V321" s="1">
        <f t="shared" si="76"/>
        <v>-3.5785941553090166E-4</v>
      </c>
      <c r="W321" s="1">
        <f t="shared" si="77"/>
        <v>3.345261980517697E-2</v>
      </c>
      <c r="X321" s="1">
        <f t="shared" si="78"/>
        <v>0.99589618836771099</v>
      </c>
      <c r="Y321" s="1">
        <f t="shared" si="79"/>
        <v>1.0053775132016203</v>
      </c>
      <c r="Z321" s="1">
        <f t="shared" si="80"/>
        <v>50.268875660081008</v>
      </c>
      <c r="AB321">
        <v>4.51</v>
      </c>
      <c r="AC321">
        <v>3.090295432513586E-5</v>
      </c>
      <c r="AD321">
        <v>3.2682959349892501E-10</v>
      </c>
      <c r="AE321">
        <v>5.2793383187107676E-3</v>
      </c>
      <c r="AF321">
        <v>3.1573553893763075E-2</v>
      </c>
      <c r="AG321">
        <v>0.92239490360259568</v>
      </c>
      <c r="AH321">
        <v>0.92284652178904314</v>
      </c>
      <c r="AI321">
        <v>46.142326089452155</v>
      </c>
      <c r="AJ321"/>
      <c r="AK321"/>
      <c r="AL321"/>
      <c r="AM321"/>
      <c r="AN321"/>
      <c r="AO321"/>
      <c r="AP321"/>
      <c r="AQ321"/>
      <c r="AR321"/>
    </row>
    <row r="322" spans="1:44" ht="15" customHeight="1" x14ac:dyDescent="0.3">
      <c r="A322" s="2">
        <v>3.21</v>
      </c>
      <c r="B322" s="1">
        <f t="shared" si="68"/>
        <v>6.1659500186148184E-4</v>
      </c>
      <c r="C322" s="1">
        <f t="shared" si="69"/>
        <v>1.6380281983325199E-11</v>
      </c>
      <c r="D322" s="1">
        <f t="shared" si="70"/>
        <v>2.0718903927582299E-2</v>
      </c>
      <c r="E322" s="1">
        <f t="shared" si="71"/>
        <v>-1.1981732126371625E-4</v>
      </c>
      <c r="F322" s="1">
        <f t="shared" si="72"/>
        <v>8.7020567249956036E-4</v>
      </c>
      <c r="G322" s="1">
        <f t="shared" si="73"/>
        <v>-2.9775946607896581E-2</v>
      </c>
      <c r="H322" s="1">
        <f t="shared" si="81"/>
        <v>-0.29775946607896581</v>
      </c>
      <c r="J322" s="2">
        <v>7.2</v>
      </c>
      <c r="K322" s="1">
        <v>6.3095734448019177E-8</v>
      </c>
      <c r="L322" s="1">
        <v>1.6007421243857284E-7</v>
      </c>
      <c r="M322" s="1">
        <v>1.7834408602678872E-3</v>
      </c>
      <c r="N322" s="1">
        <v>3.0360931899553519E-3</v>
      </c>
      <c r="O322" s="1">
        <v>0.8948627896440805</v>
      </c>
      <c r="P322" s="1">
        <v>0.89486850639783755</v>
      </c>
      <c r="Q322" s="2">
        <v>8.9486850639783757</v>
      </c>
      <c r="S322" s="2">
        <v>3.21</v>
      </c>
      <c r="T322" s="1">
        <f t="shared" si="74"/>
        <v>6.1659500186148184E-4</v>
      </c>
      <c r="U322" s="1">
        <f t="shared" si="75"/>
        <v>1.6380281983325199E-11</v>
      </c>
      <c r="V322" s="1">
        <f t="shared" si="76"/>
        <v>-3.3713350655974222E-4</v>
      </c>
      <c r="W322" s="1">
        <f t="shared" si="77"/>
        <v>3.3445711168853247E-2</v>
      </c>
      <c r="X322" s="1">
        <f t="shared" si="78"/>
        <v>0.99580099969769853</v>
      </c>
      <c r="Y322" s="1">
        <f t="shared" si="79"/>
        <v>1.005065541417099</v>
      </c>
      <c r="Z322" s="1">
        <f t="shared" si="80"/>
        <v>50.253277070854949</v>
      </c>
      <c r="AB322">
        <v>4.5199999999999996</v>
      </c>
      <c r="AC322">
        <v>3.0199517204020178E-5</v>
      </c>
      <c r="AD322">
        <v>3.344424326974168E-10</v>
      </c>
      <c r="AE322">
        <v>5.3970382167166263E-3</v>
      </c>
      <c r="AF322">
        <v>3.1534320594427789E-2</v>
      </c>
      <c r="AG322">
        <v>0.92073054051901337</v>
      </c>
      <c r="AH322">
        <v>0.92117162549799536</v>
      </c>
      <c r="AI322">
        <v>46.058581274899772</v>
      </c>
      <c r="AJ322"/>
      <c r="AK322"/>
      <c r="AL322"/>
      <c r="AM322"/>
      <c r="AN322"/>
      <c r="AO322"/>
      <c r="AP322"/>
      <c r="AQ322"/>
      <c r="AR322"/>
    </row>
    <row r="323" spans="1:44" ht="15" customHeight="1" x14ac:dyDescent="0.3">
      <c r="A323" s="2">
        <v>3.22</v>
      </c>
      <c r="B323" s="1">
        <f t="shared" ref="B323:B386" si="82">10^(-A323)</f>
        <v>6.0255958607435703E-4</v>
      </c>
      <c r="C323" s="1">
        <f t="shared" ref="C323:C386" si="83">Kw/B323</f>
        <v>1.6761827765119381E-11</v>
      </c>
      <c r="D323" s="1">
        <f t="shared" ref="D323:D386" si="84">((WASB_Ca*WASB_Va)-(WASB_Cb*H323))/(WASB_Va+H323)</f>
        <v>2.0701575562943168E-2</v>
      </c>
      <c r="E323" s="1">
        <f t="shared" ref="E323:E386" si="85">(WASB_Ca*H323)/(WASB_Va+H323)</f>
        <v>-1.1692926049052816E-4</v>
      </c>
      <c r="F323" s="1">
        <f t="shared" ref="F323:F386" si="86">WASB_Ka/(B323+WASB_Ka)</f>
        <v>8.9045731721441076E-4</v>
      </c>
      <c r="G323" s="1">
        <f t="shared" ref="G323:G386" si="87">(F323-((B323-C323)/WASB_Ca)) / (1 + ((B323-C323)/WASB_Cb))</f>
        <v>-2.9062402858913514E-2</v>
      </c>
      <c r="H323" s="1">
        <f t="shared" si="81"/>
        <v>-0.29062402858913511</v>
      </c>
      <c r="J323" s="2">
        <v>7.21</v>
      </c>
      <c r="K323" s="1">
        <v>6.1659500186148087E-8</v>
      </c>
      <c r="L323" s="1">
        <v>1.6380281983325226E-7</v>
      </c>
      <c r="M323" s="1">
        <v>1.7463825446253729E-3</v>
      </c>
      <c r="N323" s="1">
        <v>3.042269575895771E-3</v>
      </c>
      <c r="O323" s="1">
        <v>0.89700952637727316</v>
      </c>
      <c r="P323" s="1">
        <v>0.89701554978471576</v>
      </c>
      <c r="Q323" s="2">
        <v>8.9701554978471574</v>
      </c>
      <c r="S323" s="2">
        <v>3.22</v>
      </c>
      <c r="T323" s="1">
        <f t="shared" ref="T323:T386" si="88">10^-S323</f>
        <v>6.0255958607435703E-4</v>
      </c>
      <c r="U323" s="1">
        <f t="shared" ref="U323:U386" si="89">Kw/T323</f>
        <v>1.6761827765119381E-11</v>
      </c>
      <c r="V323" s="1">
        <f t="shared" ref="V323:V386" si="90">((SAWB_Cb*SAWB_Vb)-(SAWB_Ca*Z323))/(Z323+SAWB_Vb)</f>
        <v>-3.1658713857593746E-4</v>
      </c>
      <c r="W323" s="1">
        <f t="shared" ref="W323:W386" si="91">(SAWB_Cb*Z323)/(Z323+SAWB_Vb)</f>
        <v>3.3438862379525314E-2</v>
      </c>
      <c r="X323" s="1">
        <f t="shared" ref="X323:X386" si="92">T323/(T323+SAWB_Ka)</f>
        <v>0.99570361263403917</v>
      </c>
      <c r="Y323" s="1">
        <f t="shared" ref="Y323:Y386" si="93">(X323+((T323-U323)/SAWB_Cb))/(1-((T323-U323)/SAWB_Ca))</f>
        <v>1.0047563360527443</v>
      </c>
      <c r="Z323" s="1">
        <f t="shared" ref="Z323:Z386" si="94">(Y323*SAWB_Cb*SAWB_Vb)/SAWB_Ca</f>
        <v>50.237816802637212</v>
      </c>
      <c r="AB323">
        <v>4.53</v>
      </c>
      <c r="AC323">
        <v>2.9512092266663827E-5</v>
      </c>
      <c r="AD323">
        <v>3.4223259770059487E-10</v>
      </c>
      <c r="AE323">
        <v>5.5171483819796089E-3</v>
      </c>
      <c r="AF323">
        <v>3.1494283872673466E-2</v>
      </c>
      <c r="AG323">
        <v>0.91903361579777509</v>
      </c>
      <c r="AH323">
        <v>0.91946440831703313</v>
      </c>
      <c r="AI323">
        <v>45.973220415851657</v>
      </c>
      <c r="AJ323"/>
      <c r="AK323"/>
      <c r="AL323"/>
      <c r="AM323"/>
      <c r="AN323"/>
      <c r="AO323"/>
      <c r="AP323"/>
      <c r="AQ323"/>
      <c r="AR323"/>
    </row>
    <row r="324" spans="1:44" ht="15" customHeight="1" x14ac:dyDescent="0.3">
      <c r="A324" s="2">
        <v>3.23</v>
      </c>
      <c r="B324" s="1">
        <f t="shared" si="82"/>
        <v>5.8884365535558883E-4</v>
      </c>
      <c r="C324" s="1">
        <f t="shared" si="83"/>
        <v>1.7152260889863622E-11</v>
      </c>
      <c r="D324" s="1">
        <f t="shared" si="84"/>
        <v>2.0684619287582993E-2</v>
      </c>
      <c r="E324" s="1">
        <f t="shared" si="85"/>
        <v>-1.1410321459716582E-4</v>
      </c>
      <c r="F324" s="1">
        <f t="shared" si="86"/>
        <v>9.1117983347118131E-4</v>
      </c>
      <c r="G324" s="1">
        <f t="shared" si="87"/>
        <v>-2.8363982569791894E-2</v>
      </c>
      <c r="H324" s="1">
        <f t="shared" ref="H324:H387" si="95">G324*(WASB_Va * WASB_Ca)/WASB_Cb</f>
        <v>-0.2836398256979189</v>
      </c>
      <c r="J324" s="2">
        <v>7.22</v>
      </c>
      <c r="K324" s="1">
        <v>6.0255958607435649E-8</v>
      </c>
      <c r="L324" s="1">
        <v>1.6761827765119396E-7</v>
      </c>
      <c r="M324" s="1">
        <v>1.7100216907445607E-3</v>
      </c>
      <c r="N324" s="1">
        <v>3.0483297182092397E-3</v>
      </c>
      <c r="O324" s="1">
        <v>0.89911737164327676</v>
      </c>
      <c r="P324" s="1">
        <v>0.89912370507928985</v>
      </c>
      <c r="Q324" s="2">
        <v>8.9912370507928987</v>
      </c>
      <c r="S324" s="2">
        <v>3.23</v>
      </c>
      <c r="T324" s="1">
        <f t="shared" si="88"/>
        <v>5.8884365535558883E-4</v>
      </c>
      <c r="U324" s="1">
        <f t="shared" si="89"/>
        <v>1.7152260889863622E-11</v>
      </c>
      <c r="V324" s="1">
        <f t="shared" si="90"/>
        <v>-2.9620947620543486E-4</v>
      </c>
      <c r="W324" s="1">
        <f t="shared" si="91"/>
        <v>3.3432069825401811E-2</v>
      </c>
      <c r="X324" s="1">
        <f t="shared" si="92"/>
        <v>0.99560397685146051</v>
      </c>
      <c r="Y324" s="1">
        <f t="shared" si="93"/>
        <v>1.00444973240761</v>
      </c>
      <c r="Z324" s="1">
        <f t="shared" si="94"/>
        <v>50.222486620380501</v>
      </c>
      <c r="AB324">
        <v>4.54</v>
      </c>
      <c r="AC324">
        <v>2.8840315031266029E-5</v>
      </c>
      <c r="AD324">
        <v>3.5020421895705731E-10</v>
      </c>
      <c r="AE324">
        <v>5.6397127911410735E-3</v>
      </c>
      <c r="AF324">
        <v>3.1453429069619641E-2</v>
      </c>
      <c r="AG324">
        <v>0.917303627606326</v>
      </c>
      <c r="AH324">
        <v>0.91772436294633797</v>
      </c>
      <c r="AI324">
        <v>45.886218147316896</v>
      </c>
      <c r="AJ324"/>
      <c r="AK324"/>
      <c r="AL324"/>
      <c r="AM324"/>
      <c r="AN324"/>
      <c r="AO324"/>
      <c r="AP324"/>
      <c r="AQ324"/>
      <c r="AR324"/>
    </row>
    <row r="325" spans="1:44" ht="15" customHeight="1" x14ac:dyDescent="0.3">
      <c r="A325" s="2">
        <v>3.24</v>
      </c>
      <c r="B325" s="1">
        <f t="shared" si="82"/>
        <v>5.7543993733715632E-4</v>
      </c>
      <c r="C325" s="1">
        <f t="shared" si="83"/>
        <v>1.7551788370368709E-11</v>
      </c>
      <c r="D325" s="1">
        <f t="shared" si="84"/>
        <v>2.0668026112767957E-2</v>
      </c>
      <c r="E325" s="1">
        <f t="shared" si="85"/>
        <v>-1.1133768546132652E-4</v>
      </c>
      <c r="F325" s="1">
        <f t="shared" si="86"/>
        <v>9.3238414927968136E-4</v>
      </c>
      <c r="G325" s="1">
        <f t="shared" si="87"/>
        <v>-2.7680328181703594E-2</v>
      </c>
      <c r="H325" s="1">
        <f t="shared" si="95"/>
        <v>-0.2768032818170359</v>
      </c>
      <c r="J325" s="2">
        <v>7.23</v>
      </c>
      <c r="K325" s="1">
        <v>5.8884365535558776E-8</v>
      </c>
      <c r="L325" s="1">
        <v>1.7152260889863652E-7</v>
      </c>
      <c r="M325" s="1">
        <v>1.6743481513944326E-3</v>
      </c>
      <c r="N325" s="1">
        <v>3.0542753081009275E-3</v>
      </c>
      <c r="O325" s="1">
        <v>0.90118682912166781</v>
      </c>
      <c r="P325" s="1">
        <v>0.9011934761223368</v>
      </c>
      <c r="Q325" s="2">
        <v>9.0119347612233671</v>
      </c>
      <c r="S325" s="2">
        <v>3.24</v>
      </c>
      <c r="T325" s="1">
        <f t="shared" si="88"/>
        <v>5.7543993733715632E-4</v>
      </c>
      <c r="U325" s="1">
        <f t="shared" si="89"/>
        <v>1.7551788370368709E-11</v>
      </c>
      <c r="V325" s="1">
        <f t="shared" si="90"/>
        <v>-2.7598977626884828E-4</v>
      </c>
      <c r="W325" s="1">
        <f t="shared" si="91"/>
        <v>3.342532992542295E-2</v>
      </c>
      <c r="X325" s="1">
        <f t="shared" si="92"/>
        <v>0.99550204089361483</v>
      </c>
      <c r="Y325" s="1">
        <f t="shared" si="93"/>
        <v>1.0041455673150115</v>
      </c>
      <c r="Z325" s="1">
        <f t="shared" si="94"/>
        <v>50.207278365750575</v>
      </c>
      <c r="AB325">
        <v>4.55</v>
      </c>
      <c r="AC325">
        <v>2.8183829312644511E-5</v>
      </c>
      <c r="AD325">
        <v>3.5836152312591154E-10</v>
      </c>
      <c r="AE325">
        <v>5.7647758985367109E-3</v>
      </c>
      <c r="AF325">
        <v>3.1411741367154432E-2</v>
      </c>
      <c r="AG325">
        <v>0.91554007223747036</v>
      </c>
      <c r="AH325">
        <v>0.91595098033621647</v>
      </c>
      <c r="AI325">
        <v>45.797549016810819</v>
      </c>
      <c r="AJ325"/>
      <c r="AK325"/>
      <c r="AL325"/>
      <c r="AM325"/>
      <c r="AN325"/>
      <c r="AO325"/>
      <c r="AP325"/>
      <c r="AQ325"/>
      <c r="AR325"/>
    </row>
    <row r="326" spans="1:44" ht="15" customHeight="1" x14ac:dyDescent="0.3">
      <c r="A326" s="2">
        <v>3.25</v>
      </c>
      <c r="B326" s="1">
        <f t="shared" si="82"/>
        <v>5.6234132519034856E-4</v>
      </c>
      <c r="C326" s="1">
        <f t="shared" si="83"/>
        <v>1.7960622041393135E-11</v>
      </c>
      <c r="D326" s="1">
        <f t="shared" si="84"/>
        <v>2.0651787242365275E-2</v>
      </c>
      <c r="E326" s="1">
        <f t="shared" si="85"/>
        <v>-1.0863120706087872E-4</v>
      </c>
      <c r="F326" s="1">
        <f t="shared" si="86"/>
        <v>9.5408144531470022E-4</v>
      </c>
      <c r="G326" s="1">
        <f t="shared" si="87"/>
        <v>-2.7011089402926222E-2</v>
      </c>
      <c r="H326" s="1">
        <f t="shared" si="95"/>
        <v>-0.27011089402926219</v>
      </c>
      <c r="J326" s="2">
        <v>7.24</v>
      </c>
      <c r="K326" s="1">
        <v>5.7543993733715586E-8</v>
      </c>
      <c r="L326" s="1">
        <v>1.7551788370368723E-7</v>
      </c>
      <c r="M326" s="1">
        <v>1.6393518017393345E-3</v>
      </c>
      <c r="N326" s="1">
        <v>3.060108033043444E-3</v>
      </c>
      <c r="O326" s="1">
        <v>0.90321840429518085</v>
      </c>
      <c r="P326" s="1">
        <v>0.90322536855978186</v>
      </c>
      <c r="Q326" s="2">
        <v>9.0322536855978175</v>
      </c>
      <c r="S326" s="2">
        <v>3.25</v>
      </c>
      <c r="T326" s="1">
        <f t="shared" si="88"/>
        <v>5.6234132519034856E-4</v>
      </c>
      <c r="U326" s="1">
        <f t="shared" si="89"/>
        <v>1.7960622041393135E-11</v>
      </c>
      <c r="V326" s="1">
        <f t="shared" si="90"/>
        <v>-2.559173822134049E-4</v>
      </c>
      <c r="W326" s="1">
        <f t="shared" si="91"/>
        <v>3.3418639127404469E-2</v>
      </c>
      <c r="X326" s="1">
        <f t="shared" si="92"/>
        <v>0.99539775214864323</v>
      </c>
      <c r="Y326" s="1">
        <f t="shared" si="93"/>
        <v>1.0038436790546097</v>
      </c>
      <c r="Z326" s="1">
        <f t="shared" si="94"/>
        <v>50.192183952730481</v>
      </c>
      <c r="AB326">
        <v>4.5599999999999996</v>
      </c>
      <c r="AC326">
        <v>2.754228703338164E-5</v>
      </c>
      <c r="AD326">
        <v>3.6670883531780264E-10</v>
      </c>
      <c r="AE326">
        <v>5.8923826277508373E-3</v>
      </c>
      <c r="AF326">
        <v>3.1369205790749727E-2</v>
      </c>
      <c r="AG326">
        <v>0.91374244438981755</v>
      </c>
      <c r="AH326">
        <v>0.91414374996469661</v>
      </c>
      <c r="AI326">
        <v>45.707187498234831</v>
      </c>
      <c r="AJ326"/>
      <c r="AK326"/>
      <c r="AL326"/>
      <c r="AM326"/>
      <c r="AN326"/>
      <c r="AO326"/>
      <c r="AP326"/>
      <c r="AQ326"/>
      <c r="AR326"/>
    </row>
    <row r="327" spans="1:44" ht="15" customHeight="1" x14ac:dyDescent="0.3">
      <c r="A327" s="2">
        <v>3.26</v>
      </c>
      <c r="B327" s="1">
        <f t="shared" si="82"/>
        <v>5.4954087385762466E-4</v>
      </c>
      <c r="C327" s="1">
        <f t="shared" si="83"/>
        <v>1.8378978671960827E-11</v>
      </c>
      <c r="D327" s="1">
        <f t="shared" si="84"/>
        <v>2.0635894068183114E-2</v>
      </c>
      <c r="E327" s="1">
        <f t="shared" si="85"/>
        <v>-1.0598234469718519E-4</v>
      </c>
      <c r="F327" s="1">
        <f t="shared" si="86"/>
        <v>9.7628316071296886E-4</v>
      </c>
      <c r="G327" s="1">
        <f t="shared" si="87"/>
        <v>-2.6355923048230791E-2</v>
      </c>
      <c r="H327" s="1">
        <f t="shared" si="95"/>
        <v>-0.26355923048230789</v>
      </c>
      <c r="J327" s="2">
        <v>7.25</v>
      </c>
      <c r="K327" s="1">
        <v>5.6234132519034806E-8</v>
      </c>
      <c r="L327" s="1">
        <v>1.7960622041393151E-7</v>
      </c>
      <c r="M327" s="1">
        <v>1.605022545391361E-3</v>
      </c>
      <c r="N327" s="1">
        <v>3.0658295757681068E-3</v>
      </c>
      <c r="O327" s="1">
        <v>0.90521260402680404</v>
      </c>
      <c r="P327" s="1">
        <v>0.9052198894198763</v>
      </c>
      <c r="Q327" s="2">
        <v>9.0521988941987619</v>
      </c>
      <c r="S327" s="2">
        <v>3.26</v>
      </c>
      <c r="T327" s="1">
        <f t="shared" si="88"/>
        <v>5.4954087385762466E-4</v>
      </c>
      <c r="U327" s="1">
        <f t="shared" si="89"/>
        <v>1.8378978671960827E-11</v>
      </c>
      <c r="V327" s="1">
        <f t="shared" si="90"/>
        <v>-2.3598171859697971E-4</v>
      </c>
      <c r="W327" s="1">
        <f t="shared" si="91"/>
        <v>3.3411993906198992E-2</v>
      </c>
      <c r="X327" s="1">
        <f t="shared" si="92"/>
        <v>0.99529105682425822</v>
      </c>
      <c r="Y327" s="1">
        <f t="shared" si="93"/>
        <v>1.0035439072655901</v>
      </c>
      <c r="Z327" s="1">
        <f t="shared" si="94"/>
        <v>50.177195363279502</v>
      </c>
      <c r="AB327">
        <v>4.57</v>
      </c>
      <c r="AC327">
        <v>2.6915348039269089E-5</v>
      </c>
      <c r="AD327">
        <v>3.7525058138814521E-10</v>
      </c>
      <c r="AE327">
        <v>6.0225783623329941E-3</v>
      </c>
      <c r="AF327">
        <v>3.1325807212555672E-2</v>
      </c>
      <c r="AG327">
        <v>0.91191023746219102</v>
      </c>
      <c r="AH327">
        <v>0.91230216012915255</v>
      </c>
      <c r="AI327">
        <v>45.615108006457632</v>
      </c>
      <c r="AJ327"/>
      <c r="AK327"/>
      <c r="AL327"/>
      <c r="AM327"/>
      <c r="AN327"/>
      <c r="AO327"/>
      <c r="AP327"/>
      <c r="AQ327"/>
      <c r="AR327"/>
    </row>
    <row r="328" spans="1:44" ht="15" customHeight="1" x14ac:dyDescent="0.3">
      <c r="A328" s="2">
        <v>3.27</v>
      </c>
      <c r="B328" s="1">
        <f t="shared" si="82"/>
        <v>5.3703179637025239E-4</v>
      </c>
      <c r="C328" s="1">
        <f t="shared" si="83"/>
        <v>1.8807080080294973E-11</v>
      </c>
      <c r="D328" s="1">
        <f t="shared" si="84"/>
        <v>2.0620338165410389E-2</v>
      </c>
      <c r="E328" s="1">
        <f t="shared" si="85"/>
        <v>-1.0338969423506498E-4</v>
      </c>
      <c r="F328" s="1">
        <f t="shared" si="86"/>
        <v>9.9900099900099922E-4</v>
      </c>
      <c r="G328" s="1">
        <f t="shared" si="87"/>
        <v>-2.5714492880947702E-2</v>
      </c>
      <c r="H328" s="1">
        <f t="shared" si="95"/>
        <v>-0.25714492880947698</v>
      </c>
      <c r="J328" s="2">
        <v>7.26</v>
      </c>
      <c r="K328" s="1">
        <v>5.4954087385762357E-8</v>
      </c>
      <c r="L328" s="1">
        <v>1.8378978671960864E-7</v>
      </c>
      <c r="M328" s="1">
        <v>1.5713503201802165E-3</v>
      </c>
      <c r="N328" s="1">
        <v>3.0714416133032973E-3</v>
      </c>
      <c r="O328" s="1">
        <v>0.90716993615271491</v>
      </c>
      <c r="P328" s="1">
        <v>0.90717754670621809</v>
      </c>
      <c r="Q328" s="2">
        <v>9.0717754670621797</v>
      </c>
      <c r="S328" s="2">
        <v>3.27</v>
      </c>
      <c r="T328" s="1">
        <f t="shared" si="88"/>
        <v>5.3703179637025239E-4</v>
      </c>
      <c r="U328" s="1">
        <f t="shared" si="89"/>
        <v>1.8807080080294973E-11</v>
      </c>
      <c r="V328" s="1">
        <f t="shared" si="90"/>
        <v>-2.1617228562115844E-4</v>
      </c>
      <c r="W328" s="1">
        <f t="shared" si="91"/>
        <v>3.3405390761873717E-2</v>
      </c>
      <c r="X328" s="1">
        <f t="shared" si="92"/>
        <v>0.99518189992233885</v>
      </c>
      <c r="Y328" s="1">
        <f t="shared" si="93"/>
        <v>1.0032460928608826</v>
      </c>
      <c r="Z328" s="1">
        <f t="shared" si="94"/>
        <v>50.162304643044138</v>
      </c>
      <c r="AB328">
        <v>4.58</v>
      </c>
      <c r="AC328">
        <v>2.6302679918953804E-5</v>
      </c>
      <c r="AD328">
        <v>3.8399129028376699E-10</v>
      </c>
      <c r="AE328">
        <v>6.1554089356454424E-3</v>
      </c>
      <c r="AF328">
        <v>3.1281530354784856E-2</v>
      </c>
      <c r="AG328">
        <v>0.91004294386227591</v>
      </c>
      <c r="AH328">
        <v>0.91042569825223041</v>
      </c>
      <c r="AI328">
        <v>45.52128491261152</v>
      </c>
      <c r="AJ328"/>
      <c r="AK328"/>
      <c r="AL328"/>
      <c r="AM328"/>
      <c r="AN328"/>
      <c r="AO328"/>
      <c r="AP328"/>
      <c r="AQ328"/>
      <c r="AR328"/>
    </row>
    <row r="329" spans="1:44" ht="15" customHeight="1" x14ac:dyDescent="0.3">
      <c r="A329" s="2">
        <v>3.28</v>
      </c>
      <c r="B329" s="1">
        <f t="shared" si="82"/>
        <v>5.2480746024977229E-4</v>
      </c>
      <c r="C329" s="1">
        <f t="shared" si="83"/>
        <v>1.9245153251428806E-11</v>
      </c>
      <c r="D329" s="1">
        <f t="shared" si="84"/>
        <v>2.0605111288153954E-2</v>
      </c>
      <c r="E329" s="1">
        <f t="shared" si="85"/>
        <v>-1.0085188135899254E-4</v>
      </c>
      <c r="F329" s="1">
        <f t="shared" si="86"/>
        <v>1.0222469341566512E-3</v>
      </c>
      <c r="G329" s="1">
        <f t="shared" si="87"/>
        <v>-2.5086469457675068E-2</v>
      </c>
      <c r="H329" s="1">
        <f t="shared" si="95"/>
        <v>-0.25086469457675065</v>
      </c>
      <c r="J329" s="2">
        <v>7.27</v>
      </c>
      <c r="K329" s="1">
        <v>5.3703179637025192E-8</v>
      </c>
      <c r="L329" s="1">
        <v>1.8807080080294989E-7</v>
      </c>
      <c r="M329" s="1">
        <v>1.5383251036462005E-3</v>
      </c>
      <c r="N329" s="1">
        <v>3.0769458160589667E-3</v>
      </c>
      <c r="O329" s="1">
        <v>0.90909090909090917</v>
      </c>
      <c r="P329" s="1">
        <v>0.90909884900646487</v>
      </c>
      <c r="Q329" s="2">
        <v>9.0909884900646478</v>
      </c>
      <c r="S329" s="2">
        <v>3.28</v>
      </c>
      <c r="T329" s="1">
        <f t="shared" si="88"/>
        <v>5.2480746024977229E-4</v>
      </c>
      <c r="U329" s="1">
        <f t="shared" si="89"/>
        <v>1.9245153251428806E-11</v>
      </c>
      <c r="V329" s="1">
        <f t="shared" si="90"/>
        <v>-1.9647865371095943E-4</v>
      </c>
      <c r="W329" s="1">
        <f t="shared" si="91"/>
        <v>3.3398826217903653E-2</v>
      </c>
      <c r="X329" s="1">
        <f t="shared" si="92"/>
        <v>0.99507022521302857</v>
      </c>
      <c r="Y329" s="1">
        <f t="shared" si="93"/>
        <v>1.0029500779423766</v>
      </c>
      <c r="Z329" s="1">
        <f t="shared" si="94"/>
        <v>50.147503897118831</v>
      </c>
      <c r="AB329">
        <v>4.59</v>
      </c>
      <c r="AC329">
        <v>2.5703957827688621E-5</v>
      </c>
      <c r="AD329">
        <v>3.9293559644422365E-10</v>
      </c>
      <c r="AE329">
        <v>6.2909206198100941E-3</v>
      </c>
      <c r="AF329">
        <v>3.1236359793396638E-2</v>
      </c>
      <c r="AG329">
        <v>0.90814005532977005</v>
      </c>
      <c r="AH329">
        <v>0.90851385120233963</v>
      </c>
      <c r="AI329">
        <v>45.425692560116978</v>
      </c>
      <c r="AJ329"/>
      <c r="AK329"/>
      <c r="AL329"/>
      <c r="AM329"/>
      <c r="AN329"/>
      <c r="AO329"/>
      <c r="AP329"/>
      <c r="AQ329"/>
      <c r="AR329"/>
    </row>
    <row r="330" spans="1:44" ht="15" customHeight="1" x14ac:dyDescent="0.3">
      <c r="A330" s="2">
        <v>3.29</v>
      </c>
      <c r="B330" s="1">
        <f t="shared" si="82"/>
        <v>5.1286138399136462E-4</v>
      </c>
      <c r="C330" s="1">
        <f t="shared" si="83"/>
        <v>1.9693430457556266E-11</v>
      </c>
      <c r="D330" s="1">
        <f t="shared" si="84"/>
        <v>2.0590205365070825E-2</v>
      </c>
      <c r="E330" s="1">
        <f t="shared" si="85"/>
        <v>-9.8367560845137261E-5</v>
      </c>
      <c r="F330" s="1">
        <f t="shared" si="86"/>
        <v>1.0460332168073709E-3</v>
      </c>
      <c r="G330" s="1">
        <f t="shared" si="87"/>
        <v>-2.4471529975591936E-2</v>
      </c>
      <c r="H330" s="1">
        <f t="shared" si="95"/>
        <v>-0.24471529975591935</v>
      </c>
      <c r="J330" s="2">
        <v>7.28</v>
      </c>
      <c r="K330" s="1">
        <v>5.2480746024977185E-8</v>
      </c>
      <c r="L330" s="1">
        <v>1.9245153251428823E-7</v>
      </c>
      <c r="M330" s="1">
        <v>1.5059369182621758E-3</v>
      </c>
      <c r="N330" s="1">
        <v>3.0823438469563041E-3</v>
      </c>
      <c r="O330" s="1">
        <v>0.91097603146534545</v>
      </c>
      <c r="P330" s="1">
        <v>0.91098430511656669</v>
      </c>
      <c r="Q330" s="2">
        <v>9.1098430511656669</v>
      </c>
      <c r="S330" s="2">
        <v>3.29</v>
      </c>
      <c r="T330" s="1">
        <f t="shared" si="88"/>
        <v>5.1286138399136462E-4</v>
      </c>
      <c r="U330" s="1">
        <f t="shared" si="89"/>
        <v>1.9693430457556266E-11</v>
      </c>
      <c r="V330" s="1">
        <f t="shared" si="90"/>
        <v>-1.7689045813882662E-4</v>
      </c>
      <c r="W330" s="1">
        <f t="shared" si="91"/>
        <v>3.3392296819379608E-2</v>
      </c>
      <c r="X330" s="1">
        <f t="shared" si="92"/>
        <v>0.99495597520833201</v>
      </c>
      <c r="Y330" s="1">
        <f t="shared" si="93"/>
        <v>1.0026557057170873</v>
      </c>
      <c r="Z330" s="1">
        <f t="shared" si="94"/>
        <v>50.132785285854361</v>
      </c>
      <c r="AB330">
        <v>4.5999999999999996</v>
      </c>
      <c r="AC330">
        <v>2.5118864315095791E-5</v>
      </c>
      <c r="AD330">
        <v>4.0208824225903234E-10</v>
      </c>
      <c r="AE330">
        <v>6.4291601137221157E-3</v>
      </c>
      <c r="AF330">
        <v>3.1190279962092629E-2</v>
      </c>
      <c r="AG330">
        <v>0.90620106327429761</v>
      </c>
      <c r="AH330">
        <v>0.90656610562896811</v>
      </c>
      <c r="AI330">
        <v>45.328305281448401</v>
      </c>
      <c r="AJ330"/>
      <c r="AK330"/>
      <c r="AL330"/>
      <c r="AM330"/>
      <c r="AN330"/>
      <c r="AO330"/>
      <c r="AP330"/>
      <c r="AQ330"/>
      <c r="AR330"/>
    </row>
    <row r="331" spans="1:44" ht="15" customHeight="1" x14ac:dyDescent="0.3">
      <c r="A331" s="2">
        <v>3.3</v>
      </c>
      <c r="B331" s="1">
        <f t="shared" si="82"/>
        <v>5.0118723362727209E-4</v>
      </c>
      <c r="C331" s="1">
        <f t="shared" si="83"/>
        <v>2.0152149381185689E-11</v>
      </c>
      <c r="D331" s="1">
        <f t="shared" si="84"/>
        <v>2.0575612495093182E-2</v>
      </c>
      <c r="E331" s="1">
        <f t="shared" si="85"/>
        <v>-9.5935415848863816E-5</v>
      </c>
      <c r="F331" s="1">
        <f t="shared" si="86"/>
        <v>1.0703723805680345E-3</v>
      </c>
      <c r="G331" s="1">
        <f t="shared" si="87"/>
        <v>-2.3869358122340346E-2</v>
      </c>
      <c r="H331" s="1">
        <f t="shared" si="95"/>
        <v>-0.23869358122340345</v>
      </c>
      <c r="J331" s="2">
        <v>7.29</v>
      </c>
      <c r="K331" s="1">
        <v>5.1286138399136415E-8</v>
      </c>
      <c r="L331" s="1">
        <v>1.9693430457556283E-7</v>
      </c>
      <c r="M331" s="1">
        <v>1.4741758363905834E-3</v>
      </c>
      <c r="N331" s="1">
        <v>3.0876373606015693E-3</v>
      </c>
      <c r="O331" s="1">
        <v>0.91282581174541322</v>
      </c>
      <c r="P331" s="1">
        <v>0.91283442368032031</v>
      </c>
      <c r="Q331" s="2">
        <v>9.1283442368032031</v>
      </c>
      <c r="S331" s="2">
        <v>3.3</v>
      </c>
      <c r="T331" s="1">
        <f t="shared" si="88"/>
        <v>5.0118723362727209E-4</v>
      </c>
      <c r="U331" s="1">
        <f t="shared" si="89"/>
        <v>2.0152149381185689E-11</v>
      </c>
      <c r="V331" s="1">
        <f t="shared" si="90"/>
        <v>-1.5739739368993301E-4</v>
      </c>
      <c r="W331" s="1">
        <f t="shared" si="91"/>
        <v>3.3385799131229979E-2</v>
      </c>
      <c r="X331" s="1">
        <f t="shared" si="92"/>
        <v>0.99483909113520019</v>
      </c>
      <c r="Y331" s="1">
        <f t="shared" si="93"/>
        <v>1.0023628204142236</v>
      </c>
      <c r="Z331" s="1">
        <f t="shared" si="94"/>
        <v>50.118141020711185</v>
      </c>
      <c r="AB331">
        <v>4.6100000000000003</v>
      </c>
      <c r="AC331">
        <v>2.4547089156850252E-5</v>
      </c>
      <c r="AD331">
        <v>4.1145408058215471E-10</v>
      </c>
      <c r="AE331">
        <v>6.5701745300984736E-3</v>
      </c>
      <c r="AF331">
        <v>3.1143275156633839E-2</v>
      </c>
      <c r="AG331">
        <v>0.9042254591283162</v>
      </c>
      <c r="AH331">
        <v>0.90458194831304894</v>
      </c>
      <c r="AI331">
        <v>45.229097415652447</v>
      </c>
      <c r="AJ331"/>
      <c r="AK331"/>
      <c r="AL331"/>
      <c r="AM331"/>
      <c r="AN331"/>
      <c r="AO331"/>
      <c r="AP331"/>
      <c r="AQ331"/>
      <c r="AR331"/>
    </row>
    <row r="332" spans="1:44" ht="15" customHeight="1" x14ac:dyDescent="0.3">
      <c r="A332" s="2">
        <v>3.31</v>
      </c>
      <c r="B332" s="1">
        <f t="shared" si="82"/>
        <v>4.8977881936844566E-4</v>
      </c>
      <c r="C332" s="1">
        <f t="shared" si="83"/>
        <v>2.0621553241162266E-11</v>
      </c>
      <c r="D332" s="1">
        <f t="shared" si="84"/>
        <v>2.0561324943243885E-2</v>
      </c>
      <c r="E332" s="1">
        <f t="shared" si="85"/>
        <v>-9.3554157207313891E-5</v>
      </c>
      <c r="F332" s="1">
        <f t="shared" si="86"/>
        <v>1.0952772485214501E-3</v>
      </c>
      <c r="G332" s="1">
        <f t="shared" si="87"/>
        <v>-2.3279643928437909E-2</v>
      </c>
      <c r="H332" s="1">
        <f t="shared" si="95"/>
        <v>-0.23279643928437907</v>
      </c>
      <c r="J332" s="2">
        <v>7.3</v>
      </c>
      <c r="K332" s="1">
        <v>5.0118723362727164E-8</v>
      </c>
      <c r="L332" s="1">
        <v>2.0152149381185708E-7</v>
      </c>
      <c r="M332" s="1">
        <v>1.4430319849815601E-3</v>
      </c>
      <c r="N332" s="1">
        <v>3.0928280025030734E-3</v>
      </c>
      <c r="O332" s="1">
        <v>0.9146407579005128</v>
      </c>
      <c r="P332" s="1">
        <v>0.91464971284404051</v>
      </c>
      <c r="Q332" s="2">
        <v>9.1464971284404051</v>
      </c>
      <c r="S332" s="2">
        <v>3.31</v>
      </c>
      <c r="T332" s="1">
        <f t="shared" si="88"/>
        <v>4.8977881936844566E-4</v>
      </c>
      <c r="U332" s="1">
        <f t="shared" si="89"/>
        <v>2.0621553241162266E-11</v>
      </c>
      <c r="V332" s="1">
        <f t="shared" si="90"/>
        <v>-1.3798920936653909E-4</v>
      </c>
      <c r="W332" s="1">
        <f t="shared" si="91"/>
        <v>3.3379329736455514E-2</v>
      </c>
      <c r="X332" s="1">
        <f t="shared" si="92"/>
        <v>0.99471951290810012</v>
      </c>
      <c r="Y332" s="1">
        <f t="shared" si="93"/>
        <v>1.0020712672031167</v>
      </c>
      <c r="Z332" s="1">
        <f t="shared" si="94"/>
        <v>50.103563360155839</v>
      </c>
      <c r="AB332">
        <v>4.62</v>
      </c>
      <c r="AC332">
        <v>2.3988329190194856E-5</v>
      </c>
      <c r="AD332">
        <v>4.2103807730503957E-10</v>
      </c>
      <c r="AE332">
        <v>6.7140113815283876E-3</v>
      </c>
      <c r="AF332">
        <v>3.1095329539490537E-2</v>
      </c>
      <c r="AG332">
        <v>0.90221273471524421</v>
      </c>
      <c r="AH332">
        <v>0.90256086653260581</v>
      </c>
      <c r="AI332">
        <v>45.128043326630291</v>
      </c>
      <c r="AJ332"/>
      <c r="AK332"/>
      <c r="AL332"/>
      <c r="AM332"/>
      <c r="AN332"/>
      <c r="AO332"/>
      <c r="AP332"/>
      <c r="AQ332"/>
      <c r="AR332"/>
    </row>
    <row r="333" spans="1:44" ht="15" customHeight="1" x14ac:dyDescent="0.3">
      <c r="A333" s="2">
        <v>3.32</v>
      </c>
      <c r="B333" s="1">
        <f t="shared" si="82"/>
        <v>4.7863009232263827E-4</v>
      </c>
      <c r="C333" s="1">
        <f t="shared" si="83"/>
        <v>2.11018909216258E-11</v>
      </c>
      <c r="D333" s="1">
        <f t="shared" si="84"/>
        <v>2.054733513654022E-2</v>
      </c>
      <c r="E333" s="1">
        <f t="shared" si="85"/>
        <v>-9.1222522756703107E-5</v>
      </c>
      <c r="F333" s="1">
        <f t="shared" si="86"/>
        <v>1.1207609398445964E-3</v>
      </c>
      <c r="G333" s="1">
        <f t="shared" si="87"/>
        <v>-2.270208362218332E-2</v>
      </c>
      <c r="H333" s="1">
        <f t="shared" si="95"/>
        <v>-0.22702083622183319</v>
      </c>
      <c r="J333" s="2">
        <v>7.31</v>
      </c>
      <c r="K333" s="1">
        <v>4.8977881936844561E-8</v>
      </c>
      <c r="L333" s="1">
        <v>2.062155324116227E-7</v>
      </c>
      <c r="M333" s="1">
        <v>1.4124955500186326E-3</v>
      </c>
      <c r="N333" s="1">
        <v>3.0979174083302281E-3</v>
      </c>
      <c r="O333" s="1">
        <v>0.91642137706951343</v>
      </c>
      <c r="P333" s="1">
        <v>0.91643067992610661</v>
      </c>
      <c r="Q333" s="2">
        <v>9.1643067992610661</v>
      </c>
      <c r="S333" s="2">
        <v>3.32</v>
      </c>
      <c r="T333" s="1">
        <f t="shared" si="88"/>
        <v>4.7863009232263827E-4</v>
      </c>
      <c r="U333" s="1">
        <f t="shared" si="89"/>
        <v>2.11018909216258E-11</v>
      </c>
      <c r="V333" s="1">
        <f t="shared" si="90"/>
        <v>-1.1865570312889919E-4</v>
      </c>
      <c r="W333" s="1">
        <f t="shared" si="91"/>
        <v>3.3372885234376301E-2</v>
      </c>
      <c r="X333" s="1">
        <f t="shared" si="92"/>
        <v>0.99459717910105905</v>
      </c>
      <c r="Y333" s="1">
        <f t="shared" si="93"/>
        <v>1.0017808921119622</v>
      </c>
      <c r="Z333" s="1">
        <f t="shared" si="94"/>
        <v>50.089044605598104</v>
      </c>
      <c r="AB333">
        <v>4.63</v>
      </c>
      <c r="AC333">
        <v>2.3442288153199218E-5</v>
      </c>
      <c r="AD333">
        <v>4.3084531398960858E-10</v>
      </c>
      <c r="AE333">
        <v>6.8607185654928687E-3</v>
      </c>
      <c r="AF333">
        <v>3.1046427144835711E-2</v>
      </c>
      <c r="AG333">
        <v>0.90016238263301007</v>
      </c>
      <c r="AH333">
        <v>0.90050234844387711</v>
      </c>
      <c r="AI333">
        <v>45.025117422193851</v>
      </c>
      <c r="AJ333"/>
      <c r="AK333"/>
      <c r="AL333"/>
      <c r="AM333"/>
      <c r="AN333"/>
      <c r="AO333"/>
      <c r="AP333"/>
      <c r="AQ333"/>
      <c r="AR333"/>
    </row>
    <row r="334" spans="1:44" ht="15" customHeight="1" x14ac:dyDescent="0.3">
      <c r="A334" s="2">
        <v>3.33</v>
      </c>
      <c r="B334" s="1">
        <f t="shared" si="82"/>
        <v>4.677351412871977E-4</v>
      </c>
      <c r="C334" s="1">
        <f t="shared" si="83"/>
        <v>2.1593417103972565E-11</v>
      </c>
      <c r="D334" s="1">
        <f t="shared" si="84"/>
        <v>2.0533635659983819E-2</v>
      </c>
      <c r="E334" s="1">
        <f t="shared" si="85"/>
        <v>-8.8939276663970064E-5</v>
      </c>
      <c r="F334" s="1">
        <f t="shared" si="86"/>
        <v>1.1468368765837674E-3</v>
      </c>
      <c r="G334" s="1">
        <f t="shared" si="87"/>
        <v>-2.21363794870158E-2</v>
      </c>
      <c r="H334" s="1">
        <f t="shared" si="95"/>
        <v>-0.221363794870158</v>
      </c>
      <c r="J334" s="2">
        <v>7.32</v>
      </c>
      <c r="K334" s="1">
        <v>4.7863009232263782E-8</v>
      </c>
      <c r="L334" s="1">
        <v>2.1101890921625821E-7</v>
      </c>
      <c r="M334" s="1">
        <v>1.3825567807181781E-3</v>
      </c>
      <c r="N334" s="1">
        <v>3.1029072032136367E-3</v>
      </c>
      <c r="O334" s="1">
        <v>0.91816817524484795</v>
      </c>
      <c r="P334" s="1">
        <v>0.91817783110115092</v>
      </c>
      <c r="Q334" s="2">
        <v>9.1817783110115094</v>
      </c>
      <c r="S334" s="2">
        <v>3.33</v>
      </c>
      <c r="T334" s="1">
        <f t="shared" si="88"/>
        <v>4.677351412871977E-4</v>
      </c>
      <c r="U334" s="1">
        <f t="shared" si="89"/>
        <v>2.1593417103972565E-11</v>
      </c>
      <c r="V334" s="1">
        <f t="shared" si="90"/>
        <v>-9.9386716670467397E-5</v>
      </c>
      <c r="W334" s="1">
        <f t="shared" si="91"/>
        <v>3.3366462238890157E-2</v>
      </c>
      <c r="X334" s="1">
        <f t="shared" si="92"/>
        <v>0.99447202691917846</v>
      </c>
      <c r="Y334" s="1">
        <f t="shared" si="93"/>
        <v>1.0014915419473416</v>
      </c>
      <c r="Z334" s="1">
        <f t="shared" si="94"/>
        <v>50.074577097367076</v>
      </c>
      <c r="AB334">
        <v>4.6399999999999997</v>
      </c>
      <c r="AC334">
        <v>2.2908676527677729E-5</v>
      </c>
      <c r="AD334">
        <v>4.4088099056256765E-10</v>
      </c>
      <c r="AE334">
        <v>7.0103443483207012E-3</v>
      </c>
      <c r="AF334">
        <v>3.0996551883893102E-2</v>
      </c>
      <c r="AG334">
        <v>0.8980738966532068</v>
      </c>
      <c r="AH334">
        <v>0.89840588347809913</v>
      </c>
      <c r="AI334">
        <v>44.920294173904956</v>
      </c>
      <c r="AJ334"/>
      <c r="AK334"/>
      <c r="AL334"/>
      <c r="AM334"/>
      <c r="AN334"/>
      <c r="AO334"/>
      <c r="AP334"/>
      <c r="AQ334"/>
      <c r="AR334"/>
    </row>
    <row r="335" spans="1:44" ht="15" customHeight="1" x14ac:dyDescent="0.3">
      <c r="A335" s="2">
        <v>3.34</v>
      </c>
      <c r="B335" s="1">
        <f t="shared" si="82"/>
        <v>4.5708818961487499E-4</v>
      </c>
      <c r="C335" s="1">
        <f t="shared" si="83"/>
        <v>2.2096392401890481E-11</v>
      </c>
      <c r="D335" s="1">
        <f t="shared" si="84"/>
        <v>2.0520219252634579E-2</v>
      </c>
      <c r="E335" s="1">
        <f t="shared" si="85"/>
        <v>-8.6703208772429696E-5</v>
      </c>
      <c r="F335" s="1">
        <f t="shared" si="86"/>
        <v>1.1735187905817987E-3</v>
      </c>
      <c r="G335" s="1">
        <f t="shared" si="87"/>
        <v>-2.1582239721290836E-2</v>
      </c>
      <c r="H335" s="1">
        <f t="shared" si="95"/>
        <v>-0.21582239721290836</v>
      </c>
      <c r="J335" s="2">
        <v>7.33</v>
      </c>
      <c r="K335" s="1">
        <v>4.6773514128719769E-8</v>
      </c>
      <c r="L335" s="1">
        <v>2.1593417103972565E-7</v>
      </c>
      <c r="M335" s="1">
        <v>1.3532059934892946E-3</v>
      </c>
      <c r="N335" s="1">
        <v>3.1077990010851177E-3</v>
      </c>
      <c r="O335" s="1">
        <v>0.91988165697098068</v>
      </c>
      <c r="P335" s="1">
        <v>0.91989167109861991</v>
      </c>
      <c r="Q335" s="2">
        <v>9.1989167109861985</v>
      </c>
      <c r="S335" s="2">
        <v>3.34</v>
      </c>
      <c r="T335" s="1">
        <f t="shared" si="88"/>
        <v>4.5708818961487499E-4</v>
      </c>
      <c r="U335" s="1">
        <f t="shared" si="89"/>
        <v>2.2096392401890481E-11</v>
      </c>
      <c r="V335" s="1">
        <f t="shared" si="90"/>
        <v>-8.0172130224526221E-5</v>
      </c>
      <c r="W335" s="1">
        <f t="shared" si="91"/>
        <v>3.3360057376741505E-2</v>
      </c>
      <c r="X335" s="1">
        <f t="shared" si="92"/>
        <v>0.994343992169609</v>
      </c>
      <c r="Y335" s="1">
        <f t="shared" si="93"/>
        <v>1.0012030642144722</v>
      </c>
      <c r="Z335" s="1">
        <f t="shared" si="94"/>
        <v>50.060153210723612</v>
      </c>
      <c r="AB335">
        <v>4.6500000000000004</v>
      </c>
      <c r="AC335">
        <v>2.2387211385683359E-5</v>
      </c>
      <c r="AD335">
        <v>4.5115042807247348E-10</v>
      </c>
      <c r="AE335">
        <v>7.1629373480474835E-3</v>
      </c>
      <c r="AF335">
        <v>3.094568755065084E-2</v>
      </c>
      <c r="AG335">
        <v>0.89594677213601792</v>
      </c>
      <c r="AH335">
        <v>0.89627096275411544</v>
      </c>
      <c r="AI335">
        <v>44.813548137705773</v>
      </c>
      <c r="AJ335"/>
      <c r="AK335"/>
      <c r="AL335"/>
      <c r="AM335"/>
      <c r="AN335"/>
      <c r="AO335"/>
      <c r="AP335"/>
      <c r="AQ335"/>
      <c r="AR335"/>
    </row>
    <row r="336" spans="1:44" ht="15" customHeight="1" x14ac:dyDescent="0.3">
      <c r="A336" s="2">
        <v>3.35</v>
      </c>
      <c r="B336" s="1">
        <f t="shared" si="82"/>
        <v>4.4668359215096267E-4</v>
      </c>
      <c r="C336" s="1">
        <f t="shared" si="83"/>
        <v>2.2611083499540251E-11</v>
      </c>
      <c r="D336" s="1">
        <f t="shared" si="84"/>
        <v>2.0507078803766482E-2</v>
      </c>
      <c r="E336" s="1">
        <f t="shared" si="85"/>
        <v>-8.451313396107999E-5</v>
      </c>
      <c r="F336" s="1">
        <f t="shared" si="86"/>
        <v>1.2008207305607089E-3</v>
      </c>
      <c r="G336" s="1">
        <f t="shared" si="87"/>
        <v>-2.1039378300431885E-2</v>
      </c>
      <c r="H336" s="1">
        <f t="shared" si="95"/>
        <v>-0.21039378300431885</v>
      </c>
      <c r="J336" s="2">
        <v>7.34</v>
      </c>
      <c r="K336" s="1">
        <v>4.5708818961487464E-8</v>
      </c>
      <c r="L336" s="1">
        <v>2.2096392401890499E-7</v>
      </c>
      <c r="M336" s="1">
        <v>1.3244335756605191E-3</v>
      </c>
      <c r="N336" s="1">
        <v>3.1125944040565801E-3</v>
      </c>
      <c r="O336" s="1">
        <v>0.92156232505697822</v>
      </c>
      <c r="P336" s="1">
        <v>0.9215727029154398</v>
      </c>
      <c r="Q336" s="2">
        <v>9.2157270291543973</v>
      </c>
      <c r="S336" s="2">
        <v>3.35</v>
      </c>
      <c r="T336" s="1">
        <f t="shared" si="88"/>
        <v>4.4668359215096267E-4</v>
      </c>
      <c r="U336" s="1">
        <f t="shared" si="89"/>
        <v>2.2611083499540251E-11</v>
      </c>
      <c r="V336" s="1">
        <f t="shared" si="90"/>
        <v>-6.1001857400484752E-5</v>
      </c>
      <c r="W336" s="1">
        <f t="shared" si="91"/>
        <v>3.3353667285800158E-2</v>
      </c>
      <c r="X336" s="1">
        <f t="shared" si="92"/>
        <v>0.99421300923198108</v>
      </c>
      <c r="Y336" s="1">
        <f t="shared" si="93"/>
        <v>1.0009153070381542</v>
      </c>
      <c r="Z336" s="1">
        <f t="shared" si="94"/>
        <v>50.045765351907718</v>
      </c>
      <c r="AB336">
        <v>4.66</v>
      </c>
      <c r="AC336">
        <v>2.1877616239495489E-5</v>
      </c>
      <c r="AD336">
        <v>4.616590715110245E-10</v>
      </c>
      <c r="AE336">
        <v>7.3185465161449952E-3</v>
      </c>
      <c r="AF336">
        <v>3.089381782795167E-2</v>
      </c>
      <c r="AG336">
        <v>0.89378050646104956</v>
      </c>
      <c r="AH336">
        <v>0.89409707950694517</v>
      </c>
      <c r="AI336">
        <v>44.704853975347255</v>
      </c>
      <c r="AJ336"/>
      <c r="AK336"/>
      <c r="AL336"/>
      <c r="AM336"/>
      <c r="AN336"/>
      <c r="AO336"/>
      <c r="AP336"/>
      <c r="AQ336"/>
      <c r="AR336"/>
    </row>
    <row r="337" spans="1:44" ht="15" customHeight="1" x14ac:dyDescent="0.3">
      <c r="A337" s="2">
        <v>3.36</v>
      </c>
      <c r="B337" s="1">
        <f t="shared" si="82"/>
        <v>4.3651583224016562E-4</v>
      </c>
      <c r="C337" s="1">
        <f t="shared" si="83"/>
        <v>2.3137763292954523E-11</v>
      </c>
      <c r="D337" s="1">
        <f t="shared" si="84"/>
        <v>2.0494207349103382E-2</v>
      </c>
      <c r="E337" s="1">
        <f t="shared" si="85"/>
        <v>-8.2367891517230285E-5</v>
      </c>
      <c r="F337" s="1">
        <f t="shared" si="86"/>
        <v>1.2287570693630295E-3</v>
      </c>
      <c r="G337" s="1">
        <f t="shared" si="87"/>
        <v>-2.0507514841420268E-2</v>
      </c>
      <c r="H337" s="1">
        <f t="shared" si="95"/>
        <v>-0.20507514841420266</v>
      </c>
      <c r="J337" s="2">
        <v>7.35</v>
      </c>
      <c r="K337" s="1">
        <v>4.466835921509628E-8</v>
      </c>
      <c r="L337" s="1">
        <v>2.2611083499540245E-7</v>
      </c>
      <c r="M337" s="1">
        <v>1.2962299889800152E-3</v>
      </c>
      <c r="N337" s="1">
        <v>3.117295001836664E-3</v>
      </c>
      <c r="O337" s="1">
        <v>0.92321068030289988</v>
      </c>
      <c r="P337" s="1">
        <v>0.92322142754250391</v>
      </c>
      <c r="Q337" s="2">
        <v>9.2322142754250383</v>
      </c>
      <c r="S337" s="2">
        <v>3.36</v>
      </c>
      <c r="T337" s="1">
        <f t="shared" si="88"/>
        <v>4.3651583224016562E-4</v>
      </c>
      <c r="U337" s="1">
        <f t="shared" si="89"/>
        <v>2.3137763292954523E-11</v>
      </c>
      <c r="V337" s="1">
        <f t="shared" si="90"/>
        <v>-4.1865840047052414E-5</v>
      </c>
      <c r="W337" s="1">
        <f t="shared" si="91"/>
        <v>3.334728861334902E-2</v>
      </c>
      <c r="X337" s="1">
        <f t="shared" si="92"/>
        <v>0.99407901102828378</v>
      </c>
      <c r="Y337" s="1">
        <f t="shared" si="93"/>
        <v>1.0006281190843713</v>
      </c>
      <c r="Z337" s="1">
        <f t="shared" si="94"/>
        <v>50.031405954218563</v>
      </c>
      <c r="AB337">
        <v>4.67</v>
      </c>
      <c r="AC337">
        <v>2.1379620895022286E-5</v>
      </c>
      <c r="AD337">
        <v>4.7241249270007091E-10</v>
      </c>
      <c r="AE337">
        <v>7.4772211180880715E-3</v>
      </c>
      <c r="AF337">
        <v>3.0840926293970644E-2</v>
      </c>
      <c r="AG337">
        <v>0.89157459947418483</v>
      </c>
      <c r="AH337">
        <v>0.89188372953242423</v>
      </c>
      <c r="AI337">
        <v>44.594186476621211</v>
      </c>
      <c r="AJ337"/>
      <c r="AK337"/>
      <c r="AL337"/>
      <c r="AM337"/>
      <c r="AN337"/>
      <c r="AO337"/>
      <c r="AP337"/>
      <c r="AQ337"/>
      <c r="AR337"/>
    </row>
    <row r="338" spans="1:44" ht="15" customHeight="1" x14ac:dyDescent="0.3">
      <c r="A338" s="2">
        <v>3.37</v>
      </c>
      <c r="B338" s="1">
        <f t="shared" si="82"/>
        <v>4.2657951880159235E-4</v>
      </c>
      <c r="C338" s="1">
        <f t="shared" si="83"/>
        <v>2.3676711034731227E-11</v>
      </c>
      <c r="D338" s="1">
        <f t="shared" si="84"/>
        <v>2.0481598067132692E-2</v>
      </c>
      <c r="E338" s="1">
        <f t="shared" si="85"/>
        <v>-8.0266344522115338E-5</v>
      </c>
      <c r="F338" s="1">
        <f t="shared" si="86"/>
        <v>1.257342511355293E-3</v>
      </c>
      <c r="G338" s="1">
        <f t="shared" si="87"/>
        <v>-1.9986374469582659E-2</v>
      </c>
      <c r="H338" s="1">
        <f t="shared" si="95"/>
        <v>-0.19986374469582657</v>
      </c>
      <c r="J338" s="2">
        <v>7.36</v>
      </c>
      <c r="K338" s="1">
        <v>4.3651583224016566E-8</v>
      </c>
      <c r="L338" s="1">
        <v>2.3137763292954522E-7</v>
      </c>
      <c r="M338" s="1">
        <v>1.2685857728958261E-3</v>
      </c>
      <c r="N338" s="1">
        <v>3.121902371184029E-3</v>
      </c>
      <c r="O338" s="1">
        <v>0.92482722123971162</v>
      </c>
      <c r="P338" s="1">
        <v>0.92483834370468565</v>
      </c>
      <c r="Q338" s="2">
        <v>9.2483834370468561</v>
      </c>
      <c r="S338" s="2">
        <v>3.37</v>
      </c>
      <c r="T338" s="1">
        <f t="shared" si="88"/>
        <v>4.2657951880159235E-4</v>
      </c>
      <c r="U338" s="1">
        <f t="shared" si="89"/>
        <v>2.3676711034731227E-11</v>
      </c>
      <c r="V338" s="1">
        <f t="shared" si="90"/>
        <v>-2.2754043140218024E-5</v>
      </c>
      <c r="W338" s="1">
        <f t="shared" si="91"/>
        <v>3.3340918014380071E-2</v>
      </c>
      <c r="X338" s="1">
        <f t="shared" si="92"/>
        <v>0.99394192899218481</v>
      </c>
      <c r="Y338" s="1">
        <f t="shared" si="93"/>
        <v>1.0003413494825075</v>
      </c>
      <c r="Z338" s="1">
        <f t="shared" si="94"/>
        <v>50.017067474125376</v>
      </c>
      <c r="AB338">
        <v>4.68</v>
      </c>
      <c r="AC338">
        <v>2.0892961308540399E-5</v>
      </c>
      <c r="AD338">
        <v>4.834163932458646E-10</v>
      </c>
      <c r="AE338">
        <v>7.6390107127262408E-3</v>
      </c>
      <c r="AF338">
        <v>3.0786996429091256E-2</v>
      </c>
      <c r="AG338">
        <v>0.88932855395054766</v>
      </c>
      <c r="AH338">
        <v>0.88963041164800671</v>
      </c>
      <c r="AI338">
        <v>44.481520582400336</v>
      </c>
      <c r="AJ338"/>
      <c r="AK338"/>
      <c r="AL338"/>
      <c r="AM338"/>
      <c r="AN338"/>
      <c r="AO338"/>
      <c r="AP338"/>
      <c r="AQ338"/>
      <c r="AR338"/>
    </row>
    <row r="339" spans="1:44" ht="15" customHeight="1" x14ac:dyDescent="0.3">
      <c r="A339" s="2">
        <v>3.38</v>
      </c>
      <c r="B339" s="1">
        <f t="shared" si="82"/>
        <v>4.1686938347033518E-4</v>
      </c>
      <c r="C339" s="1">
        <f t="shared" si="83"/>
        <v>2.4228212482096864E-11</v>
      </c>
      <c r="D339" s="1">
        <f t="shared" si="84"/>
        <v>2.0469244275495055E-2</v>
      </c>
      <c r="E339" s="1">
        <f t="shared" si="85"/>
        <v>-7.8207379249175445E-5</v>
      </c>
      <c r="F339" s="1">
        <f t="shared" si="86"/>
        <v>1.2865920999971007E-3</v>
      </c>
      <c r="G339" s="1">
        <f t="shared" si="87"/>
        <v>-1.9475687687637584E-2</v>
      </c>
      <c r="H339" s="1">
        <f t="shared" si="95"/>
        <v>-0.19475687687637583</v>
      </c>
      <c r="J339" s="2">
        <v>7.37</v>
      </c>
      <c r="K339" s="1">
        <v>4.2657951880159239E-8</v>
      </c>
      <c r="L339" s="1">
        <v>2.3676711034731227E-7</v>
      </c>
      <c r="M339" s="1">
        <v>1.2414915476227884E-3</v>
      </c>
      <c r="N339" s="1">
        <v>3.1264180753962016E-3</v>
      </c>
      <c r="O339" s="1">
        <v>0.9264124438824265</v>
      </c>
      <c r="P339" s="1">
        <v>0.92642394761407842</v>
      </c>
      <c r="Q339" s="2">
        <v>9.2642394761407836</v>
      </c>
      <c r="S339" s="2">
        <v>3.38</v>
      </c>
      <c r="T339" s="1">
        <f t="shared" si="88"/>
        <v>4.1686938347033518E-4</v>
      </c>
      <c r="U339" s="1">
        <f t="shared" si="89"/>
        <v>2.4228212482096864E-11</v>
      </c>
      <c r="V339" s="1">
        <f t="shared" si="90"/>
        <v>-3.6564496936925532E-6</v>
      </c>
      <c r="W339" s="1">
        <f t="shared" si="91"/>
        <v>3.3334552149897903E-2</v>
      </c>
      <c r="X339" s="1">
        <f t="shared" si="92"/>
        <v>0.99380169303778554</v>
      </c>
      <c r="Y339" s="1">
        <f t="shared" si="93"/>
        <v>1.0000548477481455</v>
      </c>
      <c r="Z339" s="1">
        <f t="shared" si="94"/>
        <v>50.002742387407274</v>
      </c>
      <c r="AB339">
        <v>4.6900000000000004</v>
      </c>
      <c r="AC339">
        <v>2.0417379446695267E-5</v>
      </c>
      <c r="AD339">
        <v>4.9467660756213122E-10</v>
      </c>
      <c r="AE339">
        <v>7.8039651304276283E-3</v>
      </c>
      <c r="AF339">
        <v>3.0732011623190791E-2</v>
      </c>
      <c r="AG339">
        <v>0.88704187607363372</v>
      </c>
      <c r="AH339">
        <v>0.88733662816978265</v>
      </c>
      <c r="AI339">
        <v>44.366831408489134</v>
      </c>
      <c r="AJ339"/>
      <c r="AK339"/>
      <c r="AL339"/>
      <c r="AM339"/>
      <c r="AN339"/>
      <c r="AO339"/>
      <c r="AP339"/>
      <c r="AQ339"/>
      <c r="AR339"/>
    </row>
    <row r="340" spans="1:44" ht="15" customHeight="1" x14ac:dyDescent="0.3">
      <c r="A340" s="2">
        <v>3.39</v>
      </c>
      <c r="B340" s="1">
        <f t="shared" si="82"/>
        <v>4.0738027780411217E-4</v>
      </c>
      <c r="C340" s="1">
        <f t="shared" si="83"/>
        <v>2.479256004841884E-11</v>
      </c>
      <c r="D340" s="1">
        <f t="shared" si="84"/>
        <v>2.0457139427448104E-2</v>
      </c>
      <c r="E340" s="1">
        <f t="shared" si="85"/>
        <v>-7.6189904574683589E-5</v>
      </c>
      <c r="F340" s="1">
        <f t="shared" si="86"/>
        <v>1.3165212255793356E-3</v>
      </c>
      <c r="G340" s="1">
        <f t="shared" si="87"/>
        <v>-1.8975190246960778E-2</v>
      </c>
      <c r="H340" s="1">
        <f t="shared" si="95"/>
        <v>-0.18975190246960777</v>
      </c>
      <c r="J340" s="2">
        <v>7.38</v>
      </c>
      <c r="K340" s="1">
        <v>4.1686938347033516E-8</v>
      </c>
      <c r="L340" s="1">
        <v>2.4228212482096868E-7</v>
      </c>
      <c r="M340" s="1">
        <v>1.2149380170027547E-3</v>
      </c>
      <c r="N340" s="1">
        <v>3.130843663832874E-3</v>
      </c>
      <c r="O340" s="1">
        <v>0.92796684149615738</v>
      </c>
      <c r="P340" s="1">
        <v>0.9279787327361505</v>
      </c>
      <c r="Q340" s="2">
        <v>9.2797873273615039</v>
      </c>
      <c r="S340" s="2">
        <v>3.39</v>
      </c>
      <c r="T340" s="1">
        <f t="shared" si="88"/>
        <v>4.0738027780411217E-4</v>
      </c>
      <c r="U340" s="1">
        <f t="shared" si="89"/>
        <v>2.479256004841884E-11</v>
      </c>
      <c r="V340" s="1">
        <f t="shared" si="90"/>
        <v>1.5436944310380748E-5</v>
      </c>
      <c r="W340" s="1">
        <f t="shared" si="91"/>
        <v>3.3328187685229875E-2</v>
      </c>
      <c r="X340" s="1">
        <f t="shared" si="92"/>
        <v>0.99365823152780464</v>
      </c>
      <c r="Y340" s="1">
        <f t="shared" si="93"/>
        <v>0.99976846370640848</v>
      </c>
      <c r="Z340" s="1">
        <f t="shared" si="94"/>
        <v>49.988423185320428</v>
      </c>
      <c r="AB340">
        <v>4.7</v>
      </c>
      <c r="AC340">
        <v>1.9952623149688769E-5</v>
      </c>
      <c r="AD340">
        <v>5.0619910596354569E-10</v>
      </c>
      <c r="AE340">
        <v>7.9721344499634368E-3</v>
      </c>
      <c r="AF340">
        <v>3.0675955183345521E-2</v>
      </c>
      <c r="AG340">
        <v>0.884714075930636</v>
      </c>
      <c r="AH340">
        <v>0.88500188540573732</v>
      </c>
      <c r="AI340">
        <v>44.250094270286858</v>
      </c>
      <c r="AJ340"/>
      <c r="AK340"/>
      <c r="AL340"/>
      <c r="AM340"/>
      <c r="AN340"/>
      <c r="AO340"/>
      <c r="AP340"/>
      <c r="AQ340"/>
      <c r="AR340"/>
    </row>
    <row r="341" spans="1:44" ht="15" customHeight="1" x14ac:dyDescent="0.3">
      <c r="A341" s="2">
        <v>3.4</v>
      </c>
      <c r="B341" s="1">
        <f t="shared" si="82"/>
        <v>3.9810717055349708E-4</v>
      </c>
      <c r="C341" s="1">
        <f t="shared" si="83"/>
        <v>2.537005295824677E-11</v>
      </c>
      <c r="D341" s="1">
        <f t="shared" si="84"/>
        <v>2.0445277108402465E-2</v>
      </c>
      <c r="E341" s="1">
        <f t="shared" si="85"/>
        <v>-7.421285140041107E-5</v>
      </c>
      <c r="F341" s="1">
        <f t="shared" si="86"/>
        <v>1.3471456331351087E-3</v>
      </c>
      <c r="G341" s="1">
        <f t="shared" si="87"/>
        <v>-1.8484623021030152E-2</v>
      </c>
      <c r="H341" s="1">
        <f t="shared" si="95"/>
        <v>-0.1848462302103015</v>
      </c>
      <c r="J341" s="2">
        <v>7.39</v>
      </c>
      <c r="K341" s="1">
        <v>4.0738027780411254E-8</v>
      </c>
      <c r="L341" s="1">
        <v>2.4792560048418817E-7</v>
      </c>
      <c r="M341" s="1">
        <v>1.1889159711646593E-3</v>
      </c>
      <c r="N341" s="1">
        <v>3.1351806714725568E-3</v>
      </c>
      <c r="O341" s="1">
        <v>0.92949090437477044</v>
      </c>
      <c r="P341" s="1">
        <v>0.9295031895685022</v>
      </c>
      <c r="Q341" s="2">
        <v>9.2950318956850211</v>
      </c>
      <c r="S341" s="2">
        <v>3.4</v>
      </c>
      <c r="T341" s="1">
        <f t="shared" si="88"/>
        <v>3.9810717055349708E-4</v>
      </c>
      <c r="U341" s="1">
        <f t="shared" si="89"/>
        <v>2.537005295824677E-11</v>
      </c>
      <c r="V341" s="1">
        <f t="shared" si="90"/>
        <v>3.4536134972595129E-5</v>
      </c>
      <c r="W341" s="1">
        <f t="shared" si="91"/>
        <v>3.3321821288342469E-2</v>
      </c>
      <c r="X341" s="1">
        <f t="shared" si="92"/>
        <v>0.99351147124118433</v>
      </c>
      <c r="Y341" s="1">
        <f t="shared" si="93"/>
        <v>0.99948204741581281</v>
      </c>
      <c r="Z341" s="1">
        <f t="shared" si="94"/>
        <v>49.974102370790639</v>
      </c>
      <c r="AB341">
        <v>4.71</v>
      </c>
      <c r="AC341">
        <v>1.9498445997580432E-5</v>
      </c>
      <c r="AD341">
        <v>5.1798999783127904E-10</v>
      </c>
      <c r="AE341">
        <v>8.1435689741012115E-3</v>
      </c>
      <c r="AF341">
        <v>3.0618810341966264E-2</v>
      </c>
      <c r="AG341">
        <v>0.88234466802395639</v>
      </c>
      <c r="AH341">
        <v>0.88262569416524461</v>
      </c>
      <c r="AI341">
        <v>44.131284708262235</v>
      </c>
      <c r="AJ341"/>
      <c r="AK341"/>
      <c r="AL341"/>
      <c r="AM341"/>
      <c r="AN341"/>
      <c r="AO341"/>
      <c r="AP341"/>
      <c r="AQ341"/>
      <c r="AR341"/>
    </row>
    <row r="342" spans="1:44" ht="15" customHeight="1" x14ac:dyDescent="0.3">
      <c r="A342" s="2">
        <v>3.41</v>
      </c>
      <c r="B342" s="1">
        <f t="shared" si="82"/>
        <v>3.8904514499428012E-4</v>
      </c>
      <c r="C342" s="1">
        <f t="shared" si="83"/>
        <v>2.5960997405965556E-11</v>
      </c>
      <c r="D342" s="1">
        <f t="shared" si="84"/>
        <v>2.0433651032528151E-2</v>
      </c>
      <c r="E342" s="1">
        <f t="shared" si="85"/>
        <v>-7.2275172088025682E-5</v>
      </c>
      <c r="F342" s="1">
        <f t="shared" si="86"/>
        <v>1.3784814305271389E-3</v>
      </c>
      <c r="G342" s="1">
        <f t="shared" si="87"/>
        <v>-1.8003731881010086E-2</v>
      </c>
      <c r="H342" s="1">
        <f t="shared" si="95"/>
        <v>-0.18003731881010085</v>
      </c>
      <c r="J342" s="2">
        <v>7.4</v>
      </c>
      <c r="K342" s="1">
        <v>3.981071705534957E-8</v>
      </c>
      <c r="L342" s="1">
        <v>2.5370052958246857E-7</v>
      </c>
      <c r="M342" s="1">
        <v>1.1634162889910284E-3</v>
      </c>
      <c r="N342" s="1">
        <v>3.1394306185014956E-3</v>
      </c>
      <c r="O342" s="1">
        <v>0.93098511963181774</v>
      </c>
      <c r="P342" s="1">
        <v>0.9309978054319048</v>
      </c>
      <c r="Q342" s="2">
        <v>9.309978054319048</v>
      </c>
      <c r="S342" s="2">
        <v>3.41</v>
      </c>
      <c r="T342" s="1">
        <f t="shared" si="88"/>
        <v>3.8904514499428012E-4</v>
      </c>
      <c r="U342" s="1">
        <f t="shared" si="89"/>
        <v>2.5960997405965556E-11</v>
      </c>
      <c r="V342" s="1">
        <f t="shared" si="90"/>
        <v>5.3651115511660416E-5</v>
      </c>
      <c r="W342" s="1">
        <f t="shared" si="91"/>
        <v>3.3315449628162783E-2</v>
      </c>
      <c r="X342" s="1">
        <f t="shared" si="92"/>
        <v>0.99336133734011189</v>
      </c>
      <c r="Y342" s="1">
        <f t="shared" si="93"/>
        <v>0.99919544909259339</v>
      </c>
      <c r="Z342" s="1">
        <f t="shared" si="94"/>
        <v>49.959772454629672</v>
      </c>
      <c r="AB342">
        <v>4.72</v>
      </c>
      <c r="AC342">
        <v>1.9054607179632454E-5</v>
      </c>
      <c r="AD342">
        <v>5.3005553485227081E-10</v>
      </c>
      <c r="AE342">
        <v>8.318319203876259E-3</v>
      </c>
      <c r="AF342">
        <v>3.0560560265374584E-2</v>
      </c>
      <c r="AG342">
        <v>0.87993317179886477</v>
      </c>
      <c r="AH342">
        <v>0.88020757028475283</v>
      </c>
      <c r="AI342">
        <v>44.010378514237637</v>
      </c>
      <c r="AJ342"/>
      <c r="AK342"/>
      <c r="AL342"/>
      <c r="AM342"/>
      <c r="AN342"/>
      <c r="AO342"/>
      <c r="AP342"/>
      <c r="AQ342"/>
      <c r="AR342"/>
    </row>
    <row r="343" spans="1:44" ht="15" customHeight="1" x14ac:dyDescent="0.3">
      <c r="A343" s="2">
        <v>3.42</v>
      </c>
      <c r="B343" s="1">
        <f t="shared" si="82"/>
        <v>3.8018939632056113E-4</v>
      </c>
      <c r="C343" s="1">
        <f t="shared" si="83"/>
        <v>2.6565706718143359E-11</v>
      </c>
      <c r="D343" s="1">
        <f t="shared" si="84"/>
        <v>2.0422255039429571E-2</v>
      </c>
      <c r="E343" s="1">
        <f t="shared" si="85"/>
        <v>-7.0375839904928813E-5</v>
      </c>
      <c r="F343" s="1">
        <f t="shared" si="86"/>
        <v>1.4105450967152597E-3</v>
      </c>
      <c r="G343" s="1">
        <f t="shared" si="87"/>
        <v>-1.7532267573436278E-2</v>
      </c>
      <c r="H343" s="1">
        <f t="shared" si="95"/>
        <v>-0.17532267573436278</v>
      </c>
      <c r="J343" s="2">
        <v>7.41</v>
      </c>
      <c r="K343" s="1">
        <v>3.890451449942805E-8</v>
      </c>
      <c r="L343" s="1">
        <v>2.596099740596553E-7</v>
      </c>
      <c r="M343" s="1">
        <v>1.138429940397444E-3</v>
      </c>
      <c r="N343" s="1">
        <v>3.1435950099337594E-3</v>
      </c>
      <c r="O343" s="1">
        <v>0.93244997100342386</v>
      </c>
      <c r="P343" s="1">
        <v>0.93246306427329306</v>
      </c>
      <c r="Q343" s="2">
        <v>9.3246306427329309</v>
      </c>
      <c r="S343" s="2">
        <v>3.42</v>
      </c>
      <c r="T343" s="1">
        <f t="shared" si="88"/>
        <v>3.8018939632056113E-4</v>
      </c>
      <c r="U343" s="1">
        <f t="shared" si="89"/>
        <v>2.6565706718143359E-11</v>
      </c>
      <c r="V343" s="1">
        <f t="shared" si="90"/>
        <v>7.2791881285955861E-5</v>
      </c>
      <c r="W343" s="1">
        <f t="shared" si="91"/>
        <v>3.3309069372904683E-2</v>
      </c>
      <c r="X343" s="1">
        <f t="shared" si="92"/>
        <v>0.99320775333645173</v>
      </c>
      <c r="Y343" s="1">
        <f t="shared" si="93"/>
        <v>0.99890851903547462</v>
      </c>
      <c r="Z343" s="1">
        <f t="shared" si="94"/>
        <v>49.945425951773728</v>
      </c>
      <c r="AB343">
        <v>4.7300000000000004</v>
      </c>
      <c r="AC343">
        <v>1.8620871366628623E-5</v>
      </c>
      <c r="AD343">
        <v>5.4240211433395667E-10</v>
      </c>
      <c r="AE343">
        <v>8.4964358115105394E-3</v>
      </c>
      <c r="AF343">
        <v>3.050118806282982E-2</v>
      </c>
      <c r="AG343">
        <v>0.87747911218722674</v>
      </c>
      <c r="AH343">
        <v>0.8777470351695843</v>
      </c>
      <c r="AI343">
        <v>43.887351758479213</v>
      </c>
      <c r="AJ343"/>
      <c r="AK343"/>
      <c r="AL343"/>
      <c r="AM343"/>
      <c r="AN343"/>
      <c r="AO343"/>
      <c r="AP343"/>
      <c r="AQ343"/>
      <c r="AR343"/>
    </row>
    <row r="344" spans="1:44" ht="15" customHeight="1" x14ac:dyDescent="0.3">
      <c r="A344" s="2">
        <v>3.43</v>
      </c>
      <c r="B344" s="1">
        <f t="shared" si="82"/>
        <v>3.7153522909717215E-4</v>
      </c>
      <c r="C344" s="1">
        <f t="shared" si="83"/>
        <v>2.7184501519661874E-11</v>
      </c>
      <c r="D344" s="1">
        <f t="shared" si="84"/>
        <v>2.0411083090887412E-2</v>
      </c>
      <c r="E344" s="1">
        <f t="shared" si="85"/>
        <v>-6.8513848481235778E-5</v>
      </c>
      <c r="F344" s="1">
        <f t="shared" si="86"/>
        <v>1.4433534902079366E-3</v>
      </c>
      <c r="G344" s="1">
        <f t="shared" si="87"/>
        <v>-1.706998559996032E-2</v>
      </c>
      <c r="H344" s="1">
        <f t="shared" si="95"/>
        <v>-0.17069985599960319</v>
      </c>
      <c r="J344" s="2">
        <v>7.42</v>
      </c>
      <c r="K344" s="1">
        <v>3.8018939632056113E-8</v>
      </c>
      <c r="L344" s="1">
        <v>2.6565706718143362E-7</v>
      </c>
      <c r="M344" s="1">
        <v>1.1139479884313076E-3</v>
      </c>
      <c r="N344" s="1">
        <v>3.1476753352614488E-3</v>
      </c>
      <c r="O344" s="1">
        <v>0.93388593866280445</v>
      </c>
      <c r="P344" s="1">
        <v>0.93389944648039513</v>
      </c>
      <c r="Q344" s="2">
        <v>9.3389944648039513</v>
      </c>
      <c r="S344" s="2">
        <v>3.43</v>
      </c>
      <c r="T344" s="1">
        <f t="shared" si="88"/>
        <v>3.7153522909717215E-4</v>
      </c>
      <c r="U344" s="1">
        <f t="shared" si="89"/>
        <v>2.7184501519661874E-11</v>
      </c>
      <c r="V344" s="1">
        <f t="shared" si="90"/>
        <v>9.1968434803461611E-5</v>
      </c>
      <c r="W344" s="1">
        <f t="shared" si="91"/>
        <v>3.3302677188398848E-2</v>
      </c>
      <c r="X344" s="1">
        <f t="shared" si="92"/>
        <v>0.99305064105758212</v>
      </c>
      <c r="Y344" s="1">
        <f t="shared" si="93"/>
        <v>0.99862110755084965</v>
      </c>
      <c r="Z344" s="1">
        <f t="shared" si="94"/>
        <v>49.931055377542478</v>
      </c>
      <c r="AB344">
        <v>4.74</v>
      </c>
      <c r="AC344">
        <v>1.8197008586099817E-5</v>
      </c>
      <c r="AD344">
        <v>5.5503628259620132E-10</v>
      </c>
      <c r="AE344">
        <v>8.6779696119503504E-3</v>
      </c>
      <c r="AF344">
        <v>3.0440676796016551E-2</v>
      </c>
      <c r="AG344">
        <v>0.87498202016718063</v>
      </c>
      <c r="AH344">
        <v>0.87524361635172732</v>
      </c>
      <c r="AI344">
        <v>43.762180817586369</v>
      </c>
      <c r="AJ344"/>
      <c r="AK344"/>
      <c r="AL344"/>
      <c r="AM344"/>
      <c r="AN344"/>
      <c r="AO344"/>
      <c r="AP344"/>
      <c r="AQ344"/>
      <c r="AR344"/>
    </row>
    <row r="345" spans="1:44" ht="15" customHeight="1" x14ac:dyDescent="0.3">
      <c r="A345" s="2">
        <v>3.44</v>
      </c>
      <c r="B345" s="1">
        <f t="shared" si="82"/>
        <v>3.6307805477010102E-4</v>
      </c>
      <c r="C345" s="1">
        <f t="shared" si="83"/>
        <v>2.7817709903715505E-11</v>
      </c>
      <c r="D345" s="1">
        <f t="shared" si="84"/>
        <v>2.0400129267665719E-2</v>
      </c>
      <c r="E345" s="1">
        <f t="shared" si="85"/>
        <v>-6.6688211277619161E-5</v>
      </c>
      <c r="F345" s="1">
        <f t="shared" si="86"/>
        <v>1.4769238577015957E-3</v>
      </c>
      <c r="G345" s="1">
        <f t="shared" si="87"/>
        <v>-1.6616646099115628E-2</v>
      </c>
      <c r="H345" s="1">
        <f t="shared" si="95"/>
        <v>-0.16616646099115626</v>
      </c>
      <c r="J345" s="2">
        <v>7.43</v>
      </c>
      <c r="K345" s="1">
        <v>3.7153522909717246E-8</v>
      </c>
      <c r="L345" s="1">
        <v>2.7184501519661854E-7</v>
      </c>
      <c r="M345" s="1">
        <v>1.0899615911964895E-3</v>
      </c>
      <c r="N345" s="1">
        <v>3.1516730681339184E-3</v>
      </c>
      <c r="O345" s="1">
        <v>0.93529349904607828</v>
      </c>
      <c r="P345" s="1">
        <v>0.93530742870765449</v>
      </c>
      <c r="Q345" s="2">
        <v>9.3530742870765451</v>
      </c>
      <c r="S345" s="2">
        <v>3.44</v>
      </c>
      <c r="T345" s="1">
        <f t="shared" si="88"/>
        <v>3.6307805477010102E-4</v>
      </c>
      <c r="U345" s="1">
        <f t="shared" si="89"/>
        <v>2.7817709903715505E-11</v>
      </c>
      <c r="V345" s="1">
        <f t="shared" si="90"/>
        <v>1.1119079072202186E-4</v>
      </c>
      <c r="W345" s="1">
        <f t="shared" si="91"/>
        <v>3.3296269736425993E-2</v>
      </c>
      <c r="X345" s="1">
        <f t="shared" si="92"/>
        <v>0.99288992061163028</v>
      </c>
      <c r="Y345" s="1">
        <f t="shared" si="93"/>
        <v>0.99833306487834095</v>
      </c>
      <c r="Z345" s="1">
        <f t="shared" si="94"/>
        <v>49.916653243917047</v>
      </c>
      <c r="AB345">
        <v>4.75</v>
      </c>
      <c r="AC345">
        <v>1.7782794100389215E-5</v>
      </c>
      <c r="AD345">
        <v>5.6796473844225295E-10</v>
      </c>
      <c r="AE345">
        <v>8.862971532993872E-3</v>
      </c>
      <c r="AF345">
        <v>3.0379009489002042E-2</v>
      </c>
      <c r="AG345">
        <v>0.87244143333860436</v>
      </c>
      <c r="AH345">
        <v>0.87269684806346148</v>
      </c>
      <c r="AI345">
        <v>43.634842403173074</v>
      </c>
      <c r="AJ345"/>
      <c r="AK345"/>
      <c r="AL345"/>
      <c r="AM345"/>
      <c r="AN345"/>
      <c r="AO345"/>
      <c r="AP345"/>
      <c r="AQ345"/>
      <c r="AR345"/>
    </row>
    <row r="346" spans="1:44" ht="15" customHeight="1" x14ac:dyDescent="0.3">
      <c r="A346" s="2">
        <v>3.45</v>
      </c>
      <c r="B346" s="1">
        <f t="shared" si="82"/>
        <v>3.5481338923357516E-4</v>
      </c>
      <c r="C346" s="1">
        <f t="shared" si="83"/>
        <v>2.8465667605771006E-11</v>
      </c>
      <c r="D346" s="1">
        <f t="shared" si="84"/>
        <v>2.038938776638239E-2</v>
      </c>
      <c r="E346" s="1">
        <f t="shared" si="85"/>
        <v>-6.4897961063731512E-5</v>
      </c>
      <c r="F346" s="1">
        <f t="shared" si="86"/>
        <v>1.511273842911802E-3</v>
      </c>
      <c r="G346" s="1">
        <f t="shared" si="87"/>
        <v>-1.6172013730064088E-2</v>
      </c>
      <c r="H346" s="1">
        <f t="shared" si="95"/>
        <v>-0.16172013730064086</v>
      </c>
      <c r="J346" s="2">
        <v>7.44</v>
      </c>
      <c r="K346" s="1">
        <v>3.630780547701001E-8</v>
      </c>
      <c r="L346" s="1">
        <v>2.7817709903715577E-7</v>
      </c>
      <c r="M346" s="1">
        <v>1.0664620036099802E-3</v>
      </c>
      <c r="N346" s="1">
        <v>3.1555896660650034E-3</v>
      </c>
      <c r="O346" s="1">
        <v>0.93667312468905228</v>
      </c>
      <c r="P346" s="1">
        <v>0.93668748371313004</v>
      </c>
      <c r="Q346" s="2">
        <v>9.3668748371313004</v>
      </c>
      <c r="S346" s="2">
        <v>3.45</v>
      </c>
      <c r="T346" s="1">
        <f t="shared" si="88"/>
        <v>3.5481338923357516E-4</v>
      </c>
      <c r="U346" s="1">
        <f t="shared" si="89"/>
        <v>2.8465667605771006E-11</v>
      </c>
      <c r="V346" s="1">
        <f t="shared" si="90"/>
        <v>1.3046898084217222E-4</v>
      </c>
      <c r="W346" s="1">
        <f t="shared" si="91"/>
        <v>3.3289843673052613E-2</v>
      </c>
      <c r="X346" s="1">
        <f t="shared" si="92"/>
        <v>0.99272551035210133</v>
      </c>
      <c r="Y346" s="1">
        <f t="shared" si="93"/>
        <v>0.99804424111670875</v>
      </c>
      <c r="Z346" s="1">
        <f t="shared" si="94"/>
        <v>49.902212055835435</v>
      </c>
      <c r="AB346">
        <v>4.76</v>
      </c>
      <c r="AC346">
        <v>1.7378008287493744E-5</v>
      </c>
      <c r="AD346">
        <v>5.8119433671052887E-10</v>
      </c>
      <c r="AE346">
        <v>9.051492583981368E-3</v>
      </c>
      <c r="AF346">
        <v>3.0316169138672876E-2</v>
      </c>
      <c r="AG346">
        <v>0.86985689651417342</v>
      </c>
      <c r="AH346">
        <v>0.87010627182661482</v>
      </c>
      <c r="AI346">
        <v>43.50531359133074</v>
      </c>
      <c r="AJ346"/>
      <c r="AK346"/>
      <c r="AL346"/>
      <c r="AM346"/>
      <c r="AN346"/>
      <c r="AO346"/>
      <c r="AP346"/>
      <c r="AQ346"/>
      <c r="AR346"/>
    </row>
    <row r="347" spans="1:44" ht="15" customHeight="1" x14ac:dyDescent="0.3">
      <c r="A347" s="2">
        <v>3.46</v>
      </c>
      <c r="B347" s="1">
        <f t="shared" si="82"/>
        <v>3.4673685045253142E-4</v>
      </c>
      <c r="C347" s="1">
        <f t="shared" si="83"/>
        <v>2.9128718181578737E-11</v>
      </c>
      <c r="D347" s="1">
        <f t="shared" si="84"/>
        <v>2.0378852896441622E-2</v>
      </c>
      <c r="E347" s="1">
        <f t="shared" si="85"/>
        <v>-6.3142149406937383E-5</v>
      </c>
      <c r="F347" s="1">
        <f t="shared" si="86"/>
        <v>1.5464214956002521E-3</v>
      </c>
      <c r="G347" s="1">
        <f t="shared" si="87"/>
        <v>-1.5735857558284772E-2</v>
      </c>
      <c r="H347" s="1">
        <f t="shared" si="95"/>
        <v>-0.15735857558284772</v>
      </c>
      <c r="J347" s="2">
        <v>7.45</v>
      </c>
      <c r="K347" s="1">
        <v>3.5481338923357426E-8</v>
      </c>
      <c r="L347" s="1">
        <v>2.8465667605771076E-7</v>
      </c>
      <c r="M347" s="1">
        <v>1.0434405789968863E-3</v>
      </c>
      <c r="N347" s="1">
        <v>3.1594265701671855E-3</v>
      </c>
      <c r="O347" s="1">
        <v>0.93802528407464203</v>
      </c>
      <c r="P347" s="1">
        <v>0.93804008020603102</v>
      </c>
      <c r="Q347" s="2">
        <v>9.3804008020603096</v>
      </c>
      <c r="S347" s="2">
        <v>3.46</v>
      </c>
      <c r="T347" s="1">
        <f t="shared" si="88"/>
        <v>3.4673685045253142E-4</v>
      </c>
      <c r="U347" s="1">
        <f t="shared" si="89"/>
        <v>2.9128718181578737E-11</v>
      </c>
      <c r="V347" s="1">
        <f t="shared" si="90"/>
        <v>1.4981305909440366E-4</v>
      </c>
      <c r="W347" s="1">
        <f t="shared" si="91"/>
        <v>3.3283395646968535E-2</v>
      </c>
      <c r="X347" s="1">
        <f t="shared" si="92"/>
        <v>0.99255732684189502</v>
      </c>
      <c r="Y347" s="1">
        <f t="shared" si="93"/>
        <v>0.99775448615007944</v>
      </c>
      <c r="Z347" s="1">
        <f t="shared" si="94"/>
        <v>49.887724307503966</v>
      </c>
      <c r="AB347">
        <v>4.7699999999999996</v>
      </c>
      <c r="AC347">
        <v>1.6982436524617432E-5</v>
      </c>
      <c r="AD347">
        <v>5.9473209190914524E-10</v>
      </c>
      <c r="AE347">
        <v>9.2435838230221744E-3</v>
      </c>
      <c r="AF347">
        <v>3.0252138725659274E-2</v>
      </c>
      <c r="AG347">
        <v>0.86722796232575594</v>
      </c>
      <c r="AH347">
        <v>0.86747143705719942</v>
      </c>
      <c r="AI347">
        <v>43.373571852859975</v>
      </c>
      <c r="AJ347"/>
      <c r="AK347"/>
      <c r="AL347"/>
      <c r="AM347"/>
      <c r="AN347"/>
      <c r="AO347"/>
      <c r="AP347"/>
      <c r="AQ347"/>
      <c r="AR347"/>
    </row>
    <row r="348" spans="1:44" ht="15" customHeight="1" x14ac:dyDescent="0.3">
      <c r="A348" s="2">
        <v>3.47</v>
      </c>
      <c r="B348" s="1">
        <f t="shared" si="82"/>
        <v>3.3884415613920208E-4</v>
      </c>
      <c r="C348" s="1">
        <f t="shared" si="83"/>
        <v>2.9807213189330532E-11</v>
      </c>
      <c r="D348" s="1">
        <f t="shared" si="84"/>
        <v>2.0368519077026508E-2</v>
      </c>
      <c r="E348" s="1">
        <f t="shared" si="85"/>
        <v>-6.141984617108485E-5</v>
      </c>
      <c r="F348" s="1">
        <f t="shared" si="86"/>
        <v>1.5823852808017215E-3</v>
      </c>
      <c r="G348" s="1">
        <f t="shared" si="87"/>
        <v>-1.5307950943165029E-2</v>
      </c>
      <c r="H348" s="1">
        <f t="shared" si="95"/>
        <v>-0.15307950943165027</v>
      </c>
      <c r="J348" s="2">
        <v>7.46</v>
      </c>
      <c r="K348" s="1">
        <v>3.4673685045253171E-8</v>
      </c>
      <c r="L348" s="1">
        <v>2.9128718181578712E-7</v>
      </c>
      <c r="M348" s="1">
        <v>1.0208887705298307E-3</v>
      </c>
      <c r="N348" s="1">
        <v>3.1631852049116946E-3</v>
      </c>
      <c r="O348" s="1">
        <v>0.93935044149060221</v>
      </c>
      <c r="P348" s="1">
        <v>0.93936568270456655</v>
      </c>
      <c r="Q348" s="2">
        <v>9.3936568270456657</v>
      </c>
      <c r="S348" s="2">
        <v>3.47</v>
      </c>
      <c r="T348" s="1">
        <f t="shared" si="88"/>
        <v>3.3884415613920208E-4</v>
      </c>
      <c r="U348" s="1">
        <f t="shared" si="89"/>
        <v>2.9807213189330532E-11</v>
      </c>
      <c r="V348" s="1">
        <f t="shared" si="90"/>
        <v>1.6923310652282533E-4</v>
      </c>
      <c r="W348" s="1">
        <f t="shared" si="91"/>
        <v>3.3276922297825723E-2</v>
      </c>
      <c r="X348" s="1">
        <f t="shared" si="92"/>
        <v>0.99238528481670651</v>
      </c>
      <c r="Y348" s="1">
        <f t="shared" si="93"/>
        <v>0.99746364957446632</v>
      </c>
      <c r="Z348" s="1">
        <f t="shared" si="94"/>
        <v>49.873182478723315</v>
      </c>
      <c r="AB348">
        <v>4.78</v>
      </c>
      <c r="AC348">
        <v>1.6595869074375568E-5</v>
      </c>
      <c r="AD348">
        <v>6.085851819351027E-10</v>
      </c>
      <c r="AE348">
        <v>9.439296322733659E-3</v>
      </c>
      <c r="AF348">
        <v>3.0186901225755448E-2</v>
      </c>
      <c r="AG348">
        <v>0.86455419184585292</v>
      </c>
      <c r="AH348">
        <v>0.86479190168513187</v>
      </c>
      <c r="AI348">
        <v>43.239595084256592</v>
      </c>
      <c r="AJ348"/>
      <c r="AK348"/>
      <c r="AL348"/>
      <c r="AM348"/>
      <c r="AN348"/>
      <c r="AO348"/>
      <c r="AP348"/>
      <c r="AQ348"/>
      <c r="AR348"/>
    </row>
    <row r="349" spans="1:44" ht="15" customHeight="1" x14ac:dyDescent="0.3">
      <c r="A349" s="2">
        <v>3.48</v>
      </c>
      <c r="B349" s="1">
        <f t="shared" si="82"/>
        <v>3.3113112148259094E-4</v>
      </c>
      <c r="C349" s="1">
        <f t="shared" si="83"/>
        <v>3.0501512376060377E-11</v>
      </c>
      <c r="D349" s="1">
        <f t="shared" si="84"/>
        <v>2.0358380834150331E-2</v>
      </c>
      <c r="E349" s="1">
        <f t="shared" si="85"/>
        <v>-5.9730139025055518E-5</v>
      </c>
      <c r="F349" s="1">
        <f t="shared" si="86"/>
        <v>1.6191840882551147E-3</v>
      </c>
      <c r="G349" s="1">
        <f t="shared" si="87"/>
        <v>-1.4888071427455039E-2</v>
      </c>
      <c r="H349" s="1">
        <f t="shared" si="95"/>
        <v>-0.14888071427455038</v>
      </c>
      <c r="J349" s="2">
        <v>7.47</v>
      </c>
      <c r="K349" s="1">
        <v>3.3884415613920266E-8</v>
      </c>
      <c r="L349" s="1">
        <v>2.9807213189330484E-7</v>
      </c>
      <c r="M349" s="1">
        <v>9.9879813251889621E-4</v>
      </c>
      <c r="N349" s="1">
        <v>3.1668669779135175E-3</v>
      </c>
      <c r="O349" s="1">
        <v>0.94064905689723233</v>
      </c>
      <c r="P349" s="1">
        <v>0.94066475140377093</v>
      </c>
      <c r="Q349" s="2">
        <v>9.4066475140377079</v>
      </c>
      <c r="S349" s="2">
        <v>3.48</v>
      </c>
      <c r="T349" s="1">
        <f t="shared" si="88"/>
        <v>3.3113112148259094E-4</v>
      </c>
      <c r="U349" s="1">
        <f t="shared" si="89"/>
        <v>3.0501512376060377E-11</v>
      </c>
      <c r="V349" s="1">
        <f t="shared" si="90"/>
        <v>1.8873923626723139E-4</v>
      </c>
      <c r="W349" s="1">
        <f t="shared" si="91"/>
        <v>3.3270420254577597E-2</v>
      </c>
      <c r="X349" s="1">
        <f t="shared" si="92"/>
        <v>0.99220929714780692</v>
      </c>
      <c r="Y349" s="1">
        <f t="shared" si="93"/>
        <v>0.99717158062455535</v>
      </c>
      <c r="Z349" s="1">
        <f t="shared" si="94"/>
        <v>49.858579031227762</v>
      </c>
      <c r="AB349">
        <v>4.79</v>
      </c>
      <c r="AC349">
        <v>1.6218100973589292E-5</v>
      </c>
      <c r="AD349">
        <v>6.2276095188009729E-10</v>
      </c>
      <c r="AE349">
        <v>9.6386811344687812E-3</v>
      </c>
      <c r="AF349">
        <v>3.0120439621843742E-2</v>
      </c>
      <c r="AG349">
        <v>0.86183515522373744</v>
      </c>
      <c r="AH349">
        <v>0.86206723278869168</v>
      </c>
      <c r="AI349">
        <v>43.103361639434588</v>
      </c>
      <c r="AJ349"/>
      <c r="AK349"/>
      <c r="AL349"/>
      <c r="AM349"/>
      <c r="AN349"/>
      <c r="AO349"/>
      <c r="AP349"/>
      <c r="AQ349"/>
      <c r="AR349"/>
    </row>
    <row r="350" spans="1:44" ht="15" customHeight="1" x14ac:dyDescent="0.3">
      <c r="A350" s="2">
        <v>3.49</v>
      </c>
      <c r="B350" s="1">
        <f t="shared" si="82"/>
        <v>3.235936569296281E-4</v>
      </c>
      <c r="C350" s="1">
        <f t="shared" si="83"/>
        <v>3.1211983868387276E-11</v>
      </c>
      <c r="D350" s="1">
        <f t="shared" si="84"/>
        <v>2.0348432797765006E-2</v>
      </c>
      <c r="E350" s="1">
        <f t="shared" si="85"/>
        <v>-5.8072132960834321E-5</v>
      </c>
      <c r="F350" s="1">
        <f t="shared" si="86"/>
        <v>1.6568372420429111E-3</v>
      </c>
      <c r="G350" s="1">
        <f t="shared" si="87"/>
        <v>-1.4476000628546476E-2</v>
      </c>
      <c r="H350" s="1">
        <f t="shared" si="95"/>
        <v>-0.14476000628546476</v>
      </c>
      <c r="J350" s="2">
        <v>7.48</v>
      </c>
      <c r="K350" s="1">
        <v>3.3113112148259005E-8</v>
      </c>
      <c r="L350" s="1">
        <v>3.0501512376060457E-7</v>
      </c>
      <c r="M350" s="1">
        <v>9.7716032155788809E-4</v>
      </c>
      <c r="N350" s="1">
        <v>3.170473279740352E-3</v>
      </c>
      <c r="O350" s="1">
        <v>0.94192158580473606</v>
      </c>
      <c r="P350" s="1">
        <v>0.94193774205298553</v>
      </c>
      <c r="Q350" s="2">
        <v>9.4193774205298553</v>
      </c>
      <c r="S350" s="2">
        <v>3.49</v>
      </c>
      <c r="T350" s="1">
        <f t="shared" si="88"/>
        <v>3.235936569296281E-4</v>
      </c>
      <c r="U350" s="1">
        <f t="shared" si="89"/>
        <v>3.1211983868387276E-11</v>
      </c>
      <c r="V350" s="1">
        <f t="shared" si="90"/>
        <v>2.0834159854547617E-4</v>
      </c>
      <c r="W350" s="1">
        <f t="shared" si="91"/>
        <v>3.3263886133818178E-2</v>
      </c>
      <c r="X350" s="1">
        <f t="shared" si="92"/>
        <v>0.99202927480419734</v>
      </c>
      <c r="Y350" s="1">
        <f t="shared" si="93"/>
        <v>0.99687812810072751</v>
      </c>
      <c r="Z350" s="1">
        <f t="shared" si="94"/>
        <v>49.843906405036378</v>
      </c>
      <c r="AB350">
        <v>4.8</v>
      </c>
      <c r="AC350">
        <v>1.5848931924611131E-5</v>
      </c>
      <c r="AD350">
        <v>6.3726691792499525E-10</v>
      </c>
      <c r="AE350">
        <v>9.8417892510115831E-3</v>
      </c>
      <c r="AF350">
        <v>3.0052736916329474E-2</v>
      </c>
      <c r="AG350">
        <v>0.85907043233589242</v>
      </c>
      <c r="AH350">
        <v>0.8592970072433157</v>
      </c>
      <c r="AI350">
        <v>42.964850362165784</v>
      </c>
      <c r="AJ350"/>
      <c r="AK350"/>
      <c r="AL350"/>
      <c r="AM350"/>
      <c r="AN350"/>
      <c r="AO350"/>
      <c r="AP350"/>
      <c r="AQ350"/>
      <c r="AR350"/>
    </row>
    <row r="351" spans="1:44" ht="15" customHeight="1" x14ac:dyDescent="0.3">
      <c r="A351" s="2">
        <v>3.5</v>
      </c>
      <c r="B351" s="1">
        <f t="shared" si="82"/>
        <v>3.1622776601683783E-4</v>
      </c>
      <c r="C351" s="1">
        <f t="shared" si="83"/>
        <v>3.1939004367700641E-11</v>
      </c>
      <c r="D351" s="1">
        <f t="shared" si="84"/>
        <v>2.0338669698925099E-2</v>
      </c>
      <c r="E351" s="1">
        <f t="shared" si="85"/>
        <v>-5.6444949820849586E-5</v>
      </c>
      <c r="F351" s="1">
        <f t="shared" si="86"/>
        <v>1.6953645104432747E-3</v>
      </c>
      <c r="G351" s="1">
        <f t="shared" si="87"/>
        <v>-1.4071524131537023E-2</v>
      </c>
      <c r="H351" s="1">
        <f t="shared" si="95"/>
        <v>-0.14071524131537022</v>
      </c>
      <c r="J351" s="2">
        <v>7.49</v>
      </c>
      <c r="K351" s="1">
        <v>3.2359365692962729E-8</v>
      </c>
      <c r="L351" s="1">
        <v>3.1211983868387356E-7</v>
      </c>
      <c r="M351" s="1">
        <v>9.5596709753294521E-4</v>
      </c>
      <c r="N351" s="1">
        <v>3.174005483744509E-3</v>
      </c>
      <c r="O351" s="1">
        <v>0.94316847915990287</v>
      </c>
      <c r="P351" s="1">
        <v>0.94318510584266557</v>
      </c>
      <c r="Q351" s="2">
        <v>9.4318510584266555</v>
      </c>
      <c r="S351" s="2">
        <v>3.5</v>
      </c>
      <c r="T351" s="1">
        <f t="shared" si="88"/>
        <v>3.1622776601683783E-4</v>
      </c>
      <c r="U351" s="1">
        <f t="shared" si="89"/>
        <v>3.1939004367700641E-11</v>
      </c>
      <c r="V351" s="1">
        <f t="shared" si="90"/>
        <v>2.2805038563813006E-4</v>
      </c>
      <c r="W351" s="1">
        <f t="shared" si="91"/>
        <v>3.325731653812062E-2</v>
      </c>
      <c r="X351" s="1">
        <f t="shared" si="92"/>
        <v>0.99184512681413484</v>
      </c>
      <c r="Y351" s="1">
        <f t="shared" si="93"/>
        <v>0.99658314029629347</v>
      </c>
      <c r="Z351" s="1">
        <f t="shared" si="94"/>
        <v>49.829157014814676</v>
      </c>
      <c r="AB351">
        <v>4.8099999999999996</v>
      </c>
      <c r="AC351">
        <v>1.5488166189124811E-5</v>
      </c>
      <c r="AD351">
        <v>6.5211077132500215E-10</v>
      </c>
      <c r="AE351">
        <v>1.0048671567719927E-2</v>
      </c>
      <c r="AF351">
        <v>2.9983776144093355E-2</v>
      </c>
      <c r="AG351">
        <v>0.85625961345030088</v>
      </c>
      <c r="AH351">
        <v>0.85648081238428264</v>
      </c>
      <c r="AI351">
        <v>42.824040619214131</v>
      </c>
      <c r="AJ351"/>
      <c r="AK351"/>
      <c r="AL351"/>
      <c r="AM351"/>
      <c r="AN351"/>
      <c r="AO351"/>
      <c r="AP351"/>
      <c r="AQ351"/>
      <c r="AR351"/>
    </row>
    <row r="352" spans="1:44" ht="15" customHeight="1" x14ac:dyDescent="0.3">
      <c r="A352" s="2">
        <v>3.51</v>
      </c>
      <c r="B352" s="1">
        <f t="shared" si="82"/>
        <v>3.0902954325135899E-4</v>
      </c>
      <c r="C352" s="1">
        <f t="shared" si="83"/>
        <v>3.2682959349892461E-11</v>
      </c>
      <c r="D352" s="1">
        <f t="shared" si="84"/>
        <v>2.0329086367006009E-2</v>
      </c>
      <c r="E352" s="1">
        <f t="shared" si="85"/>
        <v>-5.4847727834334555E-5</v>
      </c>
      <c r="F352" s="1">
        <f t="shared" si="86"/>
        <v>1.7347861159992882E-3</v>
      </c>
      <c r="G352" s="1">
        <f t="shared" si="87"/>
        <v>-1.3674431384041577E-2</v>
      </c>
      <c r="H352" s="1">
        <f t="shared" si="95"/>
        <v>-0.13674431384041577</v>
      </c>
      <c r="J352" s="2">
        <v>7.5</v>
      </c>
      <c r="K352" s="1">
        <v>3.1622776601683699E-8</v>
      </c>
      <c r="L352" s="1">
        <v>3.1939004367700723E-7</v>
      </c>
      <c r="M352" s="1">
        <v>9.3521032449893945E-4</v>
      </c>
      <c r="N352" s="1">
        <v>3.1774649459168432E-3</v>
      </c>
      <c r="O352" s="1">
        <v>0.9443901832417968</v>
      </c>
      <c r="P352" s="1">
        <v>0.94440728930019702</v>
      </c>
      <c r="Q352" s="2">
        <v>9.4440728930019695</v>
      </c>
      <c r="S352" s="2">
        <v>3.51</v>
      </c>
      <c r="T352" s="1">
        <f t="shared" si="88"/>
        <v>3.0902954325135899E-4</v>
      </c>
      <c r="U352" s="1">
        <f t="shared" si="89"/>
        <v>3.2682959349892461E-11</v>
      </c>
      <c r="V352" s="1">
        <f t="shared" si="90"/>
        <v>2.4787583687691943E-4</v>
      </c>
      <c r="W352" s="1">
        <f t="shared" si="91"/>
        <v>3.3250708054374363E-2</v>
      </c>
      <c r="X352" s="1">
        <f t="shared" si="92"/>
        <v>0.99165676022602622</v>
      </c>
      <c r="Y352" s="1">
        <f t="shared" si="93"/>
        <v>0.99628646492491857</v>
      </c>
      <c r="Z352" s="1">
        <f t="shared" si="94"/>
        <v>49.814323246245934</v>
      </c>
      <c r="AB352">
        <v>4.82</v>
      </c>
      <c r="AC352">
        <v>1.5135612484362051E-5</v>
      </c>
      <c r="AD352">
        <v>6.6730038248767331E-10</v>
      </c>
      <c r="AE352">
        <v>1.025937884209898E-2</v>
      </c>
      <c r="AF352">
        <v>2.9913540385967007E-2</v>
      </c>
      <c r="AG352">
        <v>0.8534022999040779</v>
      </c>
      <c r="AH352">
        <v>0.85361824668277564</v>
      </c>
      <c r="AI352">
        <v>42.680912334138782</v>
      </c>
      <c r="AJ352"/>
      <c r="AK352"/>
      <c r="AL352"/>
      <c r="AM352"/>
      <c r="AN352"/>
      <c r="AO352"/>
      <c r="AP352"/>
      <c r="AQ352"/>
      <c r="AR352"/>
    </row>
    <row r="353" spans="1:44" ht="15" customHeight="1" x14ac:dyDescent="0.3">
      <c r="A353" s="2">
        <v>3.52</v>
      </c>
      <c r="B353" s="1">
        <f t="shared" si="82"/>
        <v>3.0199517204020158E-4</v>
      </c>
      <c r="C353" s="1">
        <f t="shared" si="83"/>
        <v>3.3444243269741701E-11</v>
      </c>
      <c r="D353" s="1">
        <f t="shared" si="84"/>
        <v>2.0319677726974818E-2</v>
      </c>
      <c r="E353" s="1">
        <f t="shared" si="85"/>
        <v>-5.3279621162469913E-5</v>
      </c>
      <c r="F353" s="1">
        <f t="shared" si="86"/>
        <v>1.7751227458097567E-3</v>
      </c>
      <c r="G353" s="1">
        <f t="shared" si="87"/>
        <v>-1.3284515592712145E-2</v>
      </c>
      <c r="H353" s="1">
        <f t="shared" si="95"/>
        <v>-0.13284515592712146</v>
      </c>
      <c r="J353" s="2">
        <v>7.51</v>
      </c>
      <c r="K353" s="1">
        <v>3.0902954325135814E-8</v>
      </c>
      <c r="L353" s="1">
        <v>3.2682959349892546E-7</v>
      </c>
      <c r="M353" s="1">
        <v>9.1488197142955679E-4</v>
      </c>
      <c r="N353" s="1">
        <v>3.1808530047617405E-3</v>
      </c>
      <c r="O353" s="1">
        <v>0.94558713956612483</v>
      </c>
      <c r="P353" s="1">
        <v>0.94560473419439328</v>
      </c>
      <c r="Q353" s="2">
        <v>9.4560473419439326</v>
      </c>
      <c r="S353" s="2">
        <v>3.52</v>
      </c>
      <c r="T353" s="1">
        <f t="shared" si="88"/>
        <v>3.0199517204020158E-4</v>
      </c>
      <c r="U353" s="1">
        <f t="shared" si="89"/>
        <v>3.3444243269741701E-11</v>
      </c>
      <c r="V353" s="1">
        <f t="shared" si="90"/>
        <v>2.678282436393278E-4</v>
      </c>
      <c r="W353" s="1">
        <f t="shared" si="91"/>
        <v>3.3244057252120221E-2</v>
      </c>
      <c r="X353" s="1">
        <f t="shared" si="92"/>
        <v>0.99146408006868592</v>
      </c>
      <c r="Y353" s="1">
        <f t="shared" si="93"/>
        <v>0.99598794904820909</v>
      </c>
      <c r="Z353" s="1">
        <f t="shared" si="94"/>
        <v>49.799397452410453</v>
      </c>
      <c r="AB353">
        <v>4.83</v>
      </c>
      <c r="AC353">
        <v>1.4791083881682046E-5</v>
      </c>
      <c r="AD353">
        <v>6.8284380514590286E-10</v>
      </c>
      <c r="AE353">
        <v>1.0473961651789404E-2</v>
      </c>
      <c r="AF353">
        <v>2.9842012782736863E-2</v>
      </c>
      <c r="AG353">
        <v>0.8504981047938841</v>
      </c>
      <c r="AH353">
        <v>0.85070892043476154</v>
      </c>
      <c r="AI353">
        <v>42.535446021738082</v>
      </c>
      <c r="AJ353"/>
      <c r="AK353"/>
      <c r="AL353"/>
      <c r="AM353"/>
      <c r="AN353"/>
      <c r="AO353"/>
      <c r="AP353"/>
      <c r="AQ353"/>
      <c r="AR353"/>
    </row>
    <row r="354" spans="1:44" ht="15" customHeight="1" x14ac:dyDescent="0.3">
      <c r="A354" s="2">
        <v>3.53</v>
      </c>
      <c r="B354" s="1">
        <f t="shared" si="82"/>
        <v>2.9512092266663857E-4</v>
      </c>
      <c r="C354" s="1">
        <f t="shared" si="83"/>
        <v>3.4223259770059455E-11</v>
      </c>
      <c r="D354" s="1">
        <f t="shared" si="84"/>
        <v>2.0310438796712418E-2</v>
      </c>
      <c r="E354" s="1">
        <f t="shared" si="85"/>
        <v>-5.1739799452069967E-5</v>
      </c>
      <c r="F354" s="1">
        <f t="shared" si="86"/>
        <v>1.8163955620461515E-3</v>
      </c>
      <c r="G354" s="1">
        <f t="shared" si="87"/>
        <v>-1.2901573621428054E-2</v>
      </c>
      <c r="H354" s="1">
        <f t="shared" si="95"/>
        <v>-0.12901573621428053</v>
      </c>
      <c r="J354" s="2">
        <v>7.52</v>
      </c>
      <c r="K354" s="1">
        <v>3.0199517204020188E-8</v>
      </c>
      <c r="L354" s="1">
        <v>3.344424326974167E-7</v>
      </c>
      <c r="M354" s="1">
        <v>8.9497411284624264E-4</v>
      </c>
      <c r="N354" s="1">
        <v>3.1841709811922928E-3</v>
      </c>
      <c r="O354" s="1">
        <v>0.94675978479797751</v>
      </c>
      <c r="P354" s="1">
        <v>0.94677787744836983</v>
      </c>
      <c r="Q354" s="2">
        <v>9.4677787744836976</v>
      </c>
      <c r="S354" s="2">
        <v>3.53</v>
      </c>
      <c r="T354" s="1">
        <f t="shared" si="88"/>
        <v>2.9512092266663857E-4</v>
      </c>
      <c r="U354" s="1">
        <f t="shared" si="89"/>
        <v>3.4223259770059455E-11</v>
      </c>
      <c r="V354" s="1">
        <f t="shared" si="90"/>
        <v>2.8791795435056933E-4</v>
      </c>
      <c r="W354" s="1">
        <f t="shared" si="91"/>
        <v>3.3237360681883148E-2</v>
      </c>
      <c r="X354" s="1">
        <f t="shared" si="92"/>
        <v>0.99126698931095525</v>
      </c>
      <c r="Y354" s="1">
        <f t="shared" si="93"/>
        <v>0.99568743900344214</v>
      </c>
      <c r="Z354" s="1">
        <f t="shared" si="94"/>
        <v>49.784371950172108</v>
      </c>
      <c r="AB354">
        <v>4.84</v>
      </c>
      <c r="AC354">
        <v>1.4454397707459275E-5</v>
      </c>
      <c r="AD354">
        <v>6.9874928062812579E-10</v>
      </c>
      <c r="AE354">
        <v>1.0692470350957942E-2</v>
      </c>
      <c r="AF354">
        <v>2.9769176549680684E-2</v>
      </c>
      <c r="AG354">
        <v>0.84754665367849324</v>
      </c>
      <c r="AH354">
        <v>0.84775245646205888</v>
      </c>
      <c r="AI354">
        <v>42.387622823102944</v>
      </c>
      <c r="AJ354"/>
      <c r="AK354"/>
      <c r="AL354"/>
      <c r="AM354"/>
      <c r="AN354"/>
      <c r="AO354"/>
      <c r="AP354"/>
      <c r="AQ354"/>
      <c r="AR354"/>
    </row>
    <row r="355" spans="1:44" ht="15" customHeight="1" x14ac:dyDescent="0.3">
      <c r="A355" s="2">
        <v>3.54</v>
      </c>
      <c r="B355" s="1">
        <f t="shared" si="82"/>
        <v>2.8840315031266012E-4</v>
      </c>
      <c r="C355" s="1">
        <f t="shared" si="83"/>
        <v>3.502042189570575E-11</v>
      </c>
      <c r="D355" s="1">
        <f t="shared" si="84"/>
        <v>2.0301364684385485E-2</v>
      </c>
      <c r="E355" s="1">
        <f t="shared" si="85"/>
        <v>-5.0227447397580265E-5</v>
      </c>
      <c r="F355" s="1">
        <f t="shared" si="86"/>
        <v>1.8586262127003356E-3</v>
      </c>
      <c r="G355" s="1">
        <f t="shared" si="87"/>
        <v>-1.2525405891118592E-2</v>
      </c>
      <c r="H355" s="1">
        <f t="shared" si="95"/>
        <v>-0.12525405891118591</v>
      </c>
      <c r="J355" s="2">
        <v>7.53</v>
      </c>
      <c r="K355" s="1">
        <v>2.9512092266663779E-8</v>
      </c>
      <c r="L355" s="1">
        <v>3.4223259770059547E-7</v>
      </c>
      <c r="M355" s="1">
        <v>8.7547892933155535E-4</v>
      </c>
      <c r="N355" s="1">
        <v>3.187420178444741E-3</v>
      </c>
      <c r="O355" s="1">
        <v>0.94790855067262525</v>
      </c>
      <c r="P355" s="1">
        <v>0.94792715106047487</v>
      </c>
      <c r="Q355" s="2">
        <v>9.4792715106047485</v>
      </c>
      <c r="S355" s="2">
        <v>3.54</v>
      </c>
      <c r="T355" s="1">
        <f t="shared" si="88"/>
        <v>2.8840315031266012E-4</v>
      </c>
      <c r="U355" s="1">
        <f t="shared" si="89"/>
        <v>3.502042189570575E-11</v>
      </c>
      <c r="V355" s="1">
        <f t="shared" si="90"/>
        <v>3.0815537949510061E-4</v>
      </c>
      <c r="W355" s="1">
        <f t="shared" si="91"/>
        <v>3.3230614873501631E-2</v>
      </c>
      <c r="X355" s="1">
        <f t="shared" si="92"/>
        <v>0.99106538882068285</v>
      </c>
      <c r="Y355" s="1">
        <f t="shared" si="93"/>
        <v>0.99538478033141553</v>
      </c>
      <c r="Z355" s="1">
        <f t="shared" si="94"/>
        <v>49.769239016570779</v>
      </c>
      <c r="AB355">
        <v>4.8499999999999996</v>
      </c>
      <c r="AC355">
        <v>1.4125375446227545E-5</v>
      </c>
      <c r="AD355">
        <v>7.1502524222797919E-10</v>
      </c>
      <c r="AE355">
        <v>1.0914955025079583E-2</v>
      </c>
      <c r="AF355">
        <v>2.969501499164014E-2</v>
      </c>
      <c r="AG355">
        <v>0.84454758529283502</v>
      </c>
      <c r="AH355">
        <v>0.8447484908249151</v>
      </c>
      <c r="AI355">
        <v>42.237424541245758</v>
      </c>
      <c r="AJ355"/>
      <c r="AK355"/>
      <c r="AL355"/>
      <c r="AM355"/>
      <c r="AN355"/>
      <c r="AO355"/>
      <c r="AP355"/>
      <c r="AQ355"/>
      <c r="AR355"/>
    </row>
    <row r="356" spans="1:44" ht="15" customHeight="1" x14ac:dyDescent="0.3">
      <c r="A356" s="2">
        <v>3.55</v>
      </c>
      <c r="B356" s="1">
        <f t="shared" si="82"/>
        <v>2.8183829312644545E-4</v>
      </c>
      <c r="C356" s="1">
        <f t="shared" si="83"/>
        <v>3.5836152312591112E-11</v>
      </c>
      <c r="D356" s="1">
        <f t="shared" si="84"/>
        <v>2.0292450585866959E-2</v>
      </c>
      <c r="E356" s="1">
        <f t="shared" si="85"/>
        <v>-4.874176431115986E-5</v>
      </c>
      <c r="F356" s="1">
        <f t="shared" si="86"/>
        <v>1.9018368425677574E-3</v>
      </c>
      <c r="G356" s="1">
        <f t="shared" si="87"/>
        <v>-1.2155816281180612E-2</v>
      </c>
      <c r="H356" s="1">
        <f t="shared" si="95"/>
        <v>-0.12155816281180611</v>
      </c>
      <c r="J356" s="2">
        <v>7.54</v>
      </c>
      <c r="K356" s="1">
        <v>2.8840315031265985E-8</v>
      </c>
      <c r="L356" s="1">
        <v>3.5020421895705782E-7</v>
      </c>
      <c r="M356" s="1">
        <v>8.563887079320367E-4</v>
      </c>
      <c r="N356" s="1">
        <v>3.1906018820113272E-3</v>
      </c>
      <c r="O356" s="1">
        <v>0.94903386392406586</v>
      </c>
      <c r="P356" s="1">
        <v>0.9490529820329755</v>
      </c>
      <c r="Q356" s="2">
        <v>9.4905298203297548</v>
      </c>
      <c r="S356" s="2">
        <v>3.55</v>
      </c>
      <c r="T356" s="1">
        <f t="shared" si="88"/>
        <v>2.8183829312644545E-4</v>
      </c>
      <c r="U356" s="1">
        <f t="shared" si="89"/>
        <v>3.5836152312591112E-11</v>
      </c>
      <c r="V356" s="1">
        <f t="shared" si="90"/>
        <v>3.285509966391707E-4</v>
      </c>
      <c r="W356" s="1">
        <f t="shared" si="91"/>
        <v>3.3223816334453614E-2</v>
      </c>
      <c r="X356" s="1">
        <f t="shared" si="92"/>
        <v>0.99085917732306106</v>
      </c>
      <c r="Y356" s="1">
        <f t="shared" si="93"/>
        <v>0.99507981770439669</v>
      </c>
      <c r="Z356" s="1">
        <f t="shared" si="94"/>
        <v>49.753990885219835</v>
      </c>
      <c r="AB356">
        <v>4.8600000000000003</v>
      </c>
      <c r="AC356">
        <v>1.3803842646028827E-5</v>
      </c>
      <c r="AD356">
        <v>7.3168031967574104E-10</v>
      </c>
      <c r="AE356">
        <v>1.1141465444104E-2</v>
      </c>
      <c r="AF356">
        <v>2.9619511518632E-2</v>
      </c>
      <c r="AG356">
        <v>0.8415005522727671</v>
      </c>
      <c r="AH356">
        <v>0.84169667354534616</v>
      </c>
      <c r="AI356">
        <v>42.084833677267305</v>
      </c>
      <c r="AJ356"/>
      <c r="AK356"/>
      <c r="AL356"/>
      <c r="AM356"/>
      <c r="AN356"/>
      <c r="AO356"/>
      <c r="AP356"/>
      <c r="AQ356"/>
      <c r="AR356"/>
    </row>
    <row r="357" spans="1:44" ht="15" customHeight="1" x14ac:dyDescent="0.3">
      <c r="A357" s="2">
        <v>3.56</v>
      </c>
      <c r="B357" s="1">
        <f t="shared" si="82"/>
        <v>2.7542287033381624E-4</v>
      </c>
      <c r="C357" s="1">
        <f t="shared" si="83"/>
        <v>3.6670883531780289E-11</v>
      </c>
      <c r="D357" s="1">
        <f t="shared" si="84"/>
        <v>2.0283691782203739E-2</v>
      </c>
      <c r="E357" s="1">
        <f t="shared" si="85"/>
        <v>-4.7281963700622778E-5</v>
      </c>
      <c r="F357" s="1">
        <f t="shared" si="86"/>
        <v>1.9460501044709856E-3</v>
      </c>
      <c r="G357" s="1">
        <f t="shared" si="87"/>
        <v>-1.1792612032452994E-2</v>
      </c>
      <c r="H357" s="1">
        <f t="shared" si="95"/>
        <v>-0.11792612032452994</v>
      </c>
      <c r="J357" s="2">
        <v>7.55</v>
      </c>
      <c r="K357" s="1">
        <v>2.8183829312644468E-8</v>
      </c>
      <c r="L357" s="1">
        <v>3.5836152312591209E-7</v>
      </c>
      <c r="M357" s="1">
        <v>8.3769584245570335E-4</v>
      </c>
      <c r="N357" s="1">
        <v>3.1937173595907161E-3</v>
      </c>
      <c r="O357" s="1">
        <v>0.95013614622102383</v>
      </c>
      <c r="P357" s="1">
        <v>0.95015579230819702</v>
      </c>
      <c r="Q357" s="2">
        <v>9.50155792308197</v>
      </c>
      <c r="S357" s="2">
        <v>3.56</v>
      </c>
      <c r="T357" s="1">
        <f t="shared" si="88"/>
        <v>2.7542287033381624E-4</v>
      </c>
      <c r="U357" s="1">
        <f t="shared" si="89"/>
        <v>3.6670883531780289E-11</v>
      </c>
      <c r="V357" s="1">
        <f t="shared" si="90"/>
        <v>3.4911535546610468E-4</v>
      </c>
      <c r="W357" s="1">
        <f t="shared" si="91"/>
        <v>3.3216961548177965E-2</v>
      </c>
      <c r="X357" s="1">
        <f t="shared" si="92"/>
        <v>0.9906482513583208</v>
      </c>
      <c r="Y357" s="1">
        <f t="shared" si="93"/>
        <v>0.99477239485415203</v>
      </c>
      <c r="Z357" s="1">
        <f t="shared" si="94"/>
        <v>49.738619742707598</v>
      </c>
      <c r="AB357">
        <v>4.87</v>
      </c>
      <c r="AC357">
        <v>1.3489628825916516E-5</v>
      </c>
      <c r="AD357">
        <v>7.4872334371392769E-10</v>
      </c>
      <c r="AE357">
        <v>1.1372051014001624E-2</v>
      </c>
      <c r="AF357">
        <v>2.9542649661999459E-2</v>
      </c>
      <c r="AG357">
        <v>0.83840522188976618</v>
      </c>
      <c r="AH357">
        <v>0.83859666934042765</v>
      </c>
      <c r="AI357">
        <v>41.929833467021389</v>
      </c>
      <c r="AJ357"/>
      <c r="AK357"/>
      <c r="AL357"/>
      <c r="AM357"/>
      <c r="AN357"/>
      <c r="AO357"/>
      <c r="AP357"/>
      <c r="AQ357"/>
      <c r="AR357"/>
    </row>
    <row r="358" spans="1:44" ht="15" customHeight="1" x14ac:dyDescent="0.3">
      <c r="A358" s="2">
        <v>3.57</v>
      </c>
      <c r="B358" s="1">
        <f t="shared" si="82"/>
        <v>2.6915348039269167E-4</v>
      </c>
      <c r="C358" s="1">
        <f t="shared" si="83"/>
        <v>3.7525058138814409E-11</v>
      </c>
      <c r="D358" s="1">
        <f t="shared" si="84"/>
        <v>2.0275083637130147E-2</v>
      </c>
      <c r="E358" s="1">
        <f t="shared" si="85"/>
        <v>-4.5847272855024704E-5</v>
      </c>
      <c r="F358" s="1">
        <f t="shared" si="86"/>
        <v>1.9912891707283176E-3</v>
      </c>
      <c r="G358" s="1">
        <f t="shared" si="87"/>
        <v>-1.1435603651712077E-2</v>
      </c>
      <c r="H358" s="1">
        <f t="shared" si="95"/>
        <v>-0.11435603651712077</v>
      </c>
      <c r="J358" s="2">
        <v>7.56</v>
      </c>
      <c r="K358" s="1">
        <v>2.75422870333816E-8</v>
      </c>
      <c r="L358" s="1">
        <v>3.667088353178032E-7</v>
      </c>
      <c r="M358" s="1">
        <v>8.1939283366910798E-4</v>
      </c>
      <c r="N358" s="1">
        <v>3.1967678610551492E-3</v>
      </c>
      <c r="O358" s="1">
        <v>0.95121581411010214</v>
      </c>
      <c r="P358" s="1">
        <v>0.95123599871181919</v>
      </c>
      <c r="Q358" s="2">
        <v>9.5123599871181916</v>
      </c>
      <c r="S358" s="2">
        <v>3.57</v>
      </c>
      <c r="T358" s="1">
        <f t="shared" si="88"/>
        <v>2.6915348039269167E-4</v>
      </c>
      <c r="U358" s="1">
        <f t="shared" si="89"/>
        <v>3.7525058138814409E-11</v>
      </c>
      <c r="V358" s="1">
        <f t="shared" si="90"/>
        <v>3.6985908282604067E-4</v>
      </c>
      <c r="W358" s="1">
        <f t="shared" si="91"/>
        <v>3.321004697239132E-2</v>
      </c>
      <c r="X358" s="1">
        <f t="shared" si="92"/>
        <v>0.99043250523878135</v>
      </c>
      <c r="Y358" s="1">
        <f t="shared" si="93"/>
        <v>0.99446235450003739</v>
      </c>
      <c r="Z358" s="1">
        <f t="shared" si="94"/>
        <v>49.723117725001877</v>
      </c>
      <c r="AB358">
        <v>4.88</v>
      </c>
      <c r="AC358">
        <v>1.3182567385564052E-5</v>
      </c>
      <c r="AD358">
        <v>7.6616335077947659E-10</v>
      </c>
      <c r="AE358">
        <v>1.160676072668834E-2</v>
      </c>
      <c r="AF358">
        <v>2.946441309110389E-2</v>
      </c>
      <c r="AG358">
        <v>0.83526127679466411</v>
      </c>
      <c r="AH358">
        <v>0.83544815836466135</v>
      </c>
      <c r="AI358">
        <v>41.772407918233064</v>
      </c>
      <c r="AJ358"/>
      <c r="AK358"/>
      <c r="AL358"/>
      <c r="AM358"/>
      <c r="AN358"/>
      <c r="AO358"/>
      <c r="AP358"/>
      <c r="AQ358"/>
      <c r="AR358"/>
    </row>
    <row r="359" spans="1:44" ht="15" customHeight="1" x14ac:dyDescent="0.3">
      <c r="A359" s="2">
        <v>3.58</v>
      </c>
      <c r="B359" s="1">
        <f t="shared" si="82"/>
        <v>2.6302679918953782E-4</v>
      </c>
      <c r="C359" s="1">
        <f t="shared" si="83"/>
        <v>3.8399129028376734E-11</v>
      </c>
      <c r="D359" s="1">
        <f t="shared" si="84"/>
        <v>2.0266621594626048E-2</v>
      </c>
      <c r="E359" s="1">
        <f t="shared" si="85"/>
        <v>-4.4436932437674232E-5</v>
      </c>
      <c r="F359" s="1">
        <f t="shared" si="86"/>
        <v>2.0375777448726103E-3</v>
      </c>
      <c r="G359" s="1">
        <f t="shared" si="87"/>
        <v>-1.1084604817649547E-2</v>
      </c>
      <c r="H359" s="1">
        <f t="shared" si="95"/>
        <v>-0.11084604817649546</v>
      </c>
      <c r="J359" s="2">
        <v>7.57</v>
      </c>
      <c r="K359" s="1">
        <v>2.6915348039269097E-8</v>
      </c>
      <c r="L359" s="1">
        <v>3.7525058138814508E-7</v>
      </c>
      <c r="M359" s="1">
        <v>8.0147228939884388E-4</v>
      </c>
      <c r="N359" s="1">
        <v>3.1997546184335257E-3</v>
      </c>
      <c r="O359" s="1">
        <v>0.95227327896579617</v>
      </c>
      <c r="P359" s="1">
        <v>0.95229401290303561</v>
      </c>
      <c r="Q359" s="2">
        <v>9.5229401290303564</v>
      </c>
      <c r="S359" s="2">
        <v>3.58</v>
      </c>
      <c r="T359" s="1">
        <f t="shared" si="88"/>
        <v>2.6302679918953782E-4</v>
      </c>
      <c r="U359" s="1">
        <f t="shared" si="89"/>
        <v>3.8399129028376734E-11</v>
      </c>
      <c r="V359" s="1">
        <f t="shared" si="90"/>
        <v>3.9079288780173804E-4</v>
      </c>
      <c r="W359" s="1">
        <f t="shared" si="91"/>
        <v>3.3203069037399419E-2</v>
      </c>
      <c r="X359" s="1">
        <f t="shared" si="92"/>
        <v>0.99021183100525645</v>
      </c>
      <c r="Y359" s="1">
        <f t="shared" si="93"/>
        <v>0.99414953827713215</v>
      </c>
      <c r="Z359" s="1">
        <f t="shared" si="94"/>
        <v>49.70747691385661</v>
      </c>
      <c r="AB359">
        <v>4.8899999999999997</v>
      </c>
      <c r="AC359">
        <v>1.2882495516931347E-5</v>
      </c>
      <c r="AD359">
        <v>7.8400958779497813E-10</v>
      </c>
      <c r="AE359">
        <v>1.1845643108330117E-2</v>
      </c>
      <c r="AF359">
        <v>2.9384785630556631E-2</v>
      </c>
      <c r="AG359">
        <v>0.83206841576949331</v>
      </c>
      <c r="AH359">
        <v>0.83225083696048408</v>
      </c>
      <c r="AI359">
        <v>41.612541848024208</v>
      </c>
      <c r="AJ359"/>
      <c r="AK359"/>
      <c r="AL359"/>
      <c r="AM359"/>
      <c r="AN359"/>
      <c r="AO359"/>
      <c r="AP359"/>
      <c r="AQ359"/>
      <c r="AR359"/>
    </row>
    <row r="360" spans="1:44" ht="15" customHeight="1" x14ac:dyDescent="0.3">
      <c r="A360" s="2">
        <v>3.59</v>
      </c>
      <c r="B360" s="1">
        <f t="shared" si="82"/>
        <v>2.5703957827688604E-4</v>
      </c>
      <c r="C360" s="1">
        <f t="shared" si="83"/>
        <v>3.9293559644422391E-11</v>
      </c>
      <c r="D360" s="1">
        <f t="shared" si="84"/>
        <v>2.0258301176518192E-2</v>
      </c>
      <c r="E360" s="1">
        <f t="shared" si="85"/>
        <v>-4.3050196086365077E-5</v>
      </c>
      <c r="F360" s="1">
        <f t="shared" si="86"/>
        <v>2.0849400736251533E-3</v>
      </c>
      <c r="G360" s="1">
        <f t="shared" si="87"/>
        <v>-1.0739432288297896E-2</v>
      </c>
      <c r="H360" s="1">
        <f t="shared" si="95"/>
        <v>-0.10739432288297895</v>
      </c>
      <c r="J360" s="2">
        <v>7.58</v>
      </c>
      <c r="K360" s="1">
        <v>2.6302679918953758E-8</v>
      </c>
      <c r="L360" s="1">
        <v>3.8399129028376769E-7</v>
      </c>
      <c r="M360" s="1">
        <v>7.8392692454206704E-4</v>
      </c>
      <c r="N360" s="1">
        <v>3.2026788459096553E-3</v>
      </c>
      <c r="O360" s="1">
        <v>0.95330894694708801</v>
      </c>
      <c r="P360" s="1">
        <v>0.95333024133129862</v>
      </c>
      <c r="Q360" s="2">
        <v>9.5333024133129864</v>
      </c>
      <c r="S360" s="2">
        <v>3.59</v>
      </c>
      <c r="T360" s="1">
        <f t="shared" si="88"/>
        <v>2.5703957827688604E-4</v>
      </c>
      <c r="U360" s="1">
        <f t="shared" si="89"/>
        <v>3.9293559644422391E-11</v>
      </c>
      <c r="V360" s="1">
        <f t="shared" si="90"/>
        <v>4.1192756679175451E-4</v>
      </c>
      <c r="W360" s="1">
        <f t="shared" si="91"/>
        <v>3.3196024144402751E-2</v>
      </c>
      <c r="X360" s="1">
        <f t="shared" si="92"/>
        <v>0.98998611838281714</v>
      </c>
      <c r="Y360" s="1">
        <f t="shared" si="93"/>
        <v>0.99383378666440181</v>
      </c>
      <c r="Z360" s="1">
        <f t="shared" si="94"/>
        <v>49.691689333220097</v>
      </c>
      <c r="AB360">
        <v>4.9000000000000004</v>
      </c>
      <c r="AC360">
        <v>1.2589254117941658E-5</v>
      </c>
      <c r="AD360">
        <v>8.0227151707152515E-10</v>
      </c>
      <c r="AE360">
        <v>1.2088746166033951E-2</v>
      </c>
      <c r="AF360">
        <v>2.930375127798868E-2</v>
      </c>
      <c r="AG360">
        <v>0.82882635448643516</v>
      </c>
      <c r="AH360">
        <v>0.82900441841590788</v>
      </c>
      <c r="AI360">
        <v>41.450220920795395</v>
      </c>
      <c r="AJ360"/>
      <c r="AK360"/>
      <c r="AL360"/>
      <c r="AM360"/>
      <c r="AN360"/>
      <c r="AO360"/>
      <c r="AP360"/>
      <c r="AQ360"/>
      <c r="AR360"/>
    </row>
    <row r="361" spans="1:44" ht="15" customHeight="1" x14ac:dyDescent="0.3">
      <c r="A361" s="2">
        <v>3.6</v>
      </c>
      <c r="B361" s="1">
        <f t="shared" si="82"/>
        <v>2.5118864315095774E-4</v>
      </c>
      <c r="C361" s="1">
        <f t="shared" si="83"/>
        <v>4.020882422590326E-11</v>
      </c>
      <c r="D361" s="1">
        <f t="shared" si="84"/>
        <v>2.0250117980123702E-2</v>
      </c>
      <c r="E361" s="1">
        <f t="shared" si="85"/>
        <v>-4.1686330020617361E-5</v>
      </c>
      <c r="F361" s="1">
        <f t="shared" si="86"/>
        <v>2.1334009591299054E-3</v>
      </c>
      <c r="G361" s="1">
        <f t="shared" si="87"/>
        <v>-1.039990580986567E-2</v>
      </c>
      <c r="H361" s="1">
        <f t="shared" si="95"/>
        <v>-0.1039990580986567</v>
      </c>
      <c r="J361" s="2">
        <v>7.59</v>
      </c>
      <c r="K361" s="1">
        <v>2.5703957827688587E-8</v>
      </c>
      <c r="L361" s="1">
        <v>3.9293559644422414E-7</v>
      </c>
      <c r="M361" s="1">
        <v>7.6674956099069633E-4</v>
      </c>
      <c r="N361" s="1">
        <v>3.205541739834884E-3</v>
      </c>
      <c r="O361" s="1">
        <v>0.95432321896033767</v>
      </c>
      <c r="P361" s="1">
        <v>0.9543450851993629</v>
      </c>
      <c r="Q361" s="2">
        <v>9.5434508519936276</v>
      </c>
      <c r="S361" s="2">
        <v>3.6</v>
      </c>
      <c r="T361" s="1">
        <f t="shared" si="88"/>
        <v>2.5118864315095774E-4</v>
      </c>
      <c r="U361" s="1">
        <f t="shared" si="89"/>
        <v>4.020882422590326E-11</v>
      </c>
      <c r="V361" s="1">
        <f t="shared" si="90"/>
        <v>4.332740086129768E-4</v>
      </c>
      <c r="W361" s="1">
        <f t="shared" si="91"/>
        <v>3.3188908663795674E-2</v>
      </c>
      <c r="X361" s="1">
        <f t="shared" si="92"/>
        <v>0.9897552547359123</v>
      </c>
      <c r="Y361" s="1">
        <f t="shared" si="93"/>
        <v>0.9935149389128719</v>
      </c>
      <c r="Z361" s="1">
        <f t="shared" si="94"/>
        <v>49.675746945643596</v>
      </c>
      <c r="AB361">
        <v>4.91</v>
      </c>
      <c r="AC361">
        <v>1.2302687708123802E-5</v>
      </c>
      <c r="AD361">
        <v>8.2095882132574102E-10</v>
      </c>
      <c r="AE361">
        <v>1.23361173329337E-2</v>
      </c>
      <c r="AF361">
        <v>2.9221294222355431E-2</v>
      </c>
      <c r="AG361">
        <v>0.82553482627280184</v>
      </c>
      <c r="AH361">
        <v>0.82570863372822412</v>
      </c>
      <c r="AI361">
        <v>41.285431686411208</v>
      </c>
      <c r="AJ361"/>
      <c r="AK361"/>
      <c r="AL361"/>
      <c r="AM361"/>
      <c r="AN361"/>
      <c r="AO361"/>
      <c r="AP361"/>
      <c r="AQ361"/>
      <c r="AR361"/>
    </row>
    <row r="362" spans="1:44" ht="15" customHeight="1" x14ac:dyDescent="0.3">
      <c r="A362" s="2">
        <v>3.61</v>
      </c>
      <c r="B362" s="1">
        <f t="shared" si="82"/>
        <v>2.4547089156850275E-4</v>
      </c>
      <c r="C362" s="1">
        <f t="shared" si="83"/>
        <v>4.1145408058215434E-11</v>
      </c>
      <c r="D362" s="1">
        <f t="shared" si="84"/>
        <v>2.0242067675934377E-2</v>
      </c>
      <c r="E362" s="1">
        <f t="shared" si="85"/>
        <v>-4.0344612655729912E-5</v>
      </c>
      <c r="F362" s="1">
        <f t="shared" si="86"/>
        <v>2.1829857714531407E-3</v>
      </c>
      <c r="G362" s="1">
        <f t="shared" si="87"/>
        <v>-1.0065848026947547E-2</v>
      </c>
      <c r="H362" s="1">
        <f t="shared" si="95"/>
        <v>-0.10065848026947546</v>
      </c>
      <c r="J362" s="2">
        <v>7.6</v>
      </c>
      <c r="K362" s="1">
        <v>2.5118864315095751E-8</v>
      </c>
      <c r="L362" s="1">
        <v>4.02088242259033E-7</v>
      </c>
      <c r="M362" s="1">
        <v>7.4993312747362231E-4</v>
      </c>
      <c r="N362" s="1">
        <v>3.2083444787543961E-3</v>
      </c>
      <c r="O362" s="1">
        <v>0.95531649062820279</v>
      </c>
      <c r="P362" s="1">
        <v>0.95533894043236101</v>
      </c>
      <c r="Q362" s="2">
        <v>9.5533894043236103</v>
      </c>
      <c r="S362" s="2">
        <v>3.61</v>
      </c>
      <c r="T362" s="1">
        <f t="shared" si="88"/>
        <v>2.4547089156850275E-4</v>
      </c>
      <c r="U362" s="1">
        <f t="shared" si="89"/>
        <v>4.1145408058215434E-11</v>
      </c>
      <c r="V362" s="1">
        <f t="shared" si="90"/>
        <v>4.5484319962348947E-4</v>
      </c>
      <c r="W362" s="1">
        <f t="shared" si="91"/>
        <v>3.3181718933458837E-2</v>
      </c>
      <c r="X362" s="1">
        <f t="shared" si="92"/>
        <v>0.98951912502284844</v>
      </c>
      <c r="Y362" s="1">
        <f t="shared" si="93"/>
        <v>0.99319283297380034</v>
      </c>
      <c r="Z362" s="1">
        <f t="shared" si="94"/>
        <v>49.65964164869002</v>
      </c>
      <c r="AB362">
        <v>4.92</v>
      </c>
      <c r="AC362">
        <v>1.2022644346174118E-5</v>
      </c>
      <c r="AD362">
        <v>8.4008140881369844E-10</v>
      </c>
      <c r="AE362">
        <v>1.2587803411685285E-2</v>
      </c>
      <c r="AF362">
        <v>2.9137398862771575E-2</v>
      </c>
      <c r="AG362">
        <v>0.82219358288090572</v>
      </c>
      <c r="AH362">
        <v>0.82236323237262388</v>
      </c>
      <c r="AI362">
        <v>41.118161618631191</v>
      </c>
      <c r="AJ362"/>
      <c r="AK362"/>
      <c r="AL362"/>
      <c r="AM362"/>
      <c r="AN362"/>
      <c r="AO362"/>
      <c r="AP362"/>
      <c r="AQ362"/>
      <c r="AR362"/>
    </row>
    <row r="363" spans="1:44" ht="15" customHeight="1" x14ac:dyDescent="0.3">
      <c r="A363" s="2">
        <v>3.62</v>
      </c>
      <c r="B363" s="1">
        <f t="shared" si="82"/>
        <v>2.398832919019488E-4</v>
      </c>
      <c r="C363" s="1">
        <f t="shared" si="83"/>
        <v>4.2103807730503913E-11</v>
      </c>
      <c r="D363" s="1">
        <f t="shared" si="84"/>
        <v>2.0234146005340663E-2</v>
      </c>
      <c r="E363" s="1">
        <f t="shared" si="85"/>
        <v>-3.9024334223443671E-5</v>
      </c>
      <c r="F363" s="1">
        <f t="shared" si="86"/>
        <v>2.2337204613538551E-3</v>
      </c>
      <c r="G363" s="1">
        <f t="shared" si="87"/>
        <v>-9.7370843940731092E-3</v>
      </c>
      <c r="H363" s="1">
        <f t="shared" si="95"/>
        <v>-9.7370843940731089E-2</v>
      </c>
      <c r="J363" s="2">
        <v>7.61</v>
      </c>
      <c r="K363" s="1">
        <v>2.4547089156850259E-8</v>
      </c>
      <c r="L363" s="1">
        <v>4.114540805821546E-7</v>
      </c>
      <c r="M363" s="1">
        <v>7.334706593213388E-4</v>
      </c>
      <c r="N363" s="1">
        <v>3.2110882234464436E-3</v>
      </c>
      <c r="O363" s="1">
        <v>0.9562891522643161</v>
      </c>
      <c r="P363" s="1">
        <v>0.95631219765263986</v>
      </c>
      <c r="Q363" s="2">
        <v>9.5631219765263982</v>
      </c>
      <c r="S363" s="2">
        <v>3.62</v>
      </c>
      <c r="T363" s="1">
        <f t="shared" si="88"/>
        <v>2.398832919019488E-4</v>
      </c>
      <c r="U363" s="1">
        <f t="shared" si="89"/>
        <v>4.2103807730503913E-11</v>
      </c>
      <c r="V363" s="1">
        <f t="shared" si="90"/>
        <v>4.7664622886771629E-4</v>
      </c>
      <c r="W363" s="1">
        <f t="shared" si="91"/>
        <v>3.3174451257044095E-2</v>
      </c>
      <c r="X363" s="1">
        <f t="shared" si="92"/>
        <v>0.98927761174963202</v>
      </c>
      <c r="Y363" s="1">
        <f t="shared" si="93"/>
        <v>0.99286730542683399</v>
      </c>
      <c r="Z363" s="1">
        <f t="shared" si="94"/>
        <v>49.6433652713417</v>
      </c>
      <c r="AB363">
        <v>4.93</v>
      </c>
      <c r="AC363">
        <v>1.1748975549395286E-5</v>
      </c>
      <c r="AD363">
        <v>8.5964941858440087E-10</v>
      </c>
      <c r="AE363">
        <v>1.2843850516387751E-2</v>
      </c>
      <c r="AF363">
        <v>2.9052049827870751E-2</v>
      </c>
      <c r="AG363">
        <v>0.81880239526162035</v>
      </c>
      <c r="AH363">
        <v>0.81896798307453778</v>
      </c>
      <c r="AI363">
        <v>40.948399153726889</v>
      </c>
      <c r="AJ363"/>
      <c r="AK363"/>
      <c r="AL363"/>
      <c r="AM363"/>
      <c r="AN363"/>
      <c r="AO363"/>
      <c r="AP363"/>
      <c r="AQ363"/>
      <c r="AR363"/>
    </row>
    <row r="364" spans="1:44" ht="15" customHeight="1" x14ac:dyDescent="0.3">
      <c r="A364" s="2">
        <v>3.63</v>
      </c>
      <c r="B364" s="1">
        <f t="shared" si="82"/>
        <v>2.3442288153199204E-4</v>
      </c>
      <c r="C364" s="1">
        <f t="shared" si="83"/>
        <v>4.3084531398960887E-11</v>
      </c>
      <c r="D364" s="1">
        <f t="shared" si="84"/>
        <v>2.0226348778394129E-2</v>
      </c>
      <c r="E364" s="1">
        <f t="shared" si="85"/>
        <v>-3.7724796399021566E-5</v>
      </c>
      <c r="F364" s="1">
        <f t="shared" si="86"/>
        <v>2.2856315733302862E-3</v>
      </c>
      <c r="G364" s="1">
        <f t="shared" si="87"/>
        <v>-9.413443088558909E-3</v>
      </c>
      <c r="H364" s="1">
        <f t="shared" si="95"/>
        <v>-9.4134430885589079E-2</v>
      </c>
      <c r="J364" s="2">
        <v>7.62</v>
      </c>
      <c r="K364" s="1">
        <v>2.3988329190194864E-8</v>
      </c>
      <c r="L364" s="1">
        <v>4.2103807730503941E-7</v>
      </c>
      <c r="M364" s="1">
        <v>7.1735529815694329E-4</v>
      </c>
      <c r="N364" s="1">
        <v>3.2137741169738429E-3</v>
      </c>
      <c r="O364" s="1">
        <v>0.95724158885346389</v>
      </c>
      <c r="P364" s="1">
        <v>0.95726524216010245</v>
      </c>
      <c r="Q364" s="2">
        <v>9.572652421601024</v>
      </c>
      <c r="S364" s="2">
        <v>3.63</v>
      </c>
      <c r="T364" s="1">
        <f t="shared" si="88"/>
        <v>2.3442288153199204E-4</v>
      </c>
      <c r="U364" s="1">
        <f t="shared" si="89"/>
        <v>4.3084531398960887E-11</v>
      </c>
      <c r="V364" s="1">
        <f t="shared" si="90"/>
        <v>4.9869429324470146E-4</v>
      </c>
      <c r="W364" s="1">
        <f t="shared" si="91"/>
        <v>3.3167101902251771E-2</v>
      </c>
      <c r="X364" s="1">
        <f t="shared" si="92"/>
        <v>0.98903059492317802</v>
      </c>
      <c r="Y364" s="1">
        <f t="shared" si="93"/>
        <v>0.99253819140813959</v>
      </c>
      <c r="Z364" s="1">
        <f t="shared" si="94"/>
        <v>49.62690957040698</v>
      </c>
      <c r="AB364">
        <v>4.9400000000000004</v>
      </c>
      <c r="AC364">
        <v>1.1481536214968799E-5</v>
      </c>
      <c r="AD364">
        <v>8.7967322585564361E-10</v>
      </c>
      <c r="AE364">
        <v>1.3104304012953238E-2</v>
      </c>
      <c r="AF364">
        <v>2.8965231995682256E-2</v>
      </c>
      <c r="AG364">
        <v>0.81536105434035122</v>
      </c>
      <c r="AH364">
        <v>0.81552267458441319</v>
      </c>
      <c r="AI364">
        <v>40.77613372922066</v>
      </c>
      <c r="AJ364"/>
      <c r="AK364"/>
      <c r="AL364"/>
      <c r="AM364"/>
      <c r="AN364"/>
      <c r="AO364"/>
      <c r="AP364"/>
      <c r="AQ364"/>
      <c r="AR364"/>
    </row>
    <row r="365" spans="1:44" ht="15" customHeight="1" x14ac:dyDescent="0.3">
      <c r="A365" s="2">
        <v>3.64</v>
      </c>
      <c r="B365" s="1">
        <f t="shared" si="82"/>
        <v>2.2908676527677712E-4</v>
      </c>
      <c r="C365" s="1">
        <f t="shared" si="83"/>
        <v>4.4088099056256794E-11</v>
      </c>
      <c r="D365" s="1">
        <f t="shared" si="84"/>
        <v>2.0218671871607329E-2</v>
      </c>
      <c r="E365" s="1">
        <f t="shared" si="85"/>
        <v>-3.6445311934555078E-5</v>
      </c>
      <c r="F365" s="1">
        <f t="shared" si="86"/>
        <v>2.3387462589479751E-3</v>
      </c>
      <c r="G365" s="1">
        <f t="shared" si="87"/>
        <v>-9.0947549246289481E-3</v>
      </c>
      <c r="H365" s="1">
        <f t="shared" si="95"/>
        <v>-9.0947549246289477E-2</v>
      </c>
      <c r="J365" s="2">
        <v>7.63</v>
      </c>
      <c r="K365" s="1">
        <v>2.3442288153199181E-8</v>
      </c>
      <c r="L365" s="1">
        <v>4.3084531398960931E-7</v>
      </c>
      <c r="M365" s="1">
        <v>7.0158029151775356E-4</v>
      </c>
      <c r="N365" s="1">
        <v>3.2164032847470411E-3</v>
      </c>
      <c r="O365" s="1">
        <v>0.9581741800370106</v>
      </c>
      <c r="P365" s="1">
        <v>0.95819845391779723</v>
      </c>
      <c r="Q365" s="2">
        <v>9.5819845391779719</v>
      </c>
      <c r="S365" s="2">
        <v>3.64</v>
      </c>
      <c r="T365" s="1">
        <f t="shared" si="88"/>
        <v>2.2908676527677712E-4</v>
      </c>
      <c r="U365" s="1">
        <f t="shared" si="89"/>
        <v>4.4088099056256794E-11</v>
      </c>
      <c r="V365" s="1">
        <f t="shared" si="90"/>
        <v>5.2099870270135734E-4</v>
      </c>
      <c r="W365" s="1">
        <f t="shared" si="91"/>
        <v>3.3159667099099545E-2</v>
      </c>
      <c r="X365" s="1">
        <f t="shared" si="92"/>
        <v>0.98877795200388763</v>
      </c>
      <c r="Y365" s="1">
        <f t="shared" si="93"/>
        <v>0.99220532453849675</v>
      </c>
      <c r="Z365" s="1">
        <f t="shared" si="94"/>
        <v>49.610266226924836</v>
      </c>
      <c r="AB365">
        <v>4.95</v>
      </c>
      <c r="AC365">
        <v>1.1220184543019627E-5</v>
      </c>
      <c r="AD365">
        <v>9.0016344751508356E-10</v>
      </c>
      <c r="AE365">
        <v>1.3369208457951736E-2</v>
      </c>
      <c r="AF365">
        <v>2.8876930514016085E-2</v>
      </c>
      <c r="AG365">
        <v>0.81186937179408203</v>
      </c>
      <c r="AH365">
        <v>0.81202711645359482</v>
      </c>
      <c r="AI365">
        <v>40.601355822679736</v>
      </c>
      <c r="AJ365"/>
      <c r="AK365"/>
      <c r="AL365"/>
      <c r="AM365"/>
      <c r="AN365"/>
      <c r="AO365"/>
      <c r="AP365"/>
      <c r="AQ365"/>
      <c r="AR365"/>
    </row>
    <row r="366" spans="1:44" ht="15" customHeight="1" x14ac:dyDescent="0.3">
      <c r="A366" s="2">
        <v>3.65</v>
      </c>
      <c r="B366" s="1">
        <f t="shared" si="82"/>
        <v>2.2387211385683381E-4</v>
      </c>
      <c r="C366" s="1">
        <f t="shared" si="83"/>
        <v>4.5115042807247301E-11</v>
      </c>
      <c r="D366" s="1">
        <f t="shared" si="84"/>
        <v>2.0211111225789859E-2</v>
      </c>
      <c r="E366" s="1">
        <f t="shared" si="85"/>
        <v>-3.5185204298309745E-5</v>
      </c>
      <c r="F366" s="1">
        <f t="shared" si="86"/>
        <v>2.3930922904548957E-3</v>
      </c>
      <c r="G366" s="1">
        <f t="shared" si="87"/>
        <v>-8.7808532687686808E-3</v>
      </c>
      <c r="H366" s="1">
        <f t="shared" si="95"/>
        <v>-8.7808532687686805E-2</v>
      </c>
      <c r="J366" s="2">
        <v>7.64</v>
      </c>
      <c r="K366" s="1">
        <v>2.2908676527677693E-8</v>
      </c>
      <c r="L366" s="1">
        <v>4.4088099056256832E-7</v>
      </c>
      <c r="M366" s="1">
        <v>6.8613899241127597E-4</v>
      </c>
      <c r="N366" s="1">
        <v>3.2189768345981208E-3</v>
      </c>
      <c r="O366" s="1">
        <v>0.95908730010332077</v>
      </c>
      <c r="P366" s="1">
        <v>0.95911220754251059</v>
      </c>
      <c r="Q366" s="2">
        <v>9.5911220754251048</v>
      </c>
      <c r="S366" s="2">
        <v>3.65</v>
      </c>
      <c r="T366" s="1">
        <f t="shared" si="88"/>
        <v>2.2387211385683381E-4</v>
      </c>
      <c r="U366" s="1">
        <f t="shared" si="89"/>
        <v>4.5115042807247301E-11</v>
      </c>
      <c r="V366" s="1">
        <f t="shared" si="90"/>
        <v>5.435708854516668E-4</v>
      </c>
      <c r="W366" s="1">
        <f t="shared" si="91"/>
        <v>3.3152143038182778E-2</v>
      </c>
      <c r="X366" s="1">
        <f t="shared" si="92"/>
        <v>0.98851955785760171</v>
      </c>
      <c r="Y366" s="1">
        <f t="shared" si="93"/>
        <v>0.99186853685134369</v>
      </c>
      <c r="Z366" s="1">
        <f t="shared" si="94"/>
        <v>49.593426842567183</v>
      </c>
      <c r="AB366">
        <v>4.96</v>
      </c>
      <c r="AC366">
        <v>1.0964781961431843E-5</v>
      </c>
      <c r="AD366">
        <v>9.2113094774946933E-10</v>
      </c>
      <c r="AE366">
        <v>1.3638607535963071E-2</v>
      </c>
      <c r="AF366">
        <v>2.8787130821345645E-2</v>
      </c>
      <c r="AG366">
        <v>0.80832718082808352</v>
      </c>
      <c r="AH366">
        <v>0.80848113980989311</v>
      </c>
      <c r="AI366">
        <v>40.424056990494655</v>
      </c>
      <c r="AJ366"/>
      <c r="AK366"/>
      <c r="AL366"/>
      <c r="AM366"/>
      <c r="AN366"/>
      <c r="AO366"/>
      <c r="AP366"/>
      <c r="AQ366"/>
      <c r="AR366"/>
    </row>
    <row r="367" spans="1:44" ht="15" customHeight="1" x14ac:dyDescent="0.3">
      <c r="A367" s="2">
        <v>3.66</v>
      </c>
      <c r="B367" s="1">
        <f t="shared" si="82"/>
        <v>2.1877616239495513E-4</v>
      </c>
      <c r="C367" s="1">
        <f t="shared" si="83"/>
        <v>4.6165907151102404E-11</v>
      </c>
      <c r="D367" s="1">
        <f t="shared" si="84"/>
        <v>2.020366284391956E-2</v>
      </c>
      <c r="E367" s="1">
        <f t="shared" si="85"/>
        <v>-3.3943807319926131E-5</v>
      </c>
      <c r="F367" s="1">
        <f t="shared" si="86"/>
        <v>2.44869807468927E-3</v>
      </c>
      <c r="G367" s="1">
        <f t="shared" si="87"/>
        <v>-8.4715739562781136E-3</v>
      </c>
      <c r="H367" s="1">
        <f t="shared" si="95"/>
        <v>-8.4715739562781125E-2</v>
      </c>
      <c r="J367" s="2">
        <v>7.65</v>
      </c>
      <c r="K367" s="1">
        <v>2.2387211385683365E-8</v>
      </c>
      <c r="L367" s="1">
        <v>4.5115042807247333E-7</v>
      </c>
      <c r="M367" s="1">
        <v>6.7102485880933419E-4</v>
      </c>
      <c r="N367" s="1">
        <v>3.221495856865111E-3</v>
      </c>
      <c r="O367" s="1">
        <v>0.95998131798294106</v>
      </c>
      <c r="P367" s="1">
        <v>0.96000687230012149</v>
      </c>
      <c r="Q367" s="2">
        <v>9.6000687230012147</v>
      </c>
      <c r="S367" s="2">
        <v>3.66</v>
      </c>
      <c r="T367" s="1">
        <f t="shared" si="88"/>
        <v>2.1877616239495513E-4</v>
      </c>
      <c r="U367" s="1">
        <f t="shared" si="89"/>
        <v>4.6165907151102404E-11</v>
      </c>
      <c r="V367" s="1">
        <f t="shared" si="90"/>
        <v>5.6642239322326799E-4</v>
      </c>
      <c r="W367" s="1">
        <f t="shared" si="91"/>
        <v>3.3144525868925578E-2</v>
      </c>
      <c r="X367" s="1">
        <f t="shared" si="92"/>
        <v>0.98825528470693524</v>
      </c>
      <c r="Y367" s="1">
        <f t="shared" si="93"/>
        <v>0.99152765872076876</v>
      </c>
      <c r="Z367" s="1">
        <f t="shared" si="94"/>
        <v>49.576382936038442</v>
      </c>
      <c r="AB367">
        <v>4.97</v>
      </c>
      <c r="AC367">
        <v>1.071519305237606E-5</v>
      </c>
      <c r="AD367">
        <v>9.4258684380496127E-10</v>
      </c>
      <c r="AE367">
        <v>1.3912543995471777E-2</v>
      </c>
      <c r="AF367">
        <v>2.8695818668176075E-2</v>
      </c>
      <c r="AG367">
        <v>0.80473433695082341</v>
      </c>
      <c r="AH367">
        <v>0.80488459813137991</v>
      </c>
      <c r="AI367">
        <v>40.244229906568997</v>
      </c>
      <c r="AJ367"/>
      <c r="AK367"/>
      <c r="AL367"/>
      <c r="AM367"/>
      <c r="AN367"/>
      <c r="AO367"/>
      <c r="AP367"/>
      <c r="AQ367"/>
      <c r="AR367"/>
    </row>
    <row r="368" spans="1:44" ht="15" customHeight="1" x14ac:dyDescent="0.3">
      <c r="A368" s="2">
        <v>3.67</v>
      </c>
      <c r="B368" s="1">
        <f t="shared" si="82"/>
        <v>2.137962089502231E-4</v>
      </c>
      <c r="C368" s="1">
        <f t="shared" si="83"/>
        <v>4.7241249270007036E-11</v>
      </c>
      <c r="D368" s="1">
        <f t="shared" si="84"/>
        <v>2.0196322789047778E-2</v>
      </c>
      <c r="E368" s="1">
        <f t="shared" si="85"/>
        <v>-3.2720464841296523E-5</v>
      </c>
      <c r="F368" s="1">
        <f t="shared" si="86"/>
        <v>2.505592667285735E-3</v>
      </c>
      <c r="G368" s="1">
        <f t="shared" si="87"/>
        <v>-8.1667552089899689E-3</v>
      </c>
      <c r="H368" s="1">
        <f t="shared" si="95"/>
        <v>-8.1667552089899689E-2</v>
      </c>
      <c r="J368" s="2">
        <v>7.66</v>
      </c>
      <c r="K368" s="1">
        <v>2.1877616239495494E-8</v>
      </c>
      <c r="L368" s="1">
        <v>4.6165907151102438E-7</v>
      </c>
      <c r="M368" s="1">
        <v>6.5623145308400755E-4</v>
      </c>
      <c r="N368" s="1">
        <v>3.223961424485998E-3</v>
      </c>
      <c r="O368" s="1">
        <v>0.96085659724830708</v>
      </c>
      <c r="P368" s="1">
        <v>0.96088281210548532</v>
      </c>
      <c r="Q368" s="2">
        <v>9.6088281210548523</v>
      </c>
      <c r="S368" s="2">
        <v>3.67</v>
      </c>
      <c r="T368" s="1">
        <f t="shared" si="88"/>
        <v>2.137962089502231E-4</v>
      </c>
      <c r="U368" s="1">
        <f t="shared" si="89"/>
        <v>4.7241249270007036E-11</v>
      </c>
      <c r="V368" s="1">
        <f t="shared" si="90"/>
        <v>5.895649065325206E-4</v>
      </c>
      <c r="W368" s="1">
        <f t="shared" si="91"/>
        <v>3.3136811697822496E-2</v>
      </c>
      <c r="X368" s="1">
        <f t="shared" si="92"/>
        <v>0.98798500208200002</v>
      </c>
      <c r="Y368" s="1">
        <f t="shared" si="93"/>
        <v>0.99118251878944086</v>
      </c>
      <c r="Z368" s="1">
        <f t="shared" si="94"/>
        <v>49.559125939472047</v>
      </c>
      <c r="AB368">
        <v>4.9800000000000004</v>
      </c>
      <c r="AC368">
        <v>1.0471285480508972E-5</v>
      </c>
      <c r="AD368">
        <v>9.6454251188165234E-10</v>
      </c>
      <c r="AE368">
        <v>1.4191059583347505E-2</v>
      </c>
      <c r="AF368">
        <v>2.8602980138884165E-2</v>
      </c>
      <c r="AG368">
        <v>0.80109071874553217</v>
      </c>
      <c r="AH368">
        <v>0.8012373680168654</v>
      </c>
      <c r="AI368">
        <v>40.061868400843274</v>
      </c>
      <c r="AJ368"/>
      <c r="AK368"/>
      <c r="AL368"/>
      <c r="AM368"/>
      <c r="AN368"/>
      <c r="AO368"/>
      <c r="AP368"/>
      <c r="AQ368"/>
      <c r="AR368"/>
    </row>
    <row r="369" spans="1:44" ht="15" customHeight="1" x14ac:dyDescent="0.3">
      <c r="A369" s="2">
        <v>3.68</v>
      </c>
      <c r="B369" s="1">
        <f t="shared" si="82"/>
        <v>2.0892961308540387E-4</v>
      </c>
      <c r="C369" s="1">
        <f t="shared" si="83"/>
        <v>4.8341639324586487E-11</v>
      </c>
      <c r="D369" s="1">
        <f t="shared" si="84"/>
        <v>2.018908718223764E-2</v>
      </c>
      <c r="E369" s="1">
        <f t="shared" si="85"/>
        <v>-3.1514530372940218E-5</v>
      </c>
      <c r="F369" s="1">
        <f t="shared" si="86"/>
        <v>2.5638057871856428E-3</v>
      </c>
      <c r="G369" s="1">
        <f t="shared" si="87"/>
        <v>-7.8662375541190526E-3</v>
      </c>
      <c r="H369" s="1">
        <f t="shared" si="95"/>
        <v>-7.8662375541190516E-2</v>
      </c>
      <c r="J369" s="2">
        <v>7.67</v>
      </c>
      <c r="K369" s="1">
        <v>2.1379620895022292E-8</v>
      </c>
      <c r="L369" s="1">
        <v>4.7241249270007079E-7</v>
      </c>
      <c r="M369" s="1">
        <v>6.4175244138888756E-4</v>
      </c>
      <c r="N369" s="1">
        <v>3.2263745931018521E-3</v>
      </c>
      <c r="O369" s="1">
        <v>0.96171349611774526</v>
      </c>
      <c r="P369" s="1">
        <v>0.96174038552661567</v>
      </c>
      <c r="Q369" s="2">
        <v>9.617403855266156</v>
      </c>
      <c r="S369" s="2">
        <v>3.68</v>
      </c>
      <c r="T369" s="1">
        <f t="shared" si="88"/>
        <v>2.0892961308540387E-4</v>
      </c>
      <c r="U369" s="1">
        <f t="shared" si="89"/>
        <v>4.8341639324586487E-11</v>
      </c>
      <c r="V369" s="1">
        <f t="shared" si="90"/>
        <v>6.1301023998921306E-4</v>
      </c>
      <c r="W369" s="1">
        <f t="shared" si="91"/>
        <v>3.3128996586670262E-2</v>
      </c>
      <c r="X369" s="1">
        <f t="shared" si="92"/>
        <v>0.98770857677052393</v>
      </c>
      <c r="Y369" s="1">
        <f t="shared" si="93"/>
        <v>0.99083294389647192</v>
      </c>
      <c r="Z369" s="1">
        <f t="shared" si="94"/>
        <v>49.541647194823589</v>
      </c>
      <c r="AB369">
        <v>4.99</v>
      </c>
      <c r="AC369">
        <v>1.0232929922807521E-5</v>
      </c>
      <c r="AD369">
        <v>9.8700959316537073E-10</v>
      </c>
      <c r="AE369">
        <v>1.4474194977957712E-2</v>
      </c>
      <c r="AF369">
        <v>2.8508601674014099E-2</v>
      </c>
      <c r="AG369">
        <v>0.79739622863683601</v>
      </c>
      <c r="AH369">
        <v>0.79753934995146691</v>
      </c>
      <c r="AI369">
        <v>39.876967497573347</v>
      </c>
      <c r="AJ369"/>
      <c r="AK369"/>
      <c r="AL369"/>
      <c r="AM369"/>
      <c r="AN369"/>
      <c r="AO369"/>
      <c r="AP369"/>
      <c r="AQ369"/>
      <c r="AR369"/>
    </row>
    <row r="370" spans="1:44" ht="15" customHeight="1" x14ac:dyDescent="0.3">
      <c r="A370" s="2">
        <v>3.69</v>
      </c>
      <c r="B370" s="1">
        <f t="shared" si="82"/>
        <v>2.0417379446695288E-4</v>
      </c>
      <c r="C370" s="1">
        <f t="shared" si="83"/>
        <v>4.9467660756213076E-11</v>
      </c>
      <c r="D370" s="1">
        <f t="shared" si="84"/>
        <v>2.0181952200534228E-2</v>
      </c>
      <c r="E370" s="1">
        <f t="shared" si="85"/>
        <v>-3.0325366755704282E-5</v>
      </c>
      <c r="F370" s="1">
        <f t="shared" si="86"/>
        <v>2.6233678314573311E-3</v>
      </c>
      <c r="G370" s="1">
        <f t="shared" si="87"/>
        <v>-7.5698637442093777E-3</v>
      </c>
      <c r="H370" s="1">
        <f t="shared" si="95"/>
        <v>-7.5698637442093777E-2</v>
      </c>
      <c r="J370" s="2">
        <v>7.68</v>
      </c>
      <c r="K370" s="1">
        <v>2.0892961308540368E-8</v>
      </c>
      <c r="L370" s="1">
        <v>4.8341639324586536E-7</v>
      </c>
      <c r="M370" s="1">
        <v>6.2758159298895372E-4</v>
      </c>
      <c r="N370" s="1">
        <v>3.2287364011685075E-3</v>
      </c>
      <c r="O370" s="1">
        <v>0.96255236746355533</v>
      </c>
      <c r="P370" s="1">
        <v>0.96257994579295258</v>
      </c>
      <c r="Q370" s="2">
        <v>9.6257994579295261</v>
      </c>
      <c r="S370" s="2">
        <v>3.69</v>
      </c>
      <c r="T370" s="1">
        <f t="shared" si="88"/>
        <v>2.0417379446695288E-4</v>
      </c>
      <c r="U370" s="1">
        <f t="shared" si="89"/>
        <v>4.9467660756213076E-11</v>
      </c>
      <c r="V370" s="1">
        <f t="shared" si="90"/>
        <v>6.3677034763203301E-4</v>
      </c>
      <c r="W370" s="1">
        <f t="shared" si="91"/>
        <v>3.3121076550789323E-2</v>
      </c>
      <c r="X370" s="1">
        <f t="shared" si="92"/>
        <v>0.98742587276737548</v>
      </c>
      <c r="Y370" s="1">
        <f t="shared" si="93"/>
        <v>0.99047875900521021</v>
      </c>
      <c r="Z370" s="1">
        <f t="shared" si="94"/>
        <v>49.52393795026051</v>
      </c>
      <c r="AB370">
        <v>5</v>
      </c>
      <c r="AC370">
        <v>1.0000000000000001E-5</v>
      </c>
      <c r="AD370">
        <v>1.0099999999999998E-9</v>
      </c>
      <c r="AE370">
        <v>1.4761989720965899E-2</v>
      </c>
      <c r="AF370">
        <v>2.8412670093011367E-2</v>
      </c>
      <c r="AG370">
        <v>0.79365079365079361</v>
      </c>
      <c r="AH370">
        <v>0.79379046906560513</v>
      </c>
      <c r="AI370">
        <v>39.689523453280259</v>
      </c>
      <c r="AJ370"/>
      <c r="AK370"/>
      <c r="AL370"/>
      <c r="AM370"/>
      <c r="AN370"/>
      <c r="AO370"/>
      <c r="AP370"/>
      <c r="AQ370"/>
      <c r="AR370"/>
    </row>
    <row r="371" spans="1:44" ht="15" customHeight="1" x14ac:dyDescent="0.3">
      <c r="A371" s="2">
        <v>3.7</v>
      </c>
      <c r="B371" s="1">
        <f t="shared" si="82"/>
        <v>1.9952623149688758E-4</v>
      </c>
      <c r="C371" s="1">
        <f t="shared" si="83"/>
        <v>5.0619910596354591E-11</v>
      </c>
      <c r="D371" s="1">
        <f t="shared" si="84"/>
        <v>2.0174914074965716E-2</v>
      </c>
      <c r="E371" s="1">
        <f t="shared" si="85"/>
        <v>-2.9152345827619333E-5</v>
      </c>
      <c r="F371" s="1">
        <f t="shared" si="86"/>
        <v>2.6843098904322958E-3</v>
      </c>
      <c r="G371" s="1">
        <f t="shared" si="87"/>
        <v>-7.2774786781459122E-3</v>
      </c>
      <c r="H371" s="1">
        <f t="shared" si="95"/>
        <v>-7.2774786781459114E-2</v>
      </c>
      <c r="J371" s="2">
        <v>7.69</v>
      </c>
      <c r="K371" s="1">
        <v>2.0417379446695271E-8</v>
      </c>
      <c r="L371" s="1">
        <v>4.9467660756213115E-7</v>
      </c>
      <c r="M371" s="1">
        <v>6.1371277954248382E-4</v>
      </c>
      <c r="N371" s="1">
        <v>3.2310478700762527E-3</v>
      </c>
      <c r="O371" s="1">
        <v>0.96337355882395304</v>
      </c>
      <c r="P371" s="1">
        <v>0.96340184080749269</v>
      </c>
      <c r="Q371" s="2">
        <v>9.634018408074926</v>
      </c>
      <c r="S371" s="2">
        <v>3.7</v>
      </c>
      <c r="T371" s="1">
        <f t="shared" si="88"/>
        <v>1.9952623149688758E-4</v>
      </c>
      <c r="U371" s="1">
        <f t="shared" si="89"/>
        <v>5.0619910596354591E-11</v>
      </c>
      <c r="V371" s="1">
        <f t="shared" si="90"/>
        <v>6.608573282959457E-4</v>
      </c>
      <c r="W371" s="1">
        <f t="shared" si="91"/>
        <v>3.3113047557234682E-2</v>
      </c>
      <c r="X371" s="1">
        <f t="shared" si="92"/>
        <v>0.98713675122350442</v>
      </c>
      <c r="Y371" s="1">
        <f t="shared" si="93"/>
        <v>0.99011978713095894</v>
      </c>
      <c r="Z371" s="1">
        <f t="shared" si="94"/>
        <v>49.505989356547943</v>
      </c>
      <c r="AB371">
        <v>5.01</v>
      </c>
      <c r="AC371">
        <v>9.7723722095581059E-6</v>
      </c>
      <c r="AD371">
        <v>1.0335259222035617E-9</v>
      </c>
      <c r="AE371">
        <v>1.5054482147873971E-2</v>
      </c>
      <c r="AF371">
        <v>2.8315172617375345E-2</v>
      </c>
      <c r="AG371">
        <v>0.78985436616662674</v>
      </c>
      <c r="AH371">
        <v>0.78999067588571803</v>
      </c>
      <c r="AI371">
        <v>39.499533794285902</v>
      </c>
      <c r="AJ371"/>
      <c r="AK371"/>
      <c r="AL371"/>
      <c r="AM371"/>
      <c r="AN371"/>
      <c r="AO371"/>
      <c r="AP371"/>
      <c r="AQ371"/>
      <c r="AR371"/>
    </row>
    <row r="372" spans="1:44" ht="15" customHeight="1" x14ac:dyDescent="0.3">
      <c r="A372" s="2">
        <v>3.71</v>
      </c>
      <c r="B372" s="1">
        <f t="shared" si="82"/>
        <v>1.9498445997580453E-4</v>
      </c>
      <c r="C372" s="1">
        <f t="shared" si="83"/>
        <v>5.1798999783127844E-11</v>
      </c>
      <c r="D372" s="1">
        <f t="shared" si="84"/>
        <v>2.0167969088574461E-2</v>
      </c>
      <c r="E372" s="1">
        <f t="shared" si="85"/>
        <v>-2.7994848095744006E-5</v>
      </c>
      <c r="F372" s="1">
        <f t="shared" si="86"/>
        <v>2.7466637631632421E-3</v>
      </c>
      <c r="G372" s="1">
        <f t="shared" si="87"/>
        <v>-6.9889293231982612E-3</v>
      </c>
      <c r="H372" s="1">
        <f t="shared" si="95"/>
        <v>-6.9889293231982605E-2</v>
      </c>
      <c r="J372" s="2">
        <v>7.7</v>
      </c>
      <c r="K372" s="1">
        <v>1.9952623149688773E-8</v>
      </c>
      <c r="L372" s="1">
        <v>5.0619910596354556E-7</v>
      </c>
      <c r="M372" s="1">
        <v>6.0013997433796488E-4</v>
      </c>
      <c r="N372" s="1">
        <v>3.2333100042770059E-3</v>
      </c>
      <c r="O372" s="1">
        <v>0.96417741241867116</v>
      </c>
      <c r="P372" s="1">
        <v>0.96420641316258293</v>
      </c>
      <c r="Q372" s="2">
        <v>9.642064131625828</v>
      </c>
      <c r="S372" s="2">
        <v>3.71</v>
      </c>
      <c r="T372" s="1">
        <f t="shared" si="88"/>
        <v>1.9498445997580453E-4</v>
      </c>
      <c r="U372" s="1">
        <f t="shared" si="89"/>
        <v>5.1798999783127844E-11</v>
      </c>
      <c r="V372" s="1">
        <f t="shared" si="90"/>
        <v>6.852834310121129E-4</v>
      </c>
      <c r="W372" s="1">
        <f t="shared" si="91"/>
        <v>3.3104905522995963E-2</v>
      </c>
      <c r="X372" s="1">
        <f t="shared" si="92"/>
        <v>0.98684107039430935</v>
      </c>
      <c r="Y372" s="1">
        <f t="shared" si="93"/>
        <v>0.98975584926862326</v>
      </c>
      <c r="Z372" s="1">
        <f t="shared" si="94"/>
        <v>49.487792463431163</v>
      </c>
      <c r="AB372">
        <v>5.0199999999999996</v>
      </c>
      <c r="AC372">
        <v>9.5499258602143587E-6</v>
      </c>
      <c r="AD372">
        <v>1.0575998335314086E-9</v>
      </c>
      <c r="AE372">
        <v>1.5351709317373011E-2</v>
      </c>
      <c r="AF372">
        <v>2.8216096894209002E-2</v>
      </c>
      <c r="AG372">
        <v>0.78600692465837574</v>
      </c>
      <c r="AH372">
        <v>0.78613994707492374</v>
      </c>
      <c r="AI372">
        <v>39.306997353746183</v>
      </c>
      <c r="AJ372"/>
      <c r="AK372"/>
      <c r="AL372"/>
      <c r="AM372"/>
      <c r="AN372"/>
      <c r="AO372"/>
      <c r="AP372"/>
      <c r="AQ372"/>
      <c r="AR372"/>
    </row>
    <row r="373" spans="1:44" ht="15" customHeight="1" x14ac:dyDescent="0.3">
      <c r="A373" s="2">
        <v>3.72</v>
      </c>
      <c r="B373" s="1">
        <f t="shared" si="82"/>
        <v>1.9054607179632438E-4</v>
      </c>
      <c r="C373" s="1">
        <f t="shared" si="83"/>
        <v>5.3005553485227125E-11</v>
      </c>
      <c r="D373" s="1">
        <f t="shared" si="84"/>
        <v>2.0161113574476995E-2</v>
      </c>
      <c r="E373" s="1">
        <f t="shared" si="85"/>
        <v>-2.6852262412832223E-5</v>
      </c>
      <c r="F373" s="1">
        <f t="shared" si="86"/>
        <v>2.8104619732101941E-3</v>
      </c>
      <c r="G373" s="1">
        <f t="shared" si="87"/>
        <v>-6.7040646380633617E-3</v>
      </c>
      <c r="H373" s="1">
        <f t="shared" si="95"/>
        <v>-6.7040646380633617E-2</v>
      </c>
      <c r="J373" s="2">
        <v>7.71</v>
      </c>
      <c r="K373" s="1">
        <v>1.9498445997580434E-8</v>
      </c>
      <c r="L373" s="1">
        <v>5.1798999783127897E-7</v>
      </c>
      <c r="M373" s="1">
        <v>5.8685725148916932E-4</v>
      </c>
      <c r="N373" s="1">
        <v>3.2355237914184717E-3</v>
      </c>
      <c r="O373" s="1">
        <v>0.96496426516801381</v>
      </c>
      <c r="P373" s="1">
        <v>0.96499400015917203</v>
      </c>
      <c r="Q373" s="2">
        <v>9.6499400015917196</v>
      </c>
      <c r="S373" s="2">
        <v>3.72</v>
      </c>
      <c r="T373" s="1">
        <f t="shared" si="88"/>
        <v>1.9054607179632438E-4</v>
      </c>
      <c r="U373" s="1">
        <f t="shared" si="89"/>
        <v>5.3005553485227125E-11</v>
      </c>
      <c r="V373" s="1">
        <f t="shared" si="90"/>
        <v>7.1006106044172715E-4</v>
      </c>
      <c r="W373" s="1">
        <f t="shared" si="91"/>
        <v>3.3096646313186089E-2</v>
      </c>
      <c r="X373" s="1">
        <f t="shared" si="92"/>
        <v>0.98653868558744617</v>
      </c>
      <c r="Y373" s="1">
        <f t="shared" si="93"/>
        <v>0.98938676432028139</v>
      </c>
      <c r="Z373" s="1">
        <f t="shared" si="94"/>
        <v>49.469338216014066</v>
      </c>
      <c r="AB373">
        <v>5.03</v>
      </c>
      <c r="AC373">
        <v>9.3325430079698941E-6</v>
      </c>
      <c r="AD373">
        <v>1.0822344982899843E-9</v>
      </c>
      <c r="AE373">
        <v>1.5653706939574043E-2</v>
      </c>
      <c r="AF373">
        <v>2.8115431020141989E-2</v>
      </c>
      <c r="AG373">
        <v>0.78210847442465303</v>
      </c>
      <c r="AH373">
        <v>0.78223828616180191</v>
      </c>
      <c r="AI373">
        <v>39.1119143080901</v>
      </c>
      <c r="AJ373"/>
      <c r="AK373"/>
      <c r="AL373"/>
      <c r="AM373"/>
      <c r="AN373"/>
      <c r="AO373"/>
      <c r="AP373"/>
      <c r="AQ373"/>
      <c r="AR373"/>
    </row>
    <row r="374" spans="1:44" ht="15" customHeight="1" x14ac:dyDescent="0.3">
      <c r="A374" s="2">
        <v>3.73</v>
      </c>
      <c r="B374" s="1">
        <f t="shared" si="82"/>
        <v>1.8620871366628676E-4</v>
      </c>
      <c r="C374" s="1">
        <f t="shared" si="83"/>
        <v>5.4240211433395521E-11</v>
      </c>
      <c r="D374" s="1">
        <f t="shared" si="84"/>
        <v>2.0154343913951996E-2</v>
      </c>
      <c r="E374" s="1">
        <f t="shared" si="85"/>
        <v>-2.572398565866592E-5</v>
      </c>
      <c r="F374" s="1">
        <f t="shared" si="86"/>
        <v>2.875737784760623E-3</v>
      </c>
      <c r="G374" s="1">
        <f t="shared" si="87"/>
        <v>-6.4227354968759282E-3</v>
      </c>
      <c r="H374" s="1">
        <f t="shared" si="95"/>
        <v>-6.4227354968759282E-2</v>
      </c>
      <c r="J374" s="2">
        <v>7.72</v>
      </c>
      <c r="K374" s="1">
        <v>1.9054607179632456E-8</v>
      </c>
      <c r="L374" s="1">
        <v>5.3005553485227076E-7</v>
      </c>
      <c r="M374" s="1">
        <v>5.7385878509120787E-4</v>
      </c>
      <c r="N374" s="1">
        <v>3.2376902024847986E-3</v>
      </c>
      <c r="O374" s="1">
        <v>0.96573444871517511</v>
      </c>
      <c r="P374" s="1">
        <v>0.96576493382932971</v>
      </c>
      <c r="Q374" s="2">
        <v>9.6576493382932966</v>
      </c>
      <c r="S374" s="2">
        <v>3.73</v>
      </c>
      <c r="T374" s="1">
        <f t="shared" si="88"/>
        <v>1.8620871366628676E-4</v>
      </c>
      <c r="U374" s="1">
        <f t="shared" si="89"/>
        <v>5.4240211433395521E-11</v>
      </c>
      <c r="V374" s="1">
        <f t="shared" si="90"/>
        <v>7.3520278234412428E-4</v>
      </c>
      <c r="W374" s="1">
        <f t="shared" si="91"/>
        <v>3.3088265739218622E-2</v>
      </c>
      <c r="X374" s="1">
        <f t="shared" si="92"/>
        <v>0.98622944911009025</v>
      </c>
      <c r="Y374" s="1">
        <f t="shared" si="93"/>
        <v>0.98901234902268775</v>
      </c>
      <c r="Z374" s="1">
        <f t="shared" si="94"/>
        <v>49.450617451134391</v>
      </c>
      <c r="AB374">
        <v>5.04</v>
      </c>
      <c r="AC374">
        <v>9.1201083935590828E-6</v>
      </c>
      <c r="AD374">
        <v>1.1074429781046185E-9</v>
      </c>
      <c r="AE374">
        <v>1.5960509303195029E-2</v>
      </c>
      <c r="AF374">
        <v>2.8013163565601656E-2</v>
      </c>
      <c r="AG374">
        <v>0.77815904830463345</v>
      </c>
      <c r="AH374">
        <v>0.77828572425543585</v>
      </c>
      <c r="AI374">
        <v>38.914286212771792</v>
      </c>
      <c r="AJ374"/>
      <c r="AK374"/>
      <c r="AL374"/>
      <c r="AM374"/>
      <c r="AN374"/>
      <c r="AO374"/>
      <c r="AP374"/>
      <c r="AQ374"/>
      <c r="AR374"/>
    </row>
    <row r="375" spans="1:44" ht="15" customHeight="1" x14ac:dyDescent="0.3">
      <c r="A375" s="2">
        <v>3.74</v>
      </c>
      <c r="B375" s="1">
        <f t="shared" si="82"/>
        <v>1.8197008586099805E-4</v>
      </c>
      <c r="C375" s="1">
        <f t="shared" si="83"/>
        <v>5.5503628259620163E-11</v>
      </c>
      <c r="D375" s="1">
        <f t="shared" si="84"/>
        <v>2.0147656534555341E-2</v>
      </c>
      <c r="E375" s="1">
        <f t="shared" si="85"/>
        <v>-2.4609422425890428E-5</v>
      </c>
      <c r="F375" s="1">
        <f t="shared" si="86"/>
        <v>2.9425252190901116E-3</v>
      </c>
      <c r="G375" s="1">
        <f t="shared" si="87"/>
        <v>-6.144794614153605E-3</v>
      </c>
      <c r="H375" s="1">
        <f t="shared" si="95"/>
        <v>-6.144794614153605E-2</v>
      </c>
      <c r="J375" s="2">
        <v>7.73</v>
      </c>
      <c r="K375" s="1">
        <v>1.8620871366628593E-8</v>
      </c>
      <c r="L375" s="1">
        <v>5.4240211433395759E-7</v>
      </c>
      <c r="M375" s="1">
        <v>5.6113884834039097E-4</v>
      </c>
      <c r="N375" s="1">
        <v>3.2398101919432687E-3</v>
      </c>
      <c r="O375" s="1">
        <v>0.9664882894516289</v>
      </c>
      <c r="P375" s="1">
        <v>0.96651954096184245</v>
      </c>
      <c r="Q375" s="2">
        <v>9.6651954096184234</v>
      </c>
      <c r="S375" s="2">
        <v>3.74</v>
      </c>
      <c r="T375" s="1">
        <f t="shared" si="88"/>
        <v>1.8197008586099805E-4</v>
      </c>
      <c r="U375" s="1">
        <f t="shared" si="89"/>
        <v>5.5503628259620163E-11</v>
      </c>
      <c r="V375" s="1">
        <f t="shared" si="90"/>
        <v>7.6072132908050515E-4</v>
      </c>
      <c r="W375" s="1">
        <f t="shared" si="91"/>
        <v>3.3079759556973162E-2</v>
      </c>
      <c r="X375" s="1">
        <f t="shared" si="92"/>
        <v>0.98591321021566791</v>
      </c>
      <c r="Y375" s="1">
        <f t="shared" si="93"/>
        <v>0.98863241787470624</v>
      </c>
      <c r="Z375" s="1">
        <f t="shared" si="94"/>
        <v>49.431620893735314</v>
      </c>
      <c r="AB375">
        <v>5.05</v>
      </c>
      <c r="AC375">
        <v>8.9125093813374425E-6</v>
      </c>
      <c r="AD375">
        <v>1.1332386388449846E-9</v>
      </c>
      <c r="AE375">
        <v>1.6272149201787926E-2</v>
      </c>
      <c r="AF375">
        <v>2.7909283599404026E-2</v>
      </c>
      <c r="AG375">
        <v>0.77415870737836046</v>
      </c>
      <c r="AH375">
        <v>0.77428232074479142</v>
      </c>
      <c r="AI375">
        <v>38.71411603723957</v>
      </c>
      <c r="AJ375"/>
      <c r="AK375"/>
      <c r="AL375"/>
      <c r="AM375"/>
      <c r="AN375"/>
      <c r="AO375"/>
      <c r="AP375"/>
      <c r="AQ375"/>
      <c r="AR375"/>
    </row>
    <row r="376" spans="1:44" ht="15" customHeight="1" x14ac:dyDescent="0.3">
      <c r="A376" s="2">
        <v>3.75</v>
      </c>
      <c r="B376" s="1">
        <f t="shared" si="82"/>
        <v>1.7782794100389203E-4</v>
      </c>
      <c r="C376" s="1">
        <f t="shared" si="83"/>
        <v>5.6796473844225335E-11</v>
      </c>
      <c r="D376" s="1">
        <f t="shared" si="84"/>
        <v>2.0141047908261215E-2</v>
      </c>
      <c r="E376" s="1">
        <f t="shared" si="85"/>
        <v>-2.3507984710202573E-5</v>
      </c>
      <c r="F376" s="1">
        <f t="shared" si="86"/>
        <v>3.0108590713695486E-3</v>
      </c>
      <c r="G376" s="1">
        <f t="shared" si="87"/>
        <v>-5.8700964706466753E-3</v>
      </c>
      <c r="H376" s="1">
        <f t="shared" si="95"/>
        <v>-5.8700964706466748E-2</v>
      </c>
      <c r="J376" s="2">
        <v>7.74</v>
      </c>
      <c r="K376" s="1">
        <v>1.8197008586099822E-8</v>
      </c>
      <c r="L376" s="1">
        <v>5.5503628259620117E-7</v>
      </c>
      <c r="M376" s="1">
        <v>5.4869181262059215E-4</v>
      </c>
      <c r="N376" s="1">
        <v>3.2418846978965678E-3</v>
      </c>
      <c r="O376" s="1">
        <v>0.96722610854541247</v>
      </c>
      <c r="P376" s="1">
        <v>0.96725814313070635</v>
      </c>
      <c r="Q376" s="2">
        <v>9.6725814313070622</v>
      </c>
      <c r="S376" s="2">
        <v>3.75</v>
      </c>
      <c r="T376" s="1">
        <f t="shared" si="88"/>
        <v>1.7782794100389203E-4</v>
      </c>
      <c r="U376" s="1">
        <f t="shared" si="89"/>
        <v>5.6796473844225335E-11</v>
      </c>
      <c r="V376" s="1">
        <f t="shared" si="90"/>
        <v>7.8662960515327954E-4</v>
      </c>
      <c r="W376" s="1">
        <f t="shared" si="91"/>
        <v>3.3071123464948907E-2</v>
      </c>
      <c r="X376" s="1">
        <f t="shared" si="92"/>
        <v>0.98558981505007626</v>
      </c>
      <c r="Y376" s="1">
        <f t="shared" si="93"/>
        <v>0.98824678306468627</v>
      </c>
      <c r="Z376" s="1">
        <f t="shared" si="94"/>
        <v>49.412339153234313</v>
      </c>
      <c r="AB376">
        <v>5.0599999999999996</v>
      </c>
      <c r="AC376">
        <v>8.7096358995608107E-6</v>
      </c>
      <c r="AD376">
        <v>1.159635157711851E-9</v>
      </c>
      <c r="AE376">
        <v>1.6588657859095603E-2</v>
      </c>
      <c r="AF376">
        <v>2.7803780713634797E-2</v>
      </c>
      <c r="AG376">
        <v>0.77010754164942063</v>
      </c>
      <c r="AH376">
        <v>0.77022816398048566</v>
      </c>
      <c r="AI376">
        <v>38.511408199024281</v>
      </c>
      <c r="AJ376"/>
      <c r="AK376"/>
      <c r="AL376"/>
      <c r="AM376"/>
      <c r="AN376"/>
      <c r="AO376"/>
      <c r="AP376"/>
      <c r="AQ376"/>
      <c r="AR376"/>
    </row>
    <row r="377" spans="1:44" ht="15" customHeight="1" x14ac:dyDescent="0.3">
      <c r="A377" s="2">
        <v>3.76</v>
      </c>
      <c r="B377" s="1">
        <f t="shared" si="82"/>
        <v>1.737800828749376E-4</v>
      </c>
      <c r="C377" s="1">
        <f t="shared" si="83"/>
        <v>5.8119433671052829E-11</v>
      </c>
      <c r="D377" s="1">
        <f t="shared" si="84"/>
        <v>2.0134514549628408E-2</v>
      </c>
      <c r="E377" s="1">
        <f t="shared" si="85"/>
        <v>-2.2419091604734591E-5</v>
      </c>
      <c r="F377" s="1">
        <f t="shared" si="86"/>
        <v>3.0807749278255261E-3</v>
      </c>
      <c r="G377" s="1">
        <f t="shared" si="87"/>
        <v>-5.5984972400599589E-3</v>
      </c>
      <c r="H377" s="1">
        <f t="shared" si="95"/>
        <v>-5.5984972400599589E-2</v>
      </c>
      <c r="J377" s="2">
        <v>7.75</v>
      </c>
      <c r="K377" s="1">
        <v>1.7782794100389218E-8</v>
      </c>
      <c r="L377" s="1">
        <v>5.6796473844225284E-7</v>
      </c>
      <c r="M377" s="1">
        <v>5.3651214655863616E-4</v>
      </c>
      <c r="N377" s="1">
        <v>3.2439146422402272E-3</v>
      </c>
      <c r="O377" s="1">
        <v>0.96794822197212893</v>
      </c>
      <c r="P377" s="1">
        <v>0.96798105672634471</v>
      </c>
      <c r="Q377" s="2">
        <v>9.6798105672634467</v>
      </c>
      <c r="S377" s="2">
        <v>3.76</v>
      </c>
      <c r="T377" s="1">
        <f t="shared" si="88"/>
        <v>1.737800828749376E-4</v>
      </c>
      <c r="U377" s="1">
        <f t="shared" si="89"/>
        <v>5.8119433671052829E-11</v>
      </c>
      <c r="V377" s="1">
        <f t="shared" si="90"/>
        <v>8.1294069278236485E-4</v>
      </c>
      <c r="W377" s="1">
        <f t="shared" si="91"/>
        <v>3.3062353102405878E-2</v>
      </c>
      <c r="X377" s="1">
        <f t="shared" si="92"/>
        <v>0.98525910659740679</v>
      </c>
      <c r="Y377" s="1">
        <f t="shared" si="93"/>
        <v>0.98785525439778221</v>
      </c>
      <c r="Z377" s="1">
        <f t="shared" si="94"/>
        <v>49.392762719889106</v>
      </c>
      <c r="AB377">
        <v>5.07</v>
      </c>
      <c r="AC377">
        <v>8.5113803820237531E-6</v>
      </c>
      <c r="AD377">
        <v>1.1866465304889263E-9</v>
      </c>
      <c r="AE377">
        <v>1.6910064853635123E-2</v>
      </c>
      <c r="AF377">
        <v>2.7696645048788295E-2</v>
      </c>
      <c r="AG377">
        <v>0.76600567070799408</v>
      </c>
      <c r="AH377">
        <v>0.76612337193695135</v>
      </c>
      <c r="AI377">
        <v>38.30616859684757</v>
      </c>
      <c r="AJ377"/>
      <c r="AK377"/>
      <c r="AL377"/>
      <c r="AM377"/>
      <c r="AN377"/>
      <c r="AO377"/>
      <c r="AP377"/>
      <c r="AQ377"/>
      <c r="AR377"/>
    </row>
    <row r="378" spans="1:44" ht="15" customHeight="1" x14ac:dyDescent="0.3">
      <c r="A378" s="2">
        <v>3.77</v>
      </c>
      <c r="B378" s="1">
        <f t="shared" si="82"/>
        <v>1.6982436524617421E-4</v>
      </c>
      <c r="C378" s="1">
        <f t="shared" si="83"/>
        <v>5.9473209190914565E-11</v>
      </c>
      <c r="D378" s="1">
        <f t="shared" si="84"/>
        <v>2.0128053013990923E-2</v>
      </c>
      <c r="E378" s="1">
        <f t="shared" si="85"/>
        <v>-2.1342168998487222E-5</v>
      </c>
      <c r="F378" s="1">
        <f t="shared" si="86"/>
        <v>3.1523091832602146E-3</v>
      </c>
      <c r="G378" s="1">
        <f t="shared" si="87"/>
        <v>-5.3298547166168338E-3</v>
      </c>
      <c r="H378" s="1">
        <f t="shared" si="95"/>
        <v>-5.3298547166168338E-2</v>
      </c>
      <c r="J378" s="2">
        <v>7.76</v>
      </c>
      <c r="K378" s="1">
        <v>1.7378008287493747E-8</v>
      </c>
      <c r="L378" s="1">
        <v>5.8119433671052875E-7</v>
      </c>
      <c r="M378" s="1">
        <v>5.2459441505126102E-4</v>
      </c>
      <c r="N378" s="1">
        <v>3.24590093082479E-3</v>
      </c>
      <c r="O378" s="1">
        <v>0.96865494054849599</v>
      </c>
      <c r="P378" s="1">
        <v>0.96868859298937604</v>
      </c>
      <c r="Q378" s="2">
        <v>9.6868859298937604</v>
      </c>
      <c r="S378" s="2">
        <v>3.77</v>
      </c>
      <c r="T378" s="1">
        <f t="shared" si="88"/>
        <v>1.6982436524617421E-4</v>
      </c>
      <c r="U378" s="1">
        <f t="shared" si="89"/>
        <v>5.9473209190914565E-11</v>
      </c>
      <c r="V378" s="1">
        <f t="shared" si="90"/>
        <v>8.3966785751848471E-4</v>
      </c>
      <c r="W378" s="1">
        <f t="shared" si="91"/>
        <v>3.3053444047493843E-2</v>
      </c>
      <c r="X378" s="1">
        <f t="shared" si="92"/>
        <v>0.98492092462519476</v>
      </c>
      <c r="Y378" s="1">
        <f t="shared" si="93"/>
        <v>0.98745763922323093</v>
      </c>
      <c r="Z378" s="1">
        <f t="shared" si="94"/>
        <v>49.372881961161546</v>
      </c>
      <c r="AB378">
        <v>5.08</v>
      </c>
      <c r="AC378">
        <v>8.3176377110266992E-6</v>
      </c>
      <c r="AD378">
        <v>1.2142870789635886E-9</v>
      </c>
      <c r="AE378">
        <v>1.7236398042610197E-2</v>
      </c>
      <c r="AF378">
        <v>2.7587867319129933E-2</v>
      </c>
      <c r="AG378">
        <v>0.76185324437226676</v>
      </c>
      <c r="AH378">
        <v>0.76196809285298472</v>
      </c>
      <c r="AI378">
        <v>38.098404642649243</v>
      </c>
      <c r="AJ378"/>
      <c r="AK378"/>
      <c r="AL378"/>
      <c r="AM378"/>
      <c r="AN378"/>
      <c r="AO378"/>
      <c r="AP378"/>
      <c r="AQ378"/>
      <c r="AR378"/>
    </row>
    <row r="379" spans="1:44" ht="15" customHeight="1" x14ac:dyDescent="0.3">
      <c r="A379" s="2">
        <v>3.78</v>
      </c>
      <c r="B379" s="1">
        <f t="shared" si="82"/>
        <v>1.6595869074375585E-4</v>
      </c>
      <c r="C379" s="1">
        <f t="shared" si="83"/>
        <v>6.0858518193510201E-11</v>
      </c>
      <c r="D379" s="1">
        <f t="shared" si="84"/>
        <v>2.0121659895671995E-2</v>
      </c>
      <c r="E379" s="1">
        <f t="shared" si="85"/>
        <v>-2.0276649278665229E-5</v>
      </c>
      <c r="F379" s="1">
        <f t="shared" si="86"/>
        <v>3.2254990589372394E-3</v>
      </c>
      <c r="G379" s="1">
        <f t="shared" si="87"/>
        <v>-5.0640282434348373E-3</v>
      </c>
      <c r="H379" s="1">
        <f t="shared" si="95"/>
        <v>-5.0640282434348372E-2</v>
      </c>
      <c r="J379" s="2">
        <v>7.77</v>
      </c>
      <c r="K379" s="1">
        <v>1.6982436524617439E-8</v>
      </c>
      <c r="L379" s="1">
        <v>5.9473209190914497E-7</v>
      </c>
      <c r="M379" s="1">
        <v>5.1293327826591891E-4</v>
      </c>
      <c r="N379" s="1">
        <v>3.2478444536223469E-3</v>
      </c>
      <c r="O379" s="1">
        <v>0.9693465699682845</v>
      </c>
      <c r="P379" s="1">
        <v>0.96938105804677588</v>
      </c>
      <c r="Q379" s="2">
        <v>9.6938105804677583</v>
      </c>
      <c r="S379" s="2">
        <v>3.78</v>
      </c>
      <c r="T379" s="1">
        <f t="shared" si="88"/>
        <v>1.6595869074375585E-4</v>
      </c>
      <c r="U379" s="1">
        <f t="shared" si="89"/>
        <v>6.0858518193510201E-11</v>
      </c>
      <c r="V379" s="1">
        <f t="shared" si="90"/>
        <v>8.668245538942655E-4</v>
      </c>
      <c r="W379" s="1">
        <f t="shared" si="91"/>
        <v>3.3044391815368578E-2</v>
      </c>
      <c r="X379" s="1">
        <f t="shared" si="92"/>
        <v>0.98457510562921646</v>
      </c>
      <c r="Y379" s="1">
        <f t="shared" si="93"/>
        <v>0.98705374236159593</v>
      </c>
      <c r="Z379" s="1">
        <f t="shared" si="94"/>
        <v>49.3526871180798</v>
      </c>
      <c r="AB379">
        <v>5.09</v>
      </c>
      <c r="AC379">
        <v>8.128305161640983E-6</v>
      </c>
      <c r="AD379">
        <v>1.2425714585205067E-9</v>
      </c>
      <c r="AE379">
        <v>1.75676834852634E-2</v>
      </c>
      <c r="AF379">
        <v>2.7477438838245532E-2</v>
      </c>
      <c r="AG379">
        <v>0.75765044330615328</v>
      </c>
      <c r="AH379">
        <v>0.7577625058486227</v>
      </c>
      <c r="AI379">
        <v>37.888125292431134</v>
      </c>
      <c r="AJ379"/>
      <c r="AK379"/>
      <c r="AL379"/>
      <c r="AM379"/>
      <c r="AN379"/>
      <c r="AO379"/>
      <c r="AP379"/>
      <c r="AQ379"/>
      <c r="AR379"/>
    </row>
    <row r="380" spans="1:44" ht="15" customHeight="1" x14ac:dyDescent="0.3">
      <c r="A380" s="2">
        <v>3.79</v>
      </c>
      <c r="B380" s="1">
        <f t="shared" si="82"/>
        <v>1.6218100973589279E-4</v>
      </c>
      <c r="C380" s="1">
        <f t="shared" si="83"/>
        <v>6.227609518800977E-11</v>
      </c>
      <c r="D380" s="1">
        <f t="shared" si="84"/>
        <v>2.0115331826220609E-2</v>
      </c>
      <c r="E380" s="1">
        <f t="shared" si="85"/>
        <v>-1.9221971036768678E-5</v>
      </c>
      <c r="F380" s="1">
        <f t="shared" si="86"/>
        <v>3.3003826208403081E-3</v>
      </c>
      <c r="G380" s="1">
        <f t="shared" si="87"/>
        <v>-4.800878641682097E-3</v>
      </c>
      <c r="H380" s="1">
        <f t="shared" si="95"/>
        <v>-4.8008786416820964E-2</v>
      </c>
      <c r="J380" s="2">
        <v>7.78</v>
      </c>
      <c r="K380" s="1">
        <v>1.6595869074375541E-8</v>
      </c>
      <c r="L380" s="1">
        <v>6.0858518193510364E-7</v>
      </c>
      <c r="M380" s="1">
        <v>5.0152349061775283E-4</v>
      </c>
      <c r="N380" s="1">
        <v>3.2497460848970412E-3</v>
      </c>
      <c r="O380" s="1">
        <v>0.97002341084048405</v>
      </c>
      <c r="P380" s="1">
        <v>0.970058752950273</v>
      </c>
      <c r="Q380" s="2">
        <v>9.7005875295027302</v>
      </c>
      <c r="S380" s="2">
        <v>3.79</v>
      </c>
      <c r="T380" s="1">
        <f t="shared" si="88"/>
        <v>1.6218100973589279E-4</v>
      </c>
      <c r="U380" s="1">
        <f t="shared" si="89"/>
        <v>6.227609518800977E-11</v>
      </c>
      <c r="V380" s="1">
        <f t="shared" si="90"/>
        <v>8.9442443111318411E-4</v>
      </c>
      <c r="W380" s="1">
        <f t="shared" si="91"/>
        <v>3.3035191856295602E-2</v>
      </c>
      <c r="X380" s="1">
        <f t="shared" si="92"/>
        <v>0.98422148277785637</v>
      </c>
      <c r="Y380" s="1">
        <f t="shared" si="93"/>
        <v>0.98664336603199432</v>
      </c>
      <c r="Z380" s="1">
        <f t="shared" si="94"/>
        <v>49.332168301599715</v>
      </c>
      <c r="AB380">
        <v>5.0999999999999996</v>
      </c>
      <c r="AC380">
        <v>7.9432823472428065E-6</v>
      </c>
      <c r="AD380">
        <v>1.2715146659121102E-9</v>
      </c>
      <c r="AE380">
        <v>1.7903945365783654E-2</v>
      </c>
      <c r="AF380">
        <v>2.7365351544738778E-2</v>
      </c>
      <c r="AG380">
        <v>0.75339747961127768</v>
      </c>
      <c r="AH380">
        <v>0.753506821516298</v>
      </c>
      <c r="AI380">
        <v>37.675341075814899</v>
      </c>
      <c r="AJ380"/>
      <c r="AK380"/>
      <c r="AL380"/>
      <c r="AM380"/>
      <c r="AN380"/>
      <c r="AO380"/>
      <c r="AP380"/>
      <c r="AQ380"/>
      <c r="AR380"/>
    </row>
    <row r="381" spans="1:44" ht="15" customHeight="1" x14ac:dyDescent="0.3">
      <c r="A381" s="2">
        <v>3.8</v>
      </c>
      <c r="B381" s="1">
        <f t="shared" si="82"/>
        <v>1.584893192461112E-4</v>
      </c>
      <c r="C381" s="1">
        <f t="shared" si="83"/>
        <v>6.3726691792499571E-11</v>
      </c>
      <c r="D381" s="1">
        <f t="shared" si="84"/>
        <v>2.0109065472669805E-2</v>
      </c>
      <c r="E381" s="1">
        <f t="shared" si="85"/>
        <v>-1.817757877830154E-5</v>
      </c>
      <c r="F381" s="1">
        <f t="shared" si="86"/>
        <v>3.3769987983110587E-3</v>
      </c>
      <c r="G381" s="1">
        <f t="shared" si="87"/>
        <v>-4.5402681404854706E-3</v>
      </c>
      <c r="H381" s="1">
        <f t="shared" si="95"/>
        <v>-4.5402681404854706E-2</v>
      </c>
      <c r="J381" s="2">
        <v>7.79</v>
      </c>
      <c r="K381" s="1">
        <v>1.6218100973589297E-8</v>
      </c>
      <c r="L381" s="1">
        <v>6.227609518800971E-7</v>
      </c>
      <c r="M381" s="1">
        <v>4.903598997249136E-4</v>
      </c>
      <c r="N381" s="1">
        <v>3.2516066833791811E-3</v>
      </c>
      <c r="O381" s="1">
        <v>0.97068575872954965</v>
      </c>
      <c r="P381" s="1">
        <v>0.97072197371682878</v>
      </c>
      <c r="Q381" s="2">
        <v>9.7072197371682876</v>
      </c>
      <c r="S381" s="2">
        <v>3.8</v>
      </c>
      <c r="T381" s="1">
        <f t="shared" si="88"/>
        <v>1.584893192461112E-4</v>
      </c>
      <c r="U381" s="1">
        <f t="shared" si="89"/>
        <v>6.3726691792499571E-11</v>
      </c>
      <c r="V381" s="1">
        <f t="shared" si="90"/>
        <v>9.2248133877698753E-4</v>
      </c>
      <c r="W381" s="1">
        <f t="shared" si="91"/>
        <v>3.3025839553741006E-2</v>
      </c>
      <c r="X381" s="1">
        <f t="shared" si="92"/>
        <v>0.98385988585607131</v>
      </c>
      <c r="Y381" s="1">
        <f t="shared" si="93"/>
        <v>0.98622630977931847</v>
      </c>
      <c r="Z381" s="1">
        <f t="shared" si="94"/>
        <v>49.311315488965924</v>
      </c>
      <c r="AB381">
        <v>5.1100000000000003</v>
      </c>
      <c r="AC381">
        <v>7.7624711662868956E-6</v>
      </c>
      <c r="AD381">
        <v>1.3011320472100688E-9</v>
      </c>
      <c r="AE381">
        <v>1.8245205915893268E-2</v>
      </c>
      <c r="AF381">
        <v>2.7251598028035583E-2</v>
      </c>
      <c r="AG381">
        <v>0.74909459739113193</v>
      </c>
      <c r="AH381">
        <v>0.74920128248419049</v>
      </c>
      <c r="AI381">
        <v>37.460064124209524</v>
      </c>
      <c r="AJ381"/>
      <c r="AK381"/>
      <c r="AL381"/>
      <c r="AM381"/>
      <c r="AN381"/>
      <c r="AO381"/>
      <c r="AP381"/>
      <c r="AQ381"/>
      <c r="AR381"/>
    </row>
    <row r="382" spans="1:44" ht="15" customHeight="1" x14ac:dyDescent="0.3">
      <c r="A382" s="2">
        <v>3.81</v>
      </c>
      <c r="B382" s="1">
        <f t="shared" si="82"/>
        <v>1.5488166189124797E-4</v>
      </c>
      <c r="C382" s="1">
        <f t="shared" si="83"/>
        <v>6.5211077132500267E-11</v>
      </c>
      <c r="D382" s="1">
        <f t="shared" si="84"/>
        <v>2.0102857535815741E-2</v>
      </c>
      <c r="E382" s="1">
        <f t="shared" si="85"/>
        <v>-1.7142922635956658E-5</v>
      </c>
      <c r="F382" s="1">
        <f t="shared" si="86"/>
        <v>3.4553874030729694E-3</v>
      </c>
      <c r="G382" s="1">
        <f t="shared" si="87"/>
        <v>-4.2820603075604145E-3</v>
      </c>
      <c r="H382" s="1">
        <f t="shared" si="95"/>
        <v>-4.282060307560414E-2</v>
      </c>
      <c r="J382" s="2">
        <v>7.8</v>
      </c>
      <c r="K382" s="1">
        <v>1.5848931924611133E-8</v>
      </c>
      <c r="L382" s="1">
        <v>6.3726691792499521E-7</v>
      </c>
      <c r="M382" s="1">
        <v>4.7943744534421792E-4</v>
      </c>
      <c r="N382" s="1">
        <v>3.2534270924426305E-3</v>
      </c>
      <c r="O382" s="1">
        <v>0.97133390419758203</v>
      </c>
      <c r="P382" s="1">
        <v>0.97137101137105752</v>
      </c>
      <c r="Q382" s="2">
        <v>9.7137101137105741</v>
      </c>
      <c r="S382" s="2">
        <v>3.81</v>
      </c>
      <c r="T382" s="1">
        <f t="shared" si="88"/>
        <v>1.5488166189124797E-4</v>
      </c>
      <c r="U382" s="1">
        <f t="shared" si="89"/>
        <v>6.5211077132500267E-11</v>
      </c>
      <c r="V382" s="1">
        <f t="shared" si="90"/>
        <v>9.5100933265163698E-4</v>
      </c>
      <c r="W382" s="1">
        <f t="shared" si="91"/>
        <v>3.3016330222449458E-2</v>
      </c>
      <c r="X382" s="1">
        <f t="shared" si="92"/>
        <v>0.98349014120897782</v>
      </c>
      <c r="Y382" s="1">
        <f t="shared" si="93"/>
        <v>0.98580237040147389</v>
      </c>
      <c r="Z382" s="1">
        <f t="shared" si="94"/>
        <v>49.290118520073705</v>
      </c>
      <c r="AB382">
        <v>5.12</v>
      </c>
      <c r="AC382">
        <v>7.5857757502918323E-6</v>
      </c>
      <c r="AD382">
        <v>1.331439305941972E-9</v>
      </c>
      <c r="AE382">
        <v>1.8591485337243616E-2</v>
      </c>
      <c r="AF382">
        <v>2.7136171554252131E-2</v>
      </c>
      <c r="AG382">
        <v>0.74474207328533548</v>
      </c>
      <c r="AH382">
        <v>0.74484616394969894</v>
      </c>
      <c r="AI382">
        <v>37.242308197484945</v>
      </c>
      <c r="AJ382"/>
      <c r="AK382"/>
      <c r="AL382"/>
      <c r="AM382"/>
      <c r="AN382"/>
      <c r="AO382"/>
      <c r="AP382"/>
      <c r="AQ382"/>
      <c r="AR382"/>
    </row>
    <row r="383" spans="1:44" ht="15" customHeight="1" x14ac:dyDescent="0.3">
      <c r="A383" s="2">
        <v>3.82</v>
      </c>
      <c r="B383" s="1">
        <f t="shared" si="82"/>
        <v>1.5135612484362069E-4</v>
      </c>
      <c r="C383" s="1">
        <f t="shared" si="83"/>
        <v>6.6730038248767249E-11</v>
      </c>
      <c r="D383" s="1">
        <f t="shared" si="84"/>
        <v>2.0096704748516849E-2</v>
      </c>
      <c r="E383" s="1">
        <f t="shared" si="85"/>
        <v>-1.6117458086141609E-5</v>
      </c>
      <c r="F383" s="1">
        <f t="shared" si="86"/>
        <v>3.535589148648063E-3</v>
      </c>
      <c r="G383" s="1">
        <f t="shared" si="87"/>
        <v>-4.0261199805336004E-3</v>
      </c>
      <c r="H383" s="1">
        <f t="shared" si="95"/>
        <v>-4.0261199805336004E-2</v>
      </c>
      <c r="J383" s="2">
        <v>7.81</v>
      </c>
      <c r="K383" s="1">
        <v>1.5488166189124814E-8</v>
      </c>
      <c r="L383" s="1">
        <v>6.5211077132500196E-7</v>
      </c>
      <c r="M383" s="1">
        <v>4.68751158289202E-4</v>
      </c>
      <c r="N383" s="1">
        <v>3.2552081402851328E-3</v>
      </c>
      <c r="O383" s="1">
        <v>0.97196813284830341</v>
      </c>
      <c r="P383" s="1">
        <v>0.97200615198944706</v>
      </c>
      <c r="Q383" s="2">
        <v>9.72006151989447</v>
      </c>
      <c r="S383" s="2">
        <v>3.82</v>
      </c>
      <c r="T383" s="1">
        <f t="shared" si="88"/>
        <v>1.5135612484362069E-4</v>
      </c>
      <c r="U383" s="1">
        <f t="shared" si="89"/>
        <v>6.6730038248767249E-11</v>
      </c>
      <c r="V383" s="1">
        <f t="shared" si="90"/>
        <v>9.8002268047183631E-4</v>
      </c>
      <c r="W383" s="1">
        <f t="shared" si="91"/>
        <v>3.3006659106509385E-2</v>
      </c>
      <c r="X383" s="1">
        <f t="shared" si="92"/>
        <v>0.98311207168509251</v>
      </c>
      <c r="Y383" s="1">
        <f t="shared" si="93"/>
        <v>0.9853713418766511</v>
      </c>
      <c r="Z383" s="1">
        <f t="shared" si="94"/>
        <v>49.268567093832559</v>
      </c>
      <c r="AB383">
        <v>5.13</v>
      </c>
      <c r="AC383">
        <v>7.4131024130091704E-6</v>
      </c>
      <c r="AD383">
        <v>1.3624525114175708E-9</v>
      </c>
      <c r="AE383">
        <v>1.8942801723757102E-2</v>
      </c>
      <c r="AF383">
        <v>2.7019066092080969E-2</v>
      </c>
      <c r="AG383">
        <v>0.74034021697191055</v>
      </c>
      <c r="AH383">
        <v>0.74044177418094614</v>
      </c>
      <c r="AI383">
        <v>37.022088709047303</v>
      </c>
      <c r="AJ383"/>
      <c r="AK383"/>
      <c r="AL383"/>
      <c r="AM383"/>
      <c r="AN383"/>
      <c r="AO383"/>
      <c r="AP383"/>
      <c r="AQ383"/>
      <c r="AR383"/>
    </row>
    <row r="384" spans="1:44" ht="15" customHeight="1" x14ac:dyDescent="0.3">
      <c r="A384" s="2">
        <v>3.83</v>
      </c>
      <c r="B384" s="1">
        <f t="shared" si="82"/>
        <v>1.4791083881682062E-4</v>
      </c>
      <c r="C384" s="1">
        <f t="shared" si="83"/>
        <v>6.8284380514590213E-11</v>
      </c>
      <c r="D384" s="1">
        <f t="shared" si="84"/>
        <v>2.0090603874012267E-2</v>
      </c>
      <c r="E384" s="1">
        <f t="shared" si="85"/>
        <v>-1.5100645668710877E-5</v>
      </c>
      <c r="F384" s="1">
        <f t="shared" si="86"/>
        <v>3.6176456701732746E-3</v>
      </c>
      <c r="G384" s="1">
        <f t="shared" si="87"/>
        <v>-3.7723131989292977E-3</v>
      </c>
      <c r="H384" s="1">
        <f t="shared" si="95"/>
        <v>-3.7723131989292974E-2</v>
      </c>
      <c r="J384" s="2">
        <v>7.82</v>
      </c>
      <c r="K384" s="1">
        <v>1.5135612484362029E-8</v>
      </c>
      <c r="L384" s="1">
        <v>6.673003824876742E-7</v>
      </c>
      <c r="M384" s="1">
        <v>4.5829615933245681E-4</v>
      </c>
      <c r="N384" s="1">
        <v>3.2569506401112576E-3</v>
      </c>
      <c r="O384" s="1">
        <v>0.97258872537269359</v>
      </c>
      <c r="P384" s="1">
        <v>0.97262767674624473</v>
      </c>
      <c r="Q384" s="2">
        <v>9.726276767462446</v>
      </c>
      <c r="S384" s="2">
        <v>3.83</v>
      </c>
      <c r="T384" s="1">
        <f t="shared" si="88"/>
        <v>1.4791083881682062E-4</v>
      </c>
      <c r="U384" s="1">
        <f t="shared" si="89"/>
        <v>6.8284380514590213E-11</v>
      </c>
      <c r="V384" s="1">
        <f t="shared" si="90"/>
        <v>1.0095358677841956E-3</v>
      </c>
      <c r="W384" s="1">
        <f t="shared" si="91"/>
        <v>3.2996821377405269E-2</v>
      </c>
      <c r="X384" s="1">
        <f t="shared" si="92"/>
        <v>0.98272549657925734</v>
      </c>
      <c r="Y384" s="1">
        <f t="shared" si="93"/>
        <v>0.98493301529065425</v>
      </c>
      <c r="Z384" s="1">
        <f t="shared" si="94"/>
        <v>49.24665076453271</v>
      </c>
      <c r="AB384">
        <v>5.14</v>
      </c>
      <c r="AC384">
        <v>7.2443596007498957E-6</v>
      </c>
      <c r="AD384">
        <v>1.3941881072489145E-9</v>
      </c>
      <c r="AE384">
        <v>1.9299170984057323E-2</v>
      </c>
      <c r="AF384">
        <v>2.6900276338647559E-2</v>
      </c>
      <c r="AG384">
        <v>0.73588937163551549</v>
      </c>
      <c r="AH384">
        <v>0.73598845498425969</v>
      </c>
      <c r="AI384">
        <v>36.799422749212987</v>
      </c>
      <c r="AJ384"/>
      <c r="AK384"/>
      <c r="AL384"/>
      <c r="AM384"/>
      <c r="AN384"/>
      <c r="AO384"/>
      <c r="AP384"/>
      <c r="AQ384"/>
      <c r="AR384"/>
    </row>
    <row r="385" spans="1:44" ht="15" customHeight="1" x14ac:dyDescent="0.3">
      <c r="A385" s="2">
        <v>3.84</v>
      </c>
      <c r="B385" s="1">
        <f t="shared" si="82"/>
        <v>1.4454397707459266E-4</v>
      </c>
      <c r="C385" s="1">
        <f t="shared" si="83"/>
        <v>6.987492806281262E-11</v>
      </c>
      <c r="D385" s="1">
        <f t="shared" si="84"/>
        <v>2.0084551704258644E-2</v>
      </c>
      <c r="E385" s="1">
        <f t="shared" si="85"/>
        <v>-1.4091950709773492E-5</v>
      </c>
      <c r="F385" s="1">
        <f t="shared" si="86"/>
        <v>3.7015995446233493E-3</v>
      </c>
      <c r="G385" s="1">
        <f t="shared" si="87"/>
        <v>-3.5205071367911201E-3</v>
      </c>
      <c r="H385" s="1">
        <f t="shared" si="95"/>
        <v>-3.5205071367911199E-2</v>
      </c>
      <c r="J385" s="2">
        <v>7.83</v>
      </c>
      <c r="K385" s="1">
        <v>1.4791083881682026E-8</v>
      </c>
      <c r="L385" s="1">
        <v>6.8284380514590378E-7</v>
      </c>
      <c r="M385" s="1">
        <v>4.4806765809395831E-4</v>
      </c>
      <c r="N385" s="1">
        <v>3.2586553903176732E-3</v>
      </c>
      <c r="O385" s="1">
        <v>0.97319595759615996</v>
      </c>
      <c r="P385" s="1">
        <v>0.9732358619608833</v>
      </c>
      <c r="Q385" s="2">
        <v>9.7323586196088332</v>
      </c>
      <c r="S385" s="2">
        <v>3.84</v>
      </c>
      <c r="T385" s="1">
        <f t="shared" si="88"/>
        <v>1.4454397707459266E-4</v>
      </c>
      <c r="U385" s="1">
        <f t="shared" si="89"/>
        <v>6.987492806281262E-11</v>
      </c>
      <c r="V385" s="1">
        <f t="shared" si="90"/>
        <v>1.0395636038289637E-3</v>
      </c>
      <c r="W385" s="1">
        <f t="shared" si="91"/>
        <v>3.2986812132057015E-2</v>
      </c>
      <c r="X385" s="1">
        <f t="shared" si="92"/>
        <v>0.98233023157528243</v>
      </c>
      <c r="Y385" s="1">
        <f t="shared" si="93"/>
        <v>0.98448717876431202</v>
      </c>
      <c r="Z385" s="1">
        <f t="shared" si="94"/>
        <v>49.224358938215609</v>
      </c>
      <c r="AB385">
        <v>5.15</v>
      </c>
      <c r="AC385">
        <v>7.0794578438413623E-6</v>
      </c>
      <c r="AD385">
        <v>1.4266629200689851E-9</v>
      </c>
      <c r="AE385">
        <v>1.9660606764138423E-2</v>
      </c>
      <c r="AF385">
        <v>2.6779797745287191E-2</v>
      </c>
      <c r="AG385">
        <v>0.73138991439956813</v>
      </c>
      <c r="AH385">
        <v>0.73148658213556117</v>
      </c>
      <c r="AI385">
        <v>36.574329106778059</v>
      </c>
      <c r="AJ385"/>
      <c r="AK385"/>
      <c r="AL385"/>
      <c r="AM385"/>
      <c r="AN385"/>
      <c r="AO385"/>
      <c r="AP385"/>
      <c r="AQ385"/>
      <c r="AR385"/>
    </row>
    <row r="386" spans="1:44" ht="15" customHeight="1" x14ac:dyDescent="0.3">
      <c r="A386" s="2">
        <v>3.85</v>
      </c>
      <c r="B386" s="1">
        <f t="shared" si="82"/>
        <v>1.4125375446227535E-4</v>
      </c>
      <c r="C386" s="1">
        <f t="shared" si="83"/>
        <v>7.1502524222797965E-11</v>
      </c>
      <c r="D386" s="1">
        <f t="shared" si="84"/>
        <v>2.0078545058284679E-2</v>
      </c>
      <c r="E386" s="1">
        <f t="shared" si="85"/>
        <v>-1.3090843047446392E-5</v>
      </c>
      <c r="F386" s="1">
        <f t="shared" si="86"/>
        <v>3.7874943114472454E-3</v>
      </c>
      <c r="G386" s="1">
        <f t="shared" si="87"/>
        <v>-3.2705700359108086E-3</v>
      </c>
      <c r="H386" s="1">
        <f t="shared" si="95"/>
        <v>-3.2705700359108081E-2</v>
      </c>
      <c r="J386" s="2">
        <v>7.84</v>
      </c>
      <c r="K386" s="1">
        <v>1.4454397707459279E-8</v>
      </c>
      <c r="L386" s="1">
        <v>6.9874928062812556E-7</v>
      </c>
      <c r="M386" s="1">
        <v>4.3806095191724315E-4</v>
      </c>
      <c r="N386" s="1">
        <v>3.2603231746804592E-3</v>
      </c>
      <c r="O386" s="1">
        <v>0.97379010052711767</v>
      </c>
      <c r="P386" s="1">
        <v>0.97383097914682226</v>
      </c>
      <c r="Q386" s="2">
        <v>9.7383097914682217</v>
      </c>
      <c r="S386" s="2">
        <v>3.85</v>
      </c>
      <c r="T386" s="1">
        <f t="shared" si="88"/>
        <v>1.4125375446227535E-4</v>
      </c>
      <c r="U386" s="1">
        <f t="shared" si="89"/>
        <v>7.1502524222797965E-11</v>
      </c>
      <c r="V386" s="1">
        <f t="shared" si="90"/>
        <v>1.0701208274601207E-3</v>
      </c>
      <c r="W386" s="1">
        <f t="shared" si="91"/>
        <v>3.2976626390846628E-2</v>
      </c>
      <c r="X386" s="1">
        <f t="shared" si="92"/>
        <v>0.9819260886883433</v>
      </c>
      <c r="Y386" s="1">
        <f t="shared" si="93"/>
        <v>0.98403361738099715</v>
      </c>
      <c r="Z386" s="1">
        <f t="shared" si="94"/>
        <v>49.201680869049852</v>
      </c>
      <c r="AB386">
        <v>5.16</v>
      </c>
      <c r="AC386">
        <v>6.9183097091893498E-6</v>
      </c>
      <c r="AD386">
        <v>1.4598941684533898E-9</v>
      </c>
      <c r="AE386">
        <v>2.0027120370428485E-2</v>
      </c>
      <c r="AF386">
        <v>2.6657626543190503E-2</v>
      </c>
      <c r="AG386">
        <v>0.72684225672023917</v>
      </c>
      <c r="AH386">
        <v>0.72693656577364185</v>
      </c>
      <c r="AI386">
        <v>36.346828288682097</v>
      </c>
      <c r="AJ386"/>
      <c r="AK386"/>
      <c r="AL386"/>
      <c r="AM386"/>
      <c r="AN386"/>
      <c r="AO386"/>
      <c r="AP386"/>
      <c r="AQ386"/>
      <c r="AR386"/>
    </row>
    <row r="387" spans="1:44" ht="15" customHeight="1" x14ac:dyDescent="0.3">
      <c r="A387" s="2">
        <v>3.86</v>
      </c>
      <c r="B387" s="1">
        <f t="shared" ref="B387:B450" si="96">10^(-A387)</f>
        <v>1.3803842646028844E-4</v>
      </c>
      <c r="C387" s="1">
        <f t="shared" ref="C387:C450" si="97">Kw/B387</f>
        <v>7.3168031967574022E-11</v>
      </c>
      <c r="D387" s="1">
        <f t="shared" ref="D387:D450" si="98">((WASB_Ca*WASB_Va)-(WASB_Cb*H387))/(WASB_Va+H387)</f>
        <v>2.0072580780562562E-2</v>
      </c>
      <c r="E387" s="1">
        <f t="shared" ref="E387:E450" si="99">(WASB_Ca*H387)/(WASB_Va+H387)</f>
        <v>-1.2096796760427267E-5</v>
      </c>
      <c r="F387" s="1">
        <f t="shared" ref="F387:F450" si="100">WASB_Ka/(B387+WASB_Ka)</f>
        <v>3.8753744936250107E-3</v>
      </c>
      <c r="G387" s="1">
        <f t="shared" ref="G387:G450" si="101">(F387-((B387-C387)/WASB_Ca)) / (1 + ((B387-C387)/WASB_Cb))</f>
        <v>-3.0223711396362789E-3</v>
      </c>
      <c r="H387" s="1">
        <f t="shared" si="95"/>
        <v>-3.0223711396362787E-2</v>
      </c>
      <c r="J387" s="2">
        <v>7.85</v>
      </c>
      <c r="K387" s="1">
        <v>1.4125375446227547E-8</v>
      </c>
      <c r="L387" s="1">
        <v>7.1502524222797904E-7</v>
      </c>
      <c r="M387" s="1">
        <v>4.2827142473490315E-4</v>
      </c>
      <c r="N387" s="1">
        <v>3.2619547625441828E-3</v>
      </c>
      <c r="O387" s="1">
        <v>0.97437142040686187</v>
      </c>
      <c r="P387" s="1">
        <v>0.97441329506168795</v>
      </c>
      <c r="Q387" s="2">
        <v>9.7441329506168781</v>
      </c>
      <c r="S387" s="2">
        <v>3.86</v>
      </c>
      <c r="T387" s="1">
        <f t="shared" ref="T387:T450" si="102">10^-S387</f>
        <v>1.3803842646028844E-4</v>
      </c>
      <c r="U387" s="1">
        <f t="shared" ref="U387:U450" si="103">Kw/T387</f>
        <v>7.3168031967574022E-11</v>
      </c>
      <c r="V387" s="1">
        <f t="shared" ref="V387:V450" si="104">((SAWB_Cb*SAWB_Vb)-(SAWB_Ca*Z387))/(Z387+SAWB_Vb)</f>
        <v>1.1012227131032034E-3</v>
      </c>
      <c r="W387" s="1">
        <f t="shared" ref="W387:W450" si="105">(SAWB_Cb*Z387)/(Z387+SAWB_Vb)</f>
        <v>3.2966259095632264E-2</v>
      </c>
      <c r="X387" s="1">
        <f t="shared" ref="X387:X450" si="106">T387/(T387+SAWB_Ka)</f>
        <v>0.9815128762071712</v>
      </c>
      <c r="Y387" s="1">
        <f t="shared" ref="Y387:Y450" si="107">(X387+((T387-U387)/SAWB_Cb))/(1-((T387-U387)/SAWB_Ca))</f>
        <v>0.98357211311428616</v>
      </c>
      <c r="Z387" s="1">
        <f t="shared" ref="Z387:Z450" si="108">(Y387*SAWB_Cb*SAWB_Vb)/SAWB_Ca</f>
        <v>49.178605655714307</v>
      </c>
      <c r="AB387">
        <v>5.17</v>
      </c>
      <c r="AC387">
        <v>6.7608297539198155E-6</v>
      </c>
      <c r="AD387">
        <v>1.4938994720498899E-9</v>
      </c>
      <c r="AE387">
        <v>2.0398720693410016E-2</v>
      </c>
      <c r="AF387">
        <v>2.6533759768863331E-2</v>
      </c>
      <c r="AG387">
        <v>0.72224684474031164</v>
      </c>
      <c r="AH387">
        <v>0.72233885075332094</v>
      </c>
      <c r="AI387">
        <v>36.116942537666048</v>
      </c>
      <c r="AJ387"/>
      <c r="AK387"/>
      <c r="AL387"/>
      <c r="AM387"/>
      <c r="AN387"/>
      <c r="AO387"/>
      <c r="AP387"/>
      <c r="AQ387"/>
      <c r="AR387"/>
    </row>
    <row r="388" spans="1:44" ht="15" customHeight="1" x14ac:dyDescent="0.3">
      <c r="A388" s="2">
        <v>3.87</v>
      </c>
      <c r="B388" s="1">
        <f t="shared" si="96"/>
        <v>1.3489628825916533E-4</v>
      </c>
      <c r="C388" s="1">
        <f t="shared" si="97"/>
        <v>7.4872334371392682E-11</v>
      </c>
      <c r="D388" s="1">
        <f t="shared" si="98"/>
        <v>2.0066655739395572E-2</v>
      </c>
      <c r="E388" s="1">
        <f t="shared" si="99"/>
        <v>-1.1109289899262087E-5</v>
      </c>
      <c r="F388" s="1">
        <f t="shared" si="100"/>
        <v>3.9652856191521998E-3</v>
      </c>
      <c r="G388" s="1">
        <f t="shared" si="101"/>
        <v>-2.775780627231288E-3</v>
      </c>
      <c r="H388" s="1">
        <f t="shared" ref="H388:H451" si="109">G388*(WASB_Va * WASB_Ca)/WASB_Cb</f>
        <v>-2.775780627231288E-2</v>
      </c>
      <c r="J388" s="2">
        <v>7.86</v>
      </c>
      <c r="K388" s="1">
        <v>1.3803842646028805E-8</v>
      </c>
      <c r="L388" s="1">
        <v>7.3168031967574223E-7</v>
      </c>
      <c r="M388" s="1">
        <v>4.186945459251368E-4</v>
      </c>
      <c r="N388" s="1">
        <v>3.2635509090124773E-3</v>
      </c>
      <c r="O388" s="1">
        <v>0.97494017876061789</v>
      </c>
      <c r="P388" s="1">
        <v>0.97498307175859655</v>
      </c>
      <c r="Q388" s="2">
        <v>9.7498307175859651</v>
      </c>
      <c r="S388" s="2">
        <v>3.87</v>
      </c>
      <c r="T388" s="1">
        <f t="shared" si="102"/>
        <v>1.3489628825916533E-4</v>
      </c>
      <c r="U388" s="1">
        <f t="shared" si="103"/>
        <v>7.4872334371392682E-11</v>
      </c>
      <c r="V388" s="1">
        <f t="shared" si="104"/>
        <v>1.1328846767509936E-3</v>
      </c>
      <c r="W388" s="1">
        <f t="shared" si="105"/>
        <v>3.2955705107749665E-2</v>
      </c>
      <c r="X388" s="1">
        <f t="shared" si="106"/>
        <v>0.98109039863607594</v>
      </c>
      <c r="Y388" s="1">
        <f t="shared" si="107"/>
        <v>0.98310244475578867</v>
      </c>
      <c r="Z388" s="1">
        <f t="shared" si="108"/>
        <v>49.155122237789435</v>
      </c>
      <c r="AB388">
        <v>5.18</v>
      </c>
      <c r="AC388">
        <v>6.6069344800759593E-6</v>
      </c>
      <c r="AD388">
        <v>1.5286968609205703E-9</v>
      </c>
      <c r="AE388">
        <v>2.0775414131964615E-2</v>
      </c>
      <c r="AF388">
        <v>2.6408195289345134E-2</v>
      </c>
      <c r="AG388">
        <v>0.71760415960095436</v>
      </c>
      <c r="AH388">
        <v>0.71769391695653462</v>
      </c>
      <c r="AI388">
        <v>35.884695847826734</v>
      </c>
      <c r="AJ388"/>
      <c r="AK388"/>
      <c r="AL388"/>
      <c r="AM388"/>
      <c r="AN388"/>
      <c r="AO388"/>
      <c r="AP388"/>
      <c r="AQ388"/>
      <c r="AR388"/>
    </row>
    <row r="389" spans="1:44" ht="15" customHeight="1" x14ac:dyDescent="0.3">
      <c r="A389" s="2">
        <v>3.88</v>
      </c>
      <c r="B389" s="1">
        <f t="shared" si="96"/>
        <v>1.3182567385564069E-4</v>
      </c>
      <c r="C389" s="1">
        <f t="shared" si="97"/>
        <v>7.6616335077947569E-11</v>
      </c>
      <c r="D389" s="1">
        <f t="shared" si="98"/>
        <v>2.0060766825321114E-2</v>
      </c>
      <c r="E389" s="1">
        <f t="shared" si="99"/>
        <v>-1.0127804220185524E-5</v>
      </c>
      <c r="F389" s="1">
        <f t="shared" si="100"/>
        <v>4.0572742429588853E-3</v>
      </c>
      <c r="G389" s="1">
        <f t="shared" si="101"/>
        <v>-2.53066954875959E-3</v>
      </c>
      <c r="H389" s="1">
        <f t="shared" si="109"/>
        <v>-2.5306695487595898E-2</v>
      </c>
      <c r="J389" s="2">
        <v>7.87</v>
      </c>
      <c r="K389" s="1">
        <v>1.3489628825916498E-8</v>
      </c>
      <c r="L389" s="1">
        <v>7.4872334371392871E-7</v>
      </c>
      <c r="M389" s="1">
        <v>4.0932586916069669E-4</v>
      </c>
      <c r="N389" s="1">
        <v>3.2651123551398833E-3</v>
      </c>
      <c r="O389" s="1">
        <v>0.975496632449664</v>
      </c>
      <c r="P389" s="1">
        <v>0.97554056663855671</v>
      </c>
      <c r="Q389" s="2">
        <v>9.7554056663855668</v>
      </c>
      <c r="S389" s="2">
        <v>3.88</v>
      </c>
      <c r="T389" s="1">
        <f t="shared" si="102"/>
        <v>1.3182567385564069E-4</v>
      </c>
      <c r="U389" s="1">
        <f t="shared" si="103"/>
        <v>7.6616335077947569E-11</v>
      </c>
      <c r="V389" s="1">
        <f t="shared" si="104"/>
        <v>1.1651223819958462E-3</v>
      </c>
      <c r="W389" s="1">
        <f t="shared" si="105"/>
        <v>3.2944959206001379E-2</v>
      </c>
      <c r="X389" s="1">
        <f t="shared" si="106"/>
        <v>0.98065845663684648</v>
      </c>
      <c r="Y389" s="1">
        <f t="shared" si="107"/>
        <v>0.98262438784318618</v>
      </c>
      <c r="Z389" s="1">
        <f t="shared" si="108"/>
        <v>49.131219392159309</v>
      </c>
      <c r="AB389">
        <v>5.19</v>
      </c>
      <c r="AC389">
        <v>6.456542290346543E-6</v>
      </c>
      <c r="AD389">
        <v>1.564304785101609E-9</v>
      </c>
      <c r="AE389">
        <v>2.1157204518616104E-2</v>
      </c>
      <c r="AF389">
        <v>2.6280931827127967E-2</v>
      </c>
      <c r="AG389">
        <v>0.71291471770949877</v>
      </c>
      <c r="AH389">
        <v>0.71300227955944551</v>
      </c>
      <c r="AI389">
        <v>35.650113977972275</v>
      </c>
      <c r="AJ389"/>
      <c r="AK389"/>
      <c r="AL389"/>
      <c r="AM389"/>
      <c r="AN389"/>
      <c r="AO389"/>
      <c r="AP389"/>
      <c r="AQ389"/>
      <c r="AR389"/>
    </row>
    <row r="390" spans="1:44" ht="15" customHeight="1" x14ac:dyDescent="0.3">
      <c r="A390" s="2">
        <v>3.89</v>
      </c>
      <c r="B390" s="1">
        <f t="shared" si="96"/>
        <v>1.2882495516931315E-4</v>
      </c>
      <c r="C390" s="1">
        <f t="shared" si="97"/>
        <v>7.8400958779498012E-11</v>
      </c>
      <c r="D390" s="1">
        <f t="shared" si="98"/>
        <v>2.0054910949528486E-2</v>
      </c>
      <c r="E390" s="1">
        <f t="shared" si="99"/>
        <v>-9.1518249214141511E-6</v>
      </c>
      <c r="F390" s="1">
        <f t="shared" si="100"/>
        <v>4.1513879692704004E-3</v>
      </c>
      <c r="G390" s="1">
        <f t="shared" si="101"/>
        <v>-2.2869097604665944E-3</v>
      </c>
      <c r="H390" s="1">
        <f t="shared" si="109"/>
        <v>-2.2869097604665944E-2</v>
      </c>
      <c r="J390" s="2">
        <v>7.88</v>
      </c>
      <c r="K390" s="1">
        <v>1.3182567385564031E-8</v>
      </c>
      <c r="L390" s="1">
        <v>7.6616335077947784E-7</v>
      </c>
      <c r="M390" s="1">
        <v>4.0016103125166028E-4</v>
      </c>
      <c r="N390" s="1">
        <v>3.2666398281247233E-3</v>
      </c>
      <c r="O390" s="1">
        <v>0.97604103372442241</v>
      </c>
      <c r="P390" s="1">
        <v>0.97608603250384618</v>
      </c>
      <c r="Q390" s="2">
        <v>9.7608603250384611</v>
      </c>
      <c r="S390" s="2">
        <v>3.89</v>
      </c>
      <c r="T390" s="1">
        <f t="shared" si="102"/>
        <v>1.2882495516931315E-4</v>
      </c>
      <c r="U390" s="1">
        <f t="shared" si="103"/>
        <v>7.8400958779498012E-11</v>
      </c>
      <c r="V390" s="1">
        <f t="shared" si="104"/>
        <v>1.1979517460983722E-3</v>
      </c>
      <c r="W390" s="1">
        <f t="shared" si="105"/>
        <v>3.2934016084633873E-2</v>
      </c>
      <c r="X390" s="1">
        <f t="shared" si="106"/>
        <v>0.98021684697057376</v>
      </c>
      <c r="Y390" s="1">
        <f t="shared" si="107"/>
        <v>0.9821377145885144</v>
      </c>
      <c r="Z390" s="1">
        <f t="shared" si="108"/>
        <v>49.10688572942572</v>
      </c>
      <c r="AB390">
        <v>5.2</v>
      </c>
      <c r="AC390">
        <v>6.3095734448019212E-6</v>
      </c>
      <c r="AD390">
        <v>1.6007421243857275E-9</v>
      </c>
      <c r="AE390">
        <v>2.1544093045850927E-2</v>
      </c>
      <c r="AF390">
        <v>2.6151968984716358E-2</v>
      </c>
      <c r="AG390">
        <v>0.70817907096137034</v>
      </c>
      <c r="AH390">
        <v>0.70826448925371954</v>
      </c>
      <c r="AI390">
        <v>35.413224462685982</v>
      </c>
      <c r="AJ390"/>
      <c r="AK390"/>
      <c r="AL390"/>
      <c r="AM390"/>
      <c r="AN390"/>
      <c r="AO390"/>
      <c r="AP390"/>
      <c r="AQ390"/>
      <c r="AR390"/>
    </row>
    <row r="391" spans="1:44" ht="15" customHeight="1" x14ac:dyDescent="0.3">
      <c r="A391" s="2">
        <v>3.9</v>
      </c>
      <c r="B391" s="1">
        <f t="shared" si="96"/>
        <v>1.2589254117941672E-4</v>
      </c>
      <c r="C391" s="1">
        <f t="shared" si="97"/>
        <v>8.0227151707152435E-11</v>
      </c>
      <c r="D391" s="1">
        <f t="shared" si="98"/>
        <v>2.0049085042290655E-2</v>
      </c>
      <c r="E391" s="1">
        <f t="shared" si="99"/>
        <v>-8.1808403817754294E-6</v>
      </c>
      <c r="F391" s="1">
        <f t="shared" si="100"/>
        <v>4.2476754744169036E-3</v>
      </c>
      <c r="G391" s="1">
        <f t="shared" si="101"/>
        <v>-2.0443738606321319E-3</v>
      </c>
      <c r="H391" s="1">
        <f t="shared" si="109"/>
        <v>-2.0443738606321319E-2</v>
      </c>
      <c r="J391" s="2">
        <v>7.89</v>
      </c>
      <c r="K391" s="1">
        <v>1.288249551693135E-8</v>
      </c>
      <c r="L391" s="1">
        <v>7.8400958779497798E-7</v>
      </c>
      <c r="M391" s="1">
        <v>3.9119575098343922E-4</v>
      </c>
      <c r="N391" s="1">
        <v>3.2681340415027602E-3</v>
      </c>
      <c r="O391" s="1">
        <v>0.97657363027841759</v>
      </c>
      <c r="P391" s="1">
        <v>0.97661971761226252</v>
      </c>
      <c r="Q391" s="2">
        <v>9.7661971761226241</v>
      </c>
      <c r="S391" s="2">
        <v>3.9</v>
      </c>
      <c r="T391" s="1">
        <f t="shared" si="102"/>
        <v>1.2589254117941672E-4</v>
      </c>
      <c r="U391" s="1">
        <f t="shared" si="103"/>
        <v>8.0227151707152435E-11</v>
      </c>
      <c r="V391" s="1">
        <f t="shared" si="104"/>
        <v>1.2313889460913742E-3</v>
      </c>
      <c r="W391" s="1">
        <f t="shared" si="105"/>
        <v>3.2922870351302876E-2</v>
      </c>
      <c r="X391" s="1">
        <f t="shared" si="106"/>
        <v>0.97976536243944634</v>
      </c>
      <c r="Y391" s="1">
        <f t="shared" si="107"/>
        <v>0.98164219380673368</v>
      </c>
      <c r="Z391" s="1">
        <f t="shared" si="108"/>
        <v>49.082109690336686</v>
      </c>
      <c r="AB391">
        <v>5.21</v>
      </c>
      <c r="AC391">
        <v>6.1659500186148109E-6</v>
      </c>
      <c r="AD391">
        <v>1.638028198332522E-9</v>
      </c>
      <c r="AE391">
        <v>2.1936078193699884E-2</v>
      </c>
      <c r="AF391">
        <v>2.6021307268766707E-2</v>
      </c>
      <c r="AG391">
        <v>0.70339780691438958</v>
      </c>
      <c r="AH391">
        <v>0.70348113242019183</v>
      </c>
      <c r="AI391">
        <v>35.174056621009591</v>
      </c>
      <c r="AJ391"/>
      <c r="AK391"/>
      <c r="AL391"/>
      <c r="AM391"/>
      <c r="AN391"/>
      <c r="AO391"/>
      <c r="AP391"/>
      <c r="AQ391"/>
      <c r="AR391"/>
    </row>
    <row r="392" spans="1:44" ht="15" customHeight="1" x14ac:dyDescent="0.3">
      <c r="A392" s="2">
        <v>3.91</v>
      </c>
      <c r="B392" s="1">
        <f t="shared" si="96"/>
        <v>1.2302687708123794E-4</v>
      </c>
      <c r="C392" s="1">
        <f t="shared" si="97"/>
        <v>8.2095882132574157E-11</v>
      </c>
      <c r="D392" s="1">
        <f t="shared" si="98"/>
        <v>2.0043286051409332E-2</v>
      </c>
      <c r="E392" s="1">
        <f t="shared" si="99"/>
        <v>-7.214341901555579E-6</v>
      </c>
      <c r="F392" s="1">
        <f t="shared" si="100"/>
        <v>4.3461865300990924E-3</v>
      </c>
      <c r="G392" s="1">
        <f t="shared" si="101"/>
        <v>-1.8029351258676781E-3</v>
      </c>
      <c r="H392" s="1">
        <f t="shared" si="109"/>
        <v>-1.802935125867678E-2</v>
      </c>
      <c r="J392" s="2">
        <v>7.9</v>
      </c>
      <c r="K392" s="1">
        <v>1.2589254117941638E-8</v>
      </c>
      <c r="L392" s="1">
        <v>8.0227151707152647E-7</v>
      </c>
      <c r="M392" s="1">
        <v>3.8242582795116454E-4</v>
      </c>
      <c r="N392" s="1">
        <v>3.2695956953414725E-3</v>
      </c>
      <c r="O392" s="1">
        <v>0.97709466530301292</v>
      </c>
      <c r="P392" s="1">
        <v>0.97714186573215822</v>
      </c>
      <c r="Q392" s="2">
        <v>9.7714186573215809</v>
      </c>
      <c r="S392" s="2">
        <v>3.91</v>
      </c>
      <c r="T392" s="1">
        <f t="shared" si="102"/>
        <v>1.2302687708123794E-4</v>
      </c>
      <c r="U392" s="1">
        <f t="shared" si="103"/>
        <v>8.2095882132574157E-11</v>
      </c>
      <c r="V392" s="1">
        <f t="shared" si="104"/>
        <v>1.2654504249182544E-3</v>
      </c>
      <c r="W392" s="1">
        <f t="shared" si="105"/>
        <v>3.2911516525027253E-2</v>
      </c>
      <c r="X392" s="1">
        <f t="shared" si="106"/>
        <v>0.97930379182856953</v>
      </c>
      <c r="Y392" s="1">
        <f t="shared" si="107"/>
        <v>0.98113759084462937</v>
      </c>
      <c r="Z392" s="1">
        <f t="shared" si="108"/>
        <v>49.056879542231471</v>
      </c>
      <c r="AB392">
        <v>5.22</v>
      </c>
      <c r="AC392">
        <v>6.0255958607435782E-6</v>
      </c>
      <c r="AD392">
        <v>1.676182776511936E-9</v>
      </c>
      <c r="AE392">
        <v>2.2333155658769879E-2</v>
      </c>
      <c r="AF392">
        <v>2.5888948113743371E-2</v>
      </c>
      <c r="AG392">
        <v>0.69857154891373907</v>
      </c>
      <c r="AH392">
        <v>0.69865283125320998</v>
      </c>
      <c r="AI392">
        <v>34.9326415626605</v>
      </c>
      <c r="AJ392"/>
      <c r="AK392"/>
      <c r="AL392"/>
      <c r="AM392"/>
      <c r="AN392"/>
      <c r="AO392"/>
      <c r="AP392"/>
      <c r="AQ392"/>
      <c r="AR392"/>
    </row>
    <row r="393" spans="1:44" ht="15" customHeight="1" x14ac:dyDescent="0.3">
      <c r="A393" s="2">
        <v>3.92</v>
      </c>
      <c r="B393" s="1">
        <f t="shared" si="96"/>
        <v>1.202264434617413E-4</v>
      </c>
      <c r="C393" s="1">
        <f t="shared" si="97"/>
        <v>8.4008140881369759E-11</v>
      </c>
      <c r="D393" s="1">
        <f t="shared" si="98"/>
        <v>2.0037510940672739E-2</v>
      </c>
      <c r="E393" s="1">
        <f t="shared" si="99"/>
        <v>-6.2518234454561817E-6</v>
      </c>
      <c r="F393" s="1">
        <f t="shared" si="100"/>
        <v>4.4469720271169541E-3</v>
      </c>
      <c r="G393" s="1">
        <f t="shared" si="101"/>
        <v>-1.5624674478328894E-3</v>
      </c>
      <c r="H393" s="1">
        <f t="shared" si="109"/>
        <v>-1.5624674478328892E-2</v>
      </c>
      <c r="J393" s="2">
        <v>7.91</v>
      </c>
      <c r="K393" s="1">
        <v>1.2302687708123783E-8</v>
      </c>
      <c r="L393" s="1">
        <v>8.2095882132574237E-7</v>
      </c>
      <c r="M393" s="1">
        <v>3.7384714139177059E-4</v>
      </c>
      <c r="N393" s="1">
        <v>3.2710254764347049E-3</v>
      </c>
      <c r="O393" s="1">
        <v>0.97760437754282969</v>
      </c>
      <c r="P393" s="1">
        <v>0.97765271619816563</v>
      </c>
      <c r="Q393" s="2">
        <v>9.7765271619816563</v>
      </c>
      <c r="S393" s="2">
        <v>3.92</v>
      </c>
      <c r="T393" s="1">
        <f t="shared" si="102"/>
        <v>1.202264434617413E-4</v>
      </c>
      <c r="U393" s="1">
        <f t="shared" si="103"/>
        <v>8.4008140881369759E-11</v>
      </c>
      <c r="V393" s="1">
        <f t="shared" si="104"/>
        <v>1.3001528976043302E-3</v>
      </c>
      <c r="W393" s="1">
        <f t="shared" si="105"/>
        <v>3.289994903413189E-2</v>
      </c>
      <c r="X393" s="1">
        <f t="shared" si="106"/>
        <v>0.97883191984786355</v>
      </c>
      <c r="Y393" s="1">
        <f t="shared" si="107"/>
        <v>0.98062366751009344</v>
      </c>
      <c r="Z393" s="1">
        <f t="shared" si="108"/>
        <v>49.031183375504675</v>
      </c>
      <c r="AB393">
        <v>5.23</v>
      </c>
      <c r="AC393">
        <v>5.8884365535558799E-6</v>
      </c>
      <c r="AD393">
        <v>1.7152260889863644E-9</v>
      </c>
      <c r="AE393">
        <v>2.2735318284918909E-2</v>
      </c>
      <c r="AF393">
        <v>2.575489390502703E-2</v>
      </c>
      <c r="AG393">
        <v>0.69370095616596938</v>
      </c>
      <c r="AH393">
        <v>0.69378024383403381</v>
      </c>
      <c r="AI393">
        <v>34.689012191701693</v>
      </c>
      <c r="AJ393"/>
      <c r="AK393"/>
      <c r="AL393"/>
      <c r="AM393"/>
      <c r="AN393"/>
      <c r="AO393"/>
      <c r="AP393"/>
      <c r="AQ393"/>
      <c r="AR393"/>
    </row>
    <row r="394" spans="1:44" ht="15" customHeight="1" x14ac:dyDescent="0.3">
      <c r="A394" s="2">
        <v>3.93</v>
      </c>
      <c r="B394" s="1">
        <f t="shared" si="96"/>
        <v>1.1748975549395278E-4</v>
      </c>
      <c r="C394" s="1">
        <f t="shared" si="97"/>
        <v>8.5964941858440138E-11</v>
      </c>
      <c r="D394" s="1">
        <f t="shared" si="98"/>
        <v>2.003175668832527E-2</v>
      </c>
      <c r="E394" s="1">
        <f t="shared" si="99"/>
        <v>-5.2927813875445785E-6</v>
      </c>
      <c r="F394" s="1">
        <f t="shared" si="100"/>
        <v>4.5500839995691678E-3</v>
      </c>
      <c r="G394" s="1">
        <f t="shared" si="101"/>
        <v>-1.3228452703448704E-3</v>
      </c>
      <c r="H394" s="1">
        <f t="shared" si="109"/>
        <v>-1.3228452703448704E-2</v>
      </c>
      <c r="J394" s="2">
        <v>7.92</v>
      </c>
      <c r="K394" s="1">
        <v>1.2022644346174099E-8</v>
      </c>
      <c r="L394" s="1">
        <v>8.4008140881369978E-7</v>
      </c>
      <c r="M394" s="1">
        <v>3.6545564901482972E-4</v>
      </c>
      <c r="N394" s="1">
        <v>3.2724240584975283E-3</v>
      </c>
      <c r="O394" s="1">
        <v>0.97810300135176664</v>
      </c>
      <c r="P394" s="1">
        <v>0.97815250396752906</v>
      </c>
      <c r="Q394" s="2">
        <v>9.7815250396752909</v>
      </c>
      <c r="S394" s="2">
        <v>3.93</v>
      </c>
      <c r="T394" s="1">
        <f t="shared" si="102"/>
        <v>1.1748975549395278E-4</v>
      </c>
      <c r="U394" s="1">
        <f t="shared" si="103"/>
        <v>8.5964941858440138E-11</v>
      </c>
      <c r="V394" s="1">
        <f t="shared" si="104"/>
        <v>1.3355133574603994E-3</v>
      </c>
      <c r="W394" s="1">
        <f t="shared" si="105"/>
        <v>3.2888162214179867E-2</v>
      </c>
      <c r="X394" s="1">
        <f t="shared" si="106"/>
        <v>0.97834952707409817</v>
      </c>
      <c r="Y394" s="1">
        <f t="shared" si="107"/>
        <v>0.98010018200183191</v>
      </c>
      <c r="Z394" s="1">
        <f t="shared" si="108"/>
        <v>49.005009100091591</v>
      </c>
      <c r="AB394">
        <v>5.24</v>
      </c>
      <c r="AC394">
        <v>5.7543993733715608E-6</v>
      </c>
      <c r="AD394">
        <v>1.7551788370368717E-9</v>
      </c>
      <c r="AE394">
        <v>2.3142555995770381E-2</v>
      </c>
      <c r="AF394">
        <v>2.5619148001409877E-2</v>
      </c>
      <c r="AG394">
        <v>0.68878672376052263</v>
      </c>
      <c r="AH394">
        <v>0.68886406415176527</v>
      </c>
      <c r="AI394">
        <v>34.443203207588262</v>
      </c>
      <c r="AJ394"/>
      <c r="AK394"/>
      <c r="AL394"/>
      <c r="AM394"/>
      <c r="AN394"/>
      <c r="AO394"/>
      <c r="AP394"/>
      <c r="AQ394"/>
      <c r="AR394"/>
    </row>
    <row r="395" spans="1:44" ht="15" customHeight="1" x14ac:dyDescent="0.3">
      <c r="A395" s="2">
        <v>3.94</v>
      </c>
      <c r="B395" s="1">
        <f t="shared" si="96"/>
        <v>1.148153621496881E-4</v>
      </c>
      <c r="C395" s="1">
        <f t="shared" si="97"/>
        <v>8.796732258556427E-11</v>
      </c>
      <c r="D395" s="1">
        <f t="shared" si="98"/>
        <v>2.0026020285548559E-2</v>
      </c>
      <c r="E395" s="1">
        <f t="shared" si="99"/>
        <v>-4.3367142580936126E-6</v>
      </c>
      <c r="F395" s="1">
        <f t="shared" si="100"/>
        <v>4.655575649529925E-3</v>
      </c>
      <c r="G395" s="1">
        <f t="shared" si="101"/>
        <v>-1.0839435268560091E-3</v>
      </c>
      <c r="H395" s="1">
        <f t="shared" si="109"/>
        <v>-1.0839435268560091E-2</v>
      </c>
      <c r="J395" s="2">
        <v>7.93</v>
      </c>
      <c r="K395" s="1">
        <v>1.1748975549395268E-8</v>
      </c>
      <c r="L395" s="1">
        <v>8.5964941858440223E-7</v>
      </c>
      <c r="M395" s="1">
        <v>3.5724738583320056E-4</v>
      </c>
      <c r="N395" s="1">
        <v>3.2737921023611332E-3</v>
      </c>
      <c r="O395" s="1">
        <v>0.97859076674954004</v>
      </c>
      <c r="P395" s="1">
        <v>0.97864145967696414</v>
      </c>
      <c r="Q395" s="2">
        <v>9.7864145967696405</v>
      </c>
      <c r="S395" s="2">
        <v>3.94</v>
      </c>
      <c r="T395" s="1">
        <f t="shared" si="102"/>
        <v>1.148153621496881E-4</v>
      </c>
      <c r="U395" s="1">
        <f t="shared" si="103"/>
        <v>8.796732258556427E-11</v>
      </c>
      <c r="V395" s="1">
        <f t="shared" si="104"/>
        <v>1.3715490823162525E-3</v>
      </c>
      <c r="W395" s="1">
        <f t="shared" si="105"/>
        <v>3.2876150305894587E-2</v>
      </c>
      <c r="X395" s="1">
        <f t="shared" si="106"/>
        <v>0.97785638989312695</v>
      </c>
      <c r="Y395" s="1">
        <f t="shared" si="107"/>
        <v>0.979566888839561</v>
      </c>
      <c r="Z395" s="1">
        <f t="shared" si="108"/>
        <v>48.978344441978052</v>
      </c>
      <c r="AB395">
        <v>5.25</v>
      </c>
      <c r="AC395">
        <v>5.6234132519034836E-6</v>
      </c>
      <c r="AD395">
        <v>1.7960622041393141E-9</v>
      </c>
      <c r="AE395">
        <v>2.3554855729268034E-2</v>
      </c>
      <c r="AF395">
        <v>2.5481714756910655E-2</v>
      </c>
      <c r="AG395">
        <v>0.68382958263733429</v>
      </c>
      <c r="AH395">
        <v>0.68390502207037218</v>
      </c>
      <c r="AI395">
        <v>34.195251103518608</v>
      </c>
      <c r="AJ395"/>
      <c r="AK395"/>
      <c r="AL395"/>
      <c r="AM395"/>
      <c r="AN395"/>
      <c r="AO395"/>
      <c r="AP395"/>
      <c r="AQ395"/>
      <c r="AR395"/>
    </row>
    <row r="396" spans="1:44" ht="15" customHeight="1" x14ac:dyDescent="0.3">
      <c r="A396" s="2">
        <v>3.95</v>
      </c>
      <c r="B396" s="1">
        <f t="shared" si="96"/>
        <v>1.1220184543019618E-4</v>
      </c>
      <c r="C396" s="1">
        <f t="shared" si="97"/>
        <v>9.0016344751508423E-11</v>
      </c>
      <c r="D396" s="1">
        <f t="shared" si="98"/>
        <v>2.0020298734953201E-2</v>
      </c>
      <c r="E396" s="1">
        <f t="shared" si="99"/>
        <v>-3.3831224922003518E-6</v>
      </c>
      <c r="F396" s="1">
        <f t="shared" si="100"/>
        <v>4.7635013722107855E-3</v>
      </c>
      <c r="G396" s="1">
        <f t="shared" si="101"/>
        <v>-8.4563757827452255E-4</v>
      </c>
      <c r="H396" s="1">
        <f t="shared" si="109"/>
        <v>-8.4563757827452249E-3</v>
      </c>
      <c r="J396" s="2">
        <v>7.94</v>
      </c>
      <c r="K396" s="1">
        <v>1.14815362149688E-8</v>
      </c>
      <c r="L396" s="1">
        <v>8.7967322585564345E-7</v>
      </c>
      <c r="M396" s="1">
        <v>3.4921846299456818E-4</v>
      </c>
      <c r="N396" s="1">
        <v>3.2751302561675718E-3</v>
      </c>
      <c r="O396" s="1">
        <v>0.97906789947866057</v>
      </c>
      <c r="P396" s="1">
        <v>0.97911980969996204</v>
      </c>
      <c r="Q396" s="2">
        <v>9.7911980969996204</v>
      </c>
      <c r="S396" s="2">
        <v>3.95</v>
      </c>
      <c r="T396" s="1">
        <f t="shared" si="102"/>
        <v>1.1220184543019618E-4</v>
      </c>
      <c r="U396" s="1">
        <f t="shared" si="103"/>
        <v>9.0016344751508423E-11</v>
      </c>
      <c r="V396" s="1">
        <f t="shared" si="104"/>
        <v>1.4082776407831985E-3</v>
      </c>
      <c r="W396" s="1">
        <f t="shared" si="105"/>
        <v>3.2863907453072265E-2</v>
      </c>
      <c r="X396" s="1">
        <f t="shared" si="106"/>
        <v>0.97735228044238287</v>
      </c>
      <c r="Y396" s="1">
        <f t="shared" si="107"/>
        <v>0.97902353879474258</v>
      </c>
      <c r="Z396" s="1">
        <f t="shared" si="108"/>
        <v>48.951176939737131</v>
      </c>
      <c r="AB396">
        <v>5.26</v>
      </c>
      <c r="AC396">
        <v>5.4954087385762383E-6</v>
      </c>
      <c r="AD396">
        <v>1.8378978671960855E-9</v>
      </c>
      <c r="AE396">
        <v>2.3972201374473281E-2</v>
      </c>
      <c r="AF396">
        <v>2.5342599541842238E-2</v>
      </c>
      <c r="AG396">
        <v>0.67883029949921103</v>
      </c>
      <c r="AH396">
        <v>0.67890388324050122</v>
      </c>
      <c r="AI396">
        <v>33.945194162025061</v>
      </c>
      <c r="AJ396"/>
      <c r="AK396"/>
      <c r="AL396"/>
      <c r="AM396"/>
      <c r="AN396"/>
      <c r="AO396"/>
      <c r="AP396"/>
      <c r="AQ396"/>
      <c r="AR396"/>
    </row>
    <row r="397" spans="1:44" ht="15" customHeight="1" x14ac:dyDescent="0.3">
      <c r="A397" s="2">
        <v>3.96</v>
      </c>
      <c r="B397" s="1">
        <f t="shared" si="96"/>
        <v>1.0964781961431837E-4</v>
      </c>
      <c r="C397" s="1">
        <f t="shared" si="97"/>
        <v>9.2113094774946995E-11</v>
      </c>
      <c r="D397" s="1">
        <f t="shared" si="98"/>
        <v>2.0014589049080492E-2</v>
      </c>
      <c r="E397" s="1">
        <f t="shared" si="99"/>
        <v>-2.4315081800821143E-6</v>
      </c>
      <c r="F397" s="1">
        <f t="shared" si="100"/>
        <v>4.8739167816144735E-3</v>
      </c>
      <c r="G397" s="1">
        <f t="shared" si="101"/>
        <v>-6.0780315110383915E-4</v>
      </c>
      <c r="H397" s="1">
        <f t="shared" si="109"/>
        <v>-6.0780315110383915E-3</v>
      </c>
      <c r="J397" s="2">
        <v>7.95</v>
      </c>
      <c r="K397" s="1">
        <v>1.1220184543019609E-8</v>
      </c>
      <c r="L397" s="1">
        <v>9.0016344751508502E-7</v>
      </c>
      <c r="M397" s="1">
        <v>3.4136506661477841E-4</v>
      </c>
      <c r="N397" s="1">
        <v>3.2764391555642034E-3</v>
      </c>
      <c r="O397" s="1">
        <v>0.97953462106178046</v>
      </c>
      <c r="P397" s="1">
        <v>0.97958777620447046</v>
      </c>
      <c r="Q397" s="2">
        <v>9.7958777620447037</v>
      </c>
      <c r="S397" s="2">
        <v>3.96</v>
      </c>
      <c r="T397" s="1">
        <f t="shared" si="102"/>
        <v>1.0964781961431837E-4</v>
      </c>
      <c r="U397" s="1">
        <f t="shared" si="103"/>
        <v>9.2113094774946995E-11</v>
      </c>
      <c r="V397" s="1">
        <f t="shared" si="104"/>
        <v>1.445716898543285E-3</v>
      </c>
      <c r="W397" s="1">
        <f t="shared" si="105"/>
        <v>3.2851427700485575E-2</v>
      </c>
      <c r="X397" s="1">
        <f t="shared" si="106"/>
        <v>0.97683696655370633</v>
      </c>
      <c r="Y397" s="1">
        <f t="shared" si="107"/>
        <v>0.97846987882192471</v>
      </c>
      <c r="Z397" s="1">
        <f t="shared" si="108"/>
        <v>48.92349394109624</v>
      </c>
      <c r="AB397">
        <v>5.27</v>
      </c>
      <c r="AC397">
        <v>5.3703179637025301E-6</v>
      </c>
      <c r="AD397">
        <v>1.8807080080294951E-9</v>
      </c>
      <c r="AE397">
        <v>2.4394573710810684E-2</v>
      </c>
      <c r="AF397">
        <v>2.5201808763063101E-2</v>
      </c>
      <c r="AG397">
        <v>0.67378967666778045</v>
      </c>
      <c r="AH397">
        <v>0.6738614489548761</v>
      </c>
      <c r="AI397">
        <v>33.693072447743802</v>
      </c>
      <c r="AJ397"/>
      <c r="AK397"/>
      <c r="AL397"/>
      <c r="AM397"/>
      <c r="AN397"/>
      <c r="AO397"/>
      <c r="AP397"/>
      <c r="AQ397"/>
      <c r="AR397"/>
    </row>
    <row r="398" spans="1:44" ht="15" customHeight="1" x14ac:dyDescent="0.3">
      <c r="A398" s="2">
        <v>3.97</v>
      </c>
      <c r="B398" s="1">
        <f t="shared" si="96"/>
        <v>1.0715193052376051E-4</v>
      </c>
      <c r="C398" s="1">
        <f t="shared" si="97"/>
        <v>9.4258684380496202E-11</v>
      </c>
      <c r="D398" s="1">
        <f t="shared" si="98"/>
        <v>2.0008888248913673E-2</v>
      </c>
      <c r="E398" s="1">
        <f t="shared" si="99"/>
        <v>-1.4813748189461968E-6</v>
      </c>
      <c r="F398" s="1">
        <f t="shared" si="100"/>
        <v>4.9868787366879738E-3</v>
      </c>
      <c r="G398" s="1">
        <f t="shared" si="101"/>
        <v>-3.7031627587624273E-4</v>
      </c>
      <c r="H398" s="1">
        <f t="shared" si="109"/>
        <v>-3.7031627587624273E-3</v>
      </c>
      <c r="J398" s="2">
        <v>7.96</v>
      </c>
      <c r="K398" s="1">
        <v>1.0964781961431828E-8</v>
      </c>
      <c r="L398" s="1">
        <v>9.2113094774947062E-7</v>
      </c>
      <c r="M398" s="1">
        <v>3.336834566138582E-4</v>
      </c>
      <c r="N398" s="1">
        <v>3.2777194238976901E-3</v>
      </c>
      <c r="O398" s="1">
        <v>0.97999114885933603</v>
      </c>
      <c r="P398" s="1">
        <v>0.98004557721087859</v>
      </c>
      <c r="Q398" s="2">
        <v>9.8004557721087853</v>
      </c>
      <c r="S398" s="2">
        <v>3.97</v>
      </c>
      <c r="T398" s="1">
        <f t="shared" si="102"/>
        <v>1.0715193052376051E-4</v>
      </c>
      <c r="U398" s="1">
        <f t="shared" si="103"/>
        <v>9.4258684380496202E-11</v>
      </c>
      <c r="V398" s="1">
        <f t="shared" si="104"/>
        <v>1.4838850246634901E-3</v>
      </c>
      <c r="W398" s="1">
        <f t="shared" si="105"/>
        <v>3.2838704991778836E-2</v>
      </c>
      <c r="X398" s="1">
        <f t="shared" si="106"/>
        <v>0.97631021169657595</v>
      </c>
      <c r="Y398" s="1">
        <f t="shared" si="107"/>
        <v>0.97790565199075075</v>
      </c>
      <c r="Z398" s="1">
        <f t="shared" si="108"/>
        <v>48.895282599537538</v>
      </c>
      <c r="AB398">
        <v>5.28</v>
      </c>
      <c r="AC398">
        <v>5.2480746024977206E-6</v>
      </c>
      <c r="AD398">
        <v>1.9245153251428814E-9</v>
      </c>
      <c r="AE398">
        <v>2.4821950349968345E-2</v>
      </c>
      <c r="AF398">
        <v>2.5059349883343882E-2</v>
      </c>
      <c r="AG398">
        <v>0.66870855188194478</v>
      </c>
      <c r="AH398">
        <v>0.66877855594621438</v>
      </c>
      <c r="AI398">
        <v>33.438927797310711</v>
      </c>
      <c r="AJ398"/>
      <c r="AK398"/>
      <c r="AL398"/>
      <c r="AM398"/>
      <c r="AN398"/>
      <c r="AO398"/>
      <c r="AP398"/>
      <c r="AQ398"/>
      <c r="AR398"/>
    </row>
    <row r="399" spans="1:44" ht="15" customHeight="1" x14ac:dyDescent="0.3">
      <c r="A399" s="2">
        <v>3.98</v>
      </c>
      <c r="B399" s="1">
        <f t="shared" si="96"/>
        <v>1.0471285480508985E-4</v>
      </c>
      <c r="C399" s="1">
        <f t="shared" si="97"/>
        <v>9.6454251188165112E-11</v>
      </c>
      <c r="D399" s="1">
        <f t="shared" si="98"/>
        <v>2.0003193362398003E-2</v>
      </c>
      <c r="E399" s="1">
        <f t="shared" si="99"/>
        <v>-5.32227066333807E-7</v>
      </c>
      <c r="F399" s="1">
        <f t="shared" si="100"/>
        <v>5.1024453679820152E-3</v>
      </c>
      <c r="G399" s="1">
        <f t="shared" si="101"/>
        <v>-1.3305322585704856E-4</v>
      </c>
      <c r="H399" s="1">
        <f t="shared" si="109"/>
        <v>-1.3305322585704855E-3</v>
      </c>
      <c r="J399" s="2">
        <v>7.97</v>
      </c>
      <c r="K399" s="1">
        <v>1.0715193052376043E-8</v>
      </c>
      <c r="L399" s="1">
        <v>9.4258684380496273E-7</v>
      </c>
      <c r="M399" s="1">
        <v>3.2616996555562261E-4</v>
      </c>
      <c r="N399" s="1">
        <v>3.2789716724073957E-3</v>
      </c>
      <c r="O399" s="1">
        <v>0.98043769612742049</v>
      </c>
      <c r="P399" s="1">
        <v>0.98049342665023864</v>
      </c>
      <c r="Q399" s="2">
        <v>9.8049342665023858</v>
      </c>
      <c r="S399" s="2">
        <v>3.98</v>
      </c>
      <c r="T399" s="1">
        <f t="shared" si="102"/>
        <v>1.0471285480508985E-4</v>
      </c>
      <c r="U399" s="1">
        <f t="shared" si="103"/>
        <v>9.6454251188165112E-11</v>
      </c>
      <c r="V399" s="1">
        <f t="shared" si="104"/>
        <v>1.5228004979323279E-3</v>
      </c>
      <c r="W399" s="1">
        <f t="shared" si="105"/>
        <v>3.2825733167355889E-2</v>
      </c>
      <c r="X399" s="1">
        <f t="shared" si="106"/>
        <v>0.97577177492181788</v>
      </c>
      <c r="Y399" s="1">
        <f t="shared" si="107"/>
        <v>0.9773305974187082</v>
      </c>
      <c r="Z399" s="1">
        <f t="shared" si="108"/>
        <v>48.866529870935409</v>
      </c>
      <c r="AB399">
        <v>5.29</v>
      </c>
      <c r="AC399">
        <v>5.1286138399136439E-6</v>
      </c>
      <c r="AD399">
        <v>1.9693430457556274E-9</v>
      </c>
      <c r="AE399">
        <v>2.5254305680660366E-2</v>
      </c>
      <c r="AF399">
        <v>2.4915231439779875E-2</v>
      </c>
      <c r="AG399">
        <v>0.66358779803791423</v>
      </c>
      <c r="AH399">
        <v>0.66365607612673538</v>
      </c>
      <c r="AI399">
        <v>33.182803806336771</v>
      </c>
      <c r="AJ399"/>
      <c r="AK399"/>
      <c r="AL399"/>
      <c r="AM399"/>
      <c r="AN399"/>
      <c r="AO399"/>
      <c r="AP399"/>
      <c r="AQ399"/>
      <c r="AR399"/>
    </row>
    <row r="400" spans="1:44" ht="15" customHeight="1" x14ac:dyDescent="0.3">
      <c r="A400" s="2">
        <v>3.99</v>
      </c>
      <c r="B400" s="1">
        <f t="shared" si="96"/>
        <v>1.0232929922807532E-4</v>
      </c>
      <c r="C400" s="1">
        <f t="shared" si="97"/>
        <v>9.8700959316536969E-11</v>
      </c>
      <c r="D400" s="1">
        <f t="shared" si="98"/>
        <v>1.9997501422969039E-2</v>
      </c>
      <c r="E400" s="1">
        <f t="shared" si="99"/>
        <v>4.1642950515994998E-7</v>
      </c>
      <c r="F400" s="1">
        <f t="shared" si="100"/>
        <v>5.2206761048241342E-3</v>
      </c>
      <c r="G400" s="1">
        <f t="shared" si="101"/>
        <v>1.0410954400428212E-4</v>
      </c>
      <c r="H400" s="1">
        <f t="shared" si="109"/>
        <v>1.0410954400428211E-3</v>
      </c>
      <c r="J400" s="2">
        <v>7.98</v>
      </c>
      <c r="K400" s="1">
        <v>1.0471285480508974E-8</v>
      </c>
      <c r="L400" s="1">
        <v>9.6454251188165223E-7</v>
      </c>
      <c r="M400" s="1">
        <v>3.1882099749158135E-4</v>
      </c>
      <c r="N400" s="1">
        <v>3.2801965004180698E-3</v>
      </c>
      <c r="O400" s="1">
        <v>0.98087447207582434</v>
      </c>
      <c r="P400" s="1">
        <v>0.98093153442266512</v>
      </c>
      <c r="Q400" s="2">
        <v>9.8093153442266505</v>
      </c>
      <c r="S400" s="2">
        <v>3.99</v>
      </c>
      <c r="T400" s="1">
        <f t="shared" si="102"/>
        <v>1.0232929922807532E-4</v>
      </c>
      <c r="U400" s="1">
        <f t="shared" si="103"/>
        <v>9.8700959316536969E-11</v>
      </c>
      <c r="V400" s="1">
        <f t="shared" si="104"/>
        <v>1.5624821132167951E-3</v>
      </c>
      <c r="W400" s="1">
        <f t="shared" si="105"/>
        <v>3.2812505962261068E-2</v>
      </c>
      <c r="X400" s="1">
        <f t="shared" si="106"/>
        <v>0.9752214108058741</v>
      </c>
      <c r="Y400" s="1">
        <f t="shared" si="107"/>
        <v>0.97674445020468892</v>
      </c>
      <c r="Z400" s="1">
        <f t="shared" si="108"/>
        <v>48.837222510234447</v>
      </c>
      <c r="AB400">
        <v>5.3</v>
      </c>
      <c r="AC400">
        <v>5.011872336272719E-6</v>
      </c>
      <c r="AD400">
        <v>2.0152149381185696E-9</v>
      </c>
      <c r="AE400">
        <v>2.5691610816460691E-2</v>
      </c>
      <c r="AF400">
        <v>2.4769463061179772E-2</v>
      </c>
      <c r="AG400">
        <v>0.65842832287001629</v>
      </c>
      <c r="AH400">
        <v>0.65849491626845769</v>
      </c>
      <c r="AI400">
        <v>32.924745813422881</v>
      </c>
      <c r="AJ400"/>
      <c r="AK400"/>
      <c r="AL400"/>
      <c r="AM400"/>
      <c r="AN400"/>
      <c r="AO400"/>
      <c r="AP400"/>
      <c r="AQ400"/>
      <c r="AR400"/>
    </row>
    <row r="401" spans="1:44" ht="15" customHeight="1" x14ac:dyDescent="0.3">
      <c r="A401" s="2">
        <v>4</v>
      </c>
      <c r="B401" s="1">
        <f t="shared" si="96"/>
        <v>1E-4</v>
      </c>
      <c r="C401" s="1">
        <f t="shared" si="97"/>
        <v>1.0099999999999999E-10</v>
      </c>
      <c r="D401" s="1">
        <f t="shared" si="98"/>
        <v>1.9991809468088689E-2</v>
      </c>
      <c r="E401" s="1">
        <f t="shared" si="99"/>
        <v>1.3650886518853494E-6</v>
      </c>
      <c r="F401" s="1">
        <f t="shared" si="100"/>
        <v>5.3416317030123544E-3</v>
      </c>
      <c r="G401" s="1">
        <f t="shared" si="101"/>
        <v>3.4129545789916328E-4</v>
      </c>
      <c r="H401" s="1">
        <f t="shared" si="109"/>
        <v>3.4129545789916326E-3</v>
      </c>
      <c r="J401" s="2">
        <v>7.99</v>
      </c>
      <c r="K401" s="1">
        <v>1.0232929922807522E-8</v>
      </c>
      <c r="L401" s="1">
        <v>9.8700959316537048E-7</v>
      </c>
      <c r="M401" s="1">
        <v>3.1163302680996079E-4</v>
      </c>
      <c r="N401" s="1">
        <v>3.2813944955316734E-3</v>
      </c>
      <c r="O401" s="1">
        <v>0.98130168192618394</v>
      </c>
      <c r="P401" s="1">
        <v>0.98136010645584826</v>
      </c>
      <c r="Q401" s="2">
        <v>9.8136010645584815</v>
      </c>
      <c r="S401" s="2">
        <v>4</v>
      </c>
      <c r="T401" s="1">
        <f t="shared" si="102"/>
        <v>1E-4</v>
      </c>
      <c r="U401" s="1">
        <f t="shared" si="103"/>
        <v>1.0099999999999999E-10</v>
      </c>
      <c r="V401" s="1">
        <f t="shared" si="104"/>
        <v>1.6029489878368127E-3</v>
      </c>
      <c r="W401" s="1">
        <f t="shared" si="105"/>
        <v>3.2799017004054395E-2</v>
      </c>
      <c r="X401" s="1">
        <f t="shared" si="106"/>
        <v>0.97465886939571156</v>
      </c>
      <c r="Y401" s="1">
        <f t="shared" si="107"/>
        <v>0.97614694136343916</v>
      </c>
      <c r="Z401" s="1">
        <f t="shared" si="108"/>
        <v>48.807347068171957</v>
      </c>
      <c r="AB401">
        <v>5.31</v>
      </c>
      <c r="AC401">
        <v>4.8977881936844583E-6</v>
      </c>
      <c r="AD401">
        <v>2.0621553241162262E-9</v>
      </c>
      <c r="AE401">
        <v>2.6133833546914325E-2</v>
      </c>
      <c r="AF401">
        <v>2.4622055484361891E-2</v>
      </c>
      <c r="AG401">
        <v>0.6532310685716578</v>
      </c>
      <c r="AH401">
        <v>0.65329601762366263</v>
      </c>
      <c r="AI401">
        <v>32.664800881183133</v>
      </c>
      <c r="AJ401"/>
      <c r="AK401"/>
      <c r="AL401"/>
      <c r="AM401"/>
      <c r="AN401"/>
      <c r="AO401"/>
      <c r="AP401"/>
      <c r="AQ401"/>
      <c r="AR401"/>
    </row>
    <row r="402" spans="1:44" ht="15" customHeight="1" x14ac:dyDescent="0.3">
      <c r="A402" s="2">
        <v>4.01</v>
      </c>
      <c r="B402" s="1">
        <f t="shared" si="96"/>
        <v>9.7723722095581001E-5</v>
      </c>
      <c r="C402" s="1">
        <f t="shared" si="97"/>
        <v>1.0335259222035623E-10</v>
      </c>
      <c r="D402" s="1">
        <f t="shared" si="98"/>
        <v>1.9986114537788296E-2</v>
      </c>
      <c r="E402" s="1">
        <f t="shared" si="99"/>
        <v>2.3142437019506516E-6</v>
      </c>
      <c r="F402" s="1">
        <f t="shared" si="100"/>
        <v>5.465374273036611E-3</v>
      </c>
      <c r="G402" s="1">
        <f t="shared" si="101"/>
        <v>5.7862787978399106E-4</v>
      </c>
      <c r="H402" s="1">
        <f t="shared" si="109"/>
        <v>5.7862787978399102E-3</v>
      </c>
      <c r="J402" s="2">
        <v>8</v>
      </c>
      <c r="K402" s="1">
        <v>1E-8</v>
      </c>
      <c r="L402" s="1">
        <v>1.0099999999999999E-6</v>
      </c>
      <c r="M402" s="1">
        <v>3.04602597090477E-4</v>
      </c>
      <c r="N402" s="1">
        <v>3.2825662338182536E-3</v>
      </c>
      <c r="O402" s="1">
        <v>0.98171952697018072</v>
      </c>
      <c r="P402" s="1">
        <v>0.98177934476362827</v>
      </c>
      <c r="Q402" s="2">
        <v>9.8177934476362818</v>
      </c>
      <c r="S402" s="2">
        <v>4.01</v>
      </c>
      <c r="T402" s="1">
        <f t="shared" si="102"/>
        <v>9.7723722095581001E-5</v>
      </c>
      <c r="U402" s="1">
        <f t="shared" si="103"/>
        <v>1.0335259222035623E-10</v>
      </c>
      <c r="V402" s="1">
        <f t="shared" si="104"/>
        <v>1.6442205679542458E-3</v>
      </c>
      <c r="W402" s="1">
        <f t="shared" si="105"/>
        <v>3.2785259810681922E-2</v>
      </c>
      <c r="X402" s="1">
        <f t="shared" si="106"/>
        <v>0.97408389615446178</v>
      </c>
      <c r="Y402" s="1">
        <f t="shared" si="107"/>
        <v>0.97553779776098049</v>
      </c>
      <c r="Z402" s="1">
        <f t="shared" si="108"/>
        <v>48.776889888049027</v>
      </c>
      <c r="AB402">
        <v>5.32</v>
      </c>
      <c r="AC402">
        <v>4.7863009232263716E-6</v>
      </c>
      <c r="AD402">
        <v>2.1101890921625851E-9</v>
      </c>
      <c r="AE402">
        <v>2.6580938292134079E-2</v>
      </c>
      <c r="AF402">
        <v>2.4473020569288639E-2</v>
      </c>
      <c r="AG402">
        <v>0.64799701135594845</v>
      </c>
      <c r="AH402">
        <v>0.64806035548502905</v>
      </c>
      <c r="AI402">
        <v>32.403017774251452</v>
      </c>
      <c r="AJ402"/>
      <c r="AK402"/>
      <c r="AL402"/>
      <c r="AM402"/>
      <c r="AN402"/>
      <c r="AO402"/>
      <c r="AP402"/>
      <c r="AQ402"/>
      <c r="AR402"/>
    </row>
    <row r="403" spans="1:44" ht="15" customHeight="1" x14ac:dyDescent="0.3">
      <c r="A403" s="2">
        <v>4.0199999999999996</v>
      </c>
      <c r="B403" s="1">
        <f t="shared" si="96"/>
        <v>9.5499258602143526E-5</v>
      </c>
      <c r="C403" s="1">
        <f t="shared" si="97"/>
        <v>1.0575998335314092E-10</v>
      </c>
      <c r="D403" s="1">
        <f t="shared" si="98"/>
        <v>1.9980413673218372E-2</v>
      </c>
      <c r="E403" s="1">
        <f t="shared" si="99"/>
        <v>3.2643877969383179E-6</v>
      </c>
      <c r="F403" s="1">
        <f t="shared" si="100"/>
        <v>5.5919673088347796E-3</v>
      </c>
      <c r="G403" s="1">
        <f t="shared" si="101"/>
        <v>8.1623017382552595E-4</v>
      </c>
      <c r="H403" s="1">
        <f t="shared" si="109"/>
        <v>8.1623017382552593E-3</v>
      </c>
      <c r="J403" s="2">
        <v>8.01</v>
      </c>
      <c r="K403" s="1">
        <v>9.7723722095580911E-9</v>
      </c>
      <c r="L403" s="1">
        <v>1.0335259222035633E-6</v>
      </c>
      <c r="M403" s="1">
        <v>2.9772631996559661E-4</v>
      </c>
      <c r="N403" s="1">
        <v>3.2837122800057337E-3</v>
      </c>
      <c r="O403" s="1">
        <v>0.9821282046277382</v>
      </c>
      <c r="P403" s="1">
        <v>0.98218944750457438</v>
      </c>
      <c r="Q403" s="2">
        <v>9.8218944750457435</v>
      </c>
      <c r="S403" s="2">
        <v>4.0199999999999996</v>
      </c>
      <c r="T403" s="1">
        <f t="shared" si="102"/>
        <v>9.5499258602143526E-5</v>
      </c>
      <c r="U403" s="1">
        <f t="shared" si="103"/>
        <v>1.0575998335314092E-10</v>
      </c>
      <c r="V403" s="1">
        <f t="shared" si="104"/>
        <v>1.6863166349734855E-3</v>
      </c>
      <c r="W403" s="1">
        <f t="shared" si="105"/>
        <v>3.2771227788342169E-2</v>
      </c>
      <c r="X403" s="1">
        <f t="shared" si="106"/>
        <v>0.97349623190788126</v>
      </c>
      <c r="Y403" s="1">
        <f t="shared" si="107"/>
        <v>0.97491674205109047</v>
      </c>
      <c r="Z403" s="1">
        <f t="shared" si="108"/>
        <v>48.745837102554525</v>
      </c>
      <c r="AB403">
        <v>5.33</v>
      </c>
      <c r="AC403">
        <v>4.6773514128719787E-6</v>
      </c>
      <c r="AD403">
        <v>2.1593417103972556E-9</v>
      </c>
      <c r="AE403">
        <v>2.7032886061085781E-2</v>
      </c>
      <c r="AF403">
        <v>2.4322371312971405E-2</v>
      </c>
      <c r="AG403">
        <v>0.64272716095567528</v>
      </c>
      <c r="AH403">
        <v>0.64278893868513476</v>
      </c>
      <c r="AI403">
        <v>32.139446934256732</v>
      </c>
      <c r="AJ403"/>
      <c r="AK403"/>
      <c r="AL403"/>
      <c r="AM403"/>
      <c r="AN403"/>
      <c r="AO403"/>
      <c r="AP403"/>
      <c r="AQ403"/>
      <c r="AR403"/>
    </row>
    <row r="404" spans="1:44" ht="15" customHeight="1" x14ac:dyDescent="0.3">
      <c r="A404" s="2">
        <v>4.03</v>
      </c>
      <c r="B404" s="1">
        <f t="shared" si="96"/>
        <v>9.3325430079699046E-5</v>
      </c>
      <c r="C404" s="1">
        <f t="shared" si="97"/>
        <v>1.0822344982899831E-10</v>
      </c>
      <c r="D404" s="1">
        <f t="shared" si="98"/>
        <v>1.9974703915204312E-2</v>
      </c>
      <c r="E404" s="1">
        <f t="shared" si="99"/>
        <v>4.2160141326151636E-6</v>
      </c>
      <c r="F404" s="1">
        <f t="shared" si="100"/>
        <v>5.7214757170903846E-3</v>
      </c>
      <c r="G404" s="1">
        <f t="shared" si="101"/>
        <v>1.0542257646899359E-3</v>
      </c>
      <c r="H404" s="1">
        <f t="shared" si="109"/>
        <v>1.0542257646899358E-2</v>
      </c>
      <c r="J404" s="2">
        <v>8.02</v>
      </c>
      <c r="K404" s="1">
        <v>9.5499258602143453E-9</v>
      </c>
      <c r="L404" s="1">
        <v>1.05759983353141E-6</v>
      </c>
      <c r="M404" s="1">
        <v>2.9100087398878903E-4</v>
      </c>
      <c r="N404" s="1">
        <v>3.2848331876685352E-3</v>
      </c>
      <c r="O404" s="1">
        <v>0.98252790850516647</v>
      </c>
      <c r="P404" s="1">
        <v>0.98259060904052087</v>
      </c>
      <c r="Q404" s="2">
        <v>9.8259060904052085</v>
      </c>
      <c r="S404" s="2">
        <v>4.03</v>
      </c>
      <c r="T404" s="1">
        <f t="shared" si="102"/>
        <v>9.3325430079699046E-5</v>
      </c>
      <c r="U404" s="1">
        <f t="shared" si="103"/>
        <v>1.0822344982899831E-10</v>
      </c>
      <c r="V404" s="1">
        <f t="shared" si="104"/>
        <v>1.7292573119503673E-3</v>
      </c>
      <c r="W404" s="1">
        <f t="shared" si="105"/>
        <v>3.2756914229349877E-2</v>
      </c>
      <c r="X404" s="1">
        <f t="shared" si="106"/>
        <v>0.97289561279172998</v>
      </c>
      <c r="Y404" s="1">
        <f t="shared" si="107"/>
        <v>0.97428349261292913</v>
      </c>
      <c r="Z404" s="1">
        <f t="shared" si="108"/>
        <v>48.714174630646454</v>
      </c>
      <c r="AB404">
        <v>5.34</v>
      </c>
      <c r="AC404">
        <v>4.5708818961487476E-6</v>
      </c>
      <c r="AD404">
        <v>2.2096392401890494E-9</v>
      </c>
      <c r="AE404">
        <v>2.7489634413765757E-2</v>
      </c>
      <c r="AF404">
        <v>2.4170121862078082E-2</v>
      </c>
      <c r="AG404">
        <v>0.63742256006246911</v>
      </c>
      <c r="AH404">
        <v>0.63748280903515775</v>
      </c>
      <c r="AI404">
        <v>31.874140451757889</v>
      </c>
      <c r="AJ404"/>
      <c r="AK404"/>
      <c r="AL404"/>
      <c r="AM404"/>
      <c r="AN404"/>
      <c r="AO404"/>
      <c r="AP404"/>
      <c r="AQ404"/>
      <c r="AR404"/>
    </row>
    <row r="405" spans="1:44" ht="15" customHeight="1" x14ac:dyDescent="0.3">
      <c r="A405" s="2">
        <v>4.04</v>
      </c>
      <c r="B405" s="1">
        <f t="shared" si="96"/>
        <v>9.1201083935590923E-5</v>
      </c>
      <c r="C405" s="1">
        <f t="shared" si="97"/>
        <v>1.1074429781046174E-10</v>
      </c>
      <c r="D405" s="1">
        <f t="shared" si="98"/>
        <v>1.9968982302807664E-2</v>
      </c>
      <c r="E405" s="1">
        <f t="shared" si="99"/>
        <v>5.1696161987221474E-6</v>
      </c>
      <c r="F405" s="1">
        <f t="shared" si="100"/>
        <v>5.8539658470786841E-3</v>
      </c>
      <c r="G405" s="1">
        <f t="shared" si="101"/>
        <v>1.292738197696913E-3</v>
      </c>
      <c r="H405" s="1">
        <f t="shared" si="109"/>
        <v>1.2927381976969129E-2</v>
      </c>
      <c r="J405" s="2">
        <v>8.0299999999999994</v>
      </c>
      <c r="K405" s="1">
        <v>9.3325430079698966E-9</v>
      </c>
      <c r="L405" s="1">
        <v>1.082234498289984E-6</v>
      </c>
      <c r="M405" s="1">
        <v>2.8442300351041164E-4</v>
      </c>
      <c r="N405" s="1">
        <v>3.2859294994149312E-3</v>
      </c>
      <c r="O405" s="1">
        <v>0.98291882845320655</v>
      </c>
      <c r="P405" s="1">
        <v>0.98298301999501225</v>
      </c>
      <c r="Q405" s="2">
        <v>9.8298301999501216</v>
      </c>
      <c r="S405" s="2">
        <v>4.04</v>
      </c>
      <c r="T405" s="1">
        <f t="shared" si="102"/>
        <v>9.1201083935590923E-5</v>
      </c>
      <c r="U405" s="1">
        <f t="shared" si="103"/>
        <v>1.1074429781046174E-10</v>
      </c>
      <c r="V405" s="1">
        <f t="shared" si="104"/>
        <v>1.7730630700054804E-3</v>
      </c>
      <c r="W405" s="1">
        <f t="shared" si="105"/>
        <v>3.2742312309998176E-2</v>
      </c>
      <c r="X405" s="1">
        <f t="shared" si="106"/>
        <v>0.97228177020016848</v>
      </c>
      <c r="Y405" s="1">
        <f t="shared" si="107"/>
        <v>0.97363776348991182</v>
      </c>
      <c r="Z405" s="1">
        <f t="shared" si="108"/>
        <v>48.681888174495583</v>
      </c>
      <c r="AB405">
        <v>5.35</v>
      </c>
      <c r="AC405">
        <v>4.4668359215096296E-6</v>
      </c>
      <c r="AD405">
        <v>2.2611083499540238E-9</v>
      </c>
      <c r="AE405">
        <v>2.7951137427466705E-2</v>
      </c>
      <c r="AF405">
        <v>2.4016287524177768E-2</v>
      </c>
      <c r="AG405">
        <v>0.63208428370520542</v>
      </c>
      <c r="AH405">
        <v>0.63214304070282612</v>
      </c>
      <c r="AI405">
        <v>31.607152035141304</v>
      </c>
      <c r="AJ405"/>
      <c r="AK405"/>
      <c r="AL405"/>
      <c r="AM405"/>
      <c r="AN405"/>
      <c r="AO405"/>
      <c r="AP405"/>
      <c r="AQ405"/>
      <c r="AR405"/>
    </row>
    <row r="406" spans="1:44" ht="15" customHeight="1" x14ac:dyDescent="0.3">
      <c r="A406" s="2">
        <v>4.05</v>
      </c>
      <c r="B406" s="1">
        <f t="shared" si="96"/>
        <v>8.912509381337452E-5</v>
      </c>
      <c r="C406" s="1">
        <f t="shared" si="97"/>
        <v>1.1332386388449834E-10</v>
      </c>
      <c r="D406" s="1">
        <f t="shared" si="98"/>
        <v>1.9963245871892427E-2</v>
      </c>
      <c r="E406" s="1">
        <f t="shared" si="99"/>
        <v>6.125688017928845E-6</v>
      </c>
      <c r="F406" s="1">
        <f t="shared" si="100"/>
        <v>5.9895055210679293E-3</v>
      </c>
      <c r="G406" s="1">
        <f t="shared" si="101"/>
        <v>1.5318911988602927E-3</v>
      </c>
      <c r="H406" s="1">
        <f t="shared" si="109"/>
        <v>1.5318911988602926E-2</v>
      </c>
      <c r="J406" s="2">
        <v>8.0399999999999991</v>
      </c>
      <c r="K406" s="1">
        <v>9.1201083935590851E-9</v>
      </c>
      <c r="L406" s="1">
        <v>1.1074429781046183E-6</v>
      </c>
      <c r="M406" s="1">
        <v>2.7798951756174501E-4</v>
      </c>
      <c r="N406" s="1">
        <v>3.2870017470730431E-3</v>
      </c>
      <c r="O406" s="1">
        <v>0.98330115062492884</v>
      </c>
      <c r="P406" s="1">
        <v>0.98336686731161116</v>
      </c>
      <c r="Q406" s="2">
        <v>9.8336686731161116</v>
      </c>
      <c r="S406" s="2">
        <v>4.05</v>
      </c>
      <c r="T406" s="1">
        <f t="shared" si="102"/>
        <v>8.912509381337452E-5</v>
      </c>
      <c r="U406" s="1">
        <f t="shared" si="103"/>
        <v>1.1332386388449834E-10</v>
      </c>
      <c r="V406" s="1">
        <f t="shared" si="104"/>
        <v>1.8177547347384524E-3</v>
      </c>
      <c r="W406" s="1">
        <f t="shared" si="105"/>
        <v>3.2727415088420517E-2</v>
      </c>
      <c r="X406" s="1">
        <f t="shared" si="106"/>
        <v>0.97165443073527946</v>
      </c>
      <c r="Y406" s="1">
        <f t="shared" si="107"/>
        <v>0.9729792643299251</v>
      </c>
      <c r="Z406" s="1">
        <f t="shared" si="108"/>
        <v>48.648963216496256</v>
      </c>
      <c r="AB406">
        <v>5.36</v>
      </c>
      <c r="AC406">
        <v>4.3651583224016507E-6</v>
      </c>
      <c r="AD406">
        <v>2.3137763292954554E-9</v>
      </c>
      <c r="AE406">
        <v>2.8417345667327586E-2</v>
      </c>
      <c r="AF406">
        <v>2.3860884777557472E-2</v>
      </c>
      <c r="AG406">
        <v>0.62671343856782624</v>
      </c>
      <c r="AH406">
        <v>0.62677073952979989</v>
      </c>
      <c r="AI406">
        <v>31.338536976489991</v>
      </c>
      <c r="AJ406"/>
      <c r="AK406"/>
      <c r="AL406"/>
      <c r="AM406"/>
      <c r="AN406"/>
      <c r="AO406"/>
      <c r="AP406"/>
      <c r="AQ406"/>
      <c r="AR406"/>
    </row>
    <row r="407" spans="1:44" ht="15" customHeight="1" x14ac:dyDescent="0.3">
      <c r="A407" s="2">
        <v>4.0599999999999996</v>
      </c>
      <c r="B407" s="1">
        <f t="shared" si="96"/>
        <v>8.7096358995608029E-5</v>
      </c>
      <c r="C407" s="1">
        <f t="shared" si="97"/>
        <v>1.159635157711852E-10</v>
      </c>
      <c r="D407" s="1">
        <f t="shared" si="98"/>
        <v>1.9957491653695789E-2</v>
      </c>
      <c r="E407" s="1">
        <f t="shared" si="99"/>
        <v>7.0847243840346865E-6</v>
      </c>
      <c r="F407" s="1">
        <f t="shared" si="100"/>
        <v>6.1281640652824185E-3</v>
      </c>
      <c r="G407" s="1">
        <f t="shared" si="101"/>
        <v>1.7718087348360489E-3</v>
      </c>
      <c r="H407" s="1">
        <f t="shared" si="109"/>
        <v>1.7718087348360487E-2</v>
      </c>
      <c r="J407" s="2">
        <v>8.0500000000000007</v>
      </c>
      <c r="K407" s="1">
        <v>8.9125093813374133E-9</v>
      </c>
      <c r="L407" s="1">
        <v>1.1332386388449884E-6</v>
      </c>
      <c r="M407" s="1">
        <v>2.716972887476226E-4</v>
      </c>
      <c r="N407" s="1">
        <v>3.2880504518753963E-3</v>
      </c>
      <c r="O407" s="1">
        <v>0.98367505753344608</v>
      </c>
      <c r="P407" s="1">
        <v>0.98374233431203062</v>
      </c>
      <c r="Q407" s="2">
        <v>9.8374233431203049</v>
      </c>
      <c r="S407" s="2">
        <v>4.0599999999999996</v>
      </c>
      <c r="T407" s="1">
        <f t="shared" si="102"/>
        <v>8.7096358995608029E-5</v>
      </c>
      <c r="U407" s="1">
        <f t="shared" si="103"/>
        <v>1.159635157711852E-10</v>
      </c>
      <c r="V407" s="1">
        <f t="shared" si="104"/>
        <v>1.8633534926387413E-3</v>
      </c>
      <c r="W407" s="1">
        <f t="shared" si="105"/>
        <v>3.2712215502453755E-2</v>
      </c>
      <c r="X407" s="1">
        <f t="shared" si="106"/>
        <v>0.97101331615782416</v>
      </c>
      <c r="Y407" s="1">
        <f t="shared" si="107"/>
        <v>0.97230770032699332</v>
      </c>
      <c r="Z407" s="1">
        <f t="shared" si="108"/>
        <v>48.615385016349663</v>
      </c>
      <c r="AB407">
        <v>5.37</v>
      </c>
      <c r="AC407">
        <v>4.2657951880159181E-6</v>
      </c>
      <c r="AD407">
        <v>2.3676711034731257E-9</v>
      </c>
      <c r="AE407">
        <v>2.888820616135521E-2</v>
      </c>
      <c r="AF407">
        <v>2.3703931279548264E-2</v>
      </c>
      <c r="AG407">
        <v>0.62131116224698368</v>
      </c>
      <c r="AH407">
        <v>0.62136704228888384</v>
      </c>
      <c r="AI407">
        <v>31.068352114444195</v>
      </c>
      <c r="AJ407"/>
      <c r="AK407"/>
      <c r="AL407"/>
      <c r="AM407"/>
      <c r="AN407"/>
      <c r="AO407"/>
      <c r="AP407"/>
      <c r="AQ407"/>
      <c r="AR407"/>
    </row>
    <row r="408" spans="1:44" ht="15" customHeight="1" x14ac:dyDescent="0.3">
      <c r="A408" s="2">
        <v>4.07</v>
      </c>
      <c r="B408" s="1">
        <f t="shared" si="96"/>
        <v>8.5113803820237487E-5</v>
      </c>
      <c r="C408" s="1">
        <f t="shared" si="97"/>
        <v>1.1866465304889271E-10</v>
      </c>
      <c r="D408" s="1">
        <f t="shared" si="98"/>
        <v>1.9951716673403019E-2</v>
      </c>
      <c r="E408" s="1">
        <f t="shared" si="99"/>
        <v>8.0472210994968934E-6</v>
      </c>
      <c r="F408" s="1">
        <f t="shared" si="100"/>
        <v>6.2700123414338492E-3</v>
      </c>
      <c r="G408" s="1">
        <f t="shared" si="101"/>
        <v>2.0126150727981726E-3</v>
      </c>
      <c r="H408" s="1">
        <f t="shared" si="109"/>
        <v>2.0126150727981726E-2</v>
      </c>
      <c r="J408" s="2">
        <v>8.06</v>
      </c>
      <c r="K408" s="1">
        <v>8.7096358995607965E-9</v>
      </c>
      <c r="L408" s="1">
        <v>1.1596351577118529E-6</v>
      </c>
      <c r="M408" s="1">
        <v>2.6554325214818826E-4</v>
      </c>
      <c r="N408" s="1">
        <v>3.2890761246419688E-3</v>
      </c>
      <c r="O408" s="1">
        <v>0.98404072810939747</v>
      </c>
      <c r="P408" s="1">
        <v>0.98410960075404574</v>
      </c>
      <c r="Q408" s="2">
        <v>9.8410960075404574</v>
      </c>
      <c r="S408" s="2">
        <v>4.07</v>
      </c>
      <c r="T408" s="1">
        <f t="shared" si="102"/>
        <v>8.5113803820237487E-5</v>
      </c>
      <c r="U408" s="1">
        <f t="shared" si="103"/>
        <v>1.1866465304889271E-10</v>
      </c>
      <c r="V408" s="1">
        <f t="shared" si="104"/>
        <v>1.9098808974886163E-3</v>
      </c>
      <c r="W408" s="1">
        <f t="shared" si="105"/>
        <v>3.269670636750379E-2</v>
      </c>
      <c r="X408" s="1">
        <f t="shared" si="106"/>
        <v>0.97035814333934833</v>
      </c>
      <c r="Y408" s="1">
        <f t="shared" si="107"/>
        <v>0.9716227721645041</v>
      </c>
      <c r="Z408" s="1">
        <f t="shared" si="108"/>
        <v>48.58113860822521</v>
      </c>
      <c r="AB408">
        <v>5.38</v>
      </c>
      <c r="AC408">
        <v>4.168693834703354E-6</v>
      </c>
      <c r="AD408">
        <v>2.4228212482096851E-9</v>
      </c>
      <c r="AE408">
        <v>2.9363662380100648E-2</v>
      </c>
      <c r="AF408">
        <v>2.3545445873299785E-2</v>
      </c>
      <c r="AG408">
        <v>0.61587862245006564</v>
      </c>
      <c r="AH408">
        <v>0.6159331158816348</v>
      </c>
      <c r="AI408">
        <v>30.79665579408174</v>
      </c>
      <c r="AJ408"/>
      <c r="AK408"/>
      <c r="AL408"/>
      <c r="AM408"/>
      <c r="AN408"/>
      <c r="AO408"/>
      <c r="AP408"/>
      <c r="AQ408"/>
      <c r="AR408"/>
    </row>
    <row r="409" spans="1:44" ht="15" customHeight="1" x14ac:dyDescent="0.3">
      <c r="A409" s="2">
        <v>4.08</v>
      </c>
      <c r="B409" s="1">
        <f t="shared" si="96"/>
        <v>8.3176377110266955E-5</v>
      </c>
      <c r="C409" s="1">
        <f t="shared" si="97"/>
        <v>1.2142870789635891E-10</v>
      </c>
      <c r="D409" s="1">
        <f t="shared" si="98"/>
        <v>1.9945917948725828E-2</v>
      </c>
      <c r="E409" s="1">
        <f t="shared" si="99"/>
        <v>9.0136752123622269E-6</v>
      </c>
      <c r="F409" s="1">
        <f t="shared" si="100"/>
        <v>6.4151227788272992E-3</v>
      </c>
      <c r="G409" s="1">
        <f t="shared" si="101"/>
        <v>2.2544348402624352E-3</v>
      </c>
      <c r="H409" s="1">
        <f t="shared" si="109"/>
        <v>2.2544348402624349E-2</v>
      </c>
      <c r="J409" s="2">
        <v>8.07</v>
      </c>
      <c r="K409" s="1">
        <v>8.5113803820237553E-9</v>
      </c>
      <c r="L409" s="1">
        <v>1.1866465304889261E-6</v>
      </c>
      <c r="M409" s="1">
        <v>2.5952440423010427E-4</v>
      </c>
      <c r="N409" s="1">
        <v>3.2900792659616494E-3</v>
      </c>
      <c r="O409" s="1">
        <v>0.98439833775817054</v>
      </c>
      <c r="P409" s="1">
        <v>0.9844688428891557</v>
      </c>
      <c r="Q409" s="2">
        <v>9.8446884288915566</v>
      </c>
      <c r="S409" s="2">
        <v>4.08</v>
      </c>
      <c r="T409" s="1">
        <f t="shared" si="102"/>
        <v>8.3176377110266955E-5</v>
      </c>
      <c r="U409" s="1">
        <f t="shared" si="103"/>
        <v>1.2142870789635891E-10</v>
      </c>
      <c r="V409" s="1">
        <f t="shared" si="104"/>
        <v>1.9573588767537505E-3</v>
      </c>
      <c r="W409" s="1">
        <f t="shared" si="105"/>
        <v>3.2680880374415418E-2</v>
      </c>
      <c r="X409" s="1">
        <f t="shared" si="106"/>
        <v>0.96968862421575985</v>
      </c>
      <c r="Y409" s="1">
        <f t="shared" si="107"/>
        <v>0.97092417596011071</v>
      </c>
      <c r="Z409" s="1">
        <f t="shared" si="108"/>
        <v>48.546208798005537</v>
      </c>
      <c r="AB409">
        <v>5.39</v>
      </c>
      <c r="AC409">
        <v>4.0738027780411272E-6</v>
      </c>
      <c r="AD409">
        <v>2.4792560048418806E-9</v>
      </c>
      <c r="AE409">
        <v>2.9843654221165257E-2</v>
      </c>
      <c r="AF409">
        <v>2.3385448592944915E-2</v>
      </c>
      <c r="AG409">
        <v>0.61041701613436905</v>
      </c>
      <c r="AH409">
        <v>0.61047015647712721</v>
      </c>
      <c r="AI409">
        <v>30.523507823856363</v>
      </c>
      <c r="AJ409"/>
      <c r="AK409"/>
      <c r="AL409"/>
      <c r="AM409"/>
      <c r="AN409"/>
      <c r="AO409"/>
      <c r="AP409"/>
      <c r="AQ409"/>
      <c r="AR409"/>
    </row>
    <row r="410" spans="1:44" ht="15" customHeight="1" x14ac:dyDescent="0.3">
      <c r="A410" s="2">
        <v>4.09</v>
      </c>
      <c r="B410" s="1">
        <f t="shared" si="96"/>
        <v>8.1283051616409918E-5</v>
      </c>
      <c r="C410" s="1">
        <f t="shared" si="97"/>
        <v>1.2425714585205054E-10</v>
      </c>
      <c r="D410" s="1">
        <f t="shared" si="98"/>
        <v>1.9940092488483926E-2</v>
      </c>
      <c r="E410" s="1">
        <f t="shared" si="99"/>
        <v>9.9845852526785119E-6</v>
      </c>
      <c r="F410" s="1">
        <f t="shared" si="100"/>
        <v>6.5635694070481591E-3</v>
      </c>
      <c r="G410" s="1">
        <f t="shared" si="101"/>
        <v>2.4973930848778986E-3</v>
      </c>
      <c r="H410" s="1">
        <f t="shared" si="109"/>
        <v>2.4973930848778986E-2</v>
      </c>
      <c r="J410" s="2">
        <v>8.08</v>
      </c>
      <c r="K410" s="1">
        <v>8.3176377110267021E-9</v>
      </c>
      <c r="L410" s="1">
        <v>1.2142870789635882E-6</v>
      </c>
      <c r="M410" s="1">
        <v>2.5363780176768428E-4</v>
      </c>
      <c r="N410" s="1">
        <v>3.2910603663720527E-3</v>
      </c>
      <c r="O410" s="1">
        <v>0.98474805841682234</v>
      </c>
      <c r="P410" s="1">
        <v>0.98482023351995251</v>
      </c>
      <c r="Q410" s="2">
        <v>9.8482023351995238</v>
      </c>
      <c r="S410" s="2">
        <v>4.09</v>
      </c>
      <c r="T410" s="1">
        <f t="shared" si="102"/>
        <v>8.1283051616409918E-5</v>
      </c>
      <c r="U410" s="1">
        <f t="shared" si="103"/>
        <v>1.2425714585205054E-10</v>
      </c>
      <c r="V410" s="1">
        <f t="shared" si="104"/>
        <v>2.0058097379562776E-3</v>
      </c>
      <c r="W410" s="1">
        <f t="shared" si="105"/>
        <v>3.266473008734791E-2</v>
      </c>
      <c r="X410" s="1">
        <f t="shared" si="106"/>
        <v>0.96900446574250099</v>
      </c>
      <c r="Y410" s="1">
        <f t="shared" si="107"/>
        <v>0.97021160321242883</v>
      </c>
      <c r="Z410" s="1">
        <f t="shared" si="108"/>
        <v>48.510580160621444</v>
      </c>
      <c r="AB410">
        <v>5.4</v>
      </c>
      <c r="AC410">
        <v>3.9810717055349657E-6</v>
      </c>
      <c r="AD410">
        <v>2.53700529582468E-9</v>
      </c>
      <c r="AE410">
        <v>3.0328117998704281E-2</v>
      </c>
      <c r="AF410">
        <v>2.3223960667098576E-2</v>
      </c>
      <c r="AG410">
        <v>0.60492756858836716</v>
      </c>
      <c r="AH410">
        <v>0.60497938859282185</v>
      </c>
      <c r="AI410">
        <v>30.248969429641093</v>
      </c>
      <c r="AJ410"/>
      <c r="AK410"/>
      <c r="AL410"/>
      <c r="AM410"/>
      <c r="AN410"/>
      <c r="AO410"/>
      <c r="AP410"/>
      <c r="AQ410"/>
      <c r="AR410"/>
    </row>
    <row r="411" spans="1:44" ht="15" customHeight="1" x14ac:dyDescent="0.3">
      <c r="A411" s="2">
        <v>4.0999999999999996</v>
      </c>
      <c r="B411" s="1">
        <f t="shared" si="96"/>
        <v>7.9432823472428153E-5</v>
      </c>
      <c r="C411" s="1">
        <f t="shared" si="97"/>
        <v>1.2715146659121088E-10</v>
      </c>
      <c r="D411" s="1">
        <f t="shared" si="98"/>
        <v>1.9934237291189254E-2</v>
      </c>
      <c r="E411" s="1">
        <f t="shared" si="99"/>
        <v>1.0960451468457569E-5</v>
      </c>
      <c r="F411" s="1">
        <f t="shared" si="100"/>
        <v>6.7154278892359648E-3</v>
      </c>
      <c r="G411" s="1">
        <f t="shared" si="101"/>
        <v>2.7416153342051789E-3</v>
      </c>
      <c r="H411" s="1">
        <f t="shared" si="109"/>
        <v>2.7416153342051788E-2</v>
      </c>
      <c r="J411" s="2">
        <v>8.09</v>
      </c>
      <c r="K411" s="1">
        <v>8.1283051616409861E-9</v>
      </c>
      <c r="L411" s="1">
        <v>1.2425714585205062E-6</v>
      </c>
      <c r="M411" s="1">
        <v>2.4788056077423284E-4</v>
      </c>
      <c r="N411" s="1">
        <v>3.2920199065376277E-3</v>
      </c>
      <c r="O411" s="1">
        <v>0.98509005861067145</v>
      </c>
      <c r="P411" s="1">
        <v>0.9851639420571715</v>
      </c>
      <c r="Q411" s="2">
        <v>9.8516394205717148</v>
      </c>
      <c r="S411" s="2">
        <v>4.0999999999999996</v>
      </c>
      <c r="T411" s="1">
        <f t="shared" si="102"/>
        <v>7.9432823472428153E-5</v>
      </c>
      <c r="U411" s="1">
        <f t="shared" si="103"/>
        <v>1.2715146659121088E-10</v>
      </c>
      <c r="V411" s="1">
        <f t="shared" si="104"/>
        <v>2.0552561750251017E-3</v>
      </c>
      <c r="W411" s="1">
        <f t="shared" si="105"/>
        <v>3.2648247941658305E-2</v>
      </c>
      <c r="X411" s="1">
        <f t="shared" si="106"/>
        <v>0.96830536985144888</v>
      </c>
      <c r="Y411" s="1">
        <f t="shared" si="107"/>
        <v>0.96948474074965729</v>
      </c>
      <c r="Z411" s="1">
        <f t="shared" si="108"/>
        <v>48.474237037482858</v>
      </c>
      <c r="AB411">
        <v>5.41</v>
      </c>
      <c r="AC411">
        <v>3.8904514499428E-6</v>
      </c>
      <c r="AD411">
        <v>2.5960997405965563E-9</v>
      </c>
      <c r="AE411">
        <v>3.0816986438086603E-2</v>
      </c>
      <c r="AF411">
        <v>2.30610045206378E-2</v>
      </c>
      <c r="AG411">
        <v>0.59941153245620327</v>
      </c>
      <c r="AH411">
        <v>0.59946206411867142</v>
      </c>
      <c r="AI411">
        <v>29.973103205933572</v>
      </c>
      <c r="AJ411"/>
      <c r="AK411"/>
      <c r="AL411"/>
      <c r="AM411"/>
      <c r="AN411"/>
      <c r="AO411"/>
      <c r="AP411"/>
      <c r="AQ411"/>
      <c r="AR411"/>
    </row>
    <row r="412" spans="1:44" ht="15" customHeight="1" x14ac:dyDescent="0.3">
      <c r="A412" s="2">
        <v>4.1100000000000003</v>
      </c>
      <c r="B412" s="1">
        <f t="shared" si="96"/>
        <v>7.7624711662869057E-5</v>
      </c>
      <c r="C412" s="1">
        <f t="shared" si="97"/>
        <v>1.3011320472100673E-10</v>
      </c>
      <c r="D412" s="1">
        <f t="shared" si="98"/>
        <v>1.9928349343632443E-2</v>
      </c>
      <c r="E412" s="1">
        <f t="shared" si="99"/>
        <v>1.1941776061259763E-5</v>
      </c>
      <c r="F412" s="1">
        <f t="shared" si="100"/>
        <v>6.8707755559509753E-3</v>
      </c>
      <c r="G412" s="1">
        <f t="shared" si="101"/>
        <v>2.9872276555002403E-3</v>
      </c>
      <c r="H412" s="1">
        <f t="shared" si="109"/>
        <v>2.9872276555002401E-2</v>
      </c>
      <c r="J412" s="2">
        <v>8.1</v>
      </c>
      <c r="K412" s="1">
        <v>7.9432823472428087E-9</v>
      </c>
      <c r="L412" s="1">
        <v>1.2715146659121098E-6</v>
      </c>
      <c r="M412" s="1">
        <v>2.4224985544397728E-4</v>
      </c>
      <c r="N412" s="1">
        <v>3.2929583574260036E-3</v>
      </c>
      <c r="O412" s="1">
        <v>0.98542450350952571</v>
      </c>
      <c r="P412" s="1">
        <v>0.98550013457638952</v>
      </c>
      <c r="Q412" s="2">
        <v>9.8550013457638954</v>
      </c>
      <c r="S412" s="2">
        <v>4.1100000000000003</v>
      </c>
      <c r="T412" s="1">
        <f t="shared" si="102"/>
        <v>7.7624711662869057E-5</v>
      </c>
      <c r="U412" s="1">
        <f t="shared" si="103"/>
        <v>1.3011320472100673E-10</v>
      </c>
      <c r="V412" s="1">
        <f t="shared" si="104"/>
        <v>2.1057212746175397E-3</v>
      </c>
      <c r="W412" s="1">
        <f t="shared" si="105"/>
        <v>3.2631426241794152E-2</v>
      </c>
      <c r="X412" s="1">
        <f t="shared" si="106"/>
        <v>0.96759103340967978</v>
      </c>
      <c r="Y412" s="1">
        <f t="shared" si="107"/>
        <v>0.96874327068025445</v>
      </c>
      <c r="Z412" s="1">
        <f t="shared" si="108"/>
        <v>48.437163534012733</v>
      </c>
      <c r="AB412">
        <v>5.42</v>
      </c>
      <c r="AC412">
        <v>3.8018939632056064E-6</v>
      </c>
      <c r="AD412">
        <v>2.6565706718143396E-9</v>
      </c>
      <c r="AE412">
        <v>3.13101886758601E-2</v>
      </c>
      <c r="AF412">
        <v>2.2896603774713298E-2</v>
      </c>
      <c r="AG412">
        <v>0.59387018670673086</v>
      </c>
      <c r="AH412">
        <v>0.59391946128578355</v>
      </c>
      <c r="AI412">
        <v>29.695973064289181</v>
      </c>
      <c r="AJ412"/>
      <c r="AK412"/>
      <c r="AL412"/>
      <c r="AM412"/>
      <c r="AN412"/>
      <c r="AO412"/>
      <c r="AP412"/>
      <c r="AQ412"/>
      <c r="AR412"/>
    </row>
    <row r="413" spans="1:44" ht="15" customHeight="1" x14ac:dyDescent="0.3">
      <c r="A413" s="2">
        <v>4.12</v>
      </c>
      <c r="B413" s="1">
        <f t="shared" si="96"/>
        <v>7.5857757502918263E-5</v>
      </c>
      <c r="C413" s="1">
        <f t="shared" si="97"/>
        <v>1.3314393059419731E-10</v>
      </c>
      <c r="D413" s="1">
        <f t="shared" si="98"/>
        <v>1.992242561947119E-2</v>
      </c>
      <c r="E413" s="1">
        <f t="shared" si="99"/>
        <v>1.2929063421468167E-5</v>
      </c>
      <c r="F413" s="1">
        <f t="shared" si="100"/>
        <v>7.0296914396392471E-3</v>
      </c>
      <c r="G413" s="1">
        <f t="shared" si="101"/>
        <v>3.2343567155221739E-3</v>
      </c>
      <c r="H413" s="1">
        <f t="shared" si="109"/>
        <v>3.2343567155221735E-2</v>
      </c>
      <c r="J413" s="2">
        <v>8.11</v>
      </c>
      <c r="K413" s="1">
        <v>7.7624711662869124E-9</v>
      </c>
      <c r="L413" s="1">
        <v>1.3011320472100661E-6</v>
      </c>
      <c r="M413" s="1">
        <v>2.3674291710483008E-4</v>
      </c>
      <c r="N413" s="1">
        <v>3.2938761804825285E-3</v>
      </c>
      <c r="O413" s="1">
        <v>0.98575155498352174</v>
      </c>
      <c r="P413" s="1">
        <v>0.98582897387434376</v>
      </c>
      <c r="Q413" s="2">
        <v>9.8582897387434372</v>
      </c>
      <c r="S413" s="2">
        <v>4.12</v>
      </c>
      <c r="T413" s="1">
        <f t="shared" si="102"/>
        <v>7.5857757502918263E-5</v>
      </c>
      <c r="U413" s="1">
        <f t="shared" si="103"/>
        <v>1.3314393059419731E-10</v>
      </c>
      <c r="V413" s="1">
        <f t="shared" si="104"/>
        <v>2.1572285224069191E-3</v>
      </c>
      <c r="W413" s="1">
        <f t="shared" si="105"/>
        <v>3.2614257159197697E-2</v>
      </c>
      <c r="X413" s="1">
        <f t="shared" si="106"/>
        <v>0.96686114818023838</v>
      </c>
      <c r="Y413" s="1">
        <f t="shared" si="107"/>
        <v>0.96798687034580388</v>
      </c>
      <c r="Z413" s="1">
        <f t="shared" si="108"/>
        <v>48.399343517290191</v>
      </c>
      <c r="AB413">
        <v>5.43</v>
      </c>
      <c r="AC413">
        <v>3.7153522909717272E-6</v>
      </c>
      <c r="AD413">
        <v>2.7184501519661834E-9</v>
      </c>
      <c r="AE413">
        <v>3.1807650265160158E-2</v>
      </c>
      <c r="AF413">
        <v>2.2730783244946613E-2</v>
      </c>
      <c r="AG413">
        <v>0.58830483554862067</v>
      </c>
      <c r="AH413">
        <v>0.58835288358115856</v>
      </c>
      <c r="AI413">
        <v>29.417644179057927</v>
      </c>
      <c r="AJ413"/>
      <c r="AK413"/>
      <c r="AL413"/>
      <c r="AM413"/>
      <c r="AN413"/>
      <c r="AO413"/>
      <c r="AP413"/>
      <c r="AQ413"/>
      <c r="AR413"/>
    </row>
    <row r="414" spans="1:44" ht="15" customHeight="1" x14ac:dyDescent="0.3">
      <c r="A414" s="2">
        <v>4.13</v>
      </c>
      <c r="B414" s="1">
        <f t="shared" si="96"/>
        <v>7.4131024130091641E-5</v>
      </c>
      <c r="C414" s="1">
        <f t="shared" si="97"/>
        <v>1.362452511417572E-10</v>
      </c>
      <c r="D414" s="1">
        <f t="shared" si="98"/>
        <v>1.9916463077820096E-2</v>
      </c>
      <c r="E414" s="1">
        <f t="shared" si="99"/>
        <v>1.3922820363317183E-5</v>
      </c>
      <c r="F414" s="1">
        <f t="shared" si="100"/>
        <v>7.1922563097016664E-3</v>
      </c>
      <c r="G414" s="1">
        <f t="shared" si="101"/>
        <v>3.4831298403827835E-3</v>
      </c>
      <c r="H414" s="1">
        <f t="shared" si="109"/>
        <v>3.4831298403827836E-2</v>
      </c>
      <c r="J414" s="2">
        <v>8.1199999999999992</v>
      </c>
      <c r="K414" s="1">
        <v>7.585775750291834E-9</v>
      </c>
      <c r="L414" s="1">
        <v>1.3314393059419718E-6</v>
      </c>
      <c r="M414" s="1">
        <v>2.313570331822656E-4</v>
      </c>
      <c r="N414" s="1">
        <v>3.2947738278029555E-3</v>
      </c>
      <c r="O414" s="1">
        <v>0.98607137165854641</v>
      </c>
      <c r="P414" s="1">
        <v>0.98615061952484551</v>
      </c>
      <c r="Q414" s="2">
        <v>9.8615061952484542</v>
      </c>
      <c r="S414" s="2">
        <v>4.13</v>
      </c>
      <c r="T414" s="1">
        <f t="shared" si="102"/>
        <v>7.4131024130091641E-5</v>
      </c>
      <c r="U414" s="1">
        <f t="shared" si="103"/>
        <v>1.362452511417572E-10</v>
      </c>
      <c r="V414" s="1">
        <f t="shared" si="104"/>
        <v>2.2098018093289745E-3</v>
      </c>
      <c r="W414" s="1">
        <f t="shared" si="105"/>
        <v>3.2596732730223676E-2</v>
      </c>
      <c r="X414" s="1">
        <f t="shared" si="106"/>
        <v>0.96611540078506064</v>
      </c>
      <c r="Y414" s="1">
        <f t="shared" si="107"/>
        <v>0.96721521227621776</v>
      </c>
      <c r="Z414" s="1">
        <f t="shared" si="108"/>
        <v>48.360760613810889</v>
      </c>
      <c r="AB414">
        <v>5.44</v>
      </c>
      <c r="AC414">
        <v>3.6307805477010082E-6</v>
      </c>
      <c r="AD414">
        <v>2.7817709903715518E-9</v>
      </c>
      <c r="AE414">
        <v>3.2309293186689278E-2</v>
      </c>
      <c r="AF414">
        <v>2.2563568937770236E-2</v>
      </c>
      <c r="AG414">
        <v>0.58271680729321618</v>
      </c>
      <c r="AH414">
        <v>0.58276365861018609</v>
      </c>
      <c r="AI414">
        <v>29.138182930509306</v>
      </c>
      <c r="AJ414"/>
      <c r="AK414"/>
      <c r="AL414"/>
      <c r="AM414"/>
      <c r="AN414"/>
      <c r="AO414"/>
      <c r="AP414"/>
      <c r="AQ414"/>
      <c r="AR414"/>
    </row>
    <row r="415" spans="1:44" ht="15" customHeight="1" x14ac:dyDescent="0.3">
      <c r="A415" s="2">
        <v>4.1399999999999997</v>
      </c>
      <c r="B415" s="1">
        <f t="shared" si="96"/>
        <v>7.2443596007499048E-5</v>
      </c>
      <c r="C415" s="1">
        <f t="shared" si="97"/>
        <v>1.3941881072489127E-10</v>
      </c>
      <c r="D415" s="1">
        <f t="shared" si="98"/>
        <v>1.991045866184158E-2</v>
      </c>
      <c r="E415" s="1">
        <f t="shared" si="99"/>
        <v>1.4923556359736883E-5</v>
      </c>
      <c r="F415" s="1">
        <f t="shared" si="100"/>
        <v>7.358552708171962E-3</v>
      </c>
      <c r="G415" s="1">
        <f t="shared" si="101"/>
        <v>3.7336750754550963E-3</v>
      </c>
      <c r="H415" s="1">
        <f t="shared" si="109"/>
        <v>3.7336750754550958E-2</v>
      </c>
      <c r="J415" s="2">
        <v>8.1300000000000008</v>
      </c>
      <c r="K415" s="1">
        <v>7.4131024130091451E-9</v>
      </c>
      <c r="L415" s="1">
        <v>1.3624525114175755E-6</v>
      </c>
      <c r="M415" s="1">
        <v>2.2608954617460412E-4</v>
      </c>
      <c r="N415" s="1">
        <v>3.2956517423042325E-3</v>
      </c>
      <c r="O415" s="1">
        <v>0.98638410897121798</v>
      </c>
      <c r="P415" s="1">
        <v>0.98646522793426283</v>
      </c>
      <c r="Q415" s="2">
        <v>9.8646522793426286</v>
      </c>
      <c r="S415" s="2">
        <v>4.1399999999999997</v>
      </c>
      <c r="T415" s="1">
        <f t="shared" si="102"/>
        <v>7.2443596007499048E-5</v>
      </c>
      <c r="U415" s="1">
        <f t="shared" si="103"/>
        <v>1.3941881072489127E-10</v>
      </c>
      <c r="V415" s="1">
        <f t="shared" si="104"/>
        <v>2.2634654377810945E-3</v>
      </c>
      <c r="W415" s="1">
        <f t="shared" si="105"/>
        <v>3.2578844854072968E-2</v>
      </c>
      <c r="X415" s="1">
        <f t="shared" si="106"/>
        <v>0.96535347267020388</v>
      </c>
      <c r="Y415" s="1">
        <f t="shared" si="107"/>
        <v>0.96642796414742471</v>
      </c>
      <c r="Z415" s="1">
        <f t="shared" si="108"/>
        <v>48.321398207371239</v>
      </c>
      <c r="AB415">
        <v>5.45</v>
      </c>
      <c r="AC415">
        <v>3.5481338923357504E-6</v>
      </c>
      <c r="AD415">
        <v>2.8465667605771016E-9</v>
      </c>
      <c r="AE415">
        <v>3.2815035865381675E-2</v>
      </c>
      <c r="AF415">
        <v>2.2394988044872773E-2</v>
      </c>
      <c r="AG415">
        <v>0.5771074531670245</v>
      </c>
      <c r="AH415">
        <v>0.57715313690878634</v>
      </c>
      <c r="AI415">
        <v>28.857656845439319</v>
      </c>
      <c r="AJ415"/>
      <c r="AK415"/>
      <c r="AL415"/>
      <c r="AM415"/>
      <c r="AN415"/>
      <c r="AO415"/>
      <c r="AP415"/>
      <c r="AQ415"/>
      <c r="AR415"/>
    </row>
    <row r="416" spans="1:44" ht="15" customHeight="1" x14ac:dyDescent="0.3">
      <c r="A416" s="2">
        <v>4.1500000000000004</v>
      </c>
      <c r="B416" s="1">
        <f t="shared" si="96"/>
        <v>7.0794578438413704E-5</v>
      </c>
      <c r="C416" s="1">
        <f t="shared" si="97"/>
        <v>1.4266629200689834E-10</v>
      </c>
      <c r="D416" s="1">
        <f t="shared" si="98"/>
        <v>1.9904409297337555E-2</v>
      </c>
      <c r="E416" s="1">
        <f t="shared" si="99"/>
        <v>1.5931783777073859E-5</v>
      </c>
      <c r="F416" s="1">
        <f t="shared" si="100"/>
        <v>7.5286649860089056E-3</v>
      </c>
      <c r="G416" s="1">
        <f t="shared" si="101"/>
        <v>3.9861212453579774E-3</v>
      </c>
      <c r="H416" s="1">
        <f t="shared" si="109"/>
        <v>3.9861212453579771E-2</v>
      </c>
      <c r="J416" s="2">
        <v>8.14</v>
      </c>
      <c r="K416" s="1">
        <v>7.2443596007498722E-9</v>
      </c>
      <c r="L416" s="1">
        <v>1.3941881072489191E-6</v>
      </c>
      <c r="M416" s="1">
        <v>2.2093785263984614E-4</v>
      </c>
      <c r="N416" s="1">
        <v>3.2965103578933585E-3</v>
      </c>
      <c r="O416" s="1">
        <v>0.98668991922340277</v>
      </c>
      <c r="P416" s="1">
        <v>0.98677295239655194</v>
      </c>
      <c r="Q416" s="2">
        <v>9.8677295239655187</v>
      </c>
      <c r="S416" s="2">
        <v>4.1500000000000004</v>
      </c>
      <c r="T416" s="1">
        <f t="shared" si="102"/>
        <v>7.0794578438413704E-5</v>
      </c>
      <c r="U416" s="1">
        <f t="shared" si="103"/>
        <v>1.4266629200689834E-10</v>
      </c>
      <c r="V416" s="1">
        <f t="shared" si="104"/>
        <v>2.3182441277669538E-3</v>
      </c>
      <c r="W416" s="1">
        <f t="shared" si="105"/>
        <v>3.2560585290744348E-2</v>
      </c>
      <c r="X416" s="1">
        <f t="shared" si="106"/>
        <v>0.96457504007354322</v>
      </c>
      <c r="Y416" s="1">
        <f t="shared" si="107"/>
        <v>0.9656247887416971</v>
      </c>
      <c r="Z416" s="1">
        <f t="shared" si="108"/>
        <v>48.281239437084857</v>
      </c>
      <c r="AB416">
        <v>5.46</v>
      </c>
      <c r="AC416">
        <v>3.4673685045253126E-6</v>
      </c>
      <c r="AD416">
        <v>2.9128718181578749E-9</v>
      </c>
      <c r="AE416">
        <v>3.3324793192855348E-2</v>
      </c>
      <c r="AF416">
        <v>2.2225068935714885E-2</v>
      </c>
      <c r="AG416">
        <v>0.57147814607588043</v>
      </c>
      <c r="AH416">
        <v>0.57152269070723272</v>
      </c>
      <c r="AI416">
        <v>28.576134535361632</v>
      </c>
      <c r="AJ416"/>
      <c r="AK416"/>
      <c r="AL416"/>
      <c r="AM416"/>
      <c r="AN416"/>
      <c r="AO416"/>
      <c r="AP416"/>
      <c r="AQ416"/>
      <c r="AR416"/>
    </row>
    <row r="417" spans="1:44" ht="15" customHeight="1" x14ac:dyDescent="0.3">
      <c r="A417" s="2">
        <v>4.16</v>
      </c>
      <c r="B417" s="1">
        <f t="shared" si="96"/>
        <v>6.9183097091893571E-5</v>
      </c>
      <c r="C417" s="1">
        <f t="shared" si="97"/>
        <v>1.4598941684533883E-10</v>
      </c>
      <c r="D417" s="1">
        <f t="shared" si="98"/>
        <v>1.9898311891341544E-2</v>
      </c>
      <c r="E417" s="1">
        <f t="shared" si="99"/>
        <v>1.6948018109742914E-5</v>
      </c>
      <c r="F417" s="1">
        <f t="shared" si="100"/>
        <v>7.702679340006964E-3</v>
      </c>
      <c r="G417" s="1">
        <f t="shared" si="101"/>
        <v>4.2405980140326266E-3</v>
      </c>
      <c r="H417" s="1">
        <f t="shared" si="109"/>
        <v>4.240598014032626E-2</v>
      </c>
      <c r="J417" s="2">
        <v>8.15</v>
      </c>
      <c r="K417" s="1">
        <v>7.0794578438413513E-9</v>
      </c>
      <c r="L417" s="1">
        <v>1.4266629200689874E-6</v>
      </c>
      <c r="M417" s="1">
        <v>2.1589940219425181E-4</v>
      </c>
      <c r="N417" s="1">
        <v>3.2973500996342918E-3</v>
      </c>
      <c r="O417" s="1">
        <v>0.986988951636248</v>
      </c>
      <c r="P417" s="1">
        <v>0.98707394314781616</v>
      </c>
      <c r="Q417" s="2">
        <v>9.8707394314781602</v>
      </c>
      <c r="S417" s="2">
        <v>4.16</v>
      </c>
      <c r="T417" s="1">
        <f t="shared" si="102"/>
        <v>6.9183097091893571E-5</v>
      </c>
      <c r="U417" s="1">
        <f t="shared" si="103"/>
        <v>1.4598941684533883E-10</v>
      </c>
      <c r="V417" s="1">
        <f t="shared" si="104"/>
        <v>2.3741630229790448E-3</v>
      </c>
      <c r="W417" s="1">
        <f t="shared" si="105"/>
        <v>3.2541945659006991E-2</v>
      </c>
      <c r="X417" s="1">
        <f t="shared" si="106"/>
        <v>0.96377977399510095</v>
      </c>
      <c r="Y417" s="1">
        <f t="shared" si="107"/>
        <v>0.96480534391078165</v>
      </c>
      <c r="Z417" s="1">
        <f t="shared" si="108"/>
        <v>48.240267195539083</v>
      </c>
      <c r="AB417">
        <v>5.47</v>
      </c>
      <c r="AC417">
        <v>3.388441561392022E-6</v>
      </c>
      <c r="AD417">
        <v>2.9807213189330525E-9</v>
      </c>
      <c r="AE417">
        <v>3.3838476555738531E-2</v>
      </c>
      <c r="AF417">
        <v>2.2053841148087158E-2</v>
      </c>
      <c r="AG417">
        <v>0.56583027932301877</v>
      </c>
      <c r="AH417">
        <v>0.56587371264789255</v>
      </c>
      <c r="AI417">
        <v>28.293685632394627</v>
      </c>
      <c r="AJ417"/>
      <c r="AK417"/>
      <c r="AL417"/>
      <c r="AM417"/>
      <c r="AN417"/>
      <c r="AO417"/>
      <c r="AP417"/>
      <c r="AQ417"/>
      <c r="AR417"/>
    </row>
    <row r="418" spans="1:44" ht="15" customHeight="1" x14ac:dyDescent="0.3">
      <c r="A418" s="2">
        <v>4.17</v>
      </c>
      <c r="B418" s="1">
        <f t="shared" si="96"/>
        <v>6.7608297539198107E-5</v>
      </c>
      <c r="C418" s="1">
        <f t="shared" si="97"/>
        <v>1.493899472049891E-10</v>
      </c>
      <c r="D418" s="1">
        <f t="shared" si="98"/>
        <v>1.9892163330710803E-2</v>
      </c>
      <c r="E418" s="1">
        <f t="shared" si="99"/>
        <v>1.797277821486628E-5</v>
      </c>
      <c r="F418" s="1">
        <f t="shared" si="100"/>
        <v>7.8806838503302883E-3</v>
      </c>
      <c r="G418" s="1">
        <f t="shared" si="101"/>
        <v>4.4972359449274753E-3</v>
      </c>
      <c r="H418" s="1">
        <f t="shared" si="109"/>
        <v>4.4972359449274753E-2</v>
      </c>
      <c r="J418" s="2">
        <v>8.16</v>
      </c>
      <c r="K418" s="1">
        <v>6.9183097091893386E-9</v>
      </c>
      <c r="L418" s="1">
        <v>1.4598941684533922E-6</v>
      </c>
      <c r="M418" s="1">
        <v>2.1097169652291417E-4</v>
      </c>
      <c r="N418" s="1">
        <v>3.2981713839128472E-3</v>
      </c>
      <c r="O418" s="1">
        <v>0.98728135240370929</v>
      </c>
      <c r="P418" s="1">
        <v>0.98736834742037138</v>
      </c>
      <c r="Q418" s="2">
        <v>9.8736834742037125</v>
      </c>
      <c r="S418" s="2">
        <v>4.17</v>
      </c>
      <c r="T418" s="1">
        <f t="shared" si="102"/>
        <v>6.7608297539198107E-5</v>
      </c>
      <c r="U418" s="1">
        <f t="shared" si="103"/>
        <v>1.493899472049891E-10</v>
      </c>
      <c r="V418" s="1">
        <f t="shared" si="104"/>
        <v>2.4312476968114992E-3</v>
      </c>
      <c r="W418" s="1">
        <f t="shared" si="105"/>
        <v>3.252291743439617E-2</v>
      </c>
      <c r="X418" s="1">
        <f t="shared" si="106"/>
        <v>0.96296734017017882</v>
      </c>
      <c r="Y418" s="1">
        <f t="shared" si="107"/>
        <v>0.96396928254199854</v>
      </c>
      <c r="Z418" s="1">
        <f t="shared" si="108"/>
        <v>48.198464127099932</v>
      </c>
      <c r="AB418">
        <v>5.48</v>
      </c>
      <c r="AC418">
        <v>3.3113112148259022E-6</v>
      </c>
      <c r="AD418">
        <v>3.0501512376060442E-9</v>
      </c>
      <c r="AE418">
        <v>3.4355993869944298E-2</v>
      </c>
      <c r="AF418">
        <v>2.188133537668524E-2</v>
      </c>
      <c r="AG418">
        <v>0.56016526528343602</v>
      </c>
      <c r="AH418">
        <v>0.56020761445926404</v>
      </c>
      <c r="AI418">
        <v>28.010380722963205</v>
      </c>
      <c r="AJ418"/>
      <c r="AK418"/>
      <c r="AL418"/>
      <c r="AM418"/>
      <c r="AN418"/>
      <c r="AO418"/>
      <c r="AP418"/>
      <c r="AQ418"/>
      <c r="AR418"/>
    </row>
    <row r="419" spans="1:44" ht="15" customHeight="1" x14ac:dyDescent="0.3">
      <c r="A419" s="2">
        <v>4.18</v>
      </c>
      <c r="B419" s="1">
        <f t="shared" si="96"/>
        <v>6.6069344800759539E-5</v>
      </c>
      <c r="C419" s="1">
        <f t="shared" si="97"/>
        <v>1.5286968609205716E-10</v>
      </c>
      <c r="D419" s="1">
        <f t="shared" si="98"/>
        <v>1.9885960480718314E-2</v>
      </c>
      <c r="E419" s="1">
        <f t="shared" si="99"/>
        <v>1.9006586546947853E-5</v>
      </c>
      <c r="F419" s="1">
        <f t="shared" si="100"/>
        <v>8.0627685186735448E-3</v>
      </c>
      <c r="G419" s="1">
        <f t="shared" si="101"/>
        <v>4.7561665613059211E-3</v>
      </c>
      <c r="H419" s="1">
        <f t="shared" si="109"/>
        <v>4.7561665613059211E-2</v>
      </c>
      <c r="J419" s="2">
        <v>8.17</v>
      </c>
      <c r="K419" s="1">
        <v>6.7608297539198166E-9</v>
      </c>
      <c r="L419" s="1">
        <v>1.4938994720498896E-6</v>
      </c>
      <c r="M419" s="1">
        <v>2.0615228840238151E-4</v>
      </c>
      <c r="N419" s="1">
        <v>3.2989746185996031E-3</v>
      </c>
      <c r="O419" s="1">
        <v>0.98756726474555745</v>
      </c>
      <c r="P419" s="1">
        <v>0.98765630949630379</v>
      </c>
      <c r="Q419" s="2">
        <v>9.8765630949630374</v>
      </c>
      <c r="S419" s="2">
        <v>4.18</v>
      </c>
      <c r="T419" s="1">
        <f t="shared" si="102"/>
        <v>6.6069344800759539E-5</v>
      </c>
      <c r="U419" s="1">
        <f t="shared" si="103"/>
        <v>1.5286968609205716E-10</v>
      </c>
      <c r="V419" s="1">
        <f t="shared" si="104"/>
        <v>2.4895241582947986E-3</v>
      </c>
      <c r="W419" s="1">
        <f t="shared" si="105"/>
        <v>3.2503491947235071E-2</v>
      </c>
      <c r="X419" s="1">
        <f t="shared" si="106"/>
        <v>0.9621373990454728</v>
      </c>
      <c r="Y419" s="1">
        <f t="shared" si="107"/>
        <v>0.96311625252748445</v>
      </c>
      <c r="Z419" s="1">
        <f t="shared" si="108"/>
        <v>48.155812626374214</v>
      </c>
      <c r="AB419">
        <v>5.49</v>
      </c>
      <c r="AC419">
        <v>3.2359365692962801E-6</v>
      </c>
      <c r="AD419">
        <v>3.1211983868387287E-9</v>
      </c>
      <c r="AE419">
        <v>3.4877249620950304E-2</v>
      </c>
      <c r="AF419">
        <v>2.1707583459683235E-2</v>
      </c>
      <c r="AG419">
        <v>0.55448453403709319</v>
      </c>
      <c r="AH419">
        <v>0.55452582558886498</v>
      </c>
      <c r="AI419">
        <v>27.726291279443249</v>
      </c>
      <c r="AJ419"/>
      <c r="AK419"/>
      <c r="AL419"/>
      <c r="AM419"/>
      <c r="AN419"/>
      <c r="AO419"/>
      <c r="AP419"/>
      <c r="AQ419"/>
      <c r="AR419"/>
    </row>
    <row r="420" spans="1:44" ht="15" customHeight="1" x14ac:dyDescent="0.3">
      <c r="A420" s="2">
        <v>4.1900000000000004</v>
      </c>
      <c r="B420" s="1">
        <f t="shared" si="96"/>
        <v>6.4565422903465383E-5</v>
      </c>
      <c r="C420" s="1">
        <f t="shared" si="97"/>
        <v>1.5643047851016101E-10</v>
      </c>
      <c r="D420" s="1">
        <f t="shared" si="98"/>
        <v>1.9879700183644211E-2</v>
      </c>
      <c r="E420" s="1">
        <f t="shared" si="99"/>
        <v>2.0049969392631787E-5</v>
      </c>
      <c r="F420" s="1">
        <f t="shared" si="100"/>
        <v>8.249025307053565E-3</v>
      </c>
      <c r="G420" s="1">
        <f t="shared" si="101"/>
        <v>5.0175224066919986E-3</v>
      </c>
      <c r="H420" s="1">
        <f t="shared" si="109"/>
        <v>5.0175224066919981E-2</v>
      </c>
      <c r="J420" s="2">
        <v>8.18</v>
      </c>
      <c r="K420" s="1">
        <v>6.6069344800759602E-9</v>
      </c>
      <c r="L420" s="1">
        <v>1.5286968609205701E-6</v>
      </c>
      <c r="M420" s="1">
        <v>2.0143878073551784E-4</v>
      </c>
      <c r="N420" s="1">
        <v>3.2997602032107469E-3</v>
      </c>
      <c r="O420" s="1">
        <v>0.98784682895984655</v>
      </c>
      <c r="P420" s="1">
        <v>0.98793797076050105</v>
      </c>
      <c r="Q420" s="2">
        <v>9.8793797076050094</v>
      </c>
      <c r="S420" s="2">
        <v>4.1900000000000004</v>
      </c>
      <c r="T420" s="1">
        <f t="shared" si="102"/>
        <v>6.4565422903465383E-5</v>
      </c>
      <c r="U420" s="1">
        <f t="shared" si="103"/>
        <v>1.5643047851016101E-10</v>
      </c>
      <c r="V420" s="1">
        <f t="shared" si="104"/>
        <v>2.549018857943515E-3</v>
      </c>
      <c r="W420" s="1">
        <f t="shared" si="105"/>
        <v>3.2483660380685501E-2</v>
      </c>
      <c r="X420" s="1">
        <f t="shared" si="106"/>
        <v>0.96128960575835443</v>
      </c>
      <c r="Y420" s="1">
        <f t="shared" si="107"/>
        <v>0.96224589673676098</v>
      </c>
      <c r="Z420" s="1">
        <f t="shared" si="108"/>
        <v>48.112294836838046</v>
      </c>
      <c r="AB420">
        <v>5.5</v>
      </c>
      <c r="AC420">
        <v>3.1622776601683767E-6</v>
      </c>
      <c r="AD420">
        <v>3.1939004367700655E-9</v>
      </c>
      <c r="AE420">
        <v>3.5402144910126936E-2</v>
      </c>
      <c r="AF420">
        <v>2.1532618363291022E-2</v>
      </c>
      <c r="AG420">
        <v>0.54878953196364599</v>
      </c>
      <c r="AH420">
        <v>0.5488297917976539</v>
      </c>
      <c r="AI420">
        <v>27.441489589882696</v>
      </c>
      <c r="AJ420"/>
      <c r="AK420"/>
      <c r="AL420"/>
      <c r="AM420"/>
      <c r="AN420"/>
      <c r="AO420"/>
      <c r="AP420"/>
      <c r="AQ420"/>
      <c r="AR420"/>
    </row>
    <row r="421" spans="1:44" ht="15" customHeight="1" x14ac:dyDescent="0.3">
      <c r="A421" s="2">
        <v>4.2</v>
      </c>
      <c r="B421" s="1">
        <f t="shared" si="96"/>
        <v>6.3095734448019279E-5</v>
      </c>
      <c r="C421" s="1">
        <f t="shared" si="97"/>
        <v>1.6007421243857255E-10</v>
      </c>
      <c r="D421" s="1">
        <f t="shared" si="98"/>
        <v>1.9873379257366468E-2</v>
      </c>
      <c r="E421" s="1">
        <f t="shared" si="99"/>
        <v>2.1103457105588486E-5</v>
      </c>
      <c r="F421" s="1">
        <f t="shared" si="100"/>
        <v>8.4395481772349054E-3</v>
      </c>
      <c r="G421" s="1">
        <f t="shared" si="101"/>
        <v>5.2814371054676771E-3</v>
      </c>
      <c r="H421" s="1">
        <f t="shared" si="109"/>
        <v>5.2814371054676769E-2</v>
      </c>
      <c r="J421" s="2">
        <v>8.19</v>
      </c>
      <c r="K421" s="1">
        <v>6.456542290346555E-9</v>
      </c>
      <c r="L421" s="1">
        <v>1.5643047851016061E-6</v>
      </c>
      <c r="M421" s="1">
        <v>1.9682882559868327E-4</v>
      </c>
      <c r="N421" s="1">
        <v>3.3005285290668863E-3</v>
      </c>
      <c r="O421" s="1">
        <v>0.98812018247482847</v>
      </c>
      <c r="P421" s="1">
        <v>0.98821346975314273</v>
      </c>
      <c r="Q421" s="2">
        <v>9.882134697531427</v>
      </c>
      <c r="S421" s="2">
        <v>4.2</v>
      </c>
      <c r="T421" s="1">
        <f t="shared" si="102"/>
        <v>6.3095734448019279E-5</v>
      </c>
      <c r="U421" s="1">
        <f t="shared" si="103"/>
        <v>1.6007421243857255E-10</v>
      </c>
      <c r="V421" s="1">
        <f t="shared" si="104"/>
        <v>2.6097586935083378E-3</v>
      </c>
      <c r="W421" s="1">
        <f t="shared" si="105"/>
        <v>3.2463413768830558E-2</v>
      </c>
      <c r="X421" s="1">
        <f t="shared" si="106"/>
        <v>0.96042361011950927</v>
      </c>
      <c r="Y421" s="1">
        <f t="shared" si="107"/>
        <v>0.96135785299281407</v>
      </c>
      <c r="Z421" s="1">
        <f t="shared" si="108"/>
        <v>48.067892649640704</v>
      </c>
      <c r="AB421">
        <v>5.51</v>
      </c>
      <c r="AC421">
        <v>3.0902954325135885E-6</v>
      </c>
      <c r="AD421">
        <v>3.2682959349892472E-9</v>
      </c>
      <c r="AE421">
        <v>3.5930577507136907E-2</v>
      </c>
      <c r="AF421">
        <v>2.1356474164287698E-2</v>
      </c>
      <c r="AG421">
        <v>0.54308172030155999</v>
      </c>
      <c r="AH421">
        <v>0.54312097371884738</v>
      </c>
      <c r="AI421">
        <v>27.156048685942366</v>
      </c>
      <c r="AJ421"/>
      <c r="AK421"/>
      <c r="AL421"/>
      <c r="AM421"/>
      <c r="AN421"/>
      <c r="AO421"/>
      <c r="AP421"/>
      <c r="AQ421"/>
      <c r="AR421"/>
    </row>
    <row r="422" spans="1:44" ht="15" customHeight="1" x14ac:dyDescent="0.3">
      <c r="A422" s="2">
        <v>4.21</v>
      </c>
      <c r="B422" s="1">
        <f t="shared" si="96"/>
        <v>6.1659500186148184E-5</v>
      </c>
      <c r="C422" s="1">
        <f t="shared" si="97"/>
        <v>1.6380281983325201E-10</v>
      </c>
      <c r="D422" s="1">
        <f t="shared" si="98"/>
        <v>1.9866994493950577E-2</v>
      </c>
      <c r="E422" s="1">
        <f t="shared" si="99"/>
        <v>2.2167584341570627E-5</v>
      </c>
      <c r="F422" s="1">
        <f t="shared" si="100"/>
        <v>8.6344331307924987E-3</v>
      </c>
      <c r="G422" s="1">
        <f t="shared" si="101"/>
        <v>5.548045423635622E-3</v>
      </c>
      <c r="H422" s="1">
        <f t="shared" si="109"/>
        <v>5.5480454236356218E-2</v>
      </c>
      <c r="J422" s="2">
        <v>8.1999999999999993</v>
      </c>
      <c r="K422" s="1">
        <v>6.3095734448019329E-9</v>
      </c>
      <c r="L422" s="1">
        <v>1.6007421243857243E-6</v>
      </c>
      <c r="M422" s="1">
        <v>1.9232012330132426E-4</v>
      </c>
      <c r="N422" s="1">
        <v>3.3012799794497794E-3</v>
      </c>
      <c r="O422" s="1">
        <v>0.98838745990030241</v>
      </c>
      <c r="P422" s="1">
        <v>0.98848294222164068</v>
      </c>
      <c r="Q422" s="2">
        <v>9.8848294222164057</v>
      </c>
      <c r="S422" s="2">
        <v>4.21</v>
      </c>
      <c r="T422" s="1">
        <f t="shared" si="102"/>
        <v>6.1659500186148184E-5</v>
      </c>
      <c r="U422" s="1">
        <f t="shared" si="103"/>
        <v>1.6380281983325201E-10</v>
      </c>
      <c r="V422" s="1">
        <f t="shared" si="104"/>
        <v>2.6717710156224611E-3</v>
      </c>
      <c r="W422" s="1">
        <f t="shared" si="105"/>
        <v>3.2442742994792516E-2</v>
      </c>
      <c r="X422" s="1">
        <f t="shared" si="106"/>
        <v>0.95953905659912908</v>
      </c>
      <c r="Y422" s="1">
        <f t="shared" si="107"/>
        <v>0.96045175405187755</v>
      </c>
      <c r="Z422" s="1">
        <f t="shared" si="108"/>
        <v>48.022587702593874</v>
      </c>
      <c r="AB422">
        <v>5.52</v>
      </c>
      <c r="AC422">
        <v>3.0199517204020146E-6</v>
      </c>
      <c r="AD422">
        <v>3.3444243269741716E-9</v>
      </c>
      <c r="AE422">
        <v>3.646244190841659E-2</v>
      </c>
      <c r="AF422">
        <v>2.1179186030527805E-2</v>
      </c>
      <c r="AG422">
        <v>0.53736257367456297</v>
      </c>
      <c r="AH422">
        <v>0.53740084538407928</v>
      </c>
      <c r="AI422">
        <v>26.870042269203964</v>
      </c>
      <c r="AJ422"/>
      <c r="AK422"/>
      <c r="AL422"/>
      <c r="AM422"/>
      <c r="AN422"/>
      <c r="AO422"/>
      <c r="AP422"/>
      <c r="AQ422"/>
      <c r="AR422"/>
    </row>
    <row r="423" spans="1:44" ht="15" customHeight="1" x14ac:dyDescent="0.3">
      <c r="A423" s="2">
        <v>4.22</v>
      </c>
      <c r="B423" s="1">
        <f t="shared" si="96"/>
        <v>6.0255958607435738E-5</v>
      </c>
      <c r="C423" s="1">
        <f t="shared" si="97"/>
        <v>1.6761827765119372E-10</v>
      </c>
      <c r="D423" s="1">
        <f t="shared" si="98"/>
        <v>1.9860542658237959E-2</v>
      </c>
      <c r="E423" s="1">
        <f t="shared" si="99"/>
        <v>2.3242890293673933E-5</v>
      </c>
      <c r="F423" s="1">
        <f t="shared" si="100"/>
        <v>8.8337782498133406E-3</v>
      </c>
      <c r="G423" s="1">
        <f t="shared" si="101"/>
        <v>5.8174833297594273E-3</v>
      </c>
      <c r="H423" s="1">
        <f t="shared" si="109"/>
        <v>5.8174833297594271E-2</v>
      </c>
      <c r="J423" s="2">
        <v>8.2100000000000009</v>
      </c>
      <c r="K423" s="1">
        <v>6.1659500186148016E-9</v>
      </c>
      <c r="L423" s="1">
        <v>1.6380281983325244E-6</v>
      </c>
      <c r="M423" s="1">
        <v>1.879104214580449E-4</v>
      </c>
      <c r="N423" s="1">
        <v>3.3020149297569926E-3</v>
      </c>
      <c r="O423" s="1">
        <v>0.98864879307838538</v>
      </c>
      <c r="P423" s="1">
        <v>0.98874652117201167</v>
      </c>
      <c r="Q423" s="2">
        <v>9.8874652117201158</v>
      </c>
      <c r="S423" s="2">
        <v>4.22</v>
      </c>
      <c r="T423" s="1">
        <f t="shared" si="102"/>
        <v>6.0255958607435738E-5</v>
      </c>
      <c r="U423" s="1">
        <f t="shared" si="103"/>
        <v>1.6761827765119372E-10</v>
      </c>
      <c r="V423" s="1">
        <f t="shared" si="104"/>
        <v>2.7350836333323654E-3</v>
      </c>
      <c r="W423" s="1">
        <f t="shared" si="105"/>
        <v>3.2421638788889214E-2</v>
      </c>
      <c r="X423" s="1">
        <f t="shared" si="106"/>
        <v>0.95863558431686346</v>
      </c>
      <c r="Y423" s="1">
        <f t="shared" si="107"/>
        <v>0.95952722758712461</v>
      </c>
      <c r="Z423" s="1">
        <f t="shared" si="108"/>
        <v>47.976361379356234</v>
      </c>
      <c r="AB423">
        <v>5.53</v>
      </c>
      <c r="AC423">
        <v>2.951209226666379E-6</v>
      </c>
      <c r="AD423">
        <v>3.4223259770059532E-9</v>
      </c>
      <c r="AE423">
        <v>3.6997629401728099E-2</v>
      </c>
      <c r="AF423">
        <v>2.1000790199423965E-2</v>
      </c>
      <c r="AG423">
        <v>0.53163357858854188</v>
      </c>
      <c r="AH423">
        <v>0.53167089272001389</v>
      </c>
      <c r="AI423">
        <v>26.583544636000696</v>
      </c>
      <c r="AJ423"/>
      <c r="AK423"/>
      <c r="AL423"/>
      <c r="AM423"/>
      <c r="AN423"/>
      <c r="AO423"/>
      <c r="AP423"/>
      <c r="AQ423"/>
      <c r="AR423"/>
    </row>
    <row r="424" spans="1:44" ht="15" customHeight="1" x14ac:dyDescent="0.3">
      <c r="A424" s="2">
        <v>4.2300000000000004</v>
      </c>
      <c r="B424" s="1">
        <f t="shared" si="96"/>
        <v>5.8884365535558766E-5</v>
      </c>
      <c r="C424" s="1">
        <f t="shared" si="97"/>
        <v>1.7152260889863656E-10</v>
      </c>
      <c r="D424" s="1">
        <f t="shared" si="98"/>
        <v>1.9854020486432963E-2</v>
      </c>
      <c r="E424" s="1">
        <f t="shared" si="99"/>
        <v>2.4329918927839313E-5</v>
      </c>
      <c r="F424" s="1">
        <f t="shared" si="100"/>
        <v>9.0376837382396616E-3</v>
      </c>
      <c r="G424" s="1">
        <f t="shared" si="101"/>
        <v>6.0898880560940477E-3</v>
      </c>
      <c r="H424" s="1">
        <f t="shared" si="109"/>
        <v>6.0898880560940477E-2</v>
      </c>
      <c r="J424" s="2">
        <v>8.2200000000000006</v>
      </c>
      <c r="K424" s="1">
        <v>6.0255958607435582E-9</v>
      </c>
      <c r="L424" s="1">
        <v>1.6761827765119416E-6</v>
      </c>
      <c r="M424" s="1">
        <v>1.8359751407327551E-4</v>
      </c>
      <c r="N424" s="1">
        <v>3.3027337476544539E-3</v>
      </c>
      <c r="O424" s="1">
        <v>0.98890431113369226</v>
      </c>
      <c r="P424" s="1">
        <v>0.98900433691967482</v>
      </c>
      <c r="Q424" s="2">
        <v>9.8900433691967482</v>
      </c>
      <c r="S424" s="2">
        <v>4.2300000000000004</v>
      </c>
      <c r="T424" s="1">
        <f t="shared" si="102"/>
        <v>5.8884365535558766E-5</v>
      </c>
      <c r="U424" s="1">
        <f t="shared" si="103"/>
        <v>1.7152260889863656E-10</v>
      </c>
      <c r="V424" s="1">
        <f t="shared" si="104"/>
        <v>2.7997248195026315E-3</v>
      </c>
      <c r="W424" s="1">
        <f t="shared" si="105"/>
        <v>3.2400091726832461E-2</v>
      </c>
      <c r="X424" s="1">
        <f t="shared" si="106"/>
        <v>0.95771282703573934</v>
      </c>
      <c r="Y424" s="1">
        <f t="shared" si="107"/>
        <v>0.95858389617646955</v>
      </c>
      <c r="Z424" s="1">
        <f t="shared" si="108"/>
        <v>47.929194808823482</v>
      </c>
      <c r="AB424">
        <v>5.54</v>
      </c>
      <c r="AC424">
        <v>2.8840315031265995E-6</v>
      </c>
      <c r="AD424">
        <v>3.5020421895705771E-9</v>
      </c>
      <c r="AE424">
        <v>3.7536028136755155E-2</v>
      </c>
      <c r="AF424">
        <v>2.0821323954414949E-2</v>
      </c>
      <c r="AG424">
        <v>0.52589623190208379</v>
      </c>
      <c r="AH424">
        <v>0.52593261201861008</v>
      </c>
      <c r="AI424">
        <v>26.296630600930502</v>
      </c>
      <c r="AJ424"/>
      <c r="AK424"/>
      <c r="AL424"/>
      <c r="AM424"/>
      <c r="AN424"/>
      <c r="AO424"/>
      <c r="AP424"/>
      <c r="AQ424"/>
      <c r="AR424"/>
    </row>
    <row r="425" spans="1:44" ht="15" customHeight="1" x14ac:dyDescent="0.3">
      <c r="A425" s="2">
        <v>4.24</v>
      </c>
      <c r="B425" s="1">
        <f t="shared" si="96"/>
        <v>5.7543993733715576E-5</v>
      </c>
      <c r="C425" s="1">
        <f t="shared" si="97"/>
        <v>1.7551788370368726E-10</v>
      </c>
      <c r="D425" s="1">
        <f t="shared" si="98"/>
        <v>1.9847424684688249E-2</v>
      </c>
      <c r="E425" s="1">
        <f t="shared" si="99"/>
        <v>2.5429219218624624E-5</v>
      </c>
      <c r="F425" s="1">
        <f t="shared" si="100"/>
        <v>9.2462519638547239E-3</v>
      </c>
      <c r="G425" s="1">
        <f t="shared" si="101"/>
        <v>6.3653981599172743E-3</v>
      </c>
      <c r="H425" s="1">
        <f t="shared" si="109"/>
        <v>6.3653981599172738E-2</v>
      </c>
      <c r="J425" s="2">
        <v>8.23</v>
      </c>
      <c r="K425" s="1">
        <v>5.8884365535558713E-9</v>
      </c>
      <c r="L425" s="1">
        <v>1.715226088986367E-6</v>
      </c>
      <c r="M425" s="1">
        <v>1.7937924063843492E-4</v>
      </c>
      <c r="N425" s="1">
        <v>3.3034367932269276E-3</v>
      </c>
      <c r="O425" s="1">
        <v>0.98915414052291872</v>
      </c>
      <c r="P425" s="1">
        <v>0.989256517139667</v>
      </c>
      <c r="Q425" s="2">
        <v>9.8925651713966687</v>
      </c>
      <c r="S425" s="2">
        <v>4.24</v>
      </c>
      <c r="T425" s="1">
        <f t="shared" si="102"/>
        <v>5.7543993733715576E-5</v>
      </c>
      <c r="U425" s="1">
        <f t="shared" si="103"/>
        <v>1.7551788370368726E-10</v>
      </c>
      <c r="V425" s="1">
        <f t="shared" si="104"/>
        <v>2.8657233160834339E-3</v>
      </c>
      <c r="W425" s="1">
        <f t="shared" si="105"/>
        <v>3.2378092227972187E-2</v>
      </c>
      <c r="X425" s="1">
        <f t="shared" si="106"/>
        <v>0.95677041316026723</v>
      </c>
      <c r="Y425" s="1">
        <f t="shared" si="107"/>
        <v>0.95762137729469876</v>
      </c>
      <c r="Z425" s="1">
        <f t="shared" si="108"/>
        <v>47.881068864734942</v>
      </c>
      <c r="AB425">
        <v>5.55</v>
      </c>
      <c r="AC425">
        <v>2.818382931264453E-6</v>
      </c>
      <c r="AD425">
        <v>3.583615231259113E-9</v>
      </c>
      <c r="AE425">
        <v>3.8077523201697126E-2</v>
      </c>
      <c r="AF425">
        <v>2.0640825599434292E-2</v>
      </c>
      <c r="AG425">
        <v>0.52015203927396569</v>
      </c>
      <c r="AH425">
        <v>0.52018750838434002</v>
      </c>
      <c r="AI425">
        <v>26.009375419217005</v>
      </c>
      <c r="AJ425"/>
      <c r="AK425"/>
      <c r="AL425"/>
      <c r="AM425"/>
      <c r="AN425"/>
      <c r="AO425"/>
      <c r="AP425"/>
      <c r="AQ425"/>
      <c r="AR425"/>
    </row>
    <row r="426" spans="1:44" ht="15" customHeight="1" x14ac:dyDescent="0.3">
      <c r="A426" s="2">
        <v>4.25</v>
      </c>
      <c r="B426" s="1">
        <f t="shared" si="96"/>
        <v>5.6234132519034887E-5</v>
      </c>
      <c r="C426" s="1">
        <f t="shared" si="97"/>
        <v>1.7960622041393126E-10</v>
      </c>
      <c r="D426" s="1">
        <f t="shared" si="98"/>
        <v>1.9840751927688353E-2</v>
      </c>
      <c r="E426" s="1">
        <f t="shared" si="99"/>
        <v>2.6541345385274053E-5</v>
      </c>
      <c r="F426" s="1">
        <f t="shared" si="100"/>
        <v>9.459587500912435E-3</v>
      </c>
      <c r="G426" s="1">
        <f t="shared" si="101"/>
        <v>6.6441535850732267E-3</v>
      </c>
      <c r="H426" s="1">
        <f t="shared" si="109"/>
        <v>6.6441535850732258E-2</v>
      </c>
      <c r="J426" s="2">
        <v>8.24</v>
      </c>
      <c r="K426" s="1">
        <v>5.754399373371552E-9</v>
      </c>
      <c r="L426" s="1">
        <v>1.7551788370368745E-6</v>
      </c>
      <c r="M426" s="1">
        <v>1.7525348524180504E-4</v>
      </c>
      <c r="N426" s="1">
        <v>3.3041244191263659E-3</v>
      </c>
      <c r="O426" s="1">
        <v>0.98939840508381394</v>
      </c>
      <c r="P426" s="1">
        <v>0.98950318691626038</v>
      </c>
      <c r="Q426" s="2">
        <v>9.8950318691626027</v>
      </c>
      <c r="S426" s="2">
        <v>4.25</v>
      </c>
      <c r="T426" s="1">
        <f t="shared" si="102"/>
        <v>5.6234132519034887E-5</v>
      </c>
      <c r="U426" s="1">
        <f t="shared" si="103"/>
        <v>1.7960622041393126E-10</v>
      </c>
      <c r="V426" s="1">
        <f t="shared" si="104"/>
        <v>2.9331083392296654E-3</v>
      </c>
      <c r="W426" s="1">
        <f t="shared" si="105"/>
        <v>3.2355630553590108E-2</v>
      </c>
      <c r="X426" s="1">
        <f t="shared" si="106"/>
        <v>0.95580796573895588</v>
      </c>
      <c r="Y426" s="1">
        <f t="shared" si="107"/>
        <v>0.95663928331014503</v>
      </c>
      <c r="Z426" s="1">
        <f t="shared" si="108"/>
        <v>47.831964165507245</v>
      </c>
      <c r="AB426">
        <v>5.56</v>
      </c>
      <c r="AC426">
        <v>2.7542287033381663E-6</v>
      </c>
      <c r="AD426">
        <v>3.6670883531780233E-9</v>
      </c>
      <c r="AE426">
        <v>3.862199670579651E-2</v>
      </c>
      <c r="AF426">
        <v>2.0459334431401164E-2</v>
      </c>
      <c r="AG426">
        <v>0.51440251359098743</v>
      </c>
      <c r="AH426">
        <v>0.51443709416175987</v>
      </c>
      <c r="AI426">
        <v>25.721854708087992</v>
      </c>
      <c r="AJ426"/>
      <c r="AK426"/>
      <c r="AL426"/>
      <c r="AM426"/>
      <c r="AN426"/>
      <c r="AO426"/>
      <c r="AP426"/>
      <c r="AQ426"/>
      <c r="AR426"/>
    </row>
    <row r="427" spans="1:44" ht="15" customHeight="1" x14ac:dyDescent="0.3">
      <c r="A427" s="2">
        <v>4.26</v>
      </c>
      <c r="B427" s="1">
        <f t="shared" si="96"/>
        <v>5.4954087385762447E-5</v>
      </c>
      <c r="C427" s="1">
        <f t="shared" si="97"/>
        <v>1.8378978671960834E-10</v>
      </c>
      <c r="D427" s="1">
        <f t="shared" si="98"/>
        <v>1.9833998857231364E-2</v>
      </c>
      <c r="E427" s="1">
        <f t="shared" si="99"/>
        <v>2.7666857128106239E-5</v>
      </c>
      <c r="F427" s="1">
        <f t="shared" si="100"/>
        <v>9.6777971734109229E-3</v>
      </c>
      <c r="G427" s="1">
        <f t="shared" si="101"/>
        <v>6.9262957237373416E-3</v>
      </c>
      <c r="H427" s="1">
        <f t="shared" si="109"/>
        <v>6.9262957237373413E-2</v>
      </c>
      <c r="J427" s="2">
        <v>8.25</v>
      </c>
      <c r="K427" s="1">
        <v>5.6234132519034744E-9</v>
      </c>
      <c r="L427" s="1">
        <v>1.7960622041393172E-6</v>
      </c>
      <c r="M427" s="1">
        <v>1.7121817569095617E-4</v>
      </c>
      <c r="N427" s="1">
        <v>3.3047969707181743E-3</v>
      </c>
      <c r="O427" s="1">
        <v>0.98963722608354021</v>
      </c>
      <c r="P427" s="1">
        <v>0.98974446879198441</v>
      </c>
      <c r="Q427" s="2">
        <v>9.8974446879198439</v>
      </c>
      <c r="S427" s="2">
        <v>4.26</v>
      </c>
      <c r="T427" s="1">
        <f t="shared" si="102"/>
        <v>5.4954087385762447E-5</v>
      </c>
      <c r="U427" s="1">
        <f t="shared" si="103"/>
        <v>1.8378978671960834E-10</v>
      </c>
      <c r="V427" s="1">
        <f t="shared" si="104"/>
        <v>3.0019095842590917E-3</v>
      </c>
      <c r="W427" s="1">
        <f t="shared" si="105"/>
        <v>3.2332696805246967E-2</v>
      </c>
      <c r="X427" s="1">
        <f t="shared" si="106"/>
        <v>0.9548251024714679</v>
      </c>
      <c r="Y427" s="1">
        <f t="shared" si="107"/>
        <v>0.95563722148613905</v>
      </c>
      <c r="Z427" s="1">
        <f t="shared" si="108"/>
        <v>47.78186107430696</v>
      </c>
      <c r="AB427">
        <v>5.57</v>
      </c>
      <c r="AC427">
        <v>2.6915348039269108E-6</v>
      </c>
      <c r="AD427">
        <v>3.7525058138814491E-9</v>
      </c>
      <c r="AE427">
        <v>3.9169327867716278E-2</v>
      </c>
      <c r="AF427">
        <v>2.027689071076124E-2</v>
      </c>
      <c r="AG427">
        <v>0.50864917337961957</v>
      </c>
      <c r="AH427">
        <v>0.50868288734690048</v>
      </c>
      <c r="AI427">
        <v>25.434144367345024</v>
      </c>
      <c r="AJ427"/>
      <c r="AK427"/>
      <c r="AL427"/>
      <c r="AM427"/>
      <c r="AN427"/>
      <c r="AO427"/>
      <c r="AP427"/>
      <c r="AQ427"/>
      <c r="AR427"/>
    </row>
    <row r="428" spans="1:44" ht="15" customHeight="1" x14ac:dyDescent="0.3">
      <c r="A428" s="2">
        <v>4.2699999999999996</v>
      </c>
      <c r="B428" s="1">
        <f t="shared" si="96"/>
        <v>5.370317963702527E-5</v>
      </c>
      <c r="C428" s="1">
        <f t="shared" si="97"/>
        <v>1.880708008029496E-10</v>
      </c>
      <c r="D428" s="1">
        <f t="shared" si="98"/>
        <v>1.982716208080856E-2</v>
      </c>
      <c r="E428" s="1">
        <f t="shared" si="99"/>
        <v>2.8806319865239759E-5</v>
      </c>
      <c r="F428" s="1">
        <f t="shared" si="100"/>
        <v>9.9009900990098959E-3</v>
      </c>
      <c r="G428" s="1">
        <f t="shared" si="101"/>
        <v>7.2119674784119825E-3</v>
      </c>
      <c r="H428" s="1">
        <f t="shared" si="109"/>
        <v>7.2119674784119819E-2</v>
      </c>
      <c r="J428" s="2">
        <v>8.26</v>
      </c>
      <c r="K428" s="1">
        <v>5.4954087385762298E-9</v>
      </c>
      <c r="L428" s="1">
        <v>1.8378978671960883E-6</v>
      </c>
      <c r="M428" s="1">
        <v>1.6727128264786212E-4</v>
      </c>
      <c r="N428" s="1">
        <v>3.3054547862253563E-3</v>
      </c>
      <c r="O428" s="1">
        <v>0.98987072226640893</v>
      </c>
      <c r="P428" s="1">
        <v>0.98998048281603712</v>
      </c>
      <c r="Q428" s="2">
        <v>9.8998048281603701</v>
      </c>
      <c r="S428" s="2">
        <v>4.2699999999999996</v>
      </c>
      <c r="T428" s="1">
        <f t="shared" si="102"/>
        <v>5.370317963702527E-5</v>
      </c>
      <c r="U428" s="1">
        <f t="shared" si="103"/>
        <v>1.880708008029496E-10</v>
      </c>
      <c r="V428" s="1">
        <f t="shared" si="104"/>
        <v>3.0721572304375864E-3</v>
      </c>
      <c r="W428" s="1">
        <f t="shared" si="105"/>
        <v>3.2309280923187474E-2</v>
      </c>
      <c r="X428" s="1">
        <f t="shared" si="106"/>
        <v>0.95382143572065281</v>
      </c>
      <c r="Y428" s="1">
        <f t="shared" si="107"/>
        <v>0.95461479398746762</v>
      </c>
      <c r="Z428" s="1">
        <f t="shared" si="108"/>
        <v>47.73073969937338</v>
      </c>
      <c r="AB428">
        <v>5.58</v>
      </c>
      <c r="AC428">
        <v>2.630267991895377E-6</v>
      </c>
      <c r="AD428">
        <v>3.8399129028376749E-9</v>
      </c>
      <c r="AE428">
        <v>3.9719393109666025E-2</v>
      </c>
      <c r="AF428">
        <v>2.0093535630111323E-2</v>
      </c>
      <c r="AG428">
        <v>0.50289354120498975</v>
      </c>
      <c r="AH428">
        <v>0.50292640998600391</v>
      </c>
      <c r="AI428">
        <v>25.146320499300199</v>
      </c>
      <c r="AJ428"/>
      <c r="AK428"/>
      <c r="AL428"/>
      <c r="AM428"/>
      <c r="AN428"/>
      <c r="AO428"/>
      <c r="AP428"/>
      <c r="AQ428"/>
      <c r="AR428"/>
    </row>
    <row r="429" spans="1:44" ht="15" customHeight="1" x14ac:dyDescent="0.3">
      <c r="A429" s="2">
        <v>4.28</v>
      </c>
      <c r="B429" s="1">
        <f t="shared" si="96"/>
        <v>5.2480746024977172E-5</v>
      </c>
      <c r="C429" s="1">
        <f t="shared" si="97"/>
        <v>1.9245153251428827E-10</v>
      </c>
      <c r="D429" s="1">
        <f t="shared" si="98"/>
        <v>1.9820238170181973E-2</v>
      </c>
      <c r="E429" s="1">
        <f t="shared" si="99"/>
        <v>2.9960304969671137E-5</v>
      </c>
      <c r="F429" s="1">
        <f t="shared" si="100"/>
        <v>1.0129277733591062E-2</v>
      </c>
      <c r="G429" s="1">
        <f t="shared" si="101"/>
        <v>7.5013133241610304E-3</v>
      </c>
      <c r="H429" s="1">
        <f t="shared" si="109"/>
        <v>7.5013133241610297E-2</v>
      </c>
      <c r="J429" s="2">
        <v>8.27</v>
      </c>
      <c r="K429" s="1">
        <v>5.3703179637025321E-9</v>
      </c>
      <c r="L429" s="1">
        <v>1.8807080080294942E-6</v>
      </c>
      <c r="M429" s="1">
        <v>1.6341081877656443E-4</v>
      </c>
      <c r="N429" s="1">
        <v>3.3060981968705723E-3</v>
      </c>
      <c r="O429" s="1">
        <v>0.99009900990099009</v>
      </c>
      <c r="P429" s="1">
        <v>0.9902113465920872</v>
      </c>
      <c r="Q429" s="2">
        <v>9.9021134659208716</v>
      </c>
      <c r="S429" s="2">
        <v>4.28</v>
      </c>
      <c r="T429" s="1">
        <f t="shared" si="102"/>
        <v>5.2480746024977172E-5</v>
      </c>
      <c r="U429" s="1">
        <f t="shared" si="103"/>
        <v>1.9245153251428827E-10</v>
      </c>
      <c r="V429" s="1">
        <f t="shared" si="104"/>
        <v>3.1438819455776052E-3</v>
      </c>
      <c r="W429" s="1">
        <f t="shared" si="105"/>
        <v>3.2285372684807467E-2</v>
      </c>
      <c r="X429" s="1">
        <f t="shared" si="106"/>
        <v>0.9527965725297004</v>
      </c>
      <c r="Y429" s="1">
        <f t="shared" si="107"/>
        <v>0.95357159789208135</v>
      </c>
      <c r="Z429" s="1">
        <f t="shared" si="108"/>
        <v>47.67857989460407</v>
      </c>
      <c r="AB429">
        <v>5.59</v>
      </c>
      <c r="AC429">
        <v>2.5703957827688596E-6</v>
      </c>
      <c r="AD429">
        <v>3.9293559644422403E-9</v>
      </c>
      <c r="AE429">
        <v>4.0272066157155416E-2</v>
      </c>
      <c r="AF429">
        <v>1.9909311280948194E-2</v>
      </c>
      <c r="AG429">
        <v>0.49713714206078763</v>
      </c>
      <c r="AH429">
        <v>0.4971691865651845</v>
      </c>
      <c r="AI429">
        <v>24.858459328259226</v>
      </c>
      <c r="AJ429"/>
      <c r="AK429"/>
      <c r="AL429"/>
      <c r="AM429"/>
      <c r="AN429"/>
      <c r="AO429"/>
      <c r="AP429"/>
      <c r="AQ429"/>
      <c r="AR429"/>
    </row>
    <row r="430" spans="1:44" ht="15" customHeight="1" x14ac:dyDescent="0.3">
      <c r="A430" s="2">
        <v>4.29</v>
      </c>
      <c r="B430" s="1">
        <f t="shared" si="96"/>
        <v>5.12861383991364E-5</v>
      </c>
      <c r="C430" s="1">
        <f t="shared" si="97"/>
        <v>1.9693430457556288E-10</v>
      </c>
      <c r="D430" s="1">
        <f t="shared" si="98"/>
        <v>1.981322365995972E-2</v>
      </c>
      <c r="E430" s="1">
        <f t="shared" si="99"/>
        <v>3.11293900067134E-5</v>
      </c>
      <c r="F430" s="1">
        <f t="shared" si="100"/>
        <v>1.0362773916459785E-2</v>
      </c>
      <c r="G430" s="1">
        <f t="shared" si="101"/>
        <v>7.7944793710904483E-3</v>
      </c>
      <c r="H430" s="1">
        <f t="shared" si="109"/>
        <v>7.7944793710904473E-2</v>
      </c>
      <c r="J430" s="2">
        <v>8.2799999999999994</v>
      </c>
      <c r="K430" s="1">
        <v>5.2480746024977305E-9</v>
      </c>
      <c r="L430" s="1">
        <v>1.9245153251428779E-6</v>
      </c>
      <c r="M430" s="1">
        <v>1.5963483790347834E-4</v>
      </c>
      <c r="N430" s="1">
        <v>3.3067275270160868E-3</v>
      </c>
      <c r="O430" s="1">
        <v>0.99032220282658912</v>
      </c>
      <c r="P430" s="1">
        <v>0.99043717532545938</v>
      </c>
      <c r="Q430" s="2">
        <v>9.9043717532545941</v>
      </c>
      <c r="S430" s="2">
        <v>4.29</v>
      </c>
      <c r="T430" s="1">
        <f t="shared" si="102"/>
        <v>5.12861383991364E-5</v>
      </c>
      <c r="U430" s="1">
        <f t="shared" si="103"/>
        <v>1.9693430457556288E-10</v>
      </c>
      <c r="V430" s="1">
        <f t="shared" si="104"/>
        <v>3.2171148904369478E-3</v>
      </c>
      <c r="W430" s="1">
        <f t="shared" si="105"/>
        <v>3.2260961703187679E-2</v>
      </c>
      <c r="X430" s="1">
        <f t="shared" si="106"/>
        <v>0.95175011464466586</v>
      </c>
      <c r="Y430" s="1">
        <f t="shared" si="107"/>
        <v>0.95250722520829845</v>
      </c>
      <c r="Z430" s="1">
        <f t="shared" si="108"/>
        <v>47.625361260414927</v>
      </c>
      <c r="AB430">
        <v>5.6</v>
      </c>
      <c r="AC430">
        <v>2.5118864315095806E-6</v>
      </c>
      <c r="AD430">
        <v>4.0208824225903214E-9</v>
      </c>
      <c r="AE430">
        <v>4.0827218144235289E-2</v>
      </c>
      <c r="AF430">
        <v>1.9724260618588237E-2</v>
      </c>
      <c r="AG430">
        <v>0.49138150175370787</v>
      </c>
      <c r="AH430">
        <v>0.49141274239463395</v>
      </c>
      <c r="AI430">
        <v>24.5706371197317</v>
      </c>
      <c r="AJ430"/>
      <c r="AK430"/>
      <c r="AL430"/>
      <c r="AM430"/>
      <c r="AN430"/>
      <c r="AO430"/>
      <c r="AP430"/>
      <c r="AQ430"/>
      <c r="AR430"/>
    </row>
    <row r="431" spans="1:44" ht="15" customHeight="1" x14ac:dyDescent="0.3">
      <c r="A431" s="2">
        <v>4.3</v>
      </c>
      <c r="B431" s="1">
        <f t="shared" si="96"/>
        <v>5.0118723362727238E-5</v>
      </c>
      <c r="C431" s="1">
        <f t="shared" si="97"/>
        <v>2.0152149381185678E-10</v>
      </c>
      <c r="D431" s="1">
        <f t="shared" si="98"/>
        <v>1.9806115046169186E-2</v>
      </c>
      <c r="E431" s="1">
        <f t="shared" si="99"/>
        <v>3.2314158971802203E-5</v>
      </c>
      <c r="F431" s="1">
        <f t="shared" si="100"/>
        <v>1.0601594916186036E-2</v>
      </c>
      <c r="G431" s="1">
        <f t="shared" si="101"/>
        <v>8.0916134270816054E-3</v>
      </c>
      <c r="H431" s="1">
        <f t="shared" si="109"/>
        <v>8.0916134270816051E-2</v>
      </c>
      <c r="J431" s="2">
        <v>8.2899999999999991</v>
      </c>
      <c r="K431" s="1">
        <v>5.1286138399136542E-9</v>
      </c>
      <c r="L431" s="1">
        <v>1.9693430457556234E-6</v>
      </c>
      <c r="M431" s="1">
        <v>1.5594143419024798E-4</v>
      </c>
      <c r="N431" s="1">
        <v>3.3073430943016259E-3</v>
      </c>
      <c r="O431" s="1">
        <v>0.99054041249908764</v>
      </c>
      <c r="P431" s="1">
        <v>0.99065808186969839</v>
      </c>
      <c r="Q431" s="2">
        <v>9.9065808186969839</v>
      </c>
      <c r="S431" s="2">
        <v>4.3</v>
      </c>
      <c r="T431" s="1">
        <f t="shared" si="102"/>
        <v>5.0118723362727238E-5</v>
      </c>
      <c r="U431" s="1">
        <f t="shared" si="103"/>
        <v>2.0152149381185678E-10</v>
      </c>
      <c r="V431" s="1">
        <f t="shared" si="104"/>
        <v>3.2918877229030879E-3</v>
      </c>
      <c r="W431" s="1">
        <f t="shared" si="105"/>
        <v>3.2236037425698971E-2</v>
      </c>
      <c r="X431" s="1">
        <f t="shared" si="106"/>
        <v>0.95068165854262254</v>
      </c>
      <c r="Y431" s="1">
        <f t="shared" si="107"/>
        <v>0.95142126289775864</v>
      </c>
      <c r="Z431" s="1">
        <f t="shared" si="108"/>
        <v>47.57106314488793</v>
      </c>
      <c r="AB431">
        <v>5.61</v>
      </c>
      <c r="AC431">
        <v>2.4547089156850267E-6</v>
      </c>
      <c r="AD431">
        <v>4.1145408058215441E-9</v>
      </c>
      <c r="AE431">
        <v>4.1384717724068515E-2</v>
      </c>
      <c r="AF431">
        <v>1.9538427425310496E-2</v>
      </c>
      <c r="AG431">
        <v>0.48562814528605919</v>
      </c>
      <c r="AH431">
        <v>0.48565860199099875</v>
      </c>
      <c r="AI431">
        <v>24.282930099549937</v>
      </c>
      <c r="AJ431"/>
      <c r="AK431"/>
      <c r="AL431"/>
      <c r="AM431"/>
      <c r="AN431"/>
      <c r="AO431"/>
      <c r="AP431"/>
      <c r="AQ431"/>
      <c r="AR431"/>
    </row>
    <row r="432" spans="1:44" ht="15" customHeight="1" x14ac:dyDescent="0.3">
      <c r="A432" s="2">
        <v>4.3099999999999996</v>
      </c>
      <c r="B432" s="1">
        <f t="shared" si="96"/>
        <v>4.8977881936844635E-5</v>
      </c>
      <c r="C432" s="1">
        <f t="shared" si="97"/>
        <v>2.0621553241162238E-10</v>
      </c>
      <c r="D432" s="1">
        <f t="shared" si="98"/>
        <v>1.9798908784827991E-2</v>
      </c>
      <c r="E432" s="1">
        <f t="shared" si="99"/>
        <v>3.3515202528668444E-5</v>
      </c>
      <c r="F432" s="1">
        <f t="shared" si="100"/>
        <v>1.0845859477081315E-2</v>
      </c>
      <c r="G432" s="1">
        <f t="shared" si="101"/>
        <v>8.3928650607825069E-3</v>
      </c>
      <c r="H432" s="1">
        <f t="shared" si="109"/>
        <v>8.3928650607825062E-2</v>
      </c>
      <c r="J432" s="2">
        <v>8.3000000000000007</v>
      </c>
      <c r="K432" s="1">
        <v>5.0118723362727114E-9</v>
      </c>
      <c r="L432" s="1">
        <v>2.0152149381185727E-6</v>
      </c>
      <c r="M432" s="1">
        <v>1.5232874131906104E-4</v>
      </c>
      <c r="N432" s="1">
        <v>3.3079452097801564E-3</v>
      </c>
      <c r="O432" s="1">
        <v>0.99075374803614524</v>
      </c>
      <c r="P432" s="1">
        <v>0.99087417677251388</v>
      </c>
      <c r="Q432" s="2">
        <v>9.9087417677251377</v>
      </c>
      <c r="S432" s="2">
        <v>4.3099999999999996</v>
      </c>
      <c r="T432" s="1">
        <f t="shared" si="102"/>
        <v>4.8977881936844635E-5</v>
      </c>
      <c r="U432" s="1">
        <f t="shared" si="103"/>
        <v>2.0621553241162238E-10</v>
      </c>
      <c r="V432" s="1">
        <f t="shared" si="104"/>
        <v>3.3682326019484287E-3</v>
      </c>
      <c r="W432" s="1">
        <f t="shared" si="105"/>
        <v>3.2210589132683855E-2</v>
      </c>
      <c r="X432" s="1">
        <f t="shared" si="106"/>
        <v>0.94959079546570735</v>
      </c>
      <c r="Y432" s="1">
        <f t="shared" si="107"/>
        <v>0.95031329290438804</v>
      </c>
      <c r="Z432" s="1">
        <f t="shared" si="108"/>
        <v>47.515664645219402</v>
      </c>
      <c r="AB432">
        <v>5.62</v>
      </c>
      <c r="AC432">
        <v>2.3988329190194872E-6</v>
      </c>
      <c r="AD432">
        <v>4.2103807730503927E-9</v>
      </c>
      <c r="AE432">
        <v>4.1944431184653512E-2</v>
      </c>
      <c r="AF432">
        <v>1.9351856271782163E-2</v>
      </c>
      <c r="AG432">
        <v>0.4798785952401895</v>
      </c>
      <c r="AH432">
        <v>0.47990828746157921</v>
      </c>
      <c r="AI432">
        <v>23.995414373078962</v>
      </c>
      <c r="AJ432"/>
      <c r="AK432"/>
      <c r="AL432"/>
      <c r="AM432"/>
      <c r="AN432"/>
      <c r="AO432"/>
      <c r="AP432"/>
      <c r="AQ432"/>
      <c r="AR432"/>
    </row>
    <row r="433" spans="1:44" ht="15" customHeight="1" x14ac:dyDescent="0.3">
      <c r="A433" s="2">
        <v>4.32</v>
      </c>
      <c r="B433" s="1">
        <f t="shared" si="96"/>
        <v>4.786300923226377E-5</v>
      </c>
      <c r="C433" s="1">
        <f t="shared" si="97"/>
        <v>2.1101890921625825E-10</v>
      </c>
      <c r="D433" s="1">
        <f t="shared" si="98"/>
        <v>1.9791601290512759E-2</v>
      </c>
      <c r="E433" s="1">
        <f t="shared" si="99"/>
        <v>3.4733118247873042E-5</v>
      </c>
      <c r="F433" s="1">
        <f t="shared" si="100"/>
        <v>1.1095688866307742E-2</v>
      </c>
      <c r="G433" s="1">
        <f t="shared" si="101"/>
        <v>8.6983856648614223E-3</v>
      </c>
      <c r="H433" s="1">
        <f t="shared" si="109"/>
        <v>8.6983856648614216E-2</v>
      </c>
      <c r="J433" s="2">
        <v>8.31</v>
      </c>
      <c r="K433" s="1">
        <v>4.8977881936844509E-9</v>
      </c>
      <c r="L433" s="1">
        <v>2.0621553241162291E-6</v>
      </c>
      <c r="M433" s="1">
        <v>1.4879493169048217E-4</v>
      </c>
      <c r="N433" s="1">
        <v>3.3085341780515862E-3</v>
      </c>
      <c r="O433" s="1">
        <v>0.99096231626176046</v>
      </c>
      <c r="P433" s="1">
        <v>0.9910855683210984</v>
      </c>
      <c r="Q433" s="2">
        <v>9.9108556832109826</v>
      </c>
      <c r="S433" s="2">
        <v>4.32</v>
      </c>
      <c r="T433" s="1">
        <f t="shared" si="102"/>
        <v>4.786300923226377E-5</v>
      </c>
      <c r="U433" s="1">
        <f t="shared" si="103"/>
        <v>2.1101890921625825E-10</v>
      </c>
      <c r="V433" s="1">
        <f t="shared" si="104"/>
        <v>3.4461821913410471E-3</v>
      </c>
      <c r="W433" s="1">
        <f t="shared" si="105"/>
        <v>3.2184605936219655E-2</v>
      </c>
      <c r="X433" s="1">
        <f t="shared" si="106"/>
        <v>0.94847711146132607</v>
      </c>
      <c r="Y433" s="1">
        <f t="shared" si="107"/>
        <v>0.9491828921896418</v>
      </c>
      <c r="Z433" s="1">
        <f t="shared" si="108"/>
        <v>47.459144609482088</v>
      </c>
      <c r="AB433">
        <v>5.63</v>
      </c>
      <c r="AC433">
        <v>2.3442288153199192E-6</v>
      </c>
      <c r="AD433">
        <v>4.3084531398960907E-9</v>
      </c>
      <c r="AE433">
        <v>4.2506222569507174E-2</v>
      </c>
      <c r="AF433">
        <v>1.916459247683094E-2</v>
      </c>
      <c r="AG433">
        <v>0.47413437016835042</v>
      </c>
      <c r="AH433">
        <v>0.47416331689397323</v>
      </c>
      <c r="AI433">
        <v>23.708165844698662</v>
      </c>
      <c r="AJ433"/>
      <c r="AK433"/>
      <c r="AL433"/>
      <c r="AM433"/>
      <c r="AN433"/>
      <c r="AO433"/>
      <c r="AP433"/>
      <c r="AQ433"/>
      <c r="AR433"/>
    </row>
    <row r="434" spans="1:44" ht="15" customHeight="1" x14ac:dyDescent="0.3">
      <c r="A434" s="2">
        <v>4.33</v>
      </c>
      <c r="B434" s="1">
        <f t="shared" si="96"/>
        <v>4.6773514128719762E-5</v>
      </c>
      <c r="C434" s="1">
        <f t="shared" si="97"/>
        <v>2.1593417103972569E-10</v>
      </c>
      <c r="D434" s="1">
        <f t="shared" si="98"/>
        <v>1.9784188934925832E-2</v>
      </c>
      <c r="E434" s="1">
        <f t="shared" si="99"/>
        <v>3.596851084569473E-5</v>
      </c>
      <c r="F434" s="1">
        <f t="shared" si="100"/>
        <v>1.1351206921614712E-2</v>
      </c>
      <c r="G434" s="1">
        <f t="shared" si="101"/>
        <v>9.0083285195264925E-3</v>
      </c>
      <c r="H434" s="1">
        <f t="shared" si="109"/>
        <v>9.0083285195264914E-2</v>
      </c>
      <c r="J434" s="2">
        <v>8.32</v>
      </c>
      <c r="K434" s="1">
        <v>4.7863009232263728E-9</v>
      </c>
      <c r="L434" s="1">
        <v>2.1101890921625845E-6</v>
      </c>
      <c r="M434" s="1">
        <v>1.4533821563367374E-4</v>
      </c>
      <c r="N434" s="1">
        <v>3.3091102973943879E-3</v>
      </c>
      <c r="O434" s="1">
        <v>0.99116622175018654</v>
      </c>
      <c r="P434" s="1">
        <v>0.99129236258681974</v>
      </c>
      <c r="Q434" s="2">
        <v>9.9129236258681974</v>
      </c>
      <c r="S434" s="2">
        <v>4.33</v>
      </c>
      <c r="T434" s="1">
        <f t="shared" si="102"/>
        <v>4.6773514128719762E-5</v>
      </c>
      <c r="U434" s="1">
        <f t="shared" si="103"/>
        <v>2.1593417103972569E-10</v>
      </c>
      <c r="V434" s="1">
        <f t="shared" si="104"/>
        <v>3.5257696630948791E-3</v>
      </c>
      <c r="W434" s="1">
        <f t="shared" si="105"/>
        <v>3.2158076778968377E-2</v>
      </c>
      <c r="X434" s="1">
        <f t="shared" si="106"/>
        <v>0.94734018742879744</v>
      </c>
      <c r="Y434" s="1">
        <f t="shared" si="107"/>
        <v>0.94802963277429808</v>
      </c>
      <c r="Z434" s="1">
        <f t="shared" si="108"/>
        <v>47.401481638714905</v>
      </c>
      <c r="AB434">
        <v>5.64</v>
      </c>
      <c r="AC434">
        <v>2.2908676527677705E-6</v>
      </c>
      <c r="AD434">
        <v>4.4088099056256807E-9</v>
      </c>
      <c r="AE434">
        <v>4.3069953803093891E-2</v>
      </c>
      <c r="AF434">
        <v>1.8976682065635367E-2</v>
      </c>
      <c r="AG434">
        <v>0.46839698299162824</v>
      </c>
      <c r="AH434">
        <v>0.4684252027547921</v>
      </c>
      <c r="AI434">
        <v>23.421260137739605</v>
      </c>
      <c r="AJ434"/>
      <c r="AK434"/>
      <c r="AL434"/>
      <c r="AM434"/>
      <c r="AN434"/>
      <c r="AO434"/>
      <c r="AP434"/>
      <c r="AQ434"/>
      <c r="AR434"/>
    </row>
    <row r="435" spans="1:44" ht="15" customHeight="1" x14ac:dyDescent="0.3">
      <c r="A435" s="2">
        <v>4.34</v>
      </c>
      <c r="B435" s="1">
        <f t="shared" si="96"/>
        <v>4.5708818961487455E-5</v>
      </c>
      <c r="C435" s="1">
        <f t="shared" si="97"/>
        <v>2.2096392401890503E-10</v>
      </c>
      <c r="D435" s="1">
        <f t="shared" si="98"/>
        <v>1.9776668045459862E-2</v>
      </c>
      <c r="E435" s="1">
        <f t="shared" si="99"/>
        <v>3.7221992423356264E-5</v>
      </c>
      <c r="F435" s="1">
        <f t="shared" si="100"/>
        <v>1.1612540099697583E-2</v>
      </c>
      <c r="G435" s="1">
        <f t="shared" si="101"/>
        <v>9.3228488563137559E-3</v>
      </c>
      <c r="H435" s="1">
        <f t="shared" si="109"/>
        <v>9.3228488563137549E-2</v>
      </c>
      <c r="J435" s="2">
        <v>8.33</v>
      </c>
      <c r="K435" s="1">
        <v>4.6773514128719724E-9</v>
      </c>
      <c r="L435" s="1">
        <v>2.1593417103972586E-6</v>
      </c>
      <c r="M435" s="1">
        <v>1.4195684062886702E-4</v>
      </c>
      <c r="N435" s="1">
        <v>3.3096738598951884E-3</v>
      </c>
      <c r="O435" s="1">
        <v>0.99136556686920752</v>
      </c>
      <c r="P435" s="1">
        <v>0.99149466346929183</v>
      </c>
      <c r="Q435" s="2">
        <v>9.9149466346929174</v>
      </c>
      <c r="S435" s="2">
        <v>4.34</v>
      </c>
      <c r="T435" s="1">
        <f t="shared" si="102"/>
        <v>4.5708818961487455E-5</v>
      </c>
      <c r="U435" s="1">
        <f t="shared" si="103"/>
        <v>2.2096392401890503E-10</v>
      </c>
      <c r="V435" s="1">
        <f t="shared" si="104"/>
        <v>3.6070287006427981E-3</v>
      </c>
      <c r="W435" s="1">
        <f t="shared" si="105"/>
        <v>3.2130990433119067E-2</v>
      </c>
      <c r="X435" s="1">
        <f t="shared" si="106"/>
        <v>0.94617959917271499</v>
      </c>
      <c r="Y435" s="1">
        <f t="shared" si="107"/>
        <v>0.9468530817870815</v>
      </c>
      <c r="Z435" s="1">
        <f t="shared" si="108"/>
        <v>47.342654089354077</v>
      </c>
      <c r="AB435">
        <v>5.65</v>
      </c>
      <c r="AC435">
        <v>2.2387211385683329E-6</v>
      </c>
      <c r="AD435">
        <v>4.5115042807247405E-9</v>
      </c>
      <c r="AE435">
        <v>4.3635484820772806E-2</v>
      </c>
      <c r="AF435">
        <v>1.8788171726409064E-2</v>
      </c>
      <c r="AG435">
        <v>0.46266793941151141</v>
      </c>
      <c r="AH435">
        <v>0.46269545030101827</v>
      </c>
      <c r="AI435">
        <v>23.134772515050916</v>
      </c>
      <c r="AJ435"/>
      <c r="AK435"/>
      <c r="AL435"/>
      <c r="AM435"/>
      <c r="AN435"/>
      <c r="AO435"/>
      <c r="AP435"/>
      <c r="AQ435"/>
      <c r="AR435"/>
    </row>
    <row r="436" spans="1:44" ht="15" customHeight="1" x14ac:dyDescent="0.3">
      <c r="A436" s="2">
        <v>4.3499999999999996</v>
      </c>
      <c r="B436" s="1">
        <f t="shared" si="96"/>
        <v>4.4668359215096341E-5</v>
      </c>
      <c r="C436" s="1">
        <f t="shared" si="97"/>
        <v>2.2611083499540212E-10</v>
      </c>
      <c r="D436" s="1">
        <f t="shared" si="98"/>
        <v>1.9769034903760599E-2</v>
      </c>
      <c r="E436" s="1">
        <f t="shared" si="99"/>
        <v>3.8494182706566925E-5</v>
      </c>
      <c r="F436" s="1">
        <f t="shared" si="100"/>
        <v>1.1879817525171532E-2</v>
      </c>
      <c r="G436" s="1">
        <f t="shared" si="101"/>
        <v>9.6421039221444692E-3</v>
      </c>
      <c r="H436" s="1">
        <f t="shared" si="109"/>
        <v>9.6421039221444682E-2</v>
      </c>
      <c r="J436" s="2">
        <v>8.34</v>
      </c>
      <c r="K436" s="1">
        <v>4.570881896148741E-9</v>
      </c>
      <c r="L436" s="1">
        <v>2.2096392401890523E-6</v>
      </c>
      <c r="M436" s="1">
        <v>1.3864909054218331E-4</v>
      </c>
      <c r="N436" s="1">
        <v>3.3102251515763027E-3</v>
      </c>
      <c r="O436" s="1">
        <v>0.99156045182276509</v>
      </c>
      <c r="P436" s="1">
        <v>0.99169257273981271</v>
      </c>
      <c r="Q436" s="2">
        <v>9.9169257273981266</v>
      </c>
      <c r="S436" s="2">
        <v>4.3499999999999996</v>
      </c>
      <c r="T436" s="1">
        <f t="shared" si="102"/>
        <v>4.4668359215096341E-5</v>
      </c>
      <c r="U436" s="1">
        <f t="shared" si="103"/>
        <v>2.2611083499540212E-10</v>
      </c>
      <c r="V436" s="1">
        <f t="shared" si="104"/>
        <v>3.6899935017152123E-3</v>
      </c>
      <c r="W436" s="1">
        <f t="shared" si="105"/>
        <v>3.2103335499428259E-2</v>
      </c>
      <c r="X436" s="1">
        <f t="shared" si="106"/>
        <v>0.94499491746331599</v>
      </c>
      <c r="Y436" s="1">
        <f t="shared" si="107"/>
        <v>0.94565280152040232</v>
      </c>
      <c r="Z436" s="1">
        <f t="shared" si="108"/>
        <v>47.282640076020122</v>
      </c>
      <c r="AB436">
        <v>5.66</v>
      </c>
      <c r="AC436">
        <v>2.1877616239495505E-6</v>
      </c>
      <c r="AD436">
        <v>4.6165907151102417E-9</v>
      </c>
      <c r="AE436">
        <v>4.4202673703017767E-2</v>
      </c>
      <c r="AF436">
        <v>1.8599108765660746E-2</v>
      </c>
      <c r="AG436">
        <v>0.45694873633763083</v>
      </c>
      <c r="AH436">
        <v>0.45697555600754025</v>
      </c>
      <c r="AI436">
        <v>22.848777800377011</v>
      </c>
      <c r="AJ436"/>
      <c r="AK436"/>
      <c r="AL436"/>
      <c r="AM436"/>
      <c r="AN436"/>
      <c r="AO436"/>
      <c r="AP436"/>
      <c r="AQ436"/>
      <c r="AR436"/>
    </row>
    <row r="437" spans="1:44" ht="15" customHeight="1" x14ac:dyDescent="0.3">
      <c r="A437" s="2">
        <v>4.3600000000000003</v>
      </c>
      <c r="B437" s="1">
        <f t="shared" si="96"/>
        <v>4.3651583224016559E-5</v>
      </c>
      <c r="C437" s="1">
        <f t="shared" si="97"/>
        <v>2.3137763292954526E-10</v>
      </c>
      <c r="D437" s="1">
        <f t="shared" si="98"/>
        <v>1.9761285744287854E-2</v>
      </c>
      <c r="E437" s="1">
        <f t="shared" si="99"/>
        <v>3.9785709285357118E-5</v>
      </c>
      <c r="F437" s="1">
        <f t="shared" si="100"/>
        <v>1.2153171040153399E-2</v>
      </c>
      <c r="G437" s="1">
        <f t="shared" si="101"/>
        <v>9.9662530436522324E-3</v>
      </c>
      <c r="H437" s="1">
        <f t="shared" si="109"/>
        <v>9.9662530436522317E-2</v>
      </c>
      <c r="J437" s="2">
        <v>8.35</v>
      </c>
      <c r="K437" s="1">
        <v>4.4668359215096219E-9</v>
      </c>
      <c r="L437" s="1">
        <v>2.2611083499540276E-6</v>
      </c>
      <c r="M437" s="1">
        <v>1.3541328487249796E-4</v>
      </c>
      <c r="N437" s="1">
        <v>3.3107644525212504E-3</v>
      </c>
      <c r="O437" s="1">
        <v>0.99175097469294649</v>
      </c>
      <c r="P437" s="1">
        <v>0.99188619008418555</v>
      </c>
      <c r="Q437" s="2">
        <v>9.9188619008418542</v>
      </c>
      <c r="S437" s="2">
        <v>4.3600000000000003</v>
      </c>
      <c r="T437" s="1">
        <f t="shared" si="102"/>
        <v>4.3651583224016559E-5</v>
      </c>
      <c r="U437" s="1">
        <f t="shared" si="103"/>
        <v>2.3137763292954526E-10</v>
      </c>
      <c r="V437" s="1">
        <f t="shared" si="104"/>
        <v>3.7746987809064454E-3</v>
      </c>
      <c r="W437" s="1">
        <f t="shared" si="105"/>
        <v>3.2075100406364521E-2</v>
      </c>
      <c r="X437" s="1">
        <f t="shared" si="106"/>
        <v>0.94378570810415141</v>
      </c>
      <c r="Y437" s="1">
        <f t="shared" si="107"/>
        <v>0.94442834949350252</v>
      </c>
      <c r="Z437" s="1">
        <f t="shared" si="108"/>
        <v>47.221417474675121</v>
      </c>
      <c r="AB437">
        <v>5.67</v>
      </c>
      <c r="AC437">
        <v>2.1379620895022301E-6</v>
      </c>
      <c r="AD437">
        <v>4.7241249270007054E-9</v>
      </c>
      <c r="AE437">
        <v>4.4771376813649934E-2</v>
      </c>
      <c r="AF437">
        <v>1.8409541062116688E-2</v>
      </c>
      <c r="AG437">
        <v>0.45124086033513289</v>
      </c>
      <c r="AH437">
        <v>0.45126700601432562</v>
      </c>
      <c r="AI437">
        <v>22.56335030071628</v>
      </c>
      <c r="AJ437"/>
      <c r="AK437"/>
      <c r="AL437"/>
      <c r="AM437"/>
      <c r="AN437"/>
      <c r="AO437"/>
      <c r="AP437"/>
      <c r="AQ437"/>
      <c r="AR437"/>
    </row>
    <row r="438" spans="1:44" ht="15" customHeight="1" x14ac:dyDescent="0.3">
      <c r="A438" s="2">
        <v>4.37</v>
      </c>
      <c r="B438" s="1">
        <f t="shared" si="96"/>
        <v>4.265795188015923E-5</v>
      </c>
      <c r="C438" s="1">
        <f t="shared" si="97"/>
        <v>2.367671103473123E-10</v>
      </c>
      <c r="D438" s="1">
        <f t="shared" si="98"/>
        <v>1.975341675287498E-2</v>
      </c>
      <c r="E438" s="1">
        <f t="shared" si="99"/>
        <v>4.1097207854170321E-5</v>
      </c>
      <c r="F438" s="1">
        <f t="shared" si="100"/>
        <v>1.2432735254442408E-2</v>
      </c>
      <c r="G438" s="1">
        <f t="shared" si="101"/>
        <v>1.0295457691778221E-2</v>
      </c>
      <c r="H438" s="1">
        <f t="shared" si="109"/>
        <v>0.1029545769177822</v>
      </c>
      <c r="J438" s="2">
        <v>8.36</v>
      </c>
      <c r="K438" s="1">
        <v>4.3651583224016521E-9</v>
      </c>
      <c r="L438" s="1">
        <v>2.3137763292954546E-6</v>
      </c>
      <c r="M438" s="1">
        <v>1.3224777801045245E-4</v>
      </c>
      <c r="N438" s="1">
        <v>3.3112920369982577E-3</v>
      </c>
      <c r="O438" s="1">
        <v>0.99193723148132651</v>
      </c>
      <c r="P438" s="1">
        <v>0.99207561314490966</v>
      </c>
      <c r="Q438" s="2">
        <v>9.920756131449096</v>
      </c>
      <c r="S438" s="2">
        <v>4.37</v>
      </c>
      <c r="T438" s="1">
        <f t="shared" si="102"/>
        <v>4.265795188015923E-5</v>
      </c>
      <c r="U438" s="1">
        <f t="shared" si="103"/>
        <v>2.367671103473123E-10</v>
      </c>
      <c r="V438" s="1">
        <f t="shared" si="104"/>
        <v>3.8611797719101002E-3</v>
      </c>
      <c r="W438" s="1">
        <f t="shared" si="105"/>
        <v>3.20462734093633E-2</v>
      </c>
      <c r="X438" s="1">
        <f t="shared" si="106"/>
        <v>0.94255153200735486</v>
      </c>
      <c r="Y438" s="1">
        <f t="shared" si="107"/>
        <v>0.94317927852330419</v>
      </c>
      <c r="Z438" s="1">
        <f t="shared" si="108"/>
        <v>47.158963926165214</v>
      </c>
      <c r="AB438">
        <v>5.68</v>
      </c>
      <c r="AC438">
        <v>2.0892961308540377E-6</v>
      </c>
      <c r="AD438">
        <v>4.8341639324586514E-9</v>
      </c>
      <c r="AE438">
        <v>4.5341448941806521E-2</v>
      </c>
      <c r="AF438">
        <v>1.8219517019397828E-2</v>
      </c>
      <c r="AG438">
        <v>0.44554578609509249</v>
      </c>
      <c r="AH438">
        <v>0.44557127459663898</v>
      </c>
      <c r="AI438">
        <v>22.278563729831948</v>
      </c>
      <c r="AJ438"/>
      <c r="AK438"/>
      <c r="AL438"/>
      <c r="AM438"/>
      <c r="AN438"/>
      <c r="AO438"/>
      <c r="AP438"/>
      <c r="AQ438"/>
      <c r="AR438"/>
    </row>
    <row r="439" spans="1:44" ht="15" customHeight="1" x14ac:dyDescent="0.3">
      <c r="A439" s="2">
        <v>4.38</v>
      </c>
      <c r="B439" s="1">
        <f t="shared" si="96"/>
        <v>4.1686938347033504E-5</v>
      </c>
      <c r="C439" s="1">
        <f t="shared" si="97"/>
        <v>2.4228212482096872E-10</v>
      </c>
      <c r="D439" s="1">
        <f t="shared" si="98"/>
        <v>1.9745424065286933E-2</v>
      </c>
      <c r="E439" s="1">
        <f t="shared" si="99"/>
        <v>4.2429322452177342E-5</v>
      </c>
      <c r="F439" s="1">
        <f t="shared" si="100"/>
        <v>1.27186475962907E-2</v>
      </c>
      <c r="G439" s="1">
        <f t="shared" si="101"/>
        <v>1.0629881546632863E-2</v>
      </c>
      <c r="H439" s="1">
        <f t="shared" si="109"/>
        <v>0.10629881546632862</v>
      </c>
      <c r="J439" s="2">
        <v>8.3699999999999992</v>
      </c>
      <c r="K439" s="1">
        <v>4.265795188015919E-9</v>
      </c>
      <c r="L439" s="1">
        <v>2.3676711034731252E-6</v>
      </c>
      <c r="M439" s="1">
        <v>1.2915095850938316E-4</v>
      </c>
      <c r="N439" s="1">
        <v>3.3118081735817695E-3</v>
      </c>
      <c r="O439" s="1">
        <v>0.99211931614966975</v>
      </c>
      <c r="P439" s="1">
        <v>0.99226093756275435</v>
      </c>
      <c r="Q439" s="2">
        <v>9.9226093756275429</v>
      </c>
      <c r="S439" s="2">
        <v>4.38</v>
      </c>
      <c r="T439" s="1">
        <f t="shared" si="102"/>
        <v>4.1686938347033504E-5</v>
      </c>
      <c r="U439" s="1">
        <f t="shared" si="103"/>
        <v>2.4228212482096872E-10</v>
      </c>
      <c r="V439" s="1">
        <f t="shared" si="104"/>
        <v>3.9494722294046844E-3</v>
      </c>
      <c r="W439" s="1">
        <f t="shared" si="105"/>
        <v>3.2016842590198435E-2</v>
      </c>
      <c r="X439" s="1">
        <f t="shared" si="106"/>
        <v>0.94129194527681415</v>
      </c>
      <c r="Y439" s="1">
        <f t="shared" si="107"/>
        <v>0.94190513680326271</v>
      </c>
      <c r="Z439" s="1">
        <f t="shared" si="108"/>
        <v>47.095256840163131</v>
      </c>
      <c r="AB439">
        <v>5.69</v>
      </c>
      <c r="AC439">
        <v>2.0417379446695244E-6</v>
      </c>
      <c r="AD439">
        <v>4.9467660756213184E-9</v>
      </c>
      <c r="AE439">
        <v>4.5912743447357796E-2</v>
      </c>
      <c r="AF439">
        <v>1.8029085517547404E-2</v>
      </c>
      <c r="AG439">
        <v>0.43986497493125687</v>
      </c>
      <c r="AH439">
        <v>0.43988982266159454</v>
      </c>
      <c r="AI439">
        <v>21.994491133079727</v>
      </c>
      <c r="AJ439"/>
      <c r="AK439"/>
      <c r="AL439"/>
      <c r="AM439"/>
      <c r="AN439"/>
      <c r="AO439"/>
      <c r="AP439"/>
      <c r="AQ439"/>
      <c r="AR439"/>
    </row>
    <row r="440" spans="1:44" ht="15" customHeight="1" x14ac:dyDescent="0.3">
      <c r="A440" s="2">
        <v>4.3899999999999997</v>
      </c>
      <c r="B440" s="1">
        <f t="shared" si="96"/>
        <v>4.0738027780411247E-5</v>
      </c>
      <c r="C440" s="1">
        <f t="shared" si="97"/>
        <v>2.4792560048418819E-10</v>
      </c>
      <c r="D440" s="1">
        <f t="shared" si="98"/>
        <v>1.9737303765777411E-2</v>
      </c>
      <c r="E440" s="1">
        <f t="shared" si="99"/>
        <v>4.3782705703764646E-5</v>
      </c>
      <c r="F440" s="1">
        <f t="shared" si="100"/>
        <v>1.3011048363752078E-2</v>
      </c>
      <c r="G440" s="1">
        <f t="shared" si="101"/>
        <v>1.0969690562619388E-2</v>
      </c>
      <c r="H440" s="1">
        <f t="shared" si="109"/>
        <v>0.10969690562619387</v>
      </c>
      <c r="J440" s="2">
        <v>8.3800000000000008</v>
      </c>
      <c r="K440" s="1">
        <v>4.1686938347033319E-9</v>
      </c>
      <c r="L440" s="1">
        <v>2.4228212482096982E-6</v>
      </c>
      <c r="M440" s="1">
        <v>1.2612124836810184E-4</v>
      </c>
      <c r="N440" s="1">
        <v>3.3123131252719832E-3</v>
      </c>
      <c r="O440" s="1">
        <v>0.99229732065999299</v>
      </c>
      <c r="P440" s="1">
        <v>0.99244225701771172</v>
      </c>
      <c r="Q440" s="2">
        <v>9.924422570177116</v>
      </c>
      <c r="S440" s="2">
        <v>4.3899999999999997</v>
      </c>
      <c r="T440" s="1">
        <f t="shared" si="102"/>
        <v>4.0738027780411247E-5</v>
      </c>
      <c r="U440" s="1">
        <f t="shared" si="103"/>
        <v>2.4792560048418819E-10</v>
      </c>
      <c r="V440" s="1">
        <f t="shared" si="104"/>
        <v>4.0396124305691252E-3</v>
      </c>
      <c r="W440" s="1">
        <f t="shared" si="105"/>
        <v>3.1986795856476957E-2</v>
      </c>
      <c r="X440" s="1">
        <f t="shared" si="106"/>
        <v>0.94000649929955515</v>
      </c>
      <c r="Y440" s="1">
        <f t="shared" si="107"/>
        <v>0.94060546799052946</v>
      </c>
      <c r="Z440" s="1">
        <f t="shared" si="108"/>
        <v>47.030273399526479</v>
      </c>
      <c r="AB440">
        <v>5.7</v>
      </c>
      <c r="AC440">
        <v>1.9952623149688749E-6</v>
      </c>
      <c r="AD440">
        <v>5.0619910596354619E-9</v>
      </c>
      <c r="AE440">
        <v>4.6485112409469155E-2</v>
      </c>
      <c r="AF440">
        <v>1.7838295863510285E-2</v>
      </c>
      <c r="AG440">
        <v>0.43419987330633791</v>
      </c>
      <c r="AH440">
        <v>0.43422409627426228</v>
      </c>
      <c r="AI440">
        <v>21.711204813713113</v>
      </c>
      <c r="AJ440"/>
      <c r="AK440"/>
      <c r="AL440"/>
      <c r="AM440"/>
      <c r="AN440"/>
      <c r="AO440"/>
      <c r="AP440"/>
      <c r="AQ440"/>
      <c r="AR440"/>
    </row>
    <row r="441" spans="1:44" ht="15" customHeight="1" x14ac:dyDescent="0.3">
      <c r="A441" s="2">
        <v>4.4000000000000004</v>
      </c>
      <c r="B441" s="1">
        <f t="shared" si="96"/>
        <v>3.9810717055349634E-5</v>
      </c>
      <c r="C441" s="1">
        <f t="shared" si="97"/>
        <v>2.5370052958246817E-10</v>
      </c>
      <c r="D441" s="1">
        <f t="shared" si="98"/>
        <v>1.9729051885645117E-2</v>
      </c>
      <c r="E441" s="1">
        <f t="shared" si="99"/>
        <v>4.5158019059147493E-5</v>
      </c>
      <c r="F441" s="1">
        <f t="shared" si="100"/>
        <v>1.3310080776597295E-2</v>
      </c>
      <c r="G441" s="1">
        <f t="shared" si="101"/>
        <v>1.1315053033814687E-2</v>
      </c>
      <c r="H441" s="1">
        <f t="shared" si="109"/>
        <v>0.11315053033814687</v>
      </c>
      <c r="J441" s="2">
        <v>8.39</v>
      </c>
      <c r="K441" s="1">
        <v>4.0738027780411214E-9</v>
      </c>
      <c r="L441" s="1">
        <v>2.479256004841884E-6</v>
      </c>
      <c r="M441" s="1">
        <v>1.2315710232542736E-4</v>
      </c>
      <c r="N441" s="1">
        <v>3.3128071496124293E-3</v>
      </c>
      <c r="O441" s="1">
        <v>0.99247133501399121</v>
      </c>
      <c r="P441" s="1">
        <v>0.99261966326933382</v>
      </c>
      <c r="Q441" s="2">
        <v>9.9261966326933369</v>
      </c>
      <c r="S441" s="2">
        <v>4.4000000000000004</v>
      </c>
      <c r="T441" s="1">
        <f t="shared" si="102"/>
        <v>3.9810717055349634E-5</v>
      </c>
      <c r="U441" s="1">
        <f t="shared" si="103"/>
        <v>2.5370052958246817E-10</v>
      </c>
      <c r="V441" s="1">
        <f t="shared" si="104"/>
        <v>4.1316371762082126E-3</v>
      </c>
      <c r="W441" s="1">
        <f t="shared" si="105"/>
        <v>3.1956120941263925E-2</v>
      </c>
      <c r="X441" s="1">
        <f t="shared" si="106"/>
        <v>0.93869474084565041</v>
      </c>
      <c r="Y441" s="1">
        <f t="shared" si="107"/>
        <v>0.93927981130173732</v>
      </c>
      <c r="Z441" s="1">
        <f t="shared" si="108"/>
        <v>46.963990565086867</v>
      </c>
      <c r="AB441">
        <v>5.71</v>
      </c>
      <c r="AC441">
        <v>1.9498445997580441E-6</v>
      </c>
      <c r="AD441">
        <v>5.1798999783127879E-9</v>
      </c>
      <c r="AE441">
        <v>4.7058406777995491E-2</v>
      </c>
      <c r="AF441">
        <v>1.7647197740668169E-2</v>
      </c>
      <c r="AG441">
        <v>0.42855191139093735</v>
      </c>
      <c r="AH441">
        <v>0.42857552521641057</v>
      </c>
      <c r="AI441">
        <v>21.428776260820527</v>
      </c>
      <c r="AJ441"/>
      <c r="AK441"/>
      <c r="AL441"/>
      <c r="AM441"/>
      <c r="AN441"/>
      <c r="AO441"/>
      <c r="AP441"/>
      <c r="AQ441"/>
      <c r="AR441"/>
    </row>
    <row r="442" spans="1:44" ht="15" customHeight="1" x14ac:dyDescent="0.3">
      <c r="A442" s="2">
        <v>4.41</v>
      </c>
      <c r="B442" s="1">
        <f t="shared" si="96"/>
        <v>3.8904514499428046E-5</v>
      </c>
      <c r="C442" s="1">
        <f t="shared" si="97"/>
        <v>2.5960997405965533E-10</v>
      </c>
      <c r="D442" s="1">
        <f t="shared" si="98"/>
        <v>1.9720664401789715E-2</v>
      </c>
      <c r="E442" s="1">
        <f t="shared" si="99"/>
        <v>4.655593303504776E-5</v>
      </c>
      <c r="F442" s="1">
        <f t="shared" si="100"/>
        <v>1.3615891028782063E-2</v>
      </c>
      <c r="G442" s="1">
        <f t="shared" si="101"/>
        <v>1.1666139659600434E-2</v>
      </c>
      <c r="H442" s="1">
        <f t="shared" si="109"/>
        <v>0.11666139659600433</v>
      </c>
      <c r="J442" s="2">
        <v>8.4</v>
      </c>
      <c r="K442" s="1">
        <v>3.9810717055349665E-9</v>
      </c>
      <c r="L442" s="1">
        <v>2.5370052958246796E-6</v>
      </c>
      <c r="M442" s="1">
        <v>1.2025700716637518E-4</v>
      </c>
      <c r="N442" s="1">
        <v>3.313290498805604E-3</v>
      </c>
      <c r="O442" s="1">
        <v>0.99264144729182802</v>
      </c>
      <c r="P442" s="1">
        <v>0.99279324619645548</v>
      </c>
      <c r="Q442" s="2">
        <v>9.9279324619645539</v>
      </c>
      <c r="S442" s="2">
        <v>4.41</v>
      </c>
      <c r="T442" s="1">
        <f t="shared" si="102"/>
        <v>3.8904514499428046E-5</v>
      </c>
      <c r="U442" s="1">
        <f t="shared" si="103"/>
        <v>2.5960997405965533E-10</v>
      </c>
      <c r="V442" s="1">
        <f t="shared" si="104"/>
        <v>4.2255837914661623E-3</v>
      </c>
      <c r="W442" s="1">
        <f t="shared" si="105"/>
        <v>3.1924805402844612E-2</v>
      </c>
      <c r="X442" s="1">
        <f t="shared" si="106"/>
        <v>0.93735621217697096</v>
      </c>
      <c r="Y442" s="1">
        <f t="shared" si="107"/>
        <v>0.93792770161772354</v>
      </c>
      <c r="Z442" s="1">
        <f t="shared" si="108"/>
        <v>46.896385080886176</v>
      </c>
      <c r="AB442">
        <v>5.72</v>
      </c>
      <c r="AC442">
        <v>1.9054607179632462E-6</v>
      </c>
      <c r="AD442">
        <v>5.3005553485227054E-9</v>
      </c>
      <c r="AE442">
        <v>4.7632476527382339E-2</v>
      </c>
      <c r="AF442">
        <v>1.7455841157539218E-2</v>
      </c>
      <c r="AG442">
        <v>0.42292250165808465</v>
      </c>
      <c r="AH442">
        <v>0.42294552158086612</v>
      </c>
      <c r="AI442">
        <v>21.147276079043305</v>
      </c>
      <c r="AJ442"/>
      <c r="AK442"/>
      <c r="AL442"/>
      <c r="AM442"/>
      <c r="AN442"/>
      <c r="AO442"/>
      <c r="AP442"/>
      <c r="AQ442"/>
      <c r="AR442"/>
    </row>
    <row r="443" spans="1:44" ht="15" customHeight="1" x14ac:dyDescent="0.3">
      <c r="A443" s="2">
        <v>4.42</v>
      </c>
      <c r="B443" s="1">
        <f t="shared" si="96"/>
        <v>3.8018939632056103E-5</v>
      </c>
      <c r="C443" s="1">
        <f t="shared" si="97"/>
        <v>2.6565706718143368E-10</v>
      </c>
      <c r="D443" s="1">
        <f t="shared" si="98"/>
        <v>1.9712137235267761E-2</v>
      </c>
      <c r="E443" s="1">
        <f t="shared" si="99"/>
        <v>4.7977127455373117E-5</v>
      </c>
      <c r="F443" s="1">
        <f t="shared" si="100"/>
        <v>1.3928628341453546E-2</v>
      </c>
      <c r="G443" s="1">
        <f t="shared" si="101"/>
        <v>1.2023123610537E-2</v>
      </c>
      <c r="H443" s="1">
        <f t="shared" si="109"/>
        <v>0.12023123610537</v>
      </c>
      <c r="J443" s="2">
        <v>8.41</v>
      </c>
      <c r="K443" s="1">
        <v>3.8904514499428009E-9</v>
      </c>
      <c r="L443" s="1">
        <v>2.5960997405965555E-6</v>
      </c>
      <c r="M443" s="1">
        <v>1.1741948103977978E-4</v>
      </c>
      <c r="N443" s="1">
        <v>3.3137634198267033E-3</v>
      </c>
      <c r="O443" s="1">
        <v>0.99280774369029834</v>
      </c>
      <c r="P443" s="1">
        <v>0.99296309383631187</v>
      </c>
      <c r="Q443" s="2">
        <v>9.9296309383631183</v>
      </c>
      <c r="S443" s="2">
        <v>4.42</v>
      </c>
      <c r="T443" s="1">
        <f t="shared" si="102"/>
        <v>3.8018939632056103E-5</v>
      </c>
      <c r="U443" s="1">
        <f t="shared" si="103"/>
        <v>2.6565706718143368E-10</v>
      </c>
      <c r="V443" s="1">
        <f t="shared" si="104"/>
        <v>4.3214901261072825E-3</v>
      </c>
      <c r="W443" s="1">
        <f t="shared" si="105"/>
        <v>3.1892836624630903E-2</v>
      </c>
      <c r="X443" s="1">
        <f t="shared" si="106"/>
        <v>0.93599045116509871</v>
      </c>
      <c r="Y443" s="1">
        <f t="shared" si="107"/>
        <v>0.93654866959750438</v>
      </c>
      <c r="Z443" s="1">
        <f t="shared" si="108"/>
        <v>46.827433479875225</v>
      </c>
      <c r="AB443">
        <v>5.73</v>
      </c>
      <c r="AC443">
        <v>1.8620871366628635E-6</v>
      </c>
      <c r="AD443">
        <v>5.4240211433395636E-9</v>
      </c>
      <c r="AE443">
        <v>4.8207170812739959E-2</v>
      </c>
      <c r="AF443">
        <v>1.7264276395753345E-2</v>
      </c>
      <c r="AG443">
        <v>0.417313037516227</v>
      </c>
      <c r="AH443">
        <v>0.41733547840432994</v>
      </c>
      <c r="AI443">
        <v>20.866773920216495</v>
      </c>
      <c r="AJ443"/>
      <c r="AK443"/>
      <c r="AL443"/>
      <c r="AM443"/>
      <c r="AN443"/>
      <c r="AO443"/>
      <c r="AP443"/>
      <c r="AQ443"/>
      <c r="AR443"/>
    </row>
    <row r="444" spans="1:44" ht="15" customHeight="1" x14ac:dyDescent="0.3">
      <c r="A444" s="2">
        <v>4.43</v>
      </c>
      <c r="B444" s="1">
        <f t="shared" si="96"/>
        <v>3.7153522909717237E-5</v>
      </c>
      <c r="C444" s="1">
        <f t="shared" si="97"/>
        <v>2.7184501519661858E-10</v>
      </c>
      <c r="D444" s="1">
        <f t="shared" si="98"/>
        <v>1.9703466249849078E-2</v>
      </c>
      <c r="E444" s="1">
        <f t="shared" si="99"/>
        <v>4.9422291691820677E-5</v>
      </c>
      <c r="F444" s="1">
        <f t="shared" si="100"/>
        <v>1.4248445016478232E-2</v>
      </c>
      <c r="G444" s="1">
        <f t="shared" si="101"/>
        <v>1.238618059446954E-2</v>
      </c>
      <c r="H444" s="1">
        <f t="shared" si="109"/>
        <v>0.1238618059446954</v>
      </c>
      <c r="J444" s="2">
        <v>8.42</v>
      </c>
      <c r="K444" s="1">
        <v>3.8018939632056068E-9</v>
      </c>
      <c r="L444" s="1">
        <v>2.6565706718143393E-6</v>
      </c>
      <c r="M444" s="1">
        <v>1.1464307278736803E-4</v>
      </c>
      <c r="N444" s="1">
        <v>3.3142261545354391E-3</v>
      </c>
      <c r="O444" s="1">
        <v>0.99297030856036084</v>
      </c>
      <c r="P444" s="1">
        <v>0.99312929242304648</v>
      </c>
      <c r="Q444" s="2">
        <v>9.9312929242304637</v>
      </c>
      <c r="S444" s="2">
        <v>4.43</v>
      </c>
      <c r="T444" s="1">
        <f t="shared" si="102"/>
        <v>3.7153522909717237E-5</v>
      </c>
      <c r="U444" s="1">
        <f t="shared" si="103"/>
        <v>2.7184501519661858E-10</v>
      </c>
      <c r="V444" s="1">
        <f t="shared" si="104"/>
        <v>4.4193945543405623E-3</v>
      </c>
      <c r="W444" s="1">
        <f t="shared" si="105"/>
        <v>3.1860201815219813E-2</v>
      </c>
      <c r="X444" s="1">
        <f t="shared" si="106"/>
        <v>0.93459699141872865</v>
      </c>
      <c r="Y444" s="1">
        <f t="shared" si="107"/>
        <v>0.93514224180183003</v>
      </c>
      <c r="Z444" s="1">
        <f t="shared" si="108"/>
        <v>46.75711209009151</v>
      </c>
      <c r="AB444">
        <v>5.74</v>
      </c>
      <c r="AC444">
        <v>1.8197008586099798E-6</v>
      </c>
      <c r="AD444">
        <v>5.5503628259620188E-9</v>
      </c>
      <c r="AE444">
        <v>4.8782338127748244E-2</v>
      </c>
      <c r="AF444">
        <v>1.7072553957417254E-2</v>
      </c>
      <c r="AG444">
        <v>0.41172489198336509</v>
      </c>
      <c r="AH444">
        <v>0.41174676834134255</v>
      </c>
      <c r="AI444">
        <v>20.587338417067127</v>
      </c>
      <c r="AJ444"/>
      <c r="AK444"/>
      <c r="AL444"/>
      <c r="AM444"/>
      <c r="AN444"/>
      <c r="AO444"/>
      <c r="AP444"/>
      <c r="AQ444"/>
      <c r="AR444"/>
    </row>
    <row r="445" spans="1:44" ht="15" customHeight="1" x14ac:dyDescent="0.3">
      <c r="A445" s="2">
        <v>4.4400000000000004</v>
      </c>
      <c r="B445" s="1">
        <f t="shared" si="96"/>
        <v>3.6307805477010065E-5</v>
      </c>
      <c r="C445" s="1">
        <f t="shared" si="97"/>
        <v>2.7817709903715533E-10</v>
      </c>
      <c r="D445" s="1">
        <f t="shared" si="98"/>
        <v>1.9694647250574033E-2</v>
      </c>
      <c r="E445" s="1">
        <f t="shared" si="99"/>
        <v>5.0892124904327935E-5</v>
      </c>
      <c r="F445" s="1">
        <f t="shared" si="100"/>
        <v>1.4575496490474326E-2</v>
      </c>
      <c r="G445" s="1">
        <f t="shared" si="101"/>
        <v>1.2755488922855872E-2</v>
      </c>
      <c r="H445" s="1">
        <f t="shared" si="109"/>
        <v>0.1275548892285587</v>
      </c>
      <c r="J445" s="2">
        <v>8.43</v>
      </c>
      <c r="K445" s="1">
        <v>3.7153522909717206E-9</v>
      </c>
      <c r="L445" s="1">
        <v>2.718450151966188E-6</v>
      </c>
      <c r="M445" s="1">
        <v>1.1192636128403937E-4</v>
      </c>
      <c r="N445" s="1">
        <v>3.3146789397859935E-3</v>
      </c>
      <c r="O445" s="1">
        <v>0.99312922444404894</v>
      </c>
      <c r="P445" s="1">
        <v>0.99329192642562181</v>
      </c>
      <c r="Q445" s="2">
        <v>9.932919264256217</v>
      </c>
      <c r="S445" s="2">
        <v>4.4400000000000004</v>
      </c>
      <c r="T445" s="1">
        <f t="shared" si="102"/>
        <v>3.6307805477010065E-5</v>
      </c>
      <c r="U445" s="1">
        <f t="shared" si="103"/>
        <v>2.7817709903715533E-10</v>
      </c>
      <c r="V445" s="1">
        <f t="shared" si="104"/>
        <v>4.5193359741652096E-3</v>
      </c>
      <c r="W445" s="1">
        <f t="shared" si="105"/>
        <v>3.1826888008611595E-2</v>
      </c>
      <c r="X445" s="1">
        <f t="shared" si="106"/>
        <v>0.9331753624208825</v>
      </c>
      <c r="Y445" s="1">
        <f t="shared" si="107"/>
        <v>0.9337079408266401</v>
      </c>
      <c r="Z445" s="1">
        <f t="shared" si="108"/>
        <v>46.685397041332003</v>
      </c>
      <c r="AB445">
        <v>5.75</v>
      </c>
      <c r="AC445">
        <v>1.7782794100389193E-6</v>
      </c>
      <c r="AD445">
        <v>5.6796473844225367E-9</v>
      </c>
      <c r="AE445">
        <v>4.9357826464043179E-2</v>
      </c>
      <c r="AF445">
        <v>1.6880724511985606E-2</v>
      </c>
      <c r="AG445">
        <v>0.40615941640488218</v>
      </c>
      <c r="AH445">
        <v>0.40618074238194646</v>
      </c>
      <c r="AI445">
        <v>20.309037119097322</v>
      </c>
      <c r="AJ445"/>
      <c r="AK445"/>
      <c r="AL445"/>
      <c r="AM445"/>
      <c r="AN445"/>
      <c r="AO445"/>
      <c r="AP445"/>
      <c r="AQ445"/>
      <c r="AR445"/>
    </row>
    <row r="446" spans="1:44" ht="15" customHeight="1" x14ac:dyDescent="0.3">
      <c r="A446" s="2">
        <v>4.45</v>
      </c>
      <c r="B446" s="1">
        <f t="shared" si="96"/>
        <v>3.5481338923357479E-5</v>
      </c>
      <c r="C446" s="1">
        <f t="shared" si="97"/>
        <v>2.8465667605771037E-10</v>
      </c>
      <c r="D446" s="1">
        <f t="shared" si="98"/>
        <v>1.9685675982312328E-2</v>
      </c>
      <c r="E446" s="1">
        <f t="shared" si="99"/>
        <v>5.2387336281279033E-5</v>
      </c>
      <c r="F446" s="1">
        <f t="shared" si="100"/>
        <v>1.4909941389328673E-2</v>
      </c>
      <c r="G446" s="1">
        <f t="shared" si="101"/>
        <v>1.3131229577302398E-2</v>
      </c>
      <c r="H446" s="1">
        <f t="shared" si="109"/>
        <v>0.13131229577302397</v>
      </c>
      <c r="J446" s="2">
        <v>8.44</v>
      </c>
      <c r="K446" s="1">
        <v>3.6307805477010094E-9</v>
      </c>
      <c r="L446" s="1">
        <v>2.7817709903715508E-6</v>
      </c>
      <c r="M446" s="1">
        <v>1.0926795478927531E-4</v>
      </c>
      <c r="N446" s="1">
        <v>3.3151220075351207E-3</v>
      </c>
      <c r="O446" s="1">
        <v>0.99328457211076393</v>
      </c>
      <c r="P446" s="1">
        <v>0.99345107858513426</v>
      </c>
      <c r="Q446" s="2">
        <v>9.9345107858513426</v>
      </c>
      <c r="S446" s="2">
        <v>4.45</v>
      </c>
      <c r="T446" s="1">
        <f t="shared" si="102"/>
        <v>3.5481338923357479E-5</v>
      </c>
      <c r="U446" s="1">
        <f t="shared" si="103"/>
        <v>2.8465667605771037E-10</v>
      </c>
      <c r="V446" s="1">
        <f t="shared" si="104"/>
        <v>4.6213538062134961E-3</v>
      </c>
      <c r="W446" s="1">
        <f t="shared" si="105"/>
        <v>3.1792882064595504E-2</v>
      </c>
      <c r="X446" s="1">
        <f t="shared" si="106"/>
        <v>0.93172508967626466</v>
      </c>
      <c r="Y446" s="1">
        <f t="shared" si="107"/>
        <v>0.93224528544674545</v>
      </c>
      <c r="Z446" s="1">
        <f t="shared" si="108"/>
        <v>46.612264272337271</v>
      </c>
      <c r="AB446">
        <v>5.76</v>
      </c>
      <c r="AC446">
        <v>1.7378008287493753E-6</v>
      </c>
      <c r="AD446">
        <v>5.8119433671052848E-9</v>
      </c>
      <c r="AE446">
        <v>4.9933483471729032E-2</v>
      </c>
      <c r="AF446">
        <v>1.668883884275699E-2</v>
      </c>
      <c r="AG446">
        <v>0.40061793921746242</v>
      </c>
      <c r="AH446">
        <v>0.40063872861544131</v>
      </c>
      <c r="AI446">
        <v>20.031936430772063</v>
      </c>
      <c r="AJ446"/>
      <c r="AK446"/>
      <c r="AL446"/>
      <c r="AM446"/>
      <c r="AN446"/>
      <c r="AO446"/>
      <c r="AP446"/>
      <c r="AQ446"/>
      <c r="AR446"/>
    </row>
    <row r="447" spans="1:44" ht="15" customHeight="1" x14ac:dyDescent="0.3">
      <c r="A447" s="2">
        <v>4.46</v>
      </c>
      <c r="B447" s="1">
        <f t="shared" si="96"/>
        <v>3.4673685045253161E-5</v>
      </c>
      <c r="C447" s="1">
        <f t="shared" si="97"/>
        <v>2.9128718181578721E-10</v>
      </c>
      <c r="D447" s="1">
        <f t="shared" si="98"/>
        <v>1.9676548128323777E-2</v>
      </c>
      <c r="E447" s="1">
        <f t="shared" si="99"/>
        <v>5.3908645279370809E-5</v>
      </c>
      <c r="F447" s="1">
        <f t="shared" si="100"/>
        <v>1.5251941583177728E-2</v>
      </c>
      <c r="G447" s="1">
        <f t="shared" si="101"/>
        <v>1.3513586276293746E-2</v>
      </c>
      <c r="H447" s="1">
        <f t="shared" si="109"/>
        <v>0.13513586276293746</v>
      </c>
      <c r="J447" s="2">
        <v>8.4499999999999993</v>
      </c>
      <c r="K447" s="1">
        <v>3.5481338923357512E-9</v>
      </c>
      <c r="L447" s="1">
        <v>2.846566760577101E-6</v>
      </c>
      <c r="M447" s="1">
        <v>1.0666649030954181E-4</v>
      </c>
      <c r="N447" s="1">
        <v>3.3155555849484096E-3</v>
      </c>
      <c r="O447" s="1">
        <v>0.99343643059295195</v>
      </c>
      <c r="P447" s="1">
        <v>0.99360682995153771</v>
      </c>
      <c r="Q447" s="2">
        <v>9.9360682995153766</v>
      </c>
      <c r="S447" s="2">
        <v>4.46</v>
      </c>
      <c r="T447" s="1">
        <f t="shared" si="102"/>
        <v>3.4673685045253161E-5</v>
      </c>
      <c r="U447" s="1">
        <f t="shared" si="103"/>
        <v>2.9128718181578721E-10</v>
      </c>
      <c r="V447" s="1">
        <f t="shared" si="104"/>
        <v>4.7254879920662395E-3</v>
      </c>
      <c r="W447" s="1">
        <f t="shared" si="105"/>
        <v>3.1758170669311254E-2</v>
      </c>
      <c r="X447" s="1">
        <f t="shared" si="106"/>
        <v>0.93024569486909059</v>
      </c>
      <c r="Y447" s="1">
        <f t="shared" si="107"/>
        <v>0.93075379077006715</v>
      </c>
      <c r="Z447" s="1">
        <f t="shared" si="108"/>
        <v>46.537689538503358</v>
      </c>
      <c r="AB447">
        <v>5.77</v>
      </c>
      <c r="AC447">
        <v>1.6982436524617446E-6</v>
      </c>
      <c r="AD447">
        <v>5.9473209190914476E-9</v>
      </c>
      <c r="AE447">
        <v>5.0509156620657747E-2</v>
      </c>
      <c r="AF447">
        <v>1.6496947793114086E-2</v>
      </c>
      <c r="AG447">
        <v>0.39510176476131242</v>
      </c>
      <c r="AH447">
        <v>0.39512203104244603</v>
      </c>
      <c r="AI447">
        <v>19.756101552122303</v>
      </c>
      <c r="AJ447"/>
      <c r="AK447"/>
      <c r="AL447"/>
      <c r="AM447"/>
      <c r="AN447"/>
      <c r="AO447"/>
      <c r="AP447"/>
      <c r="AQ447"/>
      <c r="AR447"/>
    </row>
    <row r="448" spans="1:44" ht="15" customHeight="1" x14ac:dyDescent="0.3">
      <c r="A448" s="2">
        <v>4.47</v>
      </c>
      <c r="B448" s="1">
        <f t="shared" si="96"/>
        <v>3.3884415613920256E-5</v>
      </c>
      <c r="C448" s="1">
        <f t="shared" si="97"/>
        <v>2.9807213189330492E-10</v>
      </c>
      <c r="D448" s="1">
        <f t="shared" si="98"/>
        <v>1.9667259308821811E-2</v>
      </c>
      <c r="E448" s="1">
        <f t="shared" si="99"/>
        <v>5.5456781863031518E-5</v>
      </c>
      <c r="F448" s="1">
        <f t="shared" si="100"/>
        <v>1.5601662241829593E-2</v>
      </c>
      <c r="G448" s="1">
        <f t="shared" si="101"/>
        <v>1.3902745542099153E-2</v>
      </c>
      <c r="H448" s="1">
        <f t="shared" si="109"/>
        <v>0.13902745542099151</v>
      </c>
      <c r="J448" s="2">
        <v>8.4600000000000009</v>
      </c>
      <c r="K448" s="1">
        <v>3.467368504525301E-9</v>
      </c>
      <c r="L448" s="1">
        <v>2.912871818157885E-6</v>
      </c>
      <c r="M448" s="1">
        <v>1.0412063297152011E-4</v>
      </c>
      <c r="N448" s="1">
        <v>3.3159798945047465E-3</v>
      </c>
      <c r="O448" s="1">
        <v>0.99358487722117284</v>
      </c>
      <c r="P448" s="1">
        <v>0.99375925991978253</v>
      </c>
      <c r="Q448" s="2">
        <v>9.9375925991978242</v>
      </c>
      <c r="S448" s="2">
        <v>4.47</v>
      </c>
      <c r="T448" s="1">
        <f t="shared" si="102"/>
        <v>3.3884415613920256E-5</v>
      </c>
      <c r="U448" s="1">
        <f t="shared" si="103"/>
        <v>2.9807213189330492E-10</v>
      </c>
      <c r="V448" s="1">
        <f t="shared" si="104"/>
        <v>4.8317789920156572E-3</v>
      </c>
      <c r="W448" s="1">
        <f t="shared" si="105"/>
        <v>3.172274033599478E-2</v>
      </c>
      <c r="X448" s="1">
        <f t="shared" si="106"/>
        <v>0.92873669603171616</v>
      </c>
      <c r="Y448" s="1">
        <f t="shared" si="107"/>
        <v>0.92923296840275948</v>
      </c>
      <c r="Z448" s="1">
        <f t="shared" si="108"/>
        <v>46.461648420137969</v>
      </c>
      <c r="AB448">
        <v>5.78</v>
      </c>
      <c r="AC448">
        <v>1.6595869074375577E-6</v>
      </c>
      <c r="AD448">
        <v>6.0858518193510233E-9</v>
      </c>
      <c r="AE448">
        <v>5.1084693362112334E-2</v>
      </c>
      <c r="AF448">
        <v>1.6305102212629222E-2</v>
      </c>
      <c r="AG448">
        <v>0.38961217214274813</v>
      </c>
      <c r="AH448">
        <v>0.38963192843732919</v>
      </c>
      <c r="AI448">
        <v>19.481596421866463</v>
      </c>
      <c r="AJ448"/>
      <c r="AK448"/>
      <c r="AL448"/>
      <c r="AM448"/>
      <c r="AN448"/>
      <c r="AO448"/>
      <c r="AP448"/>
      <c r="AQ448"/>
      <c r="AR448"/>
    </row>
    <row r="449" spans="1:44" ht="15" customHeight="1" x14ac:dyDescent="0.3">
      <c r="A449" s="2">
        <v>4.4800000000000004</v>
      </c>
      <c r="B449" s="1">
        <f t="shared" si="96"/>
        <v>3.3113112148259056E-5</v>
      </c>
      <c r="C449" s="1">
        <f t="shared" si="97"/>
        <v>3.0501512376060411E-10</v>
      </c>
      <c r="D449" s="1">
        <f t="shared" si="98"/>
        <v>1.965780507954034E-2</v>
      </c>
      <c r="E449" s="1">
        <f t="shared" si="99"/>
        <v>5.7032486743276542E-5</v>
      </c>
      <c r="F449" s="1">
        <f t="shared" si="100"/>
        <v>1.5959271890602561E-2</v>
      </c>
      <c r="G449" s="1">
        <f t="shared" si="101"/>
        <v>1.4298896767836895E-2</v>
      </c>
      <c r="H449" s="1">
        <f t="shared" si="109"/>
        <v>0.14298896767836894</v>
      </c>
      <c r="J449" s="2">
        <v>8.4700000000000006</v>
      </c>
      <c r="K449" s="1">
        <v>3.3884415613920108E-9</v>
      </c>
      <c r="L449" s="1">
        <v>2.9807213189330624E-6</v>
      </c>
      <c r="M449" s="1">
        <v>1.0162907540603192E-4</v>
      </c>
      <c r="N449" s="1">
        <v>3.3163951540989942E-3</v>
      </c>
      <c r="O449" s="1">
        <v>0.99372998765856624</v>
      </c>
      <c r="P449" s="1">
        <v>0.99390844626537644</v>
      </c>
      <c r="Q449" s="2">
        <v>9.9390844626537636</v>
      </c>
      <c r="S449" s="2">
        <v>4.4800000000000004</v>
      </c>
      <c r="T449" s="1">
        <f t="shared" si="102"/>
        <v>3.3113112148259056E-5</v>
      </c>
      <c r="U449" s="1">
        <f t="shared" si="103"/>
        <v>3.0501512376060411E-10</v>
      </c>
      <c r="V449" s="1">
        <f t="shared" si="104"/>
        <v>4.9402677822500459E-3</v>
      </c>
      <c r="W449" s="1">
        <f t="shared" si="105"/>
        <v>3.1686577405916648E-2</v>
      </c>
      <c r="X449" s="1">
        <f t="shared" si="106"/>
        <v>0.92719760772440141</v>
      </c>
      <c r="Y449" s="1">
        <f t="shared" si="107"/>
        <v>0.92768232662554473</v>
      </c>
      <c r="Z449" s="1">
        <f t="shared" si="108"/>
        <v>46.384116331277241</v>
      </c>
      <c r="AB449">
        <v>5.79</v>
      </c>
      <c r="AC449">
        <v>1.6218100973589276E-6</v>
      </c>
      <c r="AD449">
        <v>6.2276095188009782E-9</v>
      </c>
      <c r="AE449">
        <v>5.1659941290531024E-2</v>
      </c>
      <c r="AF449">
        <v>1.6113352903156325E-2</v>
      </c>
      <c r="AG449">
        <v>0.38415041414901557</v>
      </c>
      <c r="AH449">
        <v>0.38416967326287638</v>
      </c>
      <c r="AI449">
        <v>19.20848366314382</v>
      </c>
      <c r="AJ449"/>
      <c r="AK449"/>
      <c r="AL449"/>
      <c r="AM449"/>
      <c r="AN449"/>
      <c r="AO449"/>
      <c r="AP449"/>
      <c r="AQ449"/>
      <c r="AR449"/>
    </row>
    <row r="450" spans="1:44" ht="15" customHeight="1" x14ac:dyDescent="0.3">
      <c r="A450" s="2">
        <v>4.49</v>
      </c>
      <c r="B450" s="1">
        <f t="shared" si="96"/>
        <v>3.2359365692962775E-5</v>
      </c>
      <c r="C450" s="1">
        <f t="shared" si="97"/>
        <v>3.121198386838731E-10</v>
      </c>
      <c r="D450" s="1">
        <f t="shared" si="98"/>
        <v>1.9648180930304734E-2</v>
      </c>
      <c r="E450" s="1">
        <f t="shared" si="99"/>
        <v>5.8636511615877375E-5</v>
      </c>
      <c r="F450" s="1">
        <f t="shared" si="100"/>
        <v>1.6324942466553981E-2</v>
      </c>
      <c r="G450" s="1">
        <f t="shared" si="101"/>
        <v>1.4702232284676332E-2</v>
      </c>
      <c r="H450" s="1">
        <f t="shared" si="109"/>
        <v>0.14702232284676331</v>
      </c>
      <c r="J450" s="2">
        <v>8.48</v>
      </c>
      <c r="K450" s="1">
        <v>3.3113112148258966E-9</v>
      </c>
      <c r="L450" s="1">
        <v>3.0501512376060492E-6</v>
      </c>
      <c r="M450" s="1">
        <v>9.9190537142535289E-5</v>
      </c>
      <c r="N450" s="1">
        <v>3.316801577142911E-3</v>
      </c>
      <c r="O450" s="1">
        <v>0.99387183593471773</v>
      </c>
      <c r="P450" s="1">
        <v>0.99405446517937246</v>
      </c>
      <c r="Q450" s="2">
        <v>9.9405446517937239</v>
      </c>
      <c r="S450" s="2">
        <v>4.49</v>
      </c>
      <c r="T450" s="1">
        <f t="shared" si="102"/>
        <v>3.2359365692962775E-5</v>
      </c>
      <c r="U450" s="1">
        <f t="shared" si="103"/>
        <v>3.121198386838731E-10</v>
      </c>
      <c r="V450" s="1">
        <f t="shared" si="104"/>
        <v>5.050995851433487E-3</v>
      </c>
      <c r="W450" s="1">
        <f t="shared" si="105"/>
        <v>3.1649668049522177E-2</v>
      </c>
      <c r="X450" s="1">
        <f t="shared" si="106"/>
        <v>0.92562794122653735</v>
      </c>
      <c r="Y450" s="1">
        <f t="shared" si="107"/>
        <v>0.92610137058159259</v>
      </c>
      <c r="Z450" s="1">
        <f t="shared" si="108"/>
        <v>46.305068529079634</v>
      </c>
      <c r="AB450">
        <v>5.8</v>
      </c>
      <c r="AC450">
        <v>1.5848931924611111E-6</v>
      </c>
      <c r="AD450">
        <v>6.3726691792499607E-9</v>
      </c>
      <c r="AE450">
        <v>5.2234748304907763E-2</v>
      </c>
      <c r="AF450">
        <v>1.592175056503075E-2</v>
      </c>
      <c r="AG450">
        <v>0.37871771621704031</v>
      </c>
      <c r="AH450">
        <v>0.37873649063889003</v>
      </c>
      <c r="AI450">
        <v>18.936824531944502</v>
      </c>
      <c r="AJ450"/>
      <c r="AK450"/>
      <c r="AL450"/>
      <c r="AM450"/>
      <c r="AN450"/>
      <c r="AO450"/>
      <c r="AP450"/>
      <c r="AQ450"/>
      <c r="AR450"/>
    </row>
    <row r="451" spans="1:44" ht="15" customHeight="1" x14ac:dyDescent="0.3">
      <c r="A451" s="2">
        <v>4.5</v>
      </c>
      <c r="B451" s="1">
        <f t="shared" ref="B451:B514" si="110">10^(-A451)</f>
        <v>3.1622776601683748E-5</v>
      </c>
      <c r="C451" s="1">
        <f t="shared" ref="C451:C514" si="111">Kw/B451</f>
        <v>3.1939004367700672E-10</v>
      </c>
      <c r="D451" s="1">
        <f t="shared" ref="D451:D514" si="112">((WASB_Ca*WASB_Va)-(WASB_Cb*H451))/(WASB_Va+H451)</f>
        <v>1.9638382283607737E-2</v>
      </c>
      <c r="E451" s="1">
        <f t="shared" ref="E451:E514" si="113">(WASB_Ca*H451)/(WASB_Va+H451)</f>
        <v>6.0269619398710255E-5</v>
      </c>
      <c r="F451" s="1">
        <f t="shared" ref="F451:F514" si="114">WASB_Ka/(B451+WASB_Ka)</f>
        <v>1.6698849375071167E-2</v>
      </c>
      <c r="G451" s="1">
        <f t="shared" ref="G451:G514" si="115">(F451-((B451-C451)/WASB_Ca)) / (1 + ((B451-C451)/WASB_Cb))</f>
        <v>1.511294742915496E-2</v>
      </c>
      <c r="H451" s="1">
        <f t="shared" si="109"/>
        <v>0.15112947429154958</v>
      </c>
      <c r="J451" s="2">
        <v>8.49</v>
      </c>
      <c r="K451" s="1">
        <v>3.2359365692962808E-9</v>
      </c>
      <c r="L451" s="1">
        <v>3.1211983868387279E-6</v>
      </c>
      <c r="M451" s="1">
        <v>9.6803764014034507E-5</v>
      </c>
      <c r="N451" s="1">
        <v>3.3171993726643272E-3</v>
      </c>
      <c r="O451" s="1">
        <v>0.99401049447893208</v>
      </c>
      <c r="P451" s="1">
        <v>0.99419739130278795</v>
      </c>
      <c r="Q451" s="2">
        <v>9.9419739130278781</v>
      </c>
      <c r="S451" s="2">
        <v>4.5</v>
      </c>
      <c r="T451" s="1">
        <f t="shared" ref="T451:T514" si="116">10^-S451</f>
        <v>3.1622776601683748E-5</v>
      </c>
      <c r="U451" s="1">
        <f t="shared" ref="U451:U514" si="117">Kw/T451</f>
        <v>3.1939004367700672E-10</v>
      </c>
      <c r="V451" s="1">
        <f t="shared" ref="V451:V514" si="118">((SAWB_Cb*SAWB_Vb)-(SAWB_Ca*Z451))/(Z451+SAWB_Vb)</f>
        <v>5.1640051966537785E-3</v>
      </c>
      <c r="W451" s="1">
        <f t="shared" ref="W451:W514" si="119">(SAWB_Cb*Z451)/(Z451+SAWB_Vb)</f>
        <v>3.1611998267782077E-2</v>
      </c>
      <c r="X451" s="1">
        <f t="shared" ref="X451:X514" si="120">T451/(T451+SAWB_Ka)</f>
        <v>0.92402720473966204</v>
      </c>
      <c r="Y451" s="1">
        <f t="shared" ref="Y451:Y514" si="121">(X451+((T451-U451)/SAWB_Cb))/(1-((T451-U451)/SAWB_Ca))</f>
        <v>0.92448960247626311</v>
      </c>
      <c r="Z451" s="1">
        <f t="shared" ref="Z451:Z514" si="122">(Y451*SAWB_Cb*SAWB_Vb)/SAWB_Ca</f>
        <v>46.224480123813159</v>
      </c>
      <c r="AB451">
        <v>5.81</v>
      </c>
      <c r="AC451">
        <v>1.5488166189124819E-6</v>
      </c>
      <c r="AD451">
        <v>6.5211077132500178E-9</v>
      </c>
      <c r="AE451">
        <v>5.2808962769506015E-2</v>
      </c>
      <c r="AF451">
        <v>1.5730345743497992E-2</v>
      </c>
      <c r="AG451">
        <v>0.37331527545762411</v>
      </c>
      <c r="AH451">
        <v>0.37333357736623884</v>
      </c>
      <c r="AI451">
        <v>18.666678868311941</v>
      </c>
      <c r="AJ451"/>
      <c r="AK451"/>
      <c r="AL451"/>
      <c r="AM451"/>
      <c r="AN451"/>
      <c r="AO451"/>
      <c r="AP451"/>
      <c r="AQ451"/>
      <c r="AR451"/>
    </row>
    <row r="452" spans="1:44" ht="15" customHeight="1" x14ac:dyDescent="0.3">
      <c r="A452" s="2">
        <v>4.51</v>
      </c>
      <c r="B452" s="1">
        <f t="shared" si="110"/>
        <v>3.090295432513586E-5</v>
      </c>
      <c r="C452" s="1">
        <f t="shared" si="111"/>
        <v>3.2682959349892501E-10</v>
      </c>
      <c r="D452" s="1">
        <f t="shared" si="112"/>
        <v>1.9628404493191171E-2</v>
      </c>
      <c r="E452" s="1">
        <f t="shared" si="113"/>
        <v>6.1932584468138197E-5</v>
      </c>
      <c r="F452" s="1">
        <f t="shared" si="114"/>
        <v>1.7081171546793492E-2</v>
      </c>
      <c r="G452" s="1">
        <f t="shared" si="115"/>
        <v>1.5531240610585048E-2</v>
      </c>
      <c r="H452" s="1">
        <f t="shared" ref="H452:H515" si="123">G452*(WASB_Va * WASB_Ca)/WASB_Cb</f>
        <v>0.15531240610585048</v>
      </c>
      <c r="J452" s="2">
        <v>8.5</v>
      </c>
      <c r="K452" s="1">
        <v>3.1622776601683779E-9</v>
      </c>
      <c r="L452" s="1">
        <v>3.1939004367700643E-6</v>
      </c>
      <c r="M452" s="1">
        <v>9.4467527572211817E-5</v>
      </c>
      <c r="N452" s="1">
        <v>3.3175887454046315E-3</v>
      </c>
      <c r="O452" s="1">
        <v>0.99414603415292135</v>
      </c>
      <c r="P452" s="1">
        <v>0.99433729776046675</v>
      </c>
      <c r="Q452" s="2">
        <v>9.9433729776046675</v>
      </c>
      <c r="S452" s="2">
        <v>4.51</v>
      </c>
      <c r="T452" s="1">
        <f t="shared" si="116"/>
        <v>3.090295432513586E-5</v>
      </c>
      <c r="U452" s="1">
        <f t="shared" si="117"/>
        <v>3.2682959349892501E-10</v>
      </c>
      <c r="V452" s="1">
        <f t="shared" si="118"/>
        <v>5.2793383187107676E-3</v>
      </c>
      <c r="W452" s="1">
        <f t="shared" si="119"/>
        <v>3.1573553893763075E-2</v>
      </c>
      <c r="X452" s="1">
        <f t="shared" si="120"/>
        <v>0.92239490360259568</v>
      </c>
      <c r="Y452" s="1">
        <f t="shared" si="121"/>
        <v>0.92284652178904314</v>
      </c>
      <c r="Z452" s="1">
        <f t="shared" si="122"/>
        <v>46.142326089452155</v>
      </c>
      <c r="AB452">
        <v>5.82</v>
      </c>
      <c r="AC452">
        <v>1.5135612484362063E-6</v>
      </c>
      <c r="AD452">
        <v>6.6730038248767273E-9</v>
      </c>
      <c r="AE452">
        <v>5.3382433673526374E-2</v>
      </c>
      <c r="AF452">
        <v>1.5539188775491212E-2</v>
      </c>
      <c r="AG452">
        <v>0.36794425973640116</v>
      </c>
      <c r="AH452">
        <v>0.36796210100766963</v>
      </c>
      <c r="AI452">
        <v>18.398105050383482</v>
      </c>
      <c r="AJ452"/>
      <c r="AK452"/>
      <c r="AL452"/>
      <c r="AM452"/>
      <c r="AN452"/>
      <c r="AO452"/>
      <c r="AP452"/>
      <c r="AQ452"/>
      <c r="AR452"/>
    </row>
    <row r="453" spans="1:44" ht="15" customHeight="1" x14ac:dyDescent="0.3">
      <c r="A453" s="2">
        <v>4.5199999999999996</v>
      </c>
      <c r="B453" s="1">
        <f t="shared" si="110"/>
        <v>3.0199517204020178E-5</v>
      </c>
      <c r="C453" s="1">
        <f t="shared" si="111"/>
        <v>3.344424326974168E-10</v>
      </c>
      <c r="D453" s="1">
        <f t="shared" si="112"/>
        <v>1.9618242842634363E-2</v>
      </c>
      <c r="E453" s="1">
        <f t="shared" si="113"/>
        <v>6.3626192894272878E-5</v>
      </c>
      <c r="F453" s="1">
        <f t="shared" si="114"/>
        <v>1.7472091494833426E-2</v>
      </c>
      <c r="G453" s="1">
        <f t="shared" si="115"/>
        <v>1.5957313378523033E-2</v>
      </c>
      <c r="H453" s="1">
        <f t="shared" si="123"/>
        <v>0.15957313378523033</v>
      </c>
      <c r="J453" s="2">
        <v>8.51</v>
      </c>
      <c r="K453" s="1">
        <v>3.0902954325135894E-9</v>
      </c>
      <c r="L453" s="1">
        <v>3.2682959349892464E-6</v>
      </c>
      <c r="M453" s="1">
        <v>9.2180624512738576E-5</v>
      </c>
      <c r="N453" s="1">
        <v>3.3179698959145435E-3</v>
      </c>
      <c r="O453" s="1">
        <v>0.99427852428290953</v>
      </c>
      <c r="P453" s="1">
        <v>0.99447425619438456</v>
      </c>
      <c r="Q453" s="2">
        <v>9.9447425619438459</v>
      </c>
      <c r="S453" s="2">
        <v>4.5199999999999996</v>
      </c>
      <c r="T453" s="1">
        <f t="shared" si="116"/>
        <v>3.0199517204020178E-5</v>
      </c>
      <c r="U453" s="1">
        <f t="shared" si="117"/>
        <v>3.344424326974168E-10</v>
      </c>
      <c r="V453" s="1">
        <f t="shared" si="118"/>
        <v>5.3970382167166263E-3</v>
      </c>
      <c r="W453" s="1">
        <f t="shared" si="119"/>
        <v>3.1534320594427789E-2</v>
      </c>
      <c r="X453" s="1">
        <f t="shared" si="120"/>
        <v>0.92073054051901337</v>
      </c>
      <c r="Y453" s="1">
        <f t="shared" si="121"/>
        <v>0.92117162549799536</v>
      </c>
      <c r="Z453" s="1">
        <f t="shared" si="122"/>
        <v>46.058581274899772</v>
      </c>
      <c r="AB453">
        <v>5.83</v>
      </c>
      <c r="AC453">
        <v>1.4791083881682056E-6</v>
      </c>
      <c r="AD453">
        <v>6.828438051459024E-9</v>
      </c>
      <c r="AE453">
        <v>5.3955010789370386E-2</v>
      </c>
      <c r="AF453">
        <v>1.534832973687654E-2</v>
      </c>
      <c r="AG453">
        <v>0.36260580681270521</v>
      </c>
      <c r="AH453">
        <v>0.36262319902653323</v>
      </c>
      <c r="AI453">
        <v>18.131159951326659</v>
      </c>
      <c r="AJ453"/>
      <c r="AK453"/>
      <c r="AL453"/>
      <c r="AM453"/>
      <c r="AN453"/>
      <c r="AO453"/>
      <c r="AP453"/>
      <c r="AQ453"/>
      <c r="AR453"/>
    </row>
    <row r="454" spans="1:44" ht="15" customHeight="1" x14ac:dyDescent="0.3">
      <c r="A454" s="2">
        <v>4.53</v>
      </c>
      <c r="B454" s="1">
        <f t="shared" si="110"/>
        <v>2.9512092266663827E-5</v>
      </c>
      <c r="C454" s="1">
        <f t="shared" si="111"/>
        <v>3.4223259770059487E-10</v>
      </c>
      <c r="D454" s="1">
        <f t="shared" si="112"/>
        <v>1.9607892543950289E-2</v>
      </c>
      <c r="E454" s="1">
        <f t="shared" si="113"/>
        <v>6.5351242674951916E-5</v>
      </c>
      <c r="F454" s="1">
        <f t="shared" si="114"/>
        <v>1.7871795372261776E-2</v>
      </c>
      <c r="G454" s="1">
        <f t="shared" si="115"/>
        <v>1.6391370490272221E-2</v>
      </c>
      <c r="H454" s="1">
        <f t="shared" si="123"/>
        <v>0.1639137049027222</v>
      </c>
      <c r="J454" s="2">
        <v>8.52</v>
      </c>
      <c r="K454" s="1">
        <v>3.0199517204020151E-9</v>
      </c>
      <c r="L454" s="1">
        <v>3.344424326974171E-6</v>
      </c>
      <c r="M454" s="1">
        <v>8.9941876110476903E-5</v>
      </c>
      <c r="N454" s="1">
        <v>3.318343020648254E-3</v>
      </c>
      <c r="O454" s="1">
        <v>0.99440803269116518</v>
      </c>
      <c r="P454" s="1">
        <v>0.99460833679641025</v>
      </c>
      <c r="Q454" s="2">
        <v>9.9460833679641016</v>
      </c>
      <c r="S454" s="2">
        <v>4.53</v>
      </c>
      <c r="T454" s="1">
        <f t="shared" si="116"/>
        <v>2.9512092266663827E-5</v>
      </c>
      <c r="U454" s="1">
        <f t="shared" si="117"/>
        <v>3.4223259770059487E-10</v>
      </c>
      <c r="V454" s="1">
        <f t="shared" si="118"/>
        <v>5.5171483819796089E-3</v>
      </c>
      <c r="W454" s="1">
        <f t="shared" si="119"/>
        <v>3.1494283872673466E-2</v>
      </c>
      <c r="X454" s="1">
        <f t="shared" si="120"/>
        <v>0.91903361579777509</v>
      </c>
      <c r="Y454" s="1">
        <f t="shared" si="121"/>
        <v>0.91946440831703313</v>
      </c>
      <c r="Z454" s="1">
        <f t="shared" si="122"/>
        <v>45.973220415851657</v>
      </c>
      <c r="AB454">
        <v>5.84</v>
      </c>
      <c r="AC454">
        <v>1.445439770745926E-6</v>
      </c>
      <c r="AD454">
        <v>6.9874928062812654E-9</v>
      </c>
      <c r="AE454">
        <v>5.4526544829151827E-2</v>
      </c>
      <c r="AF454">
        <v>1.5157818390282723E-2</v>
      </c>
      <c r="AG454">
        <v>0.35730102353727683</v>
      </c>
      <c r="AH454">
        <v>0.35731797798435311</v>
      </c>
      <c r="AI454">
        <v>17.865898899217655</v>
      </c>
      <c r="AJ454"/>
      <c r="AK454"/>
      <c r="AL454"/>
      <c r="AM454"/>
      <c r="AN454"/>
      <c r="AO454"/>
      <c r="AP454"/>
      <c r="AQ454"/>
      <c r="AR454"/>
    </row>
    <row r="455" spans="1:44" ht="15" customHeight="1" x14ac:dyDescent="0.3">
      <c r="A455" s="2">
        <v>4.54</v>
      </c>
      <c r="B455" s="1">
        <f t="shared" si="110"/>
        <v>2.8840315031266029E-5</v>
      </c>
      <c r="C455" s="1">
        <f t="shared" si="111"/>
        <v>3.5020421895705731E-10</v>
      </c>
      <c r="D455" s="1">
        <f t="shared" si="112"/>
        <v>1.9597348736190491E-2</v>
      </c>
      <c r="E455" s="1">
        <f t="shared" si="113"/>
        <v>6.7108543968251338E-5</v>
      </c>
      <c r="F455" s="1">
        <f t="shared" si="114"/>
        <v>1.8280473029819295E-2</v>
      </c>
      <c r="G455" s="1">
        <f t="shared" si="115"/>
        <v>1.6833619978386054E-2</v>
      </c>
      <c r="H455" s="1">
        <f t="shared" si="123"/>
        <v>0.16833619978386052</v>
      </c>
      <c r="J455" s="2">
        <v>8.5299999999999994</v>
      </c>
      <c r="K455" s="1">
        <v>2.9512092266663855E-9</v>
      </c>
      <c r="L455" s="1">
        <v>3.4223259770059457E-6</v>
      </c>
      <c r="M455" s="1">
        <v>8.7750127664528964E-5</v>
      </c>
      <c r="N455" s="1">
        <v>3.3187083120559116E-3</v>
      </c>
      <c r="O455" s="1">
        <v>0.99453462572696338</v>
      </c>
      <c r="P455" s="1">
        <v>0.99473960834052499</v>
      </c>
      <c r="Q455" s="2">
        <v>9.9473960834052502</v>
      </c>
      <c r="S455" s="2">
        <v>4.54</v>
      </c>
      <c r="T455" s="1">
        <f t="shared" si="116"/>
        <v>2.8840315031266029E-5</v>
      </c>
      <c r="U455" s="1">
        <f t="shared" si="117"/>
        <v>3.5020421895705731E-10</v>
      </c>
      <c r="V455" s="1">
        <f t="shared" si="118"/>
        <v>5.6397127911410735E-3</v>
      </c>
      <c r="W455" s="1">
        <f t="shared" si="119"/>
        <v>3.1453429069619641E-2</v>
      </c>
      <c r="X455" s="1">
        <f t="shared" si="120"/>
        <v>0.917303627606326</v>
      </c>
      <c r="Y455" s="1">
        <f t="shared" si="121"/>
        <v>0.91772436294633797</v>
      </c>
      <c r="Z455" s="1">
        <f t="shared" si="122"/>
        <v>45.886218147316896</v>
      </c>
      <c r="AB455">
        <v>5.85</v>
      </c>
      <c r="AC455">
        <v>1.4125375446227531E-6</v>
      </c>
      <c r="AD455">
        <v>7.1502524222797985E-9</v>
      </c>
      <c r="AE455">
        <v>5.5096887599109565E-2</v>
      </c>
      <c r="AF455">
        <v>1.4967704133630145E-2</v>
      </c>
      <c r="AG455">
        <v>0.35203098510958747</v>
      </c>
      <c r="AH455">
        <v>0.35204751279801322</v>
      </c>
      <c r="AI455">
        <v>17.602375639900661</v>
      </c>
      <c r="AJ455"/>
      <c r="AK455"/>
      <c r="AL455"/>
      <c r="AM455"/>
      <c r="AN455"/>
      <c r="AO455"/>
      <c r="AP455"/>
      <c r="AQ455"/>
      <c r="AR455"/>
    </row>
    <row r="456" spans="1:44" ht="15" customHeight="1" x14ac:dyDescent="0.3">
      <c r="A456" s="2">
        <v>4.55</v>
      </c>
      <c r="B456" s="1">
        <f t="shared" si="110"/>
        <v>2.8183829312644511E-5</v>
      </c>
      <c r="C456" s="1">
        <f t="shared" si="111"/>
        <v>3.5836152312591154E-10</v>
      </c>
      <c r="D456" s="1">
        <f t="shared" si="112"/>
        <v>1.9586606484059899E-2</v>
      </c>
      <c r="E456" s="1">
        <f t="shared" si="113"/>
        <v>6.8898919323350048E-5</v>
      </c>
      <c r="F456" s="1">
        <f t="shared" si="114"/>
        <v>1.8698318073816091E-2</v>
      </c>
      <c r="G456" s="1">
        <f t="shared" si="115"/>
        <v>1.7284273218138475E-2</v>
      </c>
      <c r="H456" s="1">
        <f t="shared" si="123"/>
        <v>0.17284273218138474</v>
      </c>
      <c r="J456" s="2">
        <v>8.5399999999999991</v>
      </c>
      <c r="K456" s="1">
        <v>2.8840315031266055E-9</v>
      </c>
      <c r="L456" s="1">
        <v>3.50204218957057E-6</v>
      </c>
      <c r="M456" s="1">
        <v>8.5604247952932914E-5</v>
      </c>
      <c r="N456" s="1">
        <v>3.3190659586745117E-3</v>
      </c>
      <c r="O456" s="1">
        <v>0.99465836829698773</v>
      </c>
      <c r="P456" s="1">
        <v>0.99486813821451148</v>
      </c>
      <c r="Q456" s="2">
        <v>9.9486813821451143</v>
      </c>
      <c r="S456" s="2">
        <v>4.55</v>
      </c>
      <c r="T456" s="1">
        <f t="shared" si="116"/>
        <v>2.8183829312644511E-5</v>
      </c>
      <c r="U456" s="1">
        <f t="shared" si="117"/>
        <v>3.5836152312591154E-10</v>
      </c>
      <c r="V456" s="1">
        <f t="shared" si="118"/>
        <v>5.7647758985367109E-3</v>
      </c>
      <c r="W456" s="1">
        <f t="shared" si="119"/>
        <v>3.1411741367154432E-2</v>
      </c>
      <c r="X456" s="1">
        <f t="shared" si="120"/>
        <v>0.91554007223747036</v>
      </c>
      <c r="Y456" s="1">
        <f t="shared" si="121"/>
        <v>0.91595098033621647</v>
      </c>
      <c r="Z456" s="1">
        <f t="shared" si="122"/>
        <v>45.797549016810819</v>
      </c>
      <c r="AB456">
        <v>5.86</v>
      </c>
      <c r="AC456">
        <v>1.3803842646028812E-6</v>
      </c>
      <c r="AD456">
        <v>7.3168031967574185E-9</v>
      </c>
      <c r="AE456">
        <v>5.5665892151586953E-2</v>
      </c>
      <c r="AF456">
        <v>1.4778035949471016E-2</v>
      </c>
      <c r="AG456">
        <v>0.34679673439534126</v>
      </c>
      <c r="AH456">
        <v>0.34681284605712592</v>
      </c>
      <c r="AI456">
        <v>17.340642302856295</v>
      </c>
      <c r="AJ456"/>
      <c r="AK456"/>
      <c r="AL456"/>
      <c r="AM456"/>
      <c r="AN456"/>
      <c r="AO456"/>
      <c r="AP456"/>
      <c r="AQ456"/>
      <c r="AR456"/>
    </row>
    <row r="457" spans="1:44" ht="15" customHeight="1" x14ac:dyDescent="0.3">
      <c r="A457" s="2">
        <v>4.5599999999999996</v>
      </c>
      <c r="B457" s="1">
        <f t="shared" si="110"/>
        <v>2.754228703338164E-5</v>
      </c>
      <c r="C457" s="1">
        <f t="shared" si="111"/>
        <v>3.6670883531780264E-10</v>
      </c>
      <c r="D457" s="1">
        <f t="shared" si="112"/>
        <v>1.9575660776542752E-2</v>
      </c>
      <c r="E457" s="1">
        <f t="shared" si="113"/>
        <v>7.0723203909541725E-5</v>
      </c>
      <c r="F457" s="1">
        <f t="shared" si="114"/>
        <v>1.9125527924175701E-2</v>
      </c>
      <c r="G457" s="1">
        <f t="shared" si="115"/>
        <v>1.7743544994923133E-2</v>
      </c>
      <c r="H457" s="1">
        <f t="shared" si="123"/>
        <v>0.17743544994923133</v>
      </c>
      <c r="J457" s="2">
        <v>8.5500000000000007</v>
      </c>
      <c r="K457" s="1">
        <v>2.818382931264444E-9</v>
      </c>
      <c r="L457" s="1">
        <v>3.5836152312591245E-6</v>
      </c>
      <c r="M457" s="1">
        <v>8.3503128696850597E-5</v>
      </c>
      <c r="N457" s="1">
        <v>3.319416145217192E-3</v>
      </c>
      <c r="O457" s="1">
        <v>0.99477932389517598</v>
      </c>
      <c r="P457" s="1">
        <v>0.99499399245111508</v>
      </c>
      <c r="Q457" s="2">
        <v>9.9499399245111508</v>
      </c>
      <c r="S457" s="2">
        <v>4.5599999999999996</v>
      </c>
      <c r="T457" s="1">
        <f t="shared" si="116"/>
        <v>2.754228703338164E-5</v>
      </c>
      <c r="U457" s="1">
        <f t="shared" si="117"/>
        <v>3.6670883531780264E-10</v>
      </c>
      <c r="V457" s="1">
        <f t="shared" si="118"/>
        <v>5.8923826277508373E-3</v>
      </c>
      <c r="W457" s="1">
        <f t="shared" si="119"/>
        <v>3.1369205790749727E-2</v>
      </c>
      <c r="X457" s="1">
        <f t="shared" si="120"/>
        <v>0.91374244438981755</v>
      </c>
      <c r="Y457" s="1">
        <f t="shared" si="121"/>
        <v>0.91414374996469661</v>
      </c>
      <c r="Z457" s="1">
        <f t="shared" si="122"/>
        <v>45.707187498234831</v>
      </c>
      <c r="AB457">
        <v>5.87</v>
      </c>
      <c r="AC457">
        <v>1.3489628825916527E-6</v>
      </c>
      <c r="AD457">
        <v>7.4872334371392707E-9</v>
      </c>
      <c r="AE457">
        <v>5.6233412934250326E-2</v>
      </c>
      <c r="AF457">
        <v>1.4588862355249891E-2</v>
      </c>
      <c r="AG457">
        <v>0.34159928130454997</v>
      </c>
      <c r="AH457">
        <v>0.34161498740197643</v>
      </c>
      <c r="AI457">
        <v>17.080749370098822</v>
      </c>
      <c r="AJ457"/>
      <c r="AK457"/>
      <c r="AL457"/>
      <c r="AM457"/>
      <c r="AN457"/>
      <c r="AO457"/>
      <c r="AP457"/>
      <c r="AQ457"/>
      <c r="AR457"/>
    </row>
    <row r="458" spans="1:44" ht="15" customHeight="1" x14ac:dyDescent="0.3">
      <c r="A458" s="2">
        <v>4.57</v>
      </c>
      <c r="B458" s="1">
        <f t="shared" si="110"/>
        <v>2.6915348039269089E-5</v>
      </c>
      <c r="C458" s="1">
        <f t="shared" si="111"/>
        <v>3.7525058138814521E-10</v>
      </c>
      <c r="D458" s="1">
        <f t="shared" si="112"/>
        <v>1.9564506525540894E-2</v>
      </c>
      <c r="E458" s="1">
        <f t="shared" si="113"/>
        <v>7.2582245743184202E-5</v>
      </c>
      <c r="F458" s="1">
        <f t="shared" si="114"/>
        <v>1.9562303872579557E-2</v>
      </c>
      <c r="G458" s="1">
        <f t="shared" si="115"/>
        <v>1.8211653571542023E-2</v>
      </c>
      <c r="H458" s="1">
        <f t="shared" si="123"/>
        <v>0.18211653571542022</v>
      </c>
      <c r="J458" s="2">
        <v>8.56</v>
      </c>
      <c r="K458" s="1">
        <v>2.7542287033381568E-9</v>
      </c>
      <c r="L458" s="1">
        <v>3.6670883531780362E-6</v>
      </c>
      <c r="M458" s="1">
        <v>8.1445684034097353E-5</v>
      </c>
      <c r="N458" s="1">
        <v>3.3197590526609835E-3</v>
      </c>
      <c r="O458" s="1">
        <v>0.99489755463201801</v>
      </c>
      <c r="P458" s="1">
        <v>0.99511723575869027</v>
      </c>
      <c r="Q458" s="2">
        <v>9.951172357586902</v>
      </c>
      <c r="S458" s="2">
        <v>4.57</v>
      </c>
      <c r="T458" s="1">
        <f t="shared" si="116"/>
        <v>2.6915348039269089E-5</v>
      </c>
      <c r="U458" s="1">
        <f t="shared" si="117"/>
        <v>3.7525058138814521E-10</v>
      </c>
      <c r="V458" s="1">
        <f t="shared" si="118"/>
        <v>6.0225783623329941E-3</v>
      </c>
      <c r="W458" s="1">
        <f t="shared" si="119"/>
        <v>3.1325807212555672E-2</v>
      </c>
      <c r="X458" s="1">
        <f t="shared" si="120"/>
        <v>0.91191023746219102</v>
      </c>
      <c r="Y458" s="1">
        <f t="shared" si="121"/>
        <v>0.91230216012915255</v>
      </c>
      <c r="Z458" s="1">
        <f t="shared" si="122"/>
        <v>45.615108006457632</v>
      </c>
      <c r="AB458">
        <v>5.88</v>
      </c>
      <c r="AC458">
        <v>1.3182567385564063E-6</v>
      </c>
      <c r="AD458">
        <v>7.6616335077947595E-9</v>
      </c>
      <c r="AE458">
        <v>5.6799305936231323E-2</v>
      </c>
      <c r="AF458">
        <v>1.4400231354589557E-2</v>
      </c>
      <c r="AG458">
        <v>0.33643960223037561</v>
      </c>
      <c r="AH458">
        <v>0.33645491296223606</v>
      </c>
      <c r="AI458">
        <v>16.822745648111802</v>
      </c>
      <c r="AJ458"/>
      <c r="AK458"/>
      <c r="AL458"/>
      <c r="AM458"/>
      <c r="AN458"/>
      <c r="AO458"/>
      <c r="AP458"/>
      <c r="AQ458"/>
      <c r="AR458"/>
    </row>
    <row r="459" spans="1:44" ht="15" customHeight="1" x14ac:dyDescent="0.3">
      <c r="A459" s="2">
        <v>4.58</v>
      </c>
      <c r="B459" s="1">
        <f t="shared" si="110"/>
        <v>2.6302679918953804E-5</v>
      </c>
      <c r="C459" s="1">
        <f t="shared" si="111"/>
        <v>3.8399129028376699E-10</v>
      </c>
      <c r="D459" s="1">
        <f t="shared" si="112"/>
        <v>1.9553138564525844E-2</v>
      </c>
      <c r="E459" s="1">
        <f t="shared" si="113"/>
        <v>7.447690591235942E-5</v>
      </c>
      <c r="F459" s="1">
        <f t="shared" si="114"/>
        <v>2.0008851140663916E-2</v>
      </c>
      <c r="G459" s="1">
        <f t="shared" si="115"/>
        <v>1.8688820755340278E-2</v>
      </c>
      <c r="H459" s="1">
        <f t="shared" si="123"/>
        <v>0.18688820755340277</v>
      </c>
      <c r="J459" s="2">
        <v>8.57</v>
      </c>
      <c r="K459" s="1">
        <v>2.6915348039269064E-9</v>
      </c>
      <c r="L459" s="1">
        <v>3.7525058138814554E-6</v>
      </c>
      <c r="M459" s="1">
        <v>7.9430850001875977E-5</v>
      </c>
      <c r="N459" s="1">
        <v>3.3200948583330205E-3</v>
      </c>
      <c r="O459" s="1">
        <v>0.99501312126331209</v>
      </c>
      <c r="P459" s="1">
        <v>0.995237931551334</v>
      </c>
      <c r="Q459" s="2">
        <v>9.9523793155133387</v>
      </c>
      <c r="S459" s="2">
        <v>4.58</v>
      </c>
      <c r="T459" s="1">
        <f t="shared" si="116"/>
        <v>2.6302679918953804E-5</v>
      </c>
      <c r="U459" s="1">
        <f t="shared" si="117"/>
        <v>3.8399129028376699E-10</v>
      </c>
      <c r="V459" s="1">
        <f t="shared" si="118"/>
        <v>6.1554089356454424E-3</v>
      </c>
      <c r="W459" s="1">
        <f t="shared" si="119"/>
        <v>3.1281530354784856E-2</v>
      </c>
      <c r="X459" s="1">
        <f t="shared" si="120"/>
        <v>0.91004294386227591</v>
      </c>
      <c r="Y459" s="1">
        <f t="shared" si="121"/>
        <v>0.91042569825223041</v>
      </c>
      <c r="Z459" s="1">
        <f t="shared" si="122"/>
        <v>45.52128491261152</v>
      </c>
      <c r="AB459">
        <v>5.89</v>
      </c>
      <c r="AC459">
        <v>1.2882495516931333E-6</v>
      </c>
      <c r="AD459">
        <v>7.8400958779497904E-9</v>
      </c>
      <c r="AE459">
        <v>5.7363428830886617E-2</v>
      </c>
      <c r="AF459">
        <v>1.4212190389704463E-2</v>
      </c>
      <c r="AG459">
        <v>0.33131863954878277</v>
      </c>
      <c r="AH459">
        <v>0.33133356485648829</v>
      </c>
      <c r="AI459">
        <v>16.566678242824413</v>
      </c>
      <c r="AJ459"/>
      <c r="AK459"/>
      <c r="AL459"/>
      <c r="AM459"/>
      <c r="AN459"/>
      <c r="AO459"/>
      <c r="AP459"/>
      <c r="AQ459"/>
      <c r="AR459"/>
    </row>
    <row r="460" spans="1:44" ht="15" customHeight="1" x14ac:dyDescent="0.3">
      <c r="A460" s="2">
        <v>4.59</v>
      </c>
      <c r="B460" s="1">
        <f t="shared" si="110"/>
        <v>2.5703957827688621E-5</v>
      </c>
      <c r="C460" s="1">
        <f t="shared" si="111"/>
        <v>3.9293559644422365E-10</v>
      </c>
      <c r="D460" s="1">
        <f t="shared" si="112"/>
        <v>1.9541551647205949E-2</v>
      </c>
      <c r="E460" s="1">
        <f t="shared" si="113"/>
        <v>7.6408058799008716E-5</v>
      </c>
      <c r="F460" s="1">
        <f t="shared" si="114"/>
        <v>2.0465378938219557E-2</v>
      </c>
      <c r="G460" s="1">
        <f t="shared" si="115"/>
        <v>1.9175271965142154E-2</v>
      </c>
      <c r="H460" s="1">
        <f t="shared" si="123"/>
        <v>0.19175271965142154</v>
      </c>
      <c r="J460" s="2">
        <v>8.58</v>
      </c>
      <c r="K460" s="1">
        <v>2.6302679918953733E-9</v>
      </c>
      <c r="L460" s="1">
        <v>3.8399129028376807E-6</v>
      </c>
      <c r="M460" s="1">
        <v>7.7457584028505069E-5</v>
      </c>
      <c r="N460" s="1">
        <v>3.320423735995249E-3</v>
      </c>
      <c r="O460" s="1">
        <v>0.99512608321838558</v>
      </c>
      <c r="P460" s="1">
        <v>0.99535614197851896</v>
      </c>
      <c r="Q460" s="2">
        <v>9.9535614197851885</v>
      </c>
      <c r="S460" s="2">
        <v>4.59</v>
      </c>
      <c r="T460" s="1">
        <f t="shared" si="116"/>
        <v>2.5703957827688621E-5</v>
      </c>
      <c r="U460" s="1">
        <f t="shared" si="117"/>
        <v>3.9293559644422365E-10</v>
      </c>
      <c r="V460" s="1">
        <f t="shared" si="118"/>
        <v>6.2909206198100941E-3</v>
      </c>
      <c r="W460" s="1">
        <f t="shared" si="119"/>
        <v>3.1236359793396638E-2</v>
      </c>
      <c r="X460" s="1">
        <f t="shared" si="120"/>
        <v>0.90814005532977005</v>
      </c>
      <c r="Y460" s="1">
        <f t="shared" si="121"/>
        <v>0.90851385120233963</v>
      </c>
      <c r="Z460" s="1">
        <f t="shared" si="122"/>
        <v>45.425692560116978</v>
      </c>
      <c r="AB460">
        <v>5.9</v>
      </c>
      <c r="AC460">
        <v>1.2589254117941642E-6</v>
      </c>
      <c r="AD460">
        <v>8.0227151707152622E-9</v>
      </c>
      <c r="AE460">
        <v>5.7925641114884352E-2</v>
      </c>
      <c r="AF460">
        <v>1.4024786295038548E-2</v>
      </c>
      <c r="AG460">
        <v>0.32623730117883804</v>
      </c>
      <c r="AH460">
        <v>0.3262518507524037</v>
      </c>
      <c r="AI460">
        <v>16.312592537620183</v>
      </c>
      <c r="AJ460"/>
      <c r="AK460"/>
      <c r="AL460"/>
      <c r="AM460"/>
      <c r="AN460"/>
      <c r="AO460"/>
      <c r="AP460"/>
      <c r="AQ460"/>
      <c r="AR460"/>
    </row>
    <row r="461" spans="1:44" ht="15" customHeight="1" x14ac:dyDescent="0.3">
      <c r="A461" s="2">
        <v>4.5999999999999996</v>
      </c>
      <c r="B461" s="1">
        <f t="shared" si="110"/>
        <v>2.5118864315095791E-5</v>
      </c>
      <c r="C461" s="1">
        <f t="shared" si="111"/>
        <v>4.0208824225903234E-10</v>
      </c>
      <c r="D461" s="1">
        <f t="shared" si="112"/>
        <v>1.9529740446210284E-2</v>
      </c>
      <c r="E461" s="1">
        <f t="shared" si="113"/>
        <v>7.8376592298286029E-5</v>
      </c>
      <c r="F461" s="1">
        <f t="shared" si="114"/>
        <v>2.0932100521339578E-2</v>
      </c>
      <c r="G461" s="1">
        <f t="shared" si="115"/>
        <v>1.9671236297937846E-2</v>
      </c>
      <c r="H461" s="1">
        <f t="shared" si="123"/>
        <v>0.19671236297937844</v>
      </c>
      <c r="J461" s="2">
        <v>8.59</v>
      </c>
      <c r="K461" s="1">
        <v>2.5703957827688555E-9</v>
      </c>
      <c r="L461" s="1">
        <v>3.929355964442246E-6</v>
      </c>
      <c r="M461" s="1">
        <v>7.5524864434080269E-5</v>
      </c>
      <c r="N461" s="1">
        <v>3.3207458559276538E-3</v>
      </c>
      <c r="O461" s="1">
        <v>0.99523649862778929</v>
      </c>
      <c r="P461" s="1">
        <v>0.99547192795422934</v>
      </c>
      <c r="Q461" s="2">
        <v>9.9547192795422923</v>
      </c>
      <c r="S461" s="2">
        <v>4.5999999999999996</v>
      </c>
      <c r="T461" s="1">
        <f t="shared" si="116"/>
        <v>2.5118864315095791E-5</v>
      </c>
      <c r="U461" s="1">
        <f t="shared" si="117"/>
        <v>4.0208824225903234E-10</v>
      </c>
      <c r="V461" s="1">
        <f t="shared" si="118"/>
        <v>6.4291601137221157E-3</v>
      </c>
      <c r="W461" s="1">
        <f t="shared" si="119"/>
        <v>3.1190279962092629E-2</v>
      </c>
      <c r="X461" s="1">
        <f t="shared" si="120"/>
        <v>0.90620106327429761</v>
      </c>
      <c r="Y461" s="1">
        <f t="shared" si="121"/>
        <v>0.90656610562896811</v>
      </c>
      <c r="Z461" s="1">
        <f t="shared" si="122"/>
        <v>45.328305281448401</v>
      </c>
      <c r="AB461">
        <v>5.91</v>
      </c>
      <c r="AC461">
        <v>1.230268770812379E-6</v>
      </c>
      <c r="AD461">
        <v>8.2095882132574187E-9</v>
      </c>
      <c r="AE461">
        <v>5.8485804243337804E-2</v>
      </c>
      <c r="AF461">
        <v>1.383806525222073E-2</v>
      </c>
      <c r="AG461">
        <v>0.32119646020335163</v>
      </c>
      <c r="AH461">
        <v>0.32121064348725975</v>
      </c>
      <c r="AI461">
        <v>16.060532174362987</v>
      </c>
      <c r="AJ461"/>
      <c r="AK461"/>
      <c r="AL461"/>
      <c r="AM461"/>
      <c r="AN461"/>
      <c r="AO461"/>
      <c r="AP461"/>
      <c r="AQ461"/>
      <c r="AR461"/>
    </row>
    <row r="462" spans="1:44" ht="15" customHeight="1" x14ac:dyDescent="0.3">
      <c r="A462" s="2">
        <v>4.6100000000000003</v>
      </c>
      <c r="B462" s="1">
        <f t="shared" si="110"/>
        <v>2.4547089156850252E-5</v>
      </c>
      <c r="C462" s="1">
        <f t="shared" si="111"/>
        <v>4.1145408058215471E-10</v>
      </c>
      <c r="D462" s="1">
        <f t="shared" si="112"/>
        <v>1.9517699551790783E-2</v>
      </c>
      <c r="E462" s="1">
        <f t="shared" si="113"/>
        <v>8.0383408034869543E-5</v>
      </c>
      <c r="F462" s="1">
        <f t="shared" si="114"/>
        <v>2.1409233250460145E-2</v>
      </c>
      <c r="G462" s="1">
        <f t="shared" si="115"/>
        <v>2.017694659527066E-2</v>
      </c>
      <c r="H462" s="1">
        <f t="shared" si="123"/>
        <v>0.20176946595270659</v>
      </c>
      <c r="J462" s="2">
        <v>8.6</v>
      </c>
      <c r="K462" s="1">
        <v>2.5118864315095812E-9</v>
      </c>
      <c r="L462" s="1">
        <v>4.02088242259032E-6</v>
      </c>
      <c r="M462" s="1">
        <v>7.363168993979605E-5</v>
      </c>
      <c r="N462" s="1">
        <v>3.321061385010034E-3</v>
      </c>
      <c r="O462" s="1">
        <v>0.99534442435046999</v>
      </c>
      <c r="P462" s="1">
        <v>0.99558534918561192</v>
      </c>
      <c r="Q462" s="2">
        <v>9.9558534918561179</v>
      </c>
      <c r="S462" s="2">
        <v>4.6100000000000003</v>
      </c>
      <c r="T462" s="1">
        <f t="shared" si="116"/>
        <v>2.4547089156850252E-5</v>
      </c>
      <c r="U462" s="1">
        <f t="shared" si="117"/>
        <v>4.1145408058215471E-10</v>
      </c>
      <c r="V462" s="1">
        <f t="shared" si="118"/>
        <v>6.5701745300984736E-3</v>
      </c>
      <c r="W462" s="1">
        <f t="shared" si="119"/>
        <v>3.1143275156633839E-2</v>
      </c>
      <c r="X462" s="1">
        <f t="shared" si="120"/>
        <v>0.9042254591283162</v>
      </c>
      <c r="Y462" s="1">
        <f t="shared" si="121"/>
        <v>0.90458194831304894</v>
      </c>
      <c r="Z462" s="1">
        <f t="shared" si="122"/>
        <v>45.229097415652447</v>
      </c>
      <c r="AB462">
        <v>5.92</v>
      </c>
      <c r="AC462">
        <v>1.2022644346174125E-6</v>
      </c>
      <c r="AD462">
        <v>8.4008140881369799E-9</v>
      </c>
      <c r="AE462">
        <v>5.904378176072294E-2</v>
      </c>
      <c r="AF462">
        <v>1.365207274642569E-2</v>
      </c>
      <c r="AG462">
        <v>0.31619695454937119</v>
      </c>
      <c r="AH462">
        <v>0.31621078074831427</v>
      </c>
      <c r="AI462">
        <v>15.810539037415714</v>
      </c>
      <c r="AJ462"/>
      <c r="AK462"/>
      <c r="AL462"/>
      <c r="AM462"/>
      <c r="AN462"/>
      <c r="AO462"/>
      <c r="AP462"/>
      <c r="AQ462"/>
      <c r="AR462"/>
    </row>
    <row r="463" spans="1:44" ht="15" customHeight="1" x14ac:dyDescent="0.3">
      <c r="A463" s="2">
        <v>4.62</v>
      </c>
      <c r="B463" s="1">
        <f t="shared" si="110"/>
        <v>2.3988329190194856E-5</v>
      </c>
      <c r="C463" s="1">
        <f t="shared" si="111"/>
        <v>4.2103807730503957E-10</v>
      </c>
      <c r="D463" s="1">
        <f t="shared" si="112"/>
        <v>1.9505423470544327E-2</v>
      </c>
      <c r="E463" s="1">
        <f t="shared" si="113"/>
        <v>8.2429421575945451E-5</v>
      </c>
      <c r="F463" s="1">
        <f t="shared" si="114"/>
        <v>2.1896998648233402E-2</v>
      </c>
      <c r="G463" s="1">
        <f t="shared" si="115"/>
        <v>2.069263950926779E-2</v>
      </c>
      <c r="H463" s="1">
        <f t="shared" si="123"/>
        <v>0.20692639509267788</v>
      </c>
      <c r="J463" s="2">
        <v>8.61</v>
      </c>
      <c r="K463" s="1">
        <v>2.4547089156850316E-9</v>
      </c>
      <c r="L463" s="1">
        <v>4.1145408058215363E-6</v>
      </c>
      <c r="M463" s="1">
        <v>7.1777079185837562E-5</v>
      </c>
      <c r="N463" s="1">
        <v>3.3213704868023603E-3</v>
      </c>
      <c r="O463" s="1">
        <v>0.99544991600043076</v>
      </c>
      <c r="P463" s="1">
        <v>0.99569646420114788</v>
      </c>
      <c r="Q463" s="2">
        <v>9.9569646420114779</v>
      </c>
      <c r="S463" s="2">
        <v>4.62</v>
      </c>
      <c r="T463" s="1">
        <f t="shared" si="116"/>
        <v>2.3988329190194856E-5</v>
      </c>
      <c r="U463" s="1">
        <f t="shared" si="117"/>
        <v>4.2103807730503957E-10</v>
      </c>
      <c r="V463" s="1">
        <f t="shared" si="118"/>
        <v>6.7140113815283876E-3</v>
      </c>
      <c r="W463" s="1">
        <f t="shared" si="119"/>
        <v>3.1095329539490537E-2</v>
      </c>
      <c r="X463" s="1">
        <f t="shared" si="120"/>
        <v>0.90221273471524421</v>
      </c>
      <c r="Y463" s="1">
        <f t="shared" si="121"/>
        <v>0.90256086653260581</v>
      </c>
      <c r="Z463" s="1">
        <f t="shared" si="122"/>
        <v>45.128043326630291</v>
      </c>
      <c r="AB463">
        <v>5.93</v>
      </c>
      <c r="AC463">
        <v>1.1748975549395291E-6</v>
      </c>
      <c r="AD463">
        <v>8.5964941858440049E-9</v>
      </c>
      <c r="AE463">
        <v>5.9599439427330758E-2</v>
      </c>
      <c r="AF463">
        <v>1.3466853524223081E-2</v>
      </c>
      <c r="AG463">
        <v>0.31123958672789731</v>
      </c>
      <c r="AH463">
        <v>0.31125306481240306</v>
      </c>
      <c r="AI463">
        <v>15.562653240620152</v>
      </c>
      <c r="AJ463"/>
      <c r="AK463"/>
      <c r="AL463"/>
      <c r="AM463"/>
      <c r="AN463"/>
      <c r="AO463"/>
      <c r="AP463"/>
      <c r="AQ463"/>
      <c r="AR463"/>
    </row>
    <row r="464" spans="1:44" ht="15" customHeight="1" x14ac:dyDescent="0.3">
      <c r="A464" s="2">
        <v>4.63</v>
      </c>
      <c r="B464" s="1">
        <f t="shared" si="110"/>
        <v>2.3442288153199218E-5</v>
      </c>
      <c r="C464" s="1">
        <f t="shared" si="111"/>
        <v>4.3084531398960858E-10</v>
      </c>
      <c r="D464" s="1">
        <f t="shared" si="112"/>
        <v>1.9492906624156557E-2</v>
      </c>
      <c r="E464" s="1">
        <f t="shared" si="113"/>
        <v>8.4515562640573847E-5</v>
      </c>
      <c r="F464" s="1">
        <f t="shared" si="114"/>
        <v>2.239562245717041E-2</v>
      </c>
      <c r="G464" s="1">
        <f t="shared" si="115"/>
        <v>2.1218555568257039E-2</v>
      </c>
      <c r="H464" s="1">
        <f t="shared" si="123"/>
        <v>0.21218555568257039</v>
      </c>
      <c r="J464" s="2">
        <v>8.6199999999999992</v>
      </c>
      <c r="K464" s="1">
        <v>2.3988329190194922E-9</v>
      </c>
      <c r="L464" s="1">
        <v>4.210380773050384E-6</v>
      </c>
      <c r="M464" s="1">
        <v>6.9960070257725772E-5</v>
      </c>
      <c r="N464" s="1">
        <v>3.3216733216237123E-3</v>
      </c>
      <c r="O464" s="1">
        <v>0.99555302797288303</v>
      </c>
      <c r="P464" s="1">
        <v>0.99580533037835084</v>
      </c>
      <c r="Q464" s="2">
        <v>9.9580533037835082</v>
      </c>
      <c r="S464" s="2">
        <v>4.63</v>
      </c>
      <c r="T464" s="1">
        <f t="shared" si="116"/>
        <v>2.3442288153199218E-5</v>
      </c>
      <c r="U464" s="1">
        <f t="shared" si="117"/>
        <v>4.3084531398960858E-10</v>
      </c>
      <c r="V464" s="1">
        <f t="shared" si="118"/>
        <v>6.8607185654928687E-3</v>
      </c>
      <c r="W464" s="1">
        <f t="shared" si="119"/>
        <v>3.1046427144835711E-2</v>
      </c>
      <c r="X464" s="1">
        <f t="shared" si="120"/>
        <v>0.90016238263301007</v>
      </c>
      <c r="Y464" s="1">
        <f t="shared" si="121"/>
        <v>0.90050234844387711</v>
      </c>
      <c r="Z464" s="1">
        <f t="shared" si="122"/>
        <v>45.025117422193851</v>
      </c>
      <c r="AB464">
        <v>5.94</v>
      </c>
      <c r="AC464">
        <v>1.1481536214968806E-6</v>
      </c>
      <c r="AD464">
        <v>8.7967322585564298E-9</v>
      </c>
      <c r="AE464">
        <v>6.0152645341021785E-2</v>
      </c>
      <c r="AF464">
        <v>1.3282451552992736E-2</v>
      </c>
      <c r="AG464">
        <v>0.30632512363203207</v>
      </c>
      <c r="AH464">
        <v>0.30633826234397266</v>
      </c>
      <c r="AI464">
        <v>15.316913117198633</v>
      </c>
      <c r="AJ464"/>
      <c r="AK464"/>
      <c r="AL464"/>
      <c r="AM464"/>
      <c r="AN464"/>
      <c r="AO464"/>
      <c r="AP464"/>
      <c r="AQ464"/>
      <c r="AR464"/>
    </row>
    <row r="465" spans="1:44" ht="15" customHeight="1" x14ac:dyDescent="0.3">
      <c r="A465" s="2">
        <v>4.6399999999999997</v>
      </c>
      <c r="B465" s="1">
        <f t="shared" si="110"/>
        <v>2.2908676527677729E-5</v>
      </c>
      <c r="C465" s="1">
        <f t="shared" si="111"/>
        <v>4.4088099056256765E-10</v>
      </c>
      <c r="D465" s="1">
        <f t="shared" si="112"/>
        <v>1.9480143348169263E-2</v>
      </c>
      <c r="E465" s="1">
        <f t="shared" si="113"/>
        <v>8.6642775305122486E-5</v>
      </c>
      <c r="F465" s="1">
        <f t="shared" si="114"/>
        <v>2.2905334696986968E-2</v>
      </c>
      <c r="G465" s="1">
        <f t="shared" si="115"/>
        <v>2.1754939241906281E-2</v>
      </c>
      <c r="H465" s="1">
        <f t="shared" si="123"/>
        <v>0.21754939241906279</v>
      </c>
      <c r="J465" s="2">
        <v>8.6300000000000008</v>
      </c>
      <c r="K465" s="1">
        <v>2.3442288153199155E-9</v>
      </c>
      <c r="L465" s="1">
        <v>4.308453139896098E-6</v>
      </c>
      <c r="M465" s="1">
        <v>6.8179720220846245E-5</v>
      </c>
      <c r="N465" s="1">
        <v>3.3219700466298589E-3</v>
      </c>
      <c r="O465" s="1">
        <v>0.99565381346990089</v>
      </c>
      <c r="P465" s="1">
        <v>0.99591200397100443</v>
      </c>
      <c r="Q465" s="2">
        <v>9.9591200397100437</v>
      </c>
      <c r="S465" s="2">
        <v>4.6399999999999997</v>
      </c>
      <c r="T465" s="1">
        <f t="shared" si="116"/>
        <v>2.2908676527677729E-5</v>
      </c>
      <c r="U465" s="1">
        <f t="shared" si="117"/>
        <v>4.4088099056256765E-10</v>
      </c>
      <c r="V465" s="1">
        <f t="shared" si="118"/>
        <v>7.0103443483207012E-3</v>
      </c>
      <c r="W465" s="1">
        <f t="shared" si="119"/>
        <v>3.0996551883893102E-2</v>
      </c>
      <c r="X465" s="1">
        <f t="shared" si="120"/>
        <v>0.8980738966532068</v>
      </c>
      <c r="Y465" s="1">
        <f t="shared" si="121"/>
        <v>0.89840588347809913</v>
      </c>
      <c r="Z465" s="1">
        <f t="shared" si="122"/>
        <v>44.920294173904956</v>
      </c>
      <c r="AB465">
        <v>5.95</v>
      </c>
      <c r="AC465">
        <v>1.1220184543019616E-6</v>
      </c>
      <c r="AD465">
        <v>9.0016344751508437E-9</v>
      </c>
      <c r="AE465">
        <v>6.0703270054067594E-2</v>
      </c>
      <c r="AF465">
        <v>1.3098909981977467E-2</v>
      </c>
      <c r="AG465">
        <v>0.3014542963926245</v>
      </c>
      <c r="AH465">
        <v>0.30146710425061102</v>
      </c>
      <c r="AI465">
        <v>15.073355212530553</v>
      </c>
      <c r="AJ465"/>
      <c r="AK465"/>
      <c r="AL465"/>
      <c r="AM465"/>
      <c r="AN465"/>
      <c r="AO465"/>
      <c r="AP465"/>
      <c r="AQ465"/>
      <c r="AR465"/>
    </row>
    <row r="466" spans="1:44" ht="15" customHeight="1" x14ac:dyDescent="0.3">
      <c r="A466" s="2">
        <v>4.6500000000000004</v>
      </c>
      <c r="B466" s="1">
        <f t="shared" si="110"/>
        <v>2.2387211385683359E-5</v>
      </c>
      <c r="C466" s="1">
        <f t="shared" si="111"/>
        <v>4.5115042807247348E-10</v>
      </c>
      <c r="D466" s="1">
        <f t="shared" si="112"/>
        <v>1.9467127890773341E-2</v>
      </c>
      <c r="E466" s="1">
        <f t="shared" si="113"/>
        <v>8.8812018204443096E-5</v>
      </c>
      <c r="F466" s="1">
        <f t="shared" si="114"/>
        <v>2.3426369721582397E-2</v>
      </c>
      <c r="G466" s="1">
        <f t="shared" si="115"/>
        <v>2.2302039005819826E-2</v>
      </c>
      <c r="H466" s="1">
        <f t="shared" si="123"/>
        <v>0.22302039005819826</v>
      </c>
      <c r="J466" s="2">
        <v>8.64</v>
      </c>
      <c r="K466" s="1">
        <v>2.2908676527677671E-9</v>
      </c>
      <c r="L466" s="1">
        <v>4.4088099056256879E-6</v>
      </c>
      <c r="M466" s="1">
        <v>6.6435104663098565E-5</v>
      </c>
      <c r="N466" s="1">
        <v>3.3222608158894836E-3</v>
      </c>
      <c r="O466" s="1">
        <v>0.99575232452558304</v>
      </c>
      <c r="P466" s="1">
        <v>0.9960165401359441</v>
      </c>
      <c r="Q466" s="2">
        <v>9.9601654013594398</v>
      </c>
      <c r="S466" s="2">
        <v>4.6500000000000004</v>
      </c>
      <c r="T466" s="1">
        <f t="shared" si="116"/>
        <v>2.2387211385683359E-5</v>
      </c>
      <c r="U466" s="1">
        <f t="shared" si="117"/>
        <v>4.5115042807247348E-10</v>
      </c>
      <c r="V466" s="1">
        <f t="shared" si="118"/>
        <v>7.1629373480474835E-3</v>
      </c>
      <c r="W466" s="1">
        <f t="shared" si="119"/>
        <v>3.094568755065084E-2</v>
      </c>
      <c r="X466" s="1">
        <f t="shared" si="120"/>
        <v>0.89594677213601792</v>
      </c>
      <c r="Y466" s="1">
        <f t="shared" si="121"/>
        <v>0.89627096275411544</v>
      </c>
      <c r="Z466" s="1">
        <f t="shared" si="122"/>
        <v>44.813548137705773</v>
      </c>
      <c r="AB466">
        <v>5.96</v>
      </c>
      <c r="AC466">
        <v>1.0964781961431832E-6</v>
      </c>
      <c r="AD466">
        <v>9.2113094774947035E-9</v>
      </c>
      <c r="AE466">
        <v>6.1251186684880513E-2</v>
      </c>
      <c r="AF466">
        <v>1.2916271105039829E-2</v>
      </c>
      <c r="AG466">
        <v>0.29662780029034724</v>
      </c>
      <c r="AH466">
        <v>0.29664028559501282</v>
      </c>
      <c r="AI466">
        <v>14.832014279750641</v>
      </c>
      <c r="AJ466"/>
      <c r="AK466"/>
      <c r="AL466"/>
      <c r="AM466"/>
      <c r="AN466"/>
      <c r="AO466"/>
      <c r="AP466"/>
      <c r="AQ466"/>
      <c r="AR466"/>
    </row>
    <row r="467" spans="1:44" ht="15" customHeight="1" x14ac:dyDescent="0.3">
      <c r="A467" s="2">
        <v>4.66</v>
      </c>
      <c r="B467" s="1">
        <f t="shared" si="110"/>
        <v>2.1877616239495489E-5</v>
      </c>
      <c r="C467" s="1">
        <f t="shared" si="111"/>
        <v>4.616590715110245E-10</v>
      </c>
      <c r="D467" s="1">
        <f t="shared" si="112"/>
        <v>1.9453854411629307E-2</v>
      </c>
      <c r="E467" s="1">
        <f t="shared" si="113"/>
        <v>9.1024264728448596E-5</v>
      </c>
      <c r="F467" s="1">
        <f t="shared" si="114"/>
        <v>2.3958966275577753E-2</v>
      </c>
      <c r="G467" s="1">
        <f t="shared" si="115"/>
        <v>2.28601074055222E-2</v>
      </c>
      <c r="H467" s="1">
        <f t="shared" si="123"/>
        <v>0.22860107405522198</v>
      </c>
      <c r="J467" s="2">
        <v>8.65</v>
      </c>
      <c r="K467" s="1">
        <v>2.2387211385683336E-9</v>
      </c>
      <c r="L467" s="1">
        <v>4.5115042807247394E-6</v>
      </c>
      <c r="M467" s="1">
        <v>6.4725317245474548E-5</v>
      </c>
      <c r="N467" s="1">
        <v>3.3225457804590876E-3</v>
      </c>
      <c r="O467" s="1">
        <v>0.99584861203072961</v>
      </c>
      <c r="P467" s="1">
        <v>0.99611899295939088</v>
      </c>
      <c r="Q467" s="2">
        <v>9.9611899295939086</v>
      </c>
      <c r="S467" s="2">
        <v>4.66</v>
      </c>
      <c r="T467" s="1">
        <f t="shared" si="116"/>
        <v>2.1877616239495489E-5</v>
      </c>
      <c r="U467" s="1">
        <f t="shared" si="117"/>
        <v>4.616590715110245E-10</v>
      </c>
      <c r="V467" s="1">
        <f t="shared" si="118"/>
        <v>7.3185465161449952E-3</v>
      </c>
      <c r="W467" s="1">
        <f t="shared" si="119"/>
        <v>3.089381782795167E-2</v>
      </c>
      <c r="X467" s="1">
        <f t="shared" si="120"/>
        <v>0.89378050646104956</v>
      </c>
      <c r="Y467" s="1">
        <f t="shared" si="121"/>
        <v>0.89409707950694517</v>
      </c>
      <c r="Z467" s="1">
        <f t="shared" si="122"/>
        <v>44.704853975347255</v>
      </c>
      <c r="AB467">
        <v>5.97</v>
      </c>
      <c r="AC467">
        <v>1.0715193052376047E-6</v>
      </c>
      <c r="AD467">
        <v>9.4258684380496238E-9</v>
      </c>
      <c r="AE467">
        <v>6.1796271024450997E-2</v>
      </c>
      <c r="AF467">
        <v>1.2734576325183003E-2</v>
      </c>
      <c r="AG467">
        <v>0.29184629472301266</v>
      </c>
      <c r="AH467">
        <v>0.29185846556218437</v>
      </c>
      <c r="AI467">
        <v>14.592923278109216</v>
      </c>
      <c r="AJ467"/>
      <c r="AK467"/>
      <c r="AL467"/>
      <c r="AM467"/>
      <c r="AN467"/>
      <c r="AO467"/>
      <c r="AP467"/>
      <c r="AQ467"/>
      <c r="AR467"/>
    </row>
    <row r="468" spans="1:44" ht="15" customHeight="1" x14ac:dyDescent="0.3">
      <c r="A468" s="2">
        <v>4.67</v>
      </c>
      <c r="B468" s="1">
        <f t="shared" si="110"/>
        <v>2.1379620895022286E-5</v>
      </c>
      <c r="C468" s="1">
        <f t="shared" si="111"/>
        <v>4.7241249270007091E-10</v>
      </c>
      <c r="D468" s="1">
        <f t="shared" si="112"/>
        <v>1.9440316980717604E-2</v>
      </c>
      <c r="E468" s="1">
        <f t="shared" si="113"/>
        <v>9.3280503213732864E-5</v>
      </c>
      <c r="F468" s="1">
        <f t="shared" si="114"/>
        <v>2.4503367550336014E-2</v>
      </c>
      <c r="G468" s="1">
        <f t="shared" si="115"/>
        <v>2.3429401119755576E-2</v>
      </c>
      <c r="H468" s="1">
        <f t="shared" si="123"/>
        <v>0.23429401119755575</v>
      </c>
      <c r="J468" s="2">
        <v>8.66</v>
      </c>
      <c r="K468" s="1">
        <v>2.1877616239495468E-9</v>
      </c>
      <c r="L468" s="1">
        <v>4.6165907151102492E-6</v>
      </c>
      <c r="M468" s="1">
        <v>6.3049469260441173E-5</v>
      </c>
      <c r="N468" s="1">
        <v>3.3228250884565929E-3</v>
      </c>
      <c r="O468" s="1">
        <v>0.99594272575704101</v>
      </c>
      <c r="P468" s="1">
        <v>0.99621941548284654</v>
      </c>
      <c r="Q468" s="2">
        <v>9.9621941548284649</v>
      </c>
      <c r="S468" s="2">
        <v>4.67</v>
      </c>
      <c r="T468" s="1">
        <f t="shared" si="116"/>
        <v>2.1379620895022286E-5</v>
      </c>
      <c r="U468" s="1">
        <f t="shared" si="117"/>
        <v>4.7241249270007091E-10</v>
      </c>
      <c r="V468" s="1">
        <f t="shared" si="118"/>
        <v>7.4772211180880715E-3</v>
      </c>
      <c r="W468" s="1">
        <f t="shared" si="119"/>
        <v>3.0840926293970644E-2</v>
      </c>
      <c r="X468" s="1">
        <f t="shared" si="120"/>
        <v>0.89157459947418483</v>
      </c>
      <c r="Y468" s="1">
        <f t="shared" si="121"/>
        <v>0.89188372953242423</v>
      </c>
      <c r="Z468" s="1">
        <f t="shared" si="122"/>
        <v>44.594186476621211</v>
      </c>
      <c r="AB468">
        <v>5.98</v>
      </c>
      <c r="AC468">
        <v>1.0471285480508979E-6</v>
      </c>
      <c r="AD468">
        <v>9.6454251188165172E-9</v>
      </c>
      <c r="AE468">
        <v>6.2338401637330412E-2</v>
      </c>
      <c r="AF468">
        <v>1.2553866120889861E-2</v>
      </c>
      <c r="AG468">
        <v>0.28711040322680847</v>
      </c>
      <c r="AH468">
        <v>0.28712226748057146</v>
      </c>
      <c r="AI468">
        <v>14.356113374028574</v>
      </c>
      <c r="AJ468"/>
      <c r="AK468"/>
      <c r="AL468"/>
      <c r="AM468"/>
      <c r="AN468"/>
      <c r="AO468"/>
      <c r="AP468"/>
      <c r="AQ468"/>
      <c r="AR468"/>
    </row>
    <row r="469" spans="1:44" ht="15" customHeight="1" x14ac:dyDescent="0.3">
      <c r="A469" s="2">
        <v>4.68</v>
      </c>
      <c r="B469" s="1">
        <f t="shared" si="110"/>
        <v>2.0892961308540399E-5</v>
      </c>
      <c r="C469" s="1">
        <f t="shared" si="111"/>
        <v>4.834163932458646E-10</v>
      </c>
      <c r="D469" s="1">
        <f t="shared" si="112"/>
        <v>1.9426509577220873E-2</v>
      </c>
      <c r="E469" s="1">
        <f t="shared" si="113"/>
        <v>9.5581737129854299E-5</v>
      </c>
      <c r="F469" s="1">
        <f t="shared" si="114"/>
        <v>2.5059821239382125E-2</v>
      </c>
      <c r="G469" s="1">
        <f t="shared" si="115"/>
        <v>2.401018102301267E-2</v>
      </c>
      <c r="H469" s="1">
        <f t="shared" si="123"/>
        <v>0.24010181023012669</v>
      </c>
      <c r="J469" s="2">
        <v>8.67</v>
      </c>
      <c r="K469" s="1">
        <v>2.137962089502227E-9</v>
      </c>
      <c r="L469" s="1">
        <v>4.7241249270007129E-6</v>
      </c>
      <c r="M469" s="1">
        <v>6.1406689197895668E-5</v>
      </c>
      <c r="N469" s="1">
        <v>3.3230988851336838E-3</v>
      </c>
      <c r="O469" s="1">
        <v>0.99603471438084767</v>
      </c>
      <c r="P469" s="1">
        <v>0.99631785972855857</v>
      </c>
      <c r="Q469" s="2">
        <v>9.9631785972855855</v>
      </c>
      <c r="S469" s="2">
        <v>4.68</v>
      </c>
      <c r="T469" s="1">
        <f t="shared" si="116"/>
        <v>2.0892961308540399E-5</v>
      </c>
      <c r="U469" s="1">
        <f t="shared" si="117"/>
        <v>4.834163932458646E-10</v>
      </c>
      <c r="V469" s="1">
        <f t="shared" si="118"/>
        <v>7.6390107127262408E-3</v>
      </c>
      <c r="W469" s="1">
        <f t="shared" si="119"/>
        <v>3.0786996429091256E-2</v>
      </c>
      <c r="X469" s="1">
        <f t="shared" si="120"/>
        <v>0.88932855395054766</v>
      </c>
      <c r="Y469" s="1">
        <f t="shared" si="121"/>
        <v>0.88963041164800671</v>
      </c>
      <c r="Z469" s="1">
        <f t="shared" si="122"/>
        <v>44.481520582400336</v>
      </c>
      <c r="AB469">
        <v>5.99</v>
      </c>
      <c r="AC469">
        <v>1.0232929922807527E-6</v>
      </c>
      <c r="AD469">
        <v>9.8700959316537015E-9</v>
      </c>
      <c r="AE469">
        <v>6.2877459957015616E-2</v>
      </c>
      <c r="AF469">
        <v>1.2374180014328131E-2</v>
      </c>
      <c r="AG469">
        <v>0.28242071355002973</v>
      </c>
      <c r="AH469">
        <v>0.28243227889568379</v>
      </c>
      <c r="AI469">
        <v>14.12161394478419</v>
      </c>
      <c r="AJ469"/>
      <c r="AK469"/>
      <c r="AL469"/>
      <c r="AM469"/>
      <c r="AN469"/>
      <c r="AO469"/>
      <c r="AP469"/>
      <c r="AQ469"/>
      <c r="AR469"/>
    </row>
    <row r="470" spans="1:44" ht="15" customHeight="1" x14ac:dyDescent="0.3">
      <c r="A470" s="2">
        <v>4.6900000000000004</v>
      </c>
      <c r="B470" s="1">
        <f t="shared" si="110"/>
        <v>2.0417379446695267E-5</v>
      </c>
      <c r="C470" s="1">
        <f t="shared" si="111"/>
        <v>4.9467660756213122E-10</v>
      </c>
      <c r="D470" s="1">
        <f t="shared" si="112"/>
        <v>1.941242608844064E-2</v>
      </c>
      <c r="E470" s="1">
        <f t="shared" si="113"/>
        <v>9.7928985259893136E-5</v>
      </c>
      <c r="F470" s="1">
        <f t="shared" si="114"/>
        <v>2.5628579593138093E-2</v>
      </c>
      <c r="G470" s="1">
        <f t="shared" si="115"/>
        <v>2.4602712247223876E-2</v>
      </c>
      <c r="H470" s="1">
        <f t="shared" si="123"/>
        <v>0.24602712247223874</v>
      </c>
      <c r="J470" s="2">
        <v>8.68</v>
      </c>
      <c r="K470" s="1">
        <v>2.0892961308540348E-9</v>
      </c>
      <c r="L470" s="1">
        <v>4.8341639324586576E-6</v>
      </c>
      <c r="M470" s="1">
        <v>5.9796122318629422E-5</v>
      </c>
      <c r="N470" s="1">
        <v>3.3233673129468952E-3</v>
      </c>
      <c r="O470" s="1">
        <v>0.99612462550637493</v>
      </c>
      <c r="P470" s="1">
        <v>0.99641437672456179</v>
      </c>
      <c r="Q470" s="2">
        <v>9.9641437672456181</v>
      </c>
      <c r="S470" s="2">
        <v>4.6900000000000004</v>
      </c>
      <c r="T470" s="1">
        <f t="shared" si="116"/>
        <v>2.0417379446695267E-5</v>
      </c>
      <c r="U470" s="1">
        <f t="shared" si="117"/>
        <v>4.9467660756213122E-10</v>
      </c>
      <c r="V470" s="1">
        <f t="shared" si="118"/>
        <v>7.8039651304276283E-3</v>
      </c>
      <c r="W470" s="1">
        <f t="shared" si="119"/>
        <v>3.0732011623190791E-2</v>
      </c>
      <c r="X470" s="1">
        <f t="shared" si="120"/>
        <v>0.88704187607363372</v>
      </c>
      <c r="Y470" s="1">
        <f t="shared" si="121"/>
        <v>0.88733662816978265</v>
      </c>
      <c r="Z470" s="1">
        <f t="shared" si="122"/>
        <v>44.366831408489134</v>
      </c>
      <c r="AB470">
        <v>6</v>
      </c>
      <c r="AC470">
        <v>9.9999999999999995E-7</v>
      </c>
      <c r="AD470">
        <v>1.0099999999999999E-8</v>
      </c>
      <c r="AE470">
        <v>6.3413330375609755E-2</v>
      </c>
      <c r="AF470">
        <v>1.2195556541463414E-2</v>
      </c>
      <c r="AG470">
        <v>0.27777777777777773</v>
      </c>
      <c r="AH470">
        <v>0.27778905169468909</v>
      </c>
      <c r="AI470">
        <v>13.889452584734455</v>
      </c>
      <c r="AJ470"/>
      <c r="AK470"/>
      <c r="AL470"/>
      <c r="AM470"/>
      <c r="AN470"/>
      <c r="AO470"/>
      <c r="AP470"/>
      <c r="AQ470"/>
      <c r="AR470"/>
    </row>
    <row r="471" spans="1:44" ht="15" customHeight="1" x14ac:dyDescent="0.3">
      <c r="A471" s="2">
        <v>4.7</v>
      </c>
      <c r="B471" s="1">
        <f t="shared" si="110"/>
        <v>1.9952623149688769E-5</v>
      </c>
      <c r="C471" s="1">
        <f t="shared" si="111"/>
        <v>5.0619910596354569E-10</v>
      </c>
      <c r="D471" s="1">
        <f t="shared" si="112"/>
        <v>1.9398060308750801E-2</v>
      </c>
      <c r="E471" s="1">
        <f t="shared" si="113"/>
        <v>1.0032328187486665E-4</v>
      </c>
      <c r="F471" s="1">
        <f t="shared" si="114"/>
        <v>2.6209899472882294E-2</v>
      </c>
      <c r="G471" s="1">
        <f t="shared" si="115"/>
        <v>2.5207264242511445E-2</v>
      </c>
      <c r="H471" s="1">
        <f t="shared" si="123"/>
        <v>0.25207264242511446</v>
      </c>
      <c r="J471" s="2">
        <v>8.69</v>
      </c>
      <c r="K471" s="1">
        <v>2.0417379446695247E-9</v>
      </c>
      <c r="L471" s="1">
        <v>4.9467660756213178E-6</v>
      </c>
      <c r="M471" s="1">
        <v>5.8216930235127337E-5</v>
      </c>
      <c r="N471" s="1">
        <v>3.3236305116274788E-3</v>
      </c>
      <c r="O471" s="1">
        <v>0.9962125056885528</v>
      </c>
      <c r="P471" s="1">
        <v>0.99650901652930401</v>
      </c>
      <c r="Q471" s="2">
        <v>9.9650901652930397</v>
      </c>
      <c r="S471" s="2">
        <v>4.7</v>
      </c>
      <c r="T471" s="1">
        <f t="shared" si="116"/>
        <v>1.9952623149688769E-5</v>
      </c>
      <c r="U471" s="1">
        <f t="shared" si="117"/>
        <v>5.0619910596354569E-10</v>
      </c>
      <c r="V471" s="1">
        <f t="shared" si="118"/>
        <v>7.9721344499634368E-3</v>
      </c>
      <c r="W471" s="1">
        <f t="shared" si="119"/>
        <v>3.0675955183345521E-2</v>
      </c>
      <c r="X471" s="1">
        <f t="shared" si="120"/>
        <v>0.884714075930636</v>
      </c>
      <c r="Y471" s="1">
        <f t="shared" si="121"/>
        <v>0.88500188540573732</v>
      </c>
      <c r="Z471" s="1">
        <f t="shared" si="122"/>
        <v>44.250094270286858</v>
      </c>
      <c r="AB471">
        <v>6.01</v>
      </c>
      <c r="AC471">
        <v>9.7723722095580961E-7</v>
      </c>
      <c r="AD471">
        <v>1.0335259222035628E-8</v>
      </c>
      <c r="AE471">
        <v>6.3945900327653793E-2</v>
      </c>
      <c r="AF471">
        <v>1.2018033224115404E-2</v>
      </c>
      <c r="AG471">
        <v>0.27318211250600244</v>
      </c>
      <c r="AH471">
        <v>0.27319310228035243</v>
      </c>
      <c r="AI471">
        <v>13.659655114017621</v>
      </c>
      <c r="AJ471"/>
      <c r="AK471"/>
      <c r="AL471"/>
      <c r="AM471"/>
      <c r="AN471"/>
      <c r="AO471"/>
      <c r="AP471"/>
      <c r="AQ471"/>
      <c r="AR471"/>
    </row>
    <row r="472" spans="1:44" ht="15" customHeight="1" x14ac:dyDescent="0.3">
      <c r="A472" s="2">
        <v>4.71</v>
      </c>
      <c r="B472" s="1">
        <f t="shared" si="110"/>
        <v>1.9498445997580432E-5</v>
      </c>
      <c r="C472" s="1">
        <f t="shared" si="111"/>
        <v>5.1798999783127904E-10</v>
      </c>
      <c r="D472" s="1">
        <f t="shared" si="112"/>
        <v>1.9383405938590531E-2</v>
      </c>
      <c r="E472" s="1">
        <f t="shared" si="113"/>
        <v>1.0276567690157836E-4</v>
      </c>
      <c r="F472" s="1">
        <f t="shared" si="114"/>
        <v>2.6804042403840177E-2</v>
      </c>
      <c r="G472" s="1">
        <f t="shared" si="115"/>
        <v>2.582411083692147E-2</v>
      </c>
      <c r="H472" s="1">
        <f t="shared" si="123"/>
        <v>0.25824110836921471</v>
      </c>
      <c r="J472" s="2">
        <v>8.6999999999999993</v>
      </c>
      <c r="K472" s="1">
        <v>1.9952623149688824E-9</v>
      </c>
      <c r="L472" s="1">
        <v>5.0619910596354431E-6</v>
      </c>
      <c r="M472" s="1">
        <v>5.6668290499453831E-5</v>
      </c>
      <c r="N472" s="1">
        <v>3.3238886182500914E-3</v>
      </c>
      <c r="O472" s="1">
        <v>0.99629840045537665</v>
      </c>
      <c r="P472" s="1">
        <v>0.9966018282558684</v>
      </c>
      <c r="Q472" s="2">
        <v>9.966018282558684</v>
      </c>
      <c r="S472" s="2">
        <v>4.71</v>
      </c>
      <c r="T472" s="1">
        <f t="shared" si="116"/>
        <v>1.9498445997580432E-5</v>
      </c>
      <c r="U472" s="1">
        <f t="shared" si="117"/>
        <v>5.1798999783127904E-10</v>
      </c>
      <c r="V472" s="1">
        <f t="shared" si="118"/>
        <v>8.1435689741012115E-3</v>
      </c>
      <c r="W472" s="1">
        <f t="shared" si="119"/>
        <v>3.0618810341966264E-2</v>
      </c>
      <c r="X472" s="1">
        <f t="shared" si="120"/>
        <v>0.88234466802395639</v>
      </c>
      <c r="Y472" s="1">
        <f t="shared" si="121"/>
        <v>0.88262569416524461</v>
      </c>
      <c r="Z472" s="1">
        <f t="shared" si="122"/>
        <v>44.131284708262235</v>
      </c>
      <c r="AB472">
        <v>6.02</v>
      </c>
      <c r="AC472">
        <v>9.5499258602143498E-7</v>
      </c>
      <c r="AD472">
        <v>1.0575998335314095E-8</v>
      </c>
      <c r="AE472">
        <v>6.4475060368040252E-2</v>
      </c>
      <c r="AF472">
        <v>1.1841646543986586E-2</v>
      </c>
      <c r="AG472">
        <v>0.2686341990631867</v>
      </c>
      <c r="AH472">
        <v>0.26864491179261801</v>
      </c>
      <c r="AI472">
        <v>13.432245589630902</v>
      </c>
      <c r="AJ472"/>
      <c r="AK472"/>
      <c r="AL472"/>
      <c r="AM472"/>
      <c r="AN472"/>
      <c r="AO472"/>
      <c r="AP472"/>
      <c r="AQ472"/>
      <c r="AR472"/>
    </row>
    <row r="473" spans="1:44" ht="15" customHeight="1" x14ac:dyDescent="0.3">
      <c r="A473" s="2">
        <v>4.72</v>
      </c>
      <c r="B473" s="1">
        <f t="shared" si="110"/>
        <v>1.9054607179632454E-5</v>
      </c>
      <c r="C473" s="1">
        <f t="shared" si="111"/>
        <v>5.3005553485227081E-10</v>
      </c>
      <c r="D473" s="1">
        <f t="shared" si="112"/>
        <v>1.9368456583499314E-2</v>
      </c>
      <c r="E473" s="1">
        <f t="shared" si="113"/>
        <v>1.0525723608344763E-4</v>
      </c>
      <c r="F473" s="1">
        <f t="shared" si="114"/>
        <v>2.7411274627306519E-2</v>
      </c>
      <c r="G473" s="1">
        <f t="shared" si="115"/>
        <v>2.6453530295037175E-2</v>
      </c>
      <c r="H473" s="1">
        <f t="shared" si="123"/>
        <v>0.26453530295037175</v>
      </c>
      <c r="J473" s="2">
        <v>8.7100000000000009</v>
      </c>
      <c r="K473" s="1">
        <v>1.9498445997580341E-9</v>
      </c>
      <c r="L473" s="1">
        <v>5.1798999783128142E-6</v>
      </c>
      <c r="M473" s="1">
        <v>5.5149396198235051E-5</v>
      </c>
      <c r="N473" s="1">
        <v>3.3241417673002941E-3</v>
      </c>
      <c r="O473" s="1">
        <v>0.9963823543298268</v>
      </c>
      <c r="P473" s="1">
        <v>0.9966928600957945</v>
      </c>
      <c r="Q473" s="2">
        <v>9.9669286009579441</v>
      </c>
      <c r="S473" s="2">
        <v>4.72</v>
      </c>
      <c r="T473" s="1">
        <f t="shared" si="116"/>
        <v>1.9054607179632454E-5</v>
      </c>
      <c r="U473" s="1">
        <f t="shared" si="117"/>
        <v>5.3005553485227081E-10</v>
      </c>
      <c r="V473" s="1">
        <f t="shared" si="118"/>
        <v>8.318319203876259E-3</v>
      </c>
      <c r="W473" s="1">
        <f t="shared" si="119"/>
        <v>3.0560560265374584E-2</v>
      </c>
      <c r="X473" s="1">
        <f t="shared" si="120"/>
        <v>0.87993317179886477</v>
      </c>
      <c r="Y473" s="1">
        <f t="shared" si="121"/>
        <v>0.88020757028475283</v>
      </c>
      <c r="Z473" s="1">
        <f t="shared" si="122"/>
        <v>44.010378514237637</v>
      </c>
      <c r="AB473">
        <v>6.03</v>
      </c>
      <c r="AC473">
        <v>9.3325430079699009E-7</v>
      </c>
      <c r="AD473">
        <v>1.0822344982899836E-8</v>
      </c>
      <c r="AE473">
        <v>6.5000704243942026E-2</v>
      </c>
      <c r="AF473">
        <v>1.166643191868599E-2</v>
      </c>
      <c r="AG473">
        <v>0.26413448377788079</v>
      </c>
      <c r="AH473">
        <v>0.2641449263760442</v>
      </c>
      <c r="AI473">
        <v>13.207246318802209</v>
      </c>
      <c r="AJ473"/>
      <c r="AK473"/>
      <c r="AL473"/>
      <c r="AM473"/>
      <c r="AN473"/>
      <c r="AO473"/>
      <c r="AP473"/>
      <c r="AQ473"/>
      <c r="AR473"/>
    </row>
    <row r="474" spans="1:44" ht="15" customHeight="1" x14ac:dyDescent="0.3">
      <c r="A474" s="2">
        <v>4.7300000000000004</v>
      </c>
      <c r="B474" s="1">
        <f t="shared" si="110"/>
        <v>1.8620871366628623E-5</v>
      </c>
      <c r="C474" s="1">
        <f t="shared" si="111"/>
        <v>5.4240211433395667E-10</v>
      </c>
      <c r="D474" s="1">
        <f t="shared" si="112"/>
        <v>1.9353205753196871E-2</v>
      </c>
      <c r="E474" s="1">
        <f t="shared" si="113"/>
        <v>1.0779904113385461E-4</v>
      </c>
      <c r="F474" s="1">
        <f t="shared" si="114"/>
        <v>2.8031867151696591E-2</v>
      </c>
      <c r="G474" s="1">
        <f t="shared" si="115"/>
        <v>2.7095805375374399E-2</v>
      </c>
      <c r="H474" s="1">
        <f t="shared" si="123"/>
        <v>0.27095805375374399</v>
      </c>
      <c r="J474" s="2">
        <v>8.7200000000000006</v>
      </c>
      <c r="K474" s="1">
        <v>1.9054607179632436E-9</v>
      </c>
      <c r="L474" s="1">
        <v>5.3005553485227133E-6</v>
      </c>
      <c r="M474" s="1">
        <v>5.3659455554462184E-5</v>
      </c>
      <c r="N474" s="1">
        <v>3.324390090740923E-3</v>
      </c>
      <c r="O474" s="1">
        <v>0.99646441085135185</v>
      </c>
      <c r="P474" s="1">
        <v>0.99678215934250969</v>
      </c>
      <c r="Q474" s="2">
        <v>9.9678215934250964</v>
      </c>
      <c r="S474" s="2">
        <v>4.7300000000000004</v>
      </c>
      <c r="T474" s="1">
        <f t="shared" si="116"/>
        <v>1.8620871366628623E-5</v>
      </c>
      <c r="U474" s="1">
        <f t="shared" si="117"/>
        <v>5.4240211433395667E-10</v>
      </c>
      <c r="V474" s="1">
        <f t="shared" si="118"/>
        <v>8.4964358115105394E-3</v>
      </c>
      <c r="W474" s="1">
        <f t="shared" si="119"/>
        <v>3.050118806282982E-2</v>
      </c>
      <c r="X474" s="1">
        <f t="shared" si="120"/>
        <v>0.87747911218722674</v>
      </c>
      <c r="Y474" s="1">
        <f t="shared" si="121"/>
        <v>0.8777470351695843</v>
      </c>
      <c r="Z474" s="1">
        <f t="shared" si="122"/>
        <v>43.887351758479213</v>
      </c>
      <c r="AB474">
        <v>6.04</v>
      </c>
      <c r="AC474">
        <v>9.12010839355909E-7</v>
      </c>
      <c r="AD474">
        <v>1.1074429781046177E-8</v>
      </c>
      <c r="AE474">
        <v>6.5522728960704893E-2</v>
      </c>
      <c r="AF474">
        <v>1.1492423679765034E-2</v>
      </c>
      <c r="AG474">
        <v>0.25968337829024712</v>
      </c>
      <c r="AH474">
        <v>0.25969355749124923</v>
      </c>
      <c r="AI474">
        <v>12.984677874562461</v>
      </c>
      <c r="AJ474"/>
      <c r="AK474"/>
      <c r="AL474"/>
      <c r="AM474"/>
      <c r="AN474"/>
      <c r="AO474"/>
      <c r="AP474"/>
      <c r="AQ474"/>
      <c r="AR474"/>
    </row>
    <row r="475" spans="1:44" ht="15" customHeight="1" x14ac:dyDescent="0.3">
      <c r="A475" s="2">
        <v>4.74</v>
      </c>
      <c r="B475" s="1">
        <f t="shared" si="110"/>
        <v>1.8197008586099817E-5</v>
      </c>
      <c r="C475" s="1">
        <f t="shared" si="111"/>
        <v>5.5503628259620132E-10</v>
      </c>
      <c r="D475" s="1">
        <f t="shared" si="112"/>
        <v>1.933764686071093E-2</v>
      </c>
      <c r="E475" s="1">
        <f t="shared" si="113"/>
        <v>1.1039218988151166E-4</v>
      </c>
      <c r="F475" s="1">
        <f t="shared" si="114"/>
        <v>2.8666095802417885E-2</v>
      </c>
      <c r="G475" s="1">
        <f t="shared" si="115"/>
        <v>2.7751223386454003E-2</v>
      </c>
      <c r="H475" s="1">
        <f t="shared" si="123"/>
        <v>0.27751223386453999</v>
      </c>
      <c r="J475" s="2">
        <v>8.73</v>
      </c>
      <c r="K475" s="1">
        <v>1.8620871366628641E-9</v>
      </c>
      <c r="L475" s="1">
        <v>5.4240211433395622E-6</v>
      </c>
      <c r="M475" s="1">
        <v>5.2197691535980533E-5</v>
      </c>
      <c r="N475" s="1">
        <v>3.3246337180773368E-3</v>
      </c>
      <c r="O475" s="1">
        <v>0.99654461259692706</v>
      </c>
      <c r="P475" s="1">
        <v>0.99686977241438068</v>
      </c>
      <c r="Q475" s="2">
        <v>9.9686977241438068</v>
      </c>
      <c r="S475" s="2">
        <v>4.74</v>
      </c>
      <c r="T475" s="1">
        <f t="shared" si="116"/>
        <v>1.8197008586099817E-5</v>
      </c>
      <c r="U475" s="1">
        <f t="shared" si="117"/>
        <v>5.5503628259620132E-10</v>
      </c>
      <c r="V475" s="1">
        <f t="shared" si="118"/>
        <v>8.6779696119503504E-3</v>
      </c>
      <c r="W475" s="1">
        <f t="shared" si="119"/>
        <v>3.0440676796016551E-2</v>
      </c>
      <c r="X475" s="1">
        <f t="shared" si="120"/>
        <v>0.87498202016718063</v>
      </c>
      <c r="Y475" s="1">
        <f t="shared" si="121"/>
        <v>0.87524361635172732</v>
      </c>
      <c r="Z475" s="1">
        <f t="shared" si="122"/>
        <v>43.762180817586369</v>
      </c>
      <c r="AB475">
        <v>6.05</v>
      </c>
      <c r="AC475">
        <v>8.9125093813374487E-7</v>
      </c>
      <c r="AD475">
        <v>1.1332386388449838E-8</v>
      </c>
      <c r="AE475">
        <v>6.6041034841672924E-2</v>
      </c>
      <c r="AF475">
        <v>1.131965505277569E-2</v>
      </c>
      <c r="AG475">
        <v>0.25528125990570155</v>
      </c>
      <c r="AH475">
        <v>0.25529118226845587</v>
      </c>
      <c r="AI475">
        <v>12.764559113422793</v>
      </c>
      <c r="AJ475"/>
      <c r="AK475"/>
      <c r="AL475"/>
      <c r="AM475"/>
      <c r="AN475"/>
      <c r="AO475"/>
      <c r="AP475"/>
      <c r="AQ475"/>
      <c r="AR475"/>
    </row>
    <row r="476" spans="1:44" ht="15" customHeight="1" x14ac:dyDescent="0.3">
      <c r="A476" s="2">
        <v>4.75</v>
      </c>
      <c r="B476" s="1">
        <f t="shared" si="110"/>
        <v>1.7782794100389215E-5</v>
      </c>
      <c r="C476" s="1">
        <f t="shared" si="111"/>
        <v>5.6796473844225295E-10</v>
      </c>
      <c r="D476" s="1">
        <f t="shared" si="112"/>
        <v>1.9321773221555847E-2</v>
      </c>
      <c r="E476" s="1">
        <f t="shared" si="113"/>
        <v>1.1303779640735836E-4</v>
      </c>
      <c r="F476" s="1">
        <f t="shared" si="114"/>
        <v>2.9314241270450399E-2</v>
      </c>
      <c r="G476" s="1">
        <f t="shared" si="115"/>
        <v>2.8420076241442684E-2</v>
      </c>
      <c r="H476" s="1">
        <f t="shared" si="123"/>
        <v>0.28420076241442682</v>
      </c>
      <c r="J476" s="2">
        <v>8.74</v>
      </c>
      <c r="K476" s="1">
        <v>1.8197008586099804E-9</v>
      </c>
      <c r="L476" s="1">
        <v>5.5503628259620172E-6</v>
      </c>
      <c r="M476" s="1">
        <v>5.0763341470607211E-5</v>
      </c>
      <c r="N476" s="1">
        <v>3.324872776421565E-3</v>
      </c>
      <c r="O476" s="1">
        <v>0.9966230012016889</v>
      </c>
      <c r="P476" s="1">
        <v>0.9969557448773867</v>
      </c>
      <c r="Q476" s="2">
        <v>9.9695574487738661</v>
      </c>
      <c r="S476" s="2">
        <v>4.75</v>
      </c>
      <c r="T476" s="1">
        <f t="shared" si="116"/>
        <v>1.7782794100389215E-5</v>
      </c>
      <c r="U476" s="1">
        <f t="shared" si="117"/>
        <v>5.6796473844225295E-10</v>
      </c>
      <c r="V476" s="1">
        <f t="shared" si="118"/>
        <v>8.862971532993872E-3</v>
      </c>
      <c r="W476" s="1">
        <f t="shared" si="119"/>
        <v>3.0379009489002042E-2</v>
      </c>
      <c r="X476" s="1">
        <f t="shared" si="120"/>
        <v>0.87244143333860436</v>
      </c>
      <c r="Y476" s="1">
        <f t="shared" si="121"/>
        <v>0.87269684806346148</v>
      </c>
      <c r="Z476" s="1">
        <f t="shared" si="122"/>
        <v>43.634842403173074</v>
      </c>
      <c r="AB476">
        <v>6.06</v>
      </c>
      <c r="AC476">
        <v>8.7096358995607992E-7</v>
      </c>
      <c r="AD476">
        <v>1.1596351577118525E-8</v>
      </c>
      <c r="AE476">
        <v>6.6555525581933228E-2</v>
      </c>
      <c r="AF476">
        <v>1.1148158139355595E-2</v>
      </c>
      <c r="AG476">
        <v>0.25092847198869656</v>
      </c>
      <c r="AH476">
        <v>0.25093814390117902</v>
      </c>
      <c r="AI476">
        <v>12.546907195058951</v>
      </c>
      <c r="AJ476"/>
      <c r="AK476"/>
      <c r="AL476"/>
      <c r="AM476"/>
      <c r="AN476"/>
      <c r="AO476"/>
      <c r="AP476"/>
      <c r="AQ476"/>
      <c r="AR476"/>
    </row>
    <row r="477" spans="1:44" ht="15" customHeight="1" x14ac:dyDescent="0.3">
      <c r="A477" s="2">
        <v>4.76</v>
      </c>
      <c r="B477" s="1">
        <f t="shared" si="110"/>
        <v>1.7378008287493744E-5</v>
      </c>
      <c r="C477" s="1">
        <f t="shared" si="111"/>
        <v>5.8119433671052887E-10</v>
      </c>
      <c r="D477" s="1">
        <f t="shared" si="112"/>
        <v>1.9305578052965327E-2</v>
      </c>
      <c r="E477" s="1">
        <f t="shared" si="113"/>
        <v>1.1573699117244568E-4</v>
      </c>
      <c r="F477" s="1">
        <f t="shared" si="114"/>
        <v>2.997658915951602E-2</v>
      </c>
      <c r="G477" s="1">
        <f t="shared" si="115"/>
        <v>2.9102660511245656E-2</v>
      </c>
      <c r="H477" s="1">
        <f t="shared" si="123"/>
        <v>0.29102660511245654</v>
      </c>
      <c r="J477" s="2">
        <v>8.75</v>
      </c>
      <c r="K477" s="1">
        <v>1.7782794100389197E-9</v>
      </c>
      <c r="L477" s="1">
        <v>5.6796473844225353E-6</v>
      </c>
      <c r="M477" s="1">
        <v>4.9355656667576765E-5</v>
      </c>
      <c r="N477" s="1">
        <v>3.3251073905554039E-3</v>
      </c>
      <c r="O477" s="1">
        <v>0.99669961737915969</v>
      </c>
      <c r="P477" s="1">
        <v>0.99704012146743171</v>
      </c>
      <c r="Q477" s="2">
        <v>9.9704012146743164</v>
      </c>
      <c r="S477" s="2">
        <v>4.76</v>
      </c>
      <c r="T477" s="1">
        <f t="shared" si="116"/>
        <v>1.7378008287493744E-5</v>
      </c>
      <c r="U477" s="1">
        <f t="shared" si="117"/>
        <v>5.8119433671052887E-10</v>
      </c>
      <c r="V477" s="1">
        <f t="shared" si="118"/>
        <v>9.051492583981368E-3</v>
      </c>
      <c r="W477" s="1">
        <f t="shared" si="119"/>
        <v>3.0316169138672876E-2</v>
      </c>
      <c r="X477" s="1">
        <f t="shared" si="120"/>
        <v>0.86985689651417342</v>
      </c>
      <c r="Y477" s="1">
        <f t="shared" si="121"/>
        <v>0.87010627182661482</v>
      </c>
      <c r="Z477" s="1">
        <f t="shared" si="122"/>
        <v>43.50531359133074</v>
      </c>
      <c r="AB477">
        <v>6.07</v>
      </c>
      <c r="AC477">
        <v>8.511380382023744E-7</v>
      </c>
      <c r="AD477">
        <v>1.1866465304889276E-8</v>
      </c>
      <c r="AE477">
        <v>6.7066108295983862E-2</v>
      </c>
      <c r="AF477">
        <v>1.0977963901338714E-2</v>
      </c>
      <c r="AG477">
        <v>0.24662532439464938</v>
      </c>
      <c r="AH477">
        <v>0.2466347520780599</v>
      </c>
      <c r="AI477">
        <v>12.331737603902996</v>
      </c>
      <c r="AJ477"/>
      <c r="AK477"/>
      <c r="AL477"/>
      <c r="AM477"/>
      <c r="AN477"/>
      <c r="AO477"/>
      <c r="AP477"/>
      <c r="AQ477"/>
      <c r="AR477"/>
    </row>
    <row r="478" spans="1:44" ht="15" customHeight="1" x14ac:dyDescent="0.3">
      <c r="A478" s="2">
        <v>4.7699999999999996</v>
      </c>
      <c r="B478" s="1">
        <f t="shared" si="110"/>
        <v>1.6982436524617432E-5</v>
      </c>
      <c r="C478" s="1">
        <f t="shared" si="111"/>
        <v>5.9473209190914524E-10</v>
      </c>
      <c r="D478" s="1">
        <f t="shared" si="112"/>
        <v>1.9289054473182392E-2</v>
      </c>
      <c r="E478" s="1">
        <f t="shared" si="113"/>
        <v>1.184909211362681E-4</v>
      </c>
      <c r="F478" s="1">
        <f t="shared" si="114"/>
        <v>3.0653430031715511E-2</v>
      </c>
      <c r="G478" s="1">
        <f t="shared" si="115"/>
        <v>2.9799277475932952E-2</v>
      </c>
      <c r="H478" s="1">
        <f t="shared" si="123"/>
        <v>0.2979927747593295</v>
      </c>
      <c r="J478" s="2">
        <v>8.76</v>
      </c>
      <c r="K478" s="1">
        <v>1.7378008287493727E-9</v>
      </c>
      <c r="L478" s="1">
        <v>5.8119433671052935E-6</v>
      </c>
      <c r="M478" s="1">
        <v>4.7973902045325475E-5</v>
      </c>
      <c r="N478" s="1">
        <v>3.3253376829924458E-3</v>
      </c>
      <c r="O478" s="1">
        <v>0.99677450094106279</v>
      </c>
      <c r="P478" s="1">
        <v>0.99712294611229435</v>
      </c>
      <c r="Q478" s="2">
        <v>9.9712294611229435</v>
      </c>
      <c r="S478" s="2">
        <v>4.7699999999999996</v>
      </c>
      <c r="T478" s="1">
        <f t="shared" si="116"/>
        <v>1.6982436524617432E-5</v>
      </c>
      <c r="U478" s="1">
        <f t="shared" si="117"/>
        <v>5.9473209190914524E-10</v>
      </c>
      <c r="V478" s="1">
        <f t="shared" si="118"/>
        <v>9.2435838230221744E-3</v>
      </c>
      <c r="W478" s="1">
        <f t="shared" si="119"/>
        <v>3.0252138725659274E-2</v>
      </c>
      <c r="X478" s="1">
        <f t="shared" si="120"/>
        <v>0.86722796232575594</v>
      </c>
      <c r="Y478" s="1">
        <f t="shared" si="121"/>
        <v>0.86747143705719942</v>
      </c>
      <c r="Z478" s="1">
        <f t="shared" si="122"/>
        <v>43.373571852859975</v>
      </c>
      <c r="AB478">
        <v>6.08</v>
      </c>
      <c r="AC478">
        <v>8.3176377110266907E-7</v>
      </c>
      <c r="AD478">
        <v>1.2142870789635897E-8</v>
      </c>
      <c r="AE478">
        <v>6.7572693559346725E-2</v>
      </c>
      <c r="AF478">
        <v>1.0809102146884424E-2</v>
      </c>
      <c r="AG478">
        <v>0.24237209393798478</v>
      </c>
      <c r="AH478">
        <v>0.24238128345081672</v>
      </c>
      <c r="AI478">
        <v>12.119064172540837</v>
      </c>
      <c r="AJ478"/>
      <c r="AK478"/>
      <c r="AL478"/>
      <c r="AM478"/>
      <c r="AN478"/>
      <c r="AO478"/>
      <c r="AP478"/>
      <c r="AQ478"/>
      <c r="AR478"/>
    </row>
    <row r="479" spans="1:44" ht="15" customHeight="1" x14ac:dyDescent="0.3">
      <c r="A479" s="2">
        <v>4.78</v>
      </c>
      <c r="B479" s="1">
        <f t="shared" si="110"/>
        <v>1.6595869074375568E-5</v>
      </c>
      <c r="C479" s="1">
        <f t="shared" si="111"/>
        <v>6.085851819351027E-10</v>
      </c>
      <c r="D479" s="1">
        <f t="shared" si="112"/>
        <v>1.927219550081017E-2</v>
      </c>
      <c r="E479" s="1">
        <f t="shared" si="113"/>
        <v>1.2130074986497138E-4</v>
      </c>
      <c r="F479" s="1">
        <f t="shared" si="114"/>
        <v>3.1345059451504002E-2</v>
      </c>
      <c r="G479" s="1">
        <f t="shared" si="115"/>
        <v>3.0510233174373177E-2</v>
      </c>
      <c r="H479" s="1">
        <f t="shared" si="123"/>
        <v>0.30510233174373175</v>
      </c>
      <c r="J479" s="2">
        <v>8.77</v>
      </c>
      <c r="K479" s="1">
        <v>1.6982436524617417E-9</v>
      </c>
      <c r="L479" s="1">
        <v>5.9473209190914575E-6</v>
      </c>
      <c r="M479" s="1">
        <v>4.6617355765344428E-5</v>
      </c>
      <c r="N479" s="1">
        <v>3.325563774039109E-3</v>
      </c>
      <c r="O479" s="1">
        <v>0.99684769081673974</v>
      </c>
      <c r="P479" s="1">
        <v>0.99720426195323086</v>
      </c>
      <c r="Q479" s="2">
        <v>9.9720426195323082</v>
      </c>
      <c r="S479" s="2">
        <v>4.78</v>
      </c>
      <c r="T479" s="1">
        <f t="shared" si="116"/>
        <v>1.6595869074375568E-5</v>
      </c>
      <c r="U479" s="1">
        <f t="shared" si="117"/>
        <v>6.085851819351027E-10</v>
      </c>
      <c r="V479" s="1">
        <f t="shared" si="118"/>
        <v>9.439296322733659E-3</v>
      </c>
      <c r="W479" s="1">
        <f t="shared" si="119"/>
        <v>3.0186901225755448E-2</v>
      </c>
      <c r="X479" s="1">
        <f t="shared" si="120"/>
        <v>0.86455419184585292</v>
      </c>
      <c r="Y479" s="1">
        <f t="shared" si="121"/>
        <v>0.86479190168513187</v>
      </c>
      <c r="Z479" s="1">
        <f t="shared" si="122"/>
        <v>43.239595084256592</v>
      </c>
      <c r="AB479">
        <v>6.09</v>
      </c>
      <c r="AC479">
        <v>8.1283051616409889E-7</v>
      </c>
      <c r="AD479">
        <v>1.2425714585205057E-8</v>
      </c>
      <c r="AE479">
        <v>6.8075195444163433E-2</v>
      </c>
      <c r="AF479">
        <v>1.064160151861219E-2</v>
      </c>
      <c r="AG479">
        <v>0.23816902489423697</v>
      </c>
      <c r="AH479">
        <v>0.23817798213625541</v>
      </c>
      <c r="AI479">
        <v>11.90889910681277</v>
      </c>
      <c r="AJ479"/>
      <c r="AK479"/>
      <c r="AL479"/>
      <c r="AM479"/>
      <c r="AN479"/>
      <c r="AO479"/>
      <c r="AP479"/>
      <c r="AQ479"/>
      <c r="AR479"/>
    </row>
    <row r="480" spans="1:44" ht="15" customHeight="1" x14ac:dyDescent="0.3">
      <c r="A480" s="2">
        <v>4.79</v>
      </c>
      <c r="B480" s="1">
        <f t="shared" si="110"/>
        <v>1.6218100973589292E-5</v>
      </c>
      <c r="C480" s="1">
        <f t="shared" si="111"/>
        <v>6.2276095188009729E-10</v>
      </c>
      <c r="D480" s="1">
        <f t="shared" si="112"/>
        <v>1.9254994054226933E-2</v>
      </c>
      <c r="E480" s="1">
        <f t="shared" si="113"/>
        <v>1.2416765762884486E-4</v>
      </c>
      <c r="F480" s="1">
        <f t="shared" si="114"/>
        <v>3.2051778027871104E-2</v>
      </c>
      <c r="G480" s="1">
        <f t="shared" si="115"/>
        <v>3.1235838451943755E-2</v>
      </c>
      <c r="H480" s="1">
        <f t="shared" si="123"/>
        <v>0.31235838451943754</v>
      </c>
      <c r="J480" s="2">
        <v>8.7799999999999994</v>
      </c>
      <c r="K480" s="1">
        <v>1.6595869074375584E-9</v>
      </c>
      <c r="L480" s="1">
        <v>6.0858518193510209E-6</v>
      </c>
      <c r="M480" s="1">
        <v>4.5285308872011387E-5</v>
      </c>
      <c r="N480" s="1">
        <v>3.3257857818546647E-3</v>
      </c>
      <c r="O480" s="1">
        <v>0.99691922507217445</v>
      </c>
      <c r="P480" s="1">
        <v>0.99728411136623574</v>
      </c>
      <c r="Q480" s="2">
        <v>9.9728411136623567</v>
      </c>
      <c r="S480" s="2">
        <v>4.79</v>
      </c>
      <c r="T480" s="1">
        <f t="shared" si="116"/>
        <v>1.6218100973589292E-5</v>
      </c>
      <c r="U480" s="1">
        <f t="shared" si="117"/>
        <v>6.2276095188009729E-10</v>
      </c>
      <c r="V480" s="1">
        <f t="shared" si="118"/>
        <v>9.6386811344687812E-3</v>
      </c>
      <c r="W480" s="1">
        <f t="shared" si="119"/>
        <v>3.0120439621843742E-2</v>
      </c>
      <c r="X480" s="1">
        <f t="shared" si="120"/>
        <v>0.86183515522373744</v>
      </c>
      <c r="Y480" s="1">
        <f t="shared" si="121"/>
        <v>0.86206723278869168</v>
      </c>
      <c r="Z480" s="1">
        <f t="shared" si="122"/>
        <v>43.103361639434588</v>
      </c>
      <c r="AB480">
        <v>6.1</v>
      </c>
      <c r="AC480">
        <v>7.9432823472428114E-7</v>
      </c>
      <c r="AD480">
        <v>1.2715146659121094E-8</v>
      </c>
      <c r="AE480">
        <v>6.8573531548828393E-2</v>
      </c>
      <c r="AF480">
        <v>1.0475489483723869E-2</v>
      </c>
      <c r="AG480">
        <v>0.23401632953414236</v>
      </c>
      <c r="AH480">
        <v>0.23402506025027317</v>
      </c>
      <c r="AI480">
        <v>11.701253012513659</v>
      </c>
      <c r="AJ480"/>
      <c r="AK480"/>
      <c r="AL480"/>
      <c r="AM480"/>
      <c r="AN480"/>
      <c r="AO480"/>
      <c r="AP480"/>
      <c r="AQ480"/>
      <c r="AR480"/>
    </row>
    <row r="481" spans="1:44" ht="15" customHeight="1" x14ac:dyDescent="0.3">
      <c r="A481" s="2">
        <v>4.8</v>
      </c>
      <c r="B481" s="1">
        <f t="shared" si="110"/>
        <v>1.5848931924611131E-5</v>
      </c>
      <c r="C481" s="1">
        <f t="shared" si="111"/>
        <v>6.3726691792499525E-10</v>
      </c>
      <c r="D481" s="1">
        <f t="shared" si="112"/>
        <v>1.923744295106905E-2</v>
      </c>
      <c r="E481" s="1">
        <f t="shared" si="113"/>
        <v>1.2709284148849155E-4</v>
      </c>
      <c r="F481" s="1">
        <f t="shared" si="114"/>
        <v>3.2773891454587492E-2</v>
      </c>
      <c r="G481" s="1">
        <f t="shared" si="115"/>
        <v>3.1976409006182586E-2</v>
      </c>
      <c r="H481" s="1">
        <f t="shared" si="123"/>
        <v>0.31976409006182582</v>
      </c>
      <c r="J481" s="2">
        <v>8.7899999999999991</v>
      </c>
      <c r="K481" s="1">
        <v>1.6218100973589279E-9</v>
      </c>
      <c r="L481" s="1">
        <v>6.2276095188009775E-6</v>
      </c>
      <c r="M481" s="1">
        <v>4.3977064938271532E-5</v>
      </c>
      <c r="N481" s="1">
        <v>3.3260038225102887E-3</v>
      </c>
      <c r="O481" s="1">
        <v>0.99698914092863045</v>
      </c>
      <c r="P481" s="1">
        <v>0.9973625359829672</v>
      </c>
      <c r="Q481" s="2">
        <v>9.973625359829672</v>
      </c>
      <c r="S481" s="2">
        <v>4.8</v>
      </c>
      <c r="T481" s="1">
        <f t="shared" si="116"/>
        <v>1.5848931924611131E-5</v>
      </c>
      <c r="U481" s="1">
        <f t="shared" si="117"/>
        <v>6.3726691792499525E-10</v>
      </c>
      <c r="V481" s="1">
        <f t="shared" si="118"/>
        <v>9.8417892510115831E-3</v>
      </c>
      <c r="W481" s="1">
        <f t="shared" si="119"/>
        <v>3.0052736916329474E-2</v>
      </c>
      <c r="X481" s="1">
        <f t="shared" si="120"/>
        <v>0.85907043233589242</v>
      </c>
      <c r="Y481" s="1">
        <f t="shared" si="121"/>
        <v>0.8592970072433157</v>
      </c>
      <c r="Z481" s="1">
        <f t="shared" si="122"/>
        <v>42.964850362165784</v>
      </c>
      <c r="AB481">
        <v>6.11</v>
      </c>
      <c r="AC481">
        <v>7.7624711662869019E-7</v>
      </c>
      <c r="AD481">
        <v>1.3011320472100678E-8</v>
      </c>
      <c r="AE481">
        <v>6.9067623021728669E-2</v>
      </c>
      <c r="AF481">
        <v>1.0310792326090444E-2</v>
      </c>
      <c r="AG481">
        <v>0.22991418868764624</v>
      </c>
      <c r="AH481">
        <v>0.2299226984717769</v>
      </c>
      <c r="AI481">
        <v>11.496134923588844</v>
      </c>
      <c r="AJ481"/>
      <c r="AK481"/>
      <c r="AL481"/>
      <c r="AM481"/>
      <c r="AN481"/>
      <c r="AO481"/>
      <c r="AP481"/>
      <c r="AQ481"/>
      <c r="AR481"/>
    </row>
    <row r="482" spans="1:44" ht="15" customHeight="1" x14ac:dyDescent="0.3">
      <c r="A482" s="2">
        <v>4.8099999999999996</v>
      </c>
      <c r="B482" s="1">
        <f t="shared" si="110"/>
        <v>1.5488166189124811E-5</v>
      </c>
      <c r="C482" s="1">
        <f t="shared" si="111"/>
        <v>6.5211077132500215E-10</v>
      </c>
      <c r="D482" s="1">
        <f t="shared" si="112"/>
        <v>1.9219534907785791E-2</v>
      </c>
      <c r="E482" s="1">
        <f t="shared" si="113"/>
        <v>1.3007751536903457E-4</v>
      </c>
      <c r="F482" s="1">
        <f t="shared" si="114"/>
        <v>3.3511710548371237E-2</v>
      </c>
      <c r="G482" s="1">
        <f t="shared" si="115"/>
        <v>3.2732265430236891E-2</v>
      </c>
      <c r="H482" s="1">
        <f t="shared" si="123"/>
        <v>0.3273226543023689</v>
      </c>
      <c r="J482" s="2">
        <v>8.8000000000000007</v>
      </c>
      <c r="K482" s="1">
        <v>1.584893192461106E-9</v>
      </c>
      <c r="L482" s="1">
        <v>6.3726691792499815E-6</v>
      </c>
      <c r="M482" s="1">
        <v>4.2691939716989338E-5</v>
      </c>
      <c r="N482" s="1">
        <v>3.3262180100471681E-3</v>
      </c>
      <c r="O482" s="1">
        <v>0.99705747478090989</v>
      </c>
      <c r="P482" s="1">
        <v>0.99743957671134753</v>
      </c>
      <c r="Q482" s="2">
        <v>9.9743957671134744</v>
      </c>
      <c r="S482" s="2">
        <v>4.8099999999999996</v>
      </c>
      <c r="T482" s="1">
        <f t="shared" si="116"/>
        <v>1.5488166189124811E-5</v>
      </c>
      <c r="U482" s="1">
        <f t="shared" si="117"/>
        <v>6.5211077132500215E-10</v>
      </c>
      <c r="V482" s="1">
        <f t="shared" si="118"/>
        <v>1.0048671567719927E-2</v>
      </c>
      <c r="W482" s="1">
        <f t="shared" si="119"/>
        <v>2.9983776144093355E-2</v>
      </c>
      <c r="X482" s="1">
        <f t="shared" si="120"/>
        <v>0.85625961345030088</v>
      </c>
      <c r="Y482" s="1">
        <f t="shared" si="121"/>
        <v>0.85648081238428264</v>
      </c>
      <c r="Z482" s="1">
        <f t="shared" si="122"/>
        <v>42.824040619214131</v>
      </c>
      <c r="AB482">
        <v>6.12</v>
      </c>
      <c r="AC482">
        <v>7.585775750291823E-7</v>
      </c>
      <c r="AD482">
        <v>1.3314393059419737E-8</v>
      </c>
      <c r="AE482">
        <v>6.9557394579175397E-2</v>
      </c>
      <c r="AF482">
        <v>1.0147535140274867E-2</v>
      </c>
      <c r="AG482">
        <v>0.22586275233573877</v>
      </c>
      <c r="AH482">
        <v>0.22587104663443311</v>
      </c>
      <c r="AI482">
        <v>11.293552331721655</v>
      </c>
      <c r="AJ482"/>
      <c r="AK482"/>
      <c r="AL482"/>
      <c r="AM482"/>
      <c r="AN482"/>
      <c r="AO482"/>
      <c r="AP482"/>
      <c r="AQ482"/>
      <c r="AR482"/>
    </row>
    <row r="483" spans="1:44" ht="15" customHeight="1" x14ac:dyDescent="0.3">
      <c r="A483" s="2">
        <v>4.82</v>
      </c>
      <c r="B483" s="1">
        <f t="shared" si="110"/>
        <v>1.5135612484362051E-5</v>
      </c>
      <c r="C483" s="1">
        <f t="shared" si="111"/>
        <v>6.6730038248767331E-10</v>
      </c>
      <c r="D483" s="1">
        <f t="shared" si="112"/>
        <v>1.9201262539269726E-2</v>
      </c>
      <c r="E483" s="1">
        <f t="shared" si="113"/>
        <v>1.3312291012171207E-4</v>
      </c>
      <c r="F483" s="1">
        <f t="shared" si="114"/>
        <v>3.426555128482503E-2</v>
      </c>
      <c r="G483" s="1">
        <f t="shared" si="115"/>
        <v>3.3503733253963483E-2</v>
      </c>
      <c r="H483" s="1">
        <f t="shared" si="123"/>
        <v>0.3350373325396348</v>
      </c>
      <c r="J483" s="2">
        <v>8.81</v>
      </c>
      <c r="K483" s="1">
        <v>1.5488166189124741E-9</v>
      </c>
      <c r="L483" s="1">
        <v>6.5211077132500505E-6</v>
      </c>
      <c r="M483" s="1">
        <v>4.1429260797823949E-5</v>
      </c>
      <c r="N483" s="1">
        <v>3.3264284565336965E-3</v>
      </c>
      <c r="O483" s="1">
        <v>0.99712426221523931</v>
      </c>
      <c r="P483" s="1">
        <v>0.99751527375584637</v>
      </c>
      <c r="Q483" s="2">
        <v>9.9751527375584637</v>
      </c>
      <c r="S483" s="2">
        <v>4.82</v>
      </c>
      <c r="T483" s="1">
        <f t="shared" si="116"/>
        <v>1.5135612484362051E-5</v>
      </c>
      <c r="U483" s="1">
        <f t="shared" si="117"/>
        <v>6.6730038248767331E-10</v>
      </c>
      <c r="V483" s="1">
        <f t="shared" si="118"/>
        <v>1.025937884209898E-2</v>
      </c>
      <c r="W483" s="1">
        <f t="shared" si="119"/>
        <v>2.9913540385967007E-2</v>
      </c>
      <c r="X483" s="1">
        <f t="shared" si="120"/>
        <v>0.8534022999040779</v>
      </c>
      <c r="Y483" s="1">
        <f t="shared" si="121"/>
        <v>0.85361824668277564</v>
      </c>
      <c r="Z483" s="1">
        <f t="shared" si="122"/>
        <v>42.680912334138782</v>
      </c>
      <c r="AB483">
        <v>6.13</v>
      </c>
      <c r="AC483">
        <v>7.4131024130091606E-7</v>
      </c>
      <c r="AD483">
        <v>1.3624525114175727E-8</v>
      </c>
      <c r="AE483">
        <v>7.0042774517625458E-2</v>
      </c>
      <c r="AF483">
        <v>9.9857418274581829E-3</v>
      </c>
      <c r="AG483">
        <v>0.22186214022804782</v>
      </c>
      <c r="AH483">
        <v>0.22187022434417522</v>
      </c>
      <c r="AI483">
        <v>11.093511217208762</v>
      </c>
      <c r="AJ483"/>
      <c r="AK483"/>
      <c r="AL483"/>
      <c r="AM483"/>
      <c r="AN483"/>
      <c r="AO483"/>
      <c r="AP483"/>
      <c r="AQ483"/>
      <c r="AR483"/>
    </row>
    <row r="484" spans="1:44" ht="15" customHeight="1" x14ac:dyDescent="0.3">
      <c r="A484" s="2">
        <v>4.83</v>
      </c>
      <c r="B484" s="1">
        <f t="shared" si="110"/>
        <v>1.4791083881682046E-5</v>
      </c>
      <c r="C484" s="1">
        <f t="shared" si="111"/>
        <v>6.8284380514590286E-10</v>
      </c>
      <c r="D484" s="1">
        <f t="shared" si="112"/>
        <v>1.9182618358566935E-2</v>
      </c>
      <c r="E484" s="1">
        <f t="shared" si="113"/>
        <v>1.3623027357217716E-4</v>
      </c>
      <c r="F484" s="1">
        <f t="shared" si="114"/>
        <v>3.5035734831986319E-2</v>
      </c>
      <c r="G484" s="1">
        <f t="shared" si="115"/>
        <v>3.4291142982524891E-2</v>
      </c>
      <c r="H484" s="1">
        <f t="shared" si="123"/>
        <v>0.34291142982524891</v>
      </c>
      <c r="J484" s="2">
        <v>8.82</v>
      </c>
      <c r="K484" s="1">
        <v>1.5135612484362064E-9</v>
      </c>
      <c r="L484" s="1">
        <v>6.6730038248767263E-6</v>
      </c>
      <c r="M484" s="1">
        <v>4.0188367269536583E-5</v>
      </c>
      <c r="N484" s="1">
        <v>3.3266352721217436E-3</v>
      </c>
      <c r="O484" s="1">
        <v>0.99718953802678978</v>
      </c>
      <c r="P484" s="1">
        <v>0.99758966663745186</v>
      </c>
      <c r="Q484" s="2">
        <v>9.9758966663745188</v>
      </c>
      <c r="S484" s="2">
        <v>4.83</v>
      </c>
      <c r="T484" s="1">
        <f t="shared" si="116"/>
        <v>1.4791083881682046E-5</v>
      </c>
      <c r="U484" s="1">
        <f t="shared" si="117"/>
        <v>6.8284380514590286E-10</v>
      </c>
      <c r="V484" s="1">
        <f t="shared" si="118"/>
        <v>1.0473961651789404E-2</v>
      </c>
      <c r="W484" s="1">
        <f t="shared" si="119"/>
        <v>2.9842012782736863E-2</v>
      </c>
      <c r="X484" s="1">
        <f t="shared" si="120"/>
        <v>0.8504981047938841</v>
      </c>
      <c r="Y484" s="1">
        <f t="shared" si="121"/>
        <v>0.85070892043476154</v>
      </c>
      <c r="Z484" s="1">
        <f t="shared" si="122"/>
        <v>42.535446021738082</v>
      </c>
      <c r="AB484">
        <v>6.14</v>
      </c>
      <c r="AC484">
        <v>7.2443596007499005E-7</v>
      </c>
      <c r="AD484">
        <v>1.3941881072489136E-8</v>
      </c>
      <c r="AE484">
        <v>7.052369472030473E-2</v>
      </c>
      <c r="AF484">
        <v>9.8254350932317561E-3</v>
      </c>
      <c r="AG484">
        <v>0.21791244252412934</v>
      </c>
      <c r="AH484">
        <v>0.21792032162041039</v>
      </c>
      <c r="AI484">
        <v>10.89601608102052</v>
      </c>
      <c r="AJ484"/>
      <c r="AK484"/>
      <c r="AL484"/>
      <c r="AM484"/>
      <c r="AN484"/>
      <c r="AO484"/>
      <c r="AP484"/>
      <c r="AQ484"/>
      <c r="AR484"/>
    </row>
    <row r="485" spans="1:44" ht="15" customHeight="1" x14ac:dyDescent="0.3">
      <c r="A485" s="2">
        <v>4.84</v>
      </c>
      <c r="B485" s="1">
        <f t="shared" si="110"/>
        <v>1.4454397707459275E-5</v>
      </c>
      <c r="C485" s="1">
        <f t="shared" si="111"/>
        <v>6.9874928062812579E-10</v>
      </c>
      <c r="D485" s="1">
        <f t="shared" si="112"/>
        <v>1.9163594776671154E-2</v>
      </c>
      <c r="E485" s="1">
        <f t="shared" si="113"/>
        <v>1.3940087055480752E-4</v>
      </c>
      <c r="F485" s="1">
        <f t="shared" si="114"/>
        <v>3.5822587581328974E-2</v>
      </c>
      <c r="G485" s="1">
        <f t="shared" si="115"/>
        <v>3.5094830132322827E-2</v>
      </c>
      <c r="H485" s="1">
        <f t="shared" si="123"/>
        <v>0.35094830132322824</v>
      </c>
      <c r="J485" s="2">
        <v>8.83</v>
      </c>
      <c r="K485" s="1">
        <v>1.479108388168206E-9</v>
      </c>
      <c r="L485" s="1">
        <v>6.8284380514590222E-6</v>
      </c>
      <c r="M485" s="1">
        <v>3.8968609387533324E-5</v>
      </c>
      <c r="N485" s="1">
        <v>3.3268385651020779E-3</v>
      </c>
      <c r="O485" s="1">
        <v>0.99725333623683676</v>
      </c>
      <c r="P485" s="1">
        <v>0.99766279421334159</v>
      </c>
      <c r="Q485" s="2">
        <v>9.9766279421334154</v>
      </c>
      <c r="S485" s="2">
        <v>4.84</v>
      </c>
      <c r="T485" s="1">
        <f t="shared" si="116"/>
        <v>1.4454397707459275E-5</v>
      </c>
      <c r="U485" s="1">
        <f t="shared" si="117"/>
        <v>6.9874928062812579E-10</v>
      </c>
      <c r="V485" s="1">
        <f t="shared" si="118"/>
        <v>1.0692470350957942E-2</v>
      </c>
      <c r="W485" s="1">
        <f t="shared" si="119"/>
        <v>2.9769176549680684E-2</v>
      </c>
      <c r="X485" s="1">
        <f t="shared" si="120"/>
        <v>0.84754665367849324</v>
      </c>
      <c r="Y485" s="1">
        <f t="shared" si="121"/>
        <v>0.84775245646205888</v>
      </c>
      <c r="Z485" s="1">
        <f t="shared" si="122"/>
        <v>42.387622823102944</v>
      </c>
      <c r="AB485">
        <v>6.15</v>
      </c>
      <c r="AC485">
        <v>7.0794578438413674E-7</v>
      </c>
      <c r="AD485">
        <v>1.4266629200689841E-8</v>
      </c>
      <c r="AE485">
        <v>7.1000090658357842E-2</v>
      </c>
      <c r="AF485">
        <v>9.6666364472140515E-3</v>
      </c>
      <c r="AG485">
        <v>0.21401372045640704</v>
      </c>
      <c r="AH485">
        <v>0.21402139955887706</v>
      </c>
      <c r="AI485">
        <v>10.701069977943853</v>
      </c>
      <c r="AJ485"/>
      <c r="AK485"/>
      <c r="AL485"/>
      <c r="AM485"/>
      <c r="AN485"/>
      <c r="AO485"/>
      <c r="AP485"/>
      <c r="AQ485"/>
      <c r="AR485"/>
    </row>
    <row r="486" spans="1:44" ht="15" customHeight="1" x14ac:dyDescent="0.3">
      <c r="A486" s="2">
        <v>4.8499999999999996</v>
      </c>
      <c r="B486" s="1">
        <f t="shared" si="110"/>
        <v>1.4125375446227545E-5</v>
      </c>
      <c r="C486" s="1">
        <f t="shared" si="111"/>
        <v>7.1502524222797919E-10</v>
      </c>
      <c r="D486" s="1">
        <f t="shared" si="112"/>
        <v>1.9144184102406203E-2</v>
      </c>
      <c r="E486" s="1">
        <f t="shared" si="113"/>
        <v>1.4263598293229904E-4</v>
      </c>
      <c r="F486" s="1">
        <f t="shared" si="114"/>
        <v>3.6626441176046909E-2</v>
      </c>
      <c r="G486" s="1">
        <f t="shared" si="115"/>
        <v>3.5915135264101845E-2</v>
      </c>
      <c r="H486" s="1">
        <f t="shared" si="123"/>
        <v>0.35915135264101844</v>
      </c>
      <c r="J486" s="2">
        <v>8.84</v>
      </c>
      <c r="K486" s="1">
        <v>1.4454397707459262E-9</v>
      </c>
      <c r="L486" s="1">
        <v>6.987492806281264E-6</v>
      </c>
      <c r="M486" s="1">
        <v>3.7769348246535914E-5</v>
      </c>
      <c r="N486" s="1">
        <v>3.3270384419589101E-3</v>
      </c>
      <c r="O486" s="1">
        <v>0.99731569010956767</v>
      </c>
      <c r="P486" s="1">
        <v>0.99773469469625675</v>
      </c>
      <c r="Q486" s="2">
        <v>9.9773469469625677</v>
      </c>
      <c r="S486" s="2">
        <v>4.8499999999999996</v>
      </c>
      <c r="T486" s="1">
        <f t="shared" si="116"/>
        <v>1.4125375446227545E-5</v>
      </c>
      <c r="U486" s="1">
        <f t="shared" si="117"/>
        <v>7.1502524222797919E-10</v>
      </c>
      <c r="V486" s="1">
        <f t="shared" si="118"/>
        <v>1.0914955025079583E-2</v>
      </c>
      <c r="W486" s="1">
        <f t="shared" si="119"/>
        <v>2.969501499164014E-2</v>
      </c>
      <c r="X486" s="1">
        <f t="shared" si="120"/>
        <v>0.84454758529283502</v>
      </c>
      <c r="Y486" s="1">
        <f t="shared" si="121"/>
        <v>0.8447484908249151</v>
      </c>
      <c r="Z486" s="1">
        <f t="shared" si="122"/>
        <v>42.237424541245758</v>
      </c>
      <c r="AB486">
        <v>6.16</v>
      </c>
      <c r="AC486">
        <v>6.9183097091893534E-7</v>
      </c>
      <c r="AD486">
        <v>1.4598941684533892E-8</v>
      </c>
      <c r="AE486">
        <v>7.147190138665957E-2</v>
      </c>
      <c r="AF486">
        <v>9.5093662044468119E-3</v>
      </c>
      <c r="AG486">
        <v>0.21016600701274962</v>
      </c>
      <c r="AH486">
        <v>0.21017349101414101</v>
      </c>
      <c r="AI486">
        <v>10.508674550707051</v>
      </c>
      <c r="AJ486"/>
      <c r="AK486"/>
      <c r="AL486"/>
      <c r="AM486"/>
      <c r="AN486"/>
      <c r="AO486"/>
      <c r="AP486"/>
      <c r="AQ486"/>
      <c r="AR486"/>
    </row>
    <row r="487" spans="1:44" ht="15" customHeight="1" x14ac:dyDescent="0.3">
      <c r="A487" s="2">
        <v>4.8600000000000003</v>
      </c>
      <c r="B487" s="1">
        <f t="shared" si="110"/>
        <v>1.3803842646028827E-5</v>
      </c>
      <c r="C487" s="1">
        <f t="shared" si="111"/>
        <v>7.3168031967574104E-10</v>
      </c>
      <c r="D487" s="1">
        <f t="shared" si="112"/>
        <v>1.9124378542401215E-2</v>
      </c>
      <c r="E487" s="1">
        <f t="shared" si="113"/>
        <v>1.4593690959979758E-4</v>
      </c>
      <c r="F487" s="1">
        <f t="shared" si="114"/>
        <v>3.744763253644473E-2</v>
      </c>
      <c r="G487" s="1">
        <f t="shared" si="115"/>
        <v>3.6752404013050785E-2</v>
      </c>
      <c r="H487" s="1">
        <f t="shared" si="123"/>
        <v>0.36752404013050782</v>
      </c>
      <c r="J487" s="2">
        <v>8.85</v>
      </c>
      <c r="K487" s="1">
        <v>1.4125375446227532E-9</v>
      </c>
      <c r="L487" s="1">
        <v>7.1502524222797982E-6</v>
      </c>
      <c r="M487" s="1">
        <v>3.6589955458240275E-5</v>
      </c>
      <c r="N487" s="1">
        <v>3.3272350074236268E-3</v>
      </c>
      <c r="O487" s="1">
        <v>0.99737663216854267</v>
      </c>
      <c r="P487" s="1">
        <v>0.99780540567359211</v>
      </c>
      <c r="Q487" s="2">
        <v>9.9780540567359211</v>
      </c>
      <c r="S487" s="2">
        <v>4.8600000000000003</v>
      </c>
      <c r="T487" s="1">
        <f t="shared" si="116"/>
        <v>1.3803842646028827E-5</v>
      </c>
      <c r="U487" s="1">
        <f t="shared" si="117"/>
        <v>7.3168031967574104E-10</v>
      </c>
      <c r="V487" s="1">
        <f t="shared" si="118"/>
        <v>1.1141465444104E-2</v>
      </c>
      <c r="W487" s="1">
        <f t="shared" si="119"/>
        <v>2.9619511518632E-2</v>
      </c>
      <c r="X487" s="1">
        <f t="shared" si="120"/>
        <v>0.8415005522727671</v>
      </c>
      <c r="Y487" s="1">
        <f t="shared" si="121"/>
        <v>0.84169667354534616</v>
      </c>
      <c r="Z487" s="1">
        <f t="shared" si="122"/>
        <v>42.084833677267305</v>
      </c>
      <c r="AB487">
        <v>6.17</v>
      </c>
      <c r="AC487">
        <v>6.7608297539198085E-7</v>
      </c>
      <c r="AD487">
        <v>1.4938994720498914E-8</v>
      </c>
      <c r="AE487">
        <v>7.1939069534435782E-2</v>
      </c>
      <c r="AF487">
        <v>9.3536434885214056E-3</v>
      </c>
      <c r="AG487">
        <v>0.20636930763668707</v>
      </c>
      <c r="AH487">
        <v>0.20637660129973229</v>
      </c>
      <c r="AI487">
        <v>10.318830064986614</v>
      </c>
      <c r="AJ487"/>
      <c r="AK487"/>
      <c r="AL487"/>
      <c r="AM487"/>
      <c r="AN487"/>
      <c r="AO487"/>
      <c r="AP487"/>
      <c r="AQ487"/>
      <c r="AR487"/>
    </row>
    <row r="488" spans="1:44" ht="15" customHeight="1" x14ac:dyDescent="0.3">
      <c r="A488" s="2">
        <v>4.87</v>
      </c>
      <c r="B488" s="1">
        <f t="shared" si="110"/>
        <v>1.3489628825916516E-5</v>
      </c>
      <c r="C488" s="1">
        <f t="shared" si="111"/>
        <v>7.4872334371392769E-10</v>
      </c>
      <c r="D488" s="1">
        <f t="shared" si="112"/>
        <v>1.9104170201163173E-2</v>
      </c>
      <c r="E488" s="1">
        <f t="shared" si="113"/>
        <v>1.4930496647280433E-4</v>
      </c>
      <c r="F488" s="1">
        <f t="shared" si="114"/>
        <v>3.8286503882254769E-2</v>
      </c>
      <c r="G488" s="1">
        <f t="shared" si="115"/>
        <v>3.7606987115723904E-2</v>
      </c>
      <c r="H488" s="1">
        <f t="shared" si="123"/>
        <v>0.376069871157239</v>
      </c>
      <c r="J488" s="2">
        <v>8.86</v>
      </c>
      <c r="K488" s="1">
        <v>1.380384264602884E-9</v>
      </c>
      <c r="L488" s="1">
        <v>7.3168031967574034E-6</v>
      </c>
      <c r="M488" s="1">
        <v>3.5429812833800799E-5</v>
      </c>
      <c r="N488" s="1">
        <v>3.3274283645276996E-3</v>
      </c>
      <c r="O488" s="1">
        <v>0.99743619421281426</v>
      </c>
      <c r="P488" s="1">
        <v>0.9978749641262048</v>
      </c>
      <c r="Q488" s="2">
        <v>9.9787496412620467</v>
      </c>
      <c r="S488" s="2">
        <v>4.87</v>
      </c>
      <c r="T488" s="1">
        <f t="shared" si="116"/>
        <v>1.3489628825916516E-5</v>
      </c>
      <c r="U488" s="1">
        <f t="shared" si="117"/>
        <v>7.4872334371392769E-10</v>
      </c>
      <c r="V488" s="1">
        <f t="shared" si="118"/>
        <v>1.1372051014001624E-2</v>
      </c>
      <c r="W488" s="1">
        <f t="shared" si="119"/>
        <v>2.9542649661999459E-2</v>
      </c>
      <c r="X488" s="1">
        <f t="shared" si="120"/>
        <v>0.83840522188976618</v>
      </c>
      <c r="Y488" s="1">
        <f t="shared" si="121"/>
        <v>0.83859666934042765</v>
      </c>
      <c r="Z488" s="1">
        <f t="shared" si="122"/>
        <v>41.929833467021389</v>
      </c>
      <c r="AB488">
        <v>6.18</v>
      </c>
      <c r="AC488">
        <v>6.6069344800759506E-7</v>
      </c>
      <c r="AD488">
        <v>1.5286968609205723E-8</v>
      </c>
      <c r="AE488">
        <v>7.2401541290849455E-2</v>
      </c>
      <c r="AF488">
        <v>9.199486236383515E-3</v>
      </c>
      <c r="AG488">
        <v>0.20262360094332182</v>
      </c>
      <c r="AH488">
        <v>0.20263070890397808</v>
      </c>
      <c r="AI488">
        <v>10.131535445198905</v>
      </c>
      <c r="AJ488"/>
      <c r="AK488"/>
      <c r="AL488"/>
      <c r="AM488"/>
      <c r="AN488"/>
      <c r="AO488"/>
      <c r="AP488"/>
      <c r="AQ488"/>
      <c r="AR488"/>
    </row>
    <row r="489" spans="1:44" ht="15" customHeight="1" x14ac:dyDescent="0.3">
      <c r="A489" s="2">
        <v>4.88</v>
      </c>
      <c r="B489" s="1">
        <f t="shared" si="110"/>
        <v>1.3182567385564052E-5</v>
      </c>
      <c r="C489" s="1">
        <f t="shared" si="111"/>
        <v>7.6616335077947659E-10</v>
      </c>
      <c r="D489" s="1">
        <f t="shared" si="112"/>
        <v>1.9083551081251607E-2</v>
      </c>
      <c r="E489" s="1">
        <f t="shared" si="113"/>
        <v>1.5274148645806528E-4</v>
      </c>
      <c r="F489" s="1">
        <f t="shared" si="114"/>
        <v>3.9143402751693007E-2</v>
      </c>
      <c r="G489" s="1">
        <f t="shared" si="115"/>
        <v>3.8479240433596566E-2</v>
      </c>
      <c r="H489" s="1">
        <f t="shared" si="123"/>
        <v>0.38479240433596562</v>
      </c>
      <c r="J489" s="2">
        <v>8.8699999999999992</v>
      </c>
      <c r="K489" s="1">
        <v>1.3489628825916529E-9</v>
      </c>
      <c r="L489" s="1">
        <v>7.4872334371392701E-6</v>
      </c>
      <c r="M489" s="1">
        <v>3.4288312071052682E-5</v>
      </c>
      <c r="N489" s="1">
        <v>3.3276186146548241E-3</v>
      </c>
      <c r="O489" s="1">
        <v>0.99749440733271433</v>
      </c>
      <c r="P489" s="1">
        <v>0.99794340644695223</v>
      </c>
      <c r="Q489" s="2">
        <v>9.9794340644695225</v>
      </c>
      <c r="S489" s="2">
        <v>4.88</v>
      </c>
      <c r="T489" s="1">
        <f t="shared" si="116"/>
        <v>1.3182567385564052E-5</v>
      </c>
      <c r="U489" s="1">
        <f t="shared" si="117"/>
        <v>7.6616335077947659E-10</v>
      </c>
      <c r="V489" s="1">
        <f t="shared" si="118"/>
        <v>1.160676072668834E-2</v>
      </c>
      <c r="W489" s="1">
        <f t="shared" si="119"/>
        <v>2.946441309110389E-2</v>
      </c>
      <c r="X489" s="1">
        <f t="shared" si="120"/>
        <v>0.83526127679466411</v>
      </c>
      <c r="Y489" s="1">
        <f t="shared" si="121"/>
        <v>0.83544815836466135</v>
      </c>
      <c r="Z489" s="1">
        <f t="shared" si="122"/>
        <v>41.772407918233064</v>
      </c>
      <c r="AB489">
        <v>6.19</v>
      </c>
      <c r="AC489">
        <v>6.456542290346535E-7</v>
      </c>
      <c r="AD489">
        <v>1.5643047851016108E-8</v>
      </c>
      <c r="AE489">
        <v>7.285926638571788E-2</v>
      </c>
      <c r="AF489">
        <v>9.0469112047607061E-3</v>
      </c>
      <c r="AG489">
        <v>0.19892883944901571</v>
      </c>
      <c r="AH489">
        <v>0.19893576621961281</v>
      </c>
      <c r="AI489">
        <v>9.9467883109806419</v>
      </c>
      <c r="AJ489"/>
      <c r="AK489"/>
      <c r="AL489"/>
      <c r="AM489"/>
      <c r="AN489"/>
      <c r="AO489"/>
      <c r="AP489"/>
      <c r="AQ489"/>
      <c r="AR489"/>
    </row>
    <row r="490" spans="1:44" ht="15" customHeight="1" x14ac:dyDescent="0.3">
      <c r="A490" s="2">
        <v>4.8899999999999997</v>
      </c>
      <c r="B490" s="1">
        <f t="shared" si="110"/>
        <v>1.2882495516931347E-5</v>
      </c>
      <c r="C490" s="1">
        <f t="shared" si="111"/>
        <v>7.8400958779497813E-10</v>
      </c>
      <c r="D490" s="1">
        <f t="shared" si="112"/>
        <v>1.9062513083560231E-2</v>
      </c>
      <c r="E490" s="1">
        <f t="shared" si="113"/>
        <v>1.5624781940662801E-4</v>
      </c>
      <c r="F490" s="1">
        <f t="shared" si="114"/>
        <v>4.001868201705882E-2</v>
      </c>
      <c r="G490" s="1">
        <f t="shared" si="115"/>
        <v>3.9369524973062793E-2</v>
      </c>
      <c r="H490" s="1">
        <f t="shared" si="123"/>
        <v>0.39369524973062792</v>
      </c>
      <c r="J490" s="2">
        <v>8.8800000000000008</v>
      </c>
      <c r="K490" s="1">
        <v>1.3182567385564018E-9</v>
      </c>
      <c r="L490" s="1">
        <v>7.6616335077947864E-6</v>
      </c>
      <c r="M490" s="1">
        <v>3.316485444630359E-5</v>
      </c>
      <c r="N490" s="1">
        <v>3.3278058575922824E-3</v>
      </c>
      <c r="O490" s="1">
        <v>0.99755130192531061</v>
      </c>
      <c r="P490" s="1">
        <v>0.99801076845896686</v>
      </c>
      <c r="Q490" s="2">
        <v>9.9801076845896688</v>
      </c>
      <c r="S490" s="2">
        <v>4.8899999999999997</v>
      </c>
      <c r="T490" s="1">
        <f t="shared" si="116"/>
        <v>1.2882495516931347E-5</v>
      </c>
      <c r="U490" s="1">
        <f t="shared" si="117"/>
        <v>7.8400958779497813E-10</v>
      </c>
      <c r="V490" s="1">
        <f t="shared" si="118"/>
        <v>1.1845643108330117E-2</v>
      </c>
      <c r="W490" s="1">
        <f t="shared" si="119"/>
        <v>2.9384785630556631E-2</v>
      </c>
      <c r="X490" s="1">
        <f t="shared" si="120"/>
        <v>0.83206841576949331</v>
      </c>
      <c r="Y490" s="1">
        <f t="shared" si="121"/>
        <v>0.83225083696048408</v>
      </c>
      <c r="Z490" s="1">
        <f t="shared" si="122"/>
        <v>41.612541848024208</v>
      </c>
      <c r="AB490">
        <v>6.2</v>
      </c>
      <c r="AC490">
        <v>6.3095734448019254E-7</v>
      </c>
      <c r="AD490">
        <v>1.6007421243857263E-8</v>
      </c>
      <c r="AE490">
        <v>7.3312198065534642E-2</v>
      </c>
      <c r="AF490">
        <v>8.8959339781551176E-3</v>
      </c>
      <c r="AG490">
        <v>0.19528495031298629</v>
      </c>
      <c r="AH490">
        <v>0.19529170028529913</v>
      </c>
      <c r="AI490">
        <v>9.7645850142649557</v>
      </c>
      <c r="AJ490"/>
      <c r="AK490"/>
      <c r="AL490"/>
      <c r="AM490"/>
      <c r="AN490"/>
      <c r="AO490"/>
      <c r="AP490"/>
      <c r="AQ490"/>
      <c r="AR490"/>
    </row>
    <row r="491" spans="1:44" ht="15" customHeight="1" x14ac:dyDescent="0.3">
      <c r="A491" s="2">
        <v>4.9000000000000004</v>
      </c>
      <c r="B491" s="1">
        <f t="shared" si="110"/>
        <v>1.2589254117941658E-5</v>
      </c>
      <c r="C491" s="1">
        <f t="shared" si="111"/>
        <v>8.0227151707152515E-10</v>
      </c>
      <c r="D491" s="1">
        <f t="shared" si="112"/>
        <v>1.9041048007710577E-2</v>
      </c>
      <c r="E491" s="1">
        <f t="shared" si="113"/>
        <v>1.5982533204823713E-4</v>
      </c>
      <c r="F491" s="1">
        <f t="shared" si="114"/>
        <v>4.0912699896679346E-2</v>
      </c>
      <c r="G491" s="1">
        <f t="shared" si="115"/>
        <v>4.0278206901677695E-2</v>
      </c>
      <c r="H491" s="1">
        <f t="shared" si="123"/>
        <v>0.40278206901677693</v>
      </c>
      <c r="J491" s="2">
        <v>8.89</v>
      </c>
      <c r="K491" s="1">
        <v>1.2882495516931289E-9</v>
      </c>
      <c r="L491" s="1">
        <v>7.8400958779498169E-6</v>
      </c>
      <c r="M491" s="1">
        <v>3.2058850510517093E-5</v>
      </c>
      <c r="N491" s="1">
        <v>3.3279901915815803E-3</v>
      </c>
      <c r="O491" s="1">
        <v>0.99760690770954508</v>
      </c>
      <c r="P491" s="1">
        <v>0.99807708543367524</v>
      </c>
      <c r="Q491" s="2">
        <v>9.9807708543367522</v>
      </c>
      <c r="S491" s="2">
        <v>4.9000000000000004</v>
      </c>
      <c r="T491" s="1">
        <f t="shared" si="116"/>
        <v>1.2589254117941658E-5</v>
      </c>
      <c r="U491" s="1">
        <f t="shared" si="117"/>
        <v>8.0227151707152515E-10</v>
      </c>
      <c r="V491" s="1">
        <f t="shared" si="118"/>
        <v>1.2088746166033951E-2</v>
      </c>
      <c r="W491" s="1">
        <f t="shared" si="119"/>
        <v>2.930375127798868E-2</v>
      </c>
      <c r="X491" s="1">
        <f t="shared" si="120"/>
        <v>0.82882635448643516</v>
      </c>
      <c r="Y491" s="1">
        <f t="shared" si="121"/>
        <v>0.82900441841590788</v>
      </c>
      <c r="Z491" s="1">
        <f t="shared" si="122"/>
        <v>41.450220920795395</v>
      </c>
      <c r="AB491">
        <v>6.21</v>
      </c>
      <c r="AC491">
        <v>6.1659500186148145E-7</v>
      </c>
      <c r="AD491">
        <v>1.6380281983325209E-8</v>
      </c>
      <c r="AE491">
        <v>7.3760293064977958E-2</v>
      </c>
      <c r="AF491">
        <v>8.7465689783406773E-3</v>
      </c>
      <c r="AG491">
        <v>0.1916918360889856</v>
      </c>
      <c r="AH491">
        <v>0.1916984135372323</v>
      </c>
      <c r="AI491">
        <v>9.584920676861616</v>
      </c>
      <c r="AJ491"/>
      <c r="AK491"/>
      <c r="AL491"/>
      <c r="AM491"/>
      <c r="AN491"/>
      <c r="AO491"/>
      <c r="AP491"/>
      <c r="AQ491"/>
      <c r="AR491"/>
    </row>
    <row r="492" spans="1:44" ht="15" customHeight="1" x14ac:dyDescent="0.3">
      <c r="A492" s="2">
        <v>4.91</v>
      </c>
      <c r="B492" s="1">
        <f t="shared" si="110"/>
        <v>1.2302687708123802E-5</v>
      </c>
      <c r="C492" s="1">
        <f t="shared" si="111"/>
        <v>8.2095882132574102E-10</v>
      </c>
      <c r="D492" s="1">
        <f t="shared" si="112"/>
        <v>1.901914755256277E-2</v>
      </c>
      <c r="E492" s="1">
        <f t="shared" si="113"/>
        <v>1.6347540790620505E-4</v>
      </c>
      <c r="F492" s="1">
        <f t="shared" si="114"/>
        <v>4.1825819962989445E-2</v>
      </c>
      <c r="G492" s="1">
        <f t="shared" si="115"/>
        <v>4.1205657560438064E-2</v>
      </c>
      <c r="H492" s="1">
        <f t="shared" si="123"/>
        <v>0.41205657560438064</v>
      </c>
      <c r="J492" s="2">
        <v>8.9</v>
      </c>
      <c r="K492" s="1">
        <v>1.2589254117941623E-9</v>
      </c>
      <c r="L492" s="1">
        <v>8.0227151707152736E-6</v>
      </c>
      <c r="M492" s="1">
        <v>3.0969719789877103E-5</v>
      </c>
      <c r="N492" s="1">
        <v>3.3281717133683535E-3</v>
      </c>
      <c r="O492" s="1">
        <v>0.99766125374105208</v>
      </c>
      <c r="P492" s="1">
        <v>0.99814239210856603</v>
      </c>
      <c r="Q492" s="2">
        <v>9.9814239210856606</v>
      </c>
      <c r="S492" s="2">
        <v>4.91</v>
      </c>
      <c r="T492" s="1">
        <f t="shared" si="116"/>
        <v>1.2302687708123802E-5</v>
      </c>
      <c r="U492" s="1">
        <f t="shared" si="117"/>
        <v>8.2095882132574102E-10</v>
      </c>
      <c r="V492" s="1">
        <f t="shared" si="118"/>
        <v>1.23361173329337E-2</v>
      </c>
      <c r="W492" s="1">
        <f t="shared" si="119"/>
        <v>2.9221294222355431E-2</v>
      </c>
      <c r="X492" s="1">
        <f t="shared" si="120"/>
        <v>0.82553482627280184</v>
      </c>
      <c r="Y492" s="1">
        <f t="shared" si="121"/>
        <v>0.82570863372822412</v>
      </c>
      <c r="Z492" s="1">
        <f t="shared" si="122"/>
        <v>41.285431686411208</v>
      </c>
      <c r="AB492">
        <v>6.22</v>
      </c>
      <c r="AC492">
        <v>6.0255958607435721E-7</v>
      </c>
      <c r="AD492">
        <v>1.6761827765119375E-8</v>
      </c>
      <c r="AE492">
        <v>7.420351157409151E-2</v>
      </c>
      <c r="AF492">
        <v>8.5988294753028289E-3</v>
      </c>
      <c r="AG492">
        <v>0.18814937548530186</v>
      </c>
      <c r="AH492">
        <v>0.18815578456906901</v>
      </c>
      <c r="AI492">
        <v>9.4077892284534492</v>
      </c>
      <c r="AJ492"/>
      <c r="AK492"/>
      <c r="AL492"/>
      <c r="AM492"/>
      <c r="AN492"/>
      <c r="AO492"/>
      <c r="AP492"/>
      <c r="AQ492"/>
      <c r="AR492"/>
    </row>
    <row r="493" spans="1:44" ht="15" customHeight="1" x14ac:dyDescent="0.3">
      <c r="A493" s="2">
        <v>4.92</v>
      </c>
      <c r="B493" s="1">
        <f t="shared" si="110"/>
        <v>1.2022644346174118E-5</v>
      </c>
      <c r="C493" s="1">
        <f t="shared" si="111"/>
        <v>8.4008140881369844E-10</v>
      </c>
      <c r="D493" s="1">
        <f t="shared" si="112"/>
        <v>1.8996803316848658E-2</v>
      </c>
      <c r="E493" s="1">
        <f t="shared" si="113"/>
        <v>1.6719944719189035E-4</v>
      </c>
      <c r="F493" s="1">
        <f t="shared" si="114"/>
        <v>4.2758411146536071E-2</v>
      </c>
      <c r="G493" s="1">
        <f t="shared" si="115"/>
        <v>4.2152253471892227E-2</v>
      </c>
      <c r="H493" s="1">
        <f t="shared" si="123"/>
        <v>0.42152253471892226</v>
      </c>
      <c r="J493" s="2">
        <v>8.91</v>
      </c>
      <c r="K493" s="1">
        <v>1.230268770812377E-9</v>
      </c>
      <c r="L493" s="1">
        <v>8.2095882132574316E-6</v>
      </c>
      <c r="M493" s="1">
        <v>2.9896890490495344E-5</v>
      </c>
      <c r="N493" s="1">
        <v>3.3283505182515843E-3</v>
      </c>
      <c r="O493" s="1">
        <v>0.99771436842666972</v>
      </c>
      <c r="P493" s="1">
        <v>0.99820672270471955</v>
      </c>
      <c r="Q493" s="2">
        <v>9.9820672270471942</v>
      </c>
      <c r="S493" s="2">
        <v>4.92</v>
      </c>
      <c r="T493" s="1">
        <f t="shared" si="116"/>
        <v>1.2022644346174118E-5</v>
      </c>
      <c r="U493" s="1">
        <f t="shared" si="117"/>
        <v>8.4008140881369844E-10</v>
      </c>
      <c r="V493" s="1">
        <f t="shared" si="118"/>
        <v>1.2587803411685285E-2</v>
      </c>
      <c r="W493" s="1">
        <f t="shared" si="119"/>
        <v>2.9137398862771575E-2</v>
      </c>
      <c r="X493" s="1">
        <f t="shared" si="120"/>
        <v>0.82219358288090572</v>
      </c>
      <c r="Y493" s="1">
        <f t="shared" si="121"/>
        <v>0.82236323237262388</v>
      </c>
      <c r="Z493" s="1">
        <f t="shared" si="122"/>
        <v>41.118161618631191</v>
      </c>
      <c r="AB493">
        <v>6.23</v>
      </c>
      <c r="AC493">
        <v>5.8884365535558744E-7</v>
      </c>
      <c r="AD493">
        <v>1.7152260889863662E-8</v>
      </c>
      <c r="AE493">
        <v>7.4641817201331673E-2</v>
      </c>
      <c r="AF493">
        <v>8.4527275995561115E-3</v>
      </c>
      <c r="AG493">
        <v>0.18465742413135824</v>
      </c>
      <c r="AH493">
        <v>0.18466366889845481</v>
      </c>
      <c r="AI493">
        <v>9.2331834449227408</v>
      </c>
      <c r="AJ493"/>
      <c r="AK493"/>
      <c r="AL493"/>
      <c r="AM493"/>
      <c r="AN493"/>
      <c r="AO493"/>
      <c r="AP493"/>
      <c r="AQ493"/>
      <c r="AR493"/>
    </row>
    <row r="494" spans="1:44" ht="15" customHeight="1" x14ac:dyDescent="0.3">
      <c r="A494" s="2">
        <v>4.93</v>
      </c>
      <c r="B494" s="1">
        <f t="shared" si="110"/>
        <v>1.1748975549395286E-5</v>
      </c>
      <c r="C494" s="1">
        <f t="shared" si="111"/>
        <v>8.5964941858440087E-10</v>
      </c>
      <c r="D494" s="1">
        <f t="shared" si="112"/>
        <v>1.8974006799932754E-2</v>
      </c>
      <c r="E494" s="1">
        <f t="shared" si="113"/>
        <v>1.7099886667787441E-4</v>
      </c>
      <c r="F494" s="1">
        <f t="shared" si="114"/>
        <v>4.371084773568399E-2</v>
      </c>
      <c r="G494" s="1">
        <f t="shared" si="115"/>
        <v>4.3118376343858095E-2</v>
      </c>
      <c r="H494" s="1">
        <f t="shared" si="123"/>
        <v>0.43118376343858095</v>
      </c>
      <c r="J494" s="2">
        <v>8.92</v>
      </c>
      <c r="K494" s="1">
        <v>1.2022644346174128E-9</v>
      </c>
      <c r="L494" s="1">
        <v>8.4008140881369775E-6</v>
      </c>
      <c r="M494" s="1">
        <v>2.8839799207127747E-5</v>
      </c>
      <c r="N494" s="1">
        <v>3.3285267001321459E-3</v>
      </c>
      <c r="O494" s="1">
        <v>0.99776627953864616</v>
      </c>
      <c r="P494" s="1">
        <v>0.99827011094410267</v>
      </c>
      <c r="Q494" s="2">
        <v>9.9827011094410256</v>
      </c>
      <c r="S494" s="2">
        <v>4.93</v>
      </c>
      <c r="T494" s="1">
        <f t="shared" si="116"/>
        <v>1.1748975549395286E-5</v>
      </c>
      <c r="U494" s="1">
        <f t="shared" si="117"/>
        <v>8.5964941858440087E-10</v>
      </c>
      <c r="V494" s="1">
        <f t="shared" si="118"/>
        <v>1.2843850516387751E-2</v>
      </c>
      <c r="W494" s="1">
        <f t="shared" si="119"/>
        <v>2.9052049827870751E-2</v>
      </c>
      <c r="X494" s="1">
        <f t="shared" si="120"/>
        <v>0.81880239526162035</v>
      </c>
      <c r="Y494" s="1">
        <f t="shared" si="121"/>
        <v>0.81896798307453778</v>
      </c>
      <c r="Z494" s="1">
        <f t="shared" si="122"/>
        <v>40.948399153726889</v>
      </c>
      <c r="AB494">
        <v>6.24</v>
      </c>
      <c r="AC494">
        <v>5.7543993733715549E-7</v>
      </c>
      <c r="AD494">
        <v>1.7551788370368735E-8</v>
      </c>
      <c r="AE494">
        <v>7.5075176932677956E-2</v>
      </c>
      <c r="AF494">
        <v>8.3082743557740136E-3</v>
      </c>
      <c r="AG494">
        <v>0.18121581534925993</v>
      </c>
      <c r="AH494">
        <v>0.18122189973850059</v>
      </c>
      <c r="AI494">
        <v>9.0610949869250295</v>
      </c>
      <c r="AJ494"/>
      <c r="AK494"/>
      <c r="AL494"/>
      <c r="AM494"/>
      <c r="AN494"/>
      <c r="AO494"/>
      <c r="AP494"/>
      <c r="AQ494"/>
      <c r="AR494"/>
    </row>
    <row r="495" spans="1:44" ht="15" customHeight="1" x14ac:dyDescent="0.3">
      <c r="A495" s="2">
        <v>4.9400000000000004</v>
      </c>
      <c r="B495" s="1">
        <f t="shared" si="110"/>
        <v>1.1481536214968799E-5</v>
      </c>
      <c r="C495" s="1">
        <f t="shared" si="111"/>
        <v>8.7967322585564361E-10</v>
      </c>
      <c r="D495" s="1">
        <f t="shared" si="112"/>
        <v>1.8950749402706458E-2</v>
      </c>
      <c r="E495" s="1">
        <f t="shared" si="113"/>
        <v>1.7487509954892318E-4</v>
      </c>
      <c r="F495" s="1">
        <f t="shared" si="114"/>
        <v>4.468350937179736E-2</v>
      </c>
      <c r="G495" s="1">
        <f t="shared" si="115"/>
        <v>4.4104413068526062E-2</v>
      </c>
      <c r="H495" s="1">
        <f t="shared" si="123"/>
        <v>0.4410441306852606</v>
      </c>
      <c r="J495" s="2">
        <v>8.93</v>
      </c>
      <c r="K495" s="1">
        <v>1.1748975549395295E-9</v>
      </c>
      <c r="L495" s="1">
        <v>8.5964941858440024E-6</v>
      </c>
      <c r="M495" s="1">
        <v>2.7797890635886315E-5</v>
      </c>
      <c r="N495" s="1">
        <v>3.3287003515606855E-3</v>
      </c>
      <c r="O495" s="1">
        <v>0.99781701422854685</v>
      </c>
      <c r="P495" s="1">
        <v>0.99833259006663655</v>
      </c>
      <c r="Q495" s="2">
        <v>9.9833259006663653</v>
      </c>
      <c r="S495" s="2">
        <v>4.9400000000000004</v>
      </c>
      <c r="T495" s="1">
        <f t="shared" si="116"/>
        <v>1.1481536214968799E-5</v>
      </c>
      <c r="U495" s="1">
        <f t="shared" si="117"/>
        <v>8.7967322585564361E-10</v>
      </c>
      <c r="V495" s="1">
        <f t="shared" si="118"/>
        <v>1.3104304012953238E-2</v>
      </c>
      <c r="W495" s="1">
        <f t="shared" si="119"/>
        <v>2.8965231995682256E-2</v>
      </c>
      <c r="X495" s="1">
        <f t="shared" si="120"/>
        <v>0.81536105434035122</v>
      </c>
      <c r="Y495" s="1">
        <f t="shared" si="121"/>
        <v>0.81552267458441319</v>
      </c>
      <c r="Z495" s="1">
        <f t="shared" si="122"/>
        <v>40.77613372922066</v>
      </c>
      <c r="AB495">
        <v>6.25</v>
      </c>
      <c r="AC495">
        <v>5.6234132519034872E-7</v>
      </c>
      <c r="AD495">
        <v>1.796062204139313E-8</v>
      </c>
      <c r="AE495">
        <v>7.5503561087008036E-2</v>
      </c>
      <c r="AF495">
        <v>8.1654796376639891E-3</v>
      </c>
      <c r="AG495">
        <v>0.17782436092868631</v>
      </c>
      <c r="AH495">
        <v>0.17783028877260601</v>
      </c>
      <c r="AI495">
        <v>8.8915144386302991</v>
      </c>
      <c r="AJ495"/>
      <c r="AK495"/>
      <c r="AL495"/>
      <c r="AM495"/>
      <c r="AN495"/>
      <c r="AO495"/>
      <c r="AP495"/>
      <c r="AQ495"/>
      <c r="AR495"/>
    </row>
    <row r="496" spans="1:44" ht="15" customHeight="1" x14ac:dyDescent="0.3">
      <c r="A496" s="2">
        <v>4.95</v>
      </c>
      <c r="B496" s="1">
        <f t="shared" si="110"/>
        <v>1.1220184543019627E-5</v>
      </c>
      <c r="C496" s="1">
        <f t="shared" si="111"/>
        <v>9.0016344751508356E-10</v>
      </c>
      <c r="D496" s="1">
        <f t="shared" si="112"/>
        <v>1.8927022428621255E-2</v>
      </c>
      <c r="E496" s="1">
        <f t="shared" si="113"/>
        <v>1.7882959522979059E-4</v>
      </c>
      <c r="F496" s="1">
        <f t="shared" si="114"/>
        <v>4.5676781039662384E-2</v>
      </c>
      <c r="G496" s="1">
        <f t="shared" si="115"/>
        <v>4.5110755716714149E-2</v>
      </c>
      <c r="H496" s="1">
        <f t="shared" si="123"/>
        <v>0.45110755716714146</v>
      </c>
      <c r="J496" s="2">
        <v>8.94</v>
      </c>
      <c r="K496" s="1">
        <v>1.1481536214968828E-9</v>
      </c>
      <c r="L496" s="1">
        <v>8.7967322585564133E-6</v>
      </c>
      <c r="M496" s="1">
        <v>2.6770617290664954E-5</v>
      </c>
      <c r="N496" s="1">
        <v>3.3288715637848892E-3</v>
      </c>
      <c r="O496" s="1">
        <v>0.99786659904087005</v>
      </c>
      <c r="P496" s="1">
        <v>0.99839419284704745</v>
      </c>
      <c r="Q496" s="2">
        <v>9.9839419284704736</v>
      </c>
      <c r="S496" s="2">
        <v>4.95</v>
      </c>
      <c r="T496" s="1">
        <f t="shared" si="116"/>
        <v>1.1220184543019627E-5</v>
      </c>
      <c r="U496" s="1">
        <f t="shared" si="117"/>
        <v>9.0016344751508356E-10</v>
      </c>
      <c r="V496" s="1">
        <f t="shared" si="118"/>
        <v>1.3369208457951736E-2</v>
      </c>
      <c r="W496" s="1">
        <f t="shared" si="119"/>
        <v>2.8876930514016085E-2</v>
      </c>
      <c r="X496" s="1">
        <f t="shared" si="120"/>
        <v>0.81186937179408203</v>
      </c>
      <c r="Y496" s="1">
        <f t="shared" si="121"/>
        <v>0.81202711645359482</v>
      </c>
      <c r="Z496" s="1">
        <f t="shared" si="122"/>
        <v>40.601355822679736</v>
      </c>
      <c r="AB496">
        <v>6.26</v>
      </c>
      <c r="AC496">
        <v>5.4954087385762417E-7</v>
      </c>
      <c r="AD496">
        <v>1.8378978671960844E-8</v>
      </c>
      <c r="AE496">
        <v>7.5926943267941069E-2</v>
      </c>
      <c r="AF496">
        <v>8.0243522440196398E-3</v>
      </c>
      <c r="AG496">
        <v>0.17448285190359664</v>
      </c>
      <c r="AH496">
        <v>0.17448862693109735</v>
      </c>
      <c r="AI496">
        <v>8.7244313465548675</v>
      </c>
      <c r="AJ496"/>
      <c r="AK496"/>
      <c r="AL496"/>
      <c r="AM496"/>
      <c r="AN496"/>
      <c r="AO496"/>
      <c r="AP496"/>
      <c r="AQ496"/>
      <c r="AR496"/>
    </row>
    <row r="497" spans="1:44" ht="15" customHeight="1" x14ac:dyDescent="0.3">
      <c r="A497" s="2">
        <v>4.96</v>
      </c>
      <c r="B497" s="1">
        <f t="shared" si="110"/>
        <v>1.0964781961431843E-5</v>
      </c>
      <c r="C497" s="1">
        <f t="shared" si="111"/>
        <v>9.2113094774946933E-10</v>
      </c>
      <c r="D497" s="1">
        <f t="shared" si="112"/>
        <v>1.8902817084866536E-2</v>
      </c>
      <c r="E497" s="1">
        <f t="shared" si="113"/>
        <v>1.8286381918891024E-4</v>
      </c>
      <c r="F497" s="1">
        <f t="shared" si="114"/>
        <v>4.6691053052912143E-2</v>
      </c>
      <c r="G497" s="1">
        <f t="shared" si="115"/>
        <v>4.6137801527038273E-2</v>
      </c>
      <c r="H497" s="1">
        <f t="shared" si="123"/>
        <v>0.46137801527038269</v>
      </c>
      <c r="J497" s="2">
        <v>8.9499999999999993</v>
      </c>
      <c r="K497" s="1">
        <v>1.1220184543019636E-9</v>
      </c>
      <c r="L497" s="1">
        <v>9.0016344751508279E-6</v>
      </c>
      <c r="M497" s="1">
        <v>2.5757439223266276E-5</v>
      </c>
      <c r="N497" s="1">
        <v>3.329040426796122E-3</v>
      </c>
      <c r="O497" s="1">
        <v>0.99791505992637475</v>
      </c>
      <c r="P497" s="1">
        <v>0.99845495161150377</v>
      </c>
      <c r="Q497" s="2">
        <v>9.9845495161150364</v>
      </c>
      <c r="S497" s="2">
        <v>4.96</v>
      </c>
      <c r="T497" s="1">
        <f t="shared" si="116"/>
        <v>1.0964781961431843E-5</v>
      </c>
      <c r="U497" s="1">
        <f t="shared" si="117"/>
        <v>9.2113094774946933E-10</v>
      </c>
      <c r="V497" s="1">
        <f t="shared" si="118"/>
        <v>1.3638607535963071E-2</v>
      </c>
      <c r="W497" s="1">
        <f t="shared" si="119"/>
        <v>2.8787130821345645E-2</v>
      </c>
      <c r="X497" s="1">
        <f t="shared" si="120"/>
        <v>0.80832718082808352</v>
      </c>
      <c r="Y497" s="1">
        <f t="shared" si="121"/>
        <v>0.80848113980989311</v>
      </c>
      <c r="Z497" s="1">
        <f t="shared" si="122"/>
        <v>40.424056990494655</v>
      </c>
      <c r="AB497">
        <v>6.27</v>
      </c>
      <c r="AC497">
        <v>5.3703179637025244E-7</v>
      </c>
      <c r="AD497">
        <v>1.8807080080294971E-8</v>
      </c>
      <c r="AE497">
        <v>7.6345300312355702E-2</v>
      </c>
      <c r="AF497">
        <v>7.8848998958814323E-3</v>
      </c>
      <c r="AG497">
        <v>0.17119105932927833</v>
      </c>
      <c r="AH497">
        <v>0.17119668516820924</v>
      </c>
      <c r="AI497">
        <v>8.5598342584104614</v>
      </c>
      <c r="AJ497"/>
      <c r="AK497"/>
      <c r="AL497"/>
      <c r="AM497"/>
      <c r="AN497"/>
      <c r="AO497"/>
      <c r="AP497"/>
      <c r="AQ497"/>
      <c r="AR497"/>
    </row>
    <row r="498" spans="1:44" ht="15" customHeight="1" x14ac:dyDescent="0.3">
      <c r="A498" s="2">
        <v>4.97</v>
      </c>
      <c r="B498" s="1">
        <f t="shared" si="110"/>
        <v>1.071519305237606E-5</v>
      </c>
      <c r="C498" s="1">
        <f t="shared" si="111"/>
        <v>9.4258684380496127E-10</v>
      </c>
      <c r="D498" s="1">
        <f t="shared" si="112"/>
        <v>1.8878124483698074E-2</v>
      </c>
      <c r="E498" s="1">
        <f t="shared" si="113"/>
        <v>1.8697925271698762E-4</v>
      </c>
      <c r="F498" s="1">
        <f t="shared" si="114"/>
        <v>4.7726721034203896E-2</v>
      </c>
      <c r="G498" s="1">
        <f t="shared" si="115"/>
        <v>4.7185952889750131E-2</v>
      </c>
      <c r="H498" s="1">
        <f t="shared" si="123"/>
        <v>0.47185952889750127</v>
      </c>
      <c r="J498" s="2">
        <v>8.9600000000000009</v>
      </c>
      <c r="K498" s="1">
        <v>1.0964781961431814E-9</v>
      </c>
      <c r="L498" s="1">
        <v>9.2113094774947178E-6</v>
      </c>
      <c r="M498" s="1">
        <v>2.4757823747024365E-5</v>
      </c>
      <c r="N498" s="1">
        <v>3.3292070293754958E-3</v>
      </c>
      <c r="O498" s="1">
        <v>0.99796242225512732</v>
      </c>
      <c r="P498" s="1">
        <v>0.99851489825405115</v>
      </c>
      <c r="Q498" s="2">
        <v>9.9851489825405118</v>
      </c>
      <c r="S498" s="2">
        <v>4.97</v>
      </c>
      <c r="T498" s="1">
        <f t="shared" si="116"/>
        <v>1.071519305237606E-5</v>
      </c>
      <c r="U498" s="1">
        <f t="shared" si="117"/>
        <v>9.4258684380496127E-10</v>
      </c>
      <c r="V498" s="1">
        <f t="shared" si="118"/>
        <v>1.3912543995471777E-2</v>
      </c>
      <c r="W498" s="1">
        <f t="shared" si="119"/>
        <v>2.8695818668176075E-2</v>
      </c>
      <c r="X498" s="1">
        <f t="shared" si="120"/>
        <v>0.80473433695082341</v>
      </c>
      <c r="Y498" s="1">
        <f t="shared" si="121"/>
        <v>0.80488459813137991</v>
      </c>
      <c r="Z498" s="1">
        <f t="shared" si="122"/>
        <v>40.244229906568997</v>
      </c>
      <c r="AB498">
        <v>6.28</v>
      </c>
      <c r="AC498">
        <v>5.2480746024977148E-7</v>
      </c>
      <c r="AD498">
        <v>1.9245153251428837E-8</v>
      </c>
      <c r="AE498">
        <v>7.6758612235790072E-2</v>
      </c>
      <c r="AF498">
        <v>7.7471292547366443E-3</v>
      </c>
      <c r="AG498">
        <v>0.16794873505832666</v>
      </c>
      <c r="AH498">
        <v>0.16795421523799928</v>
      </c>
      <c r="AI498">
        <v>8.3977107618999636</v>
      </c>
      <c r="AJ498"/>
      <c r="AK498"/>
      <c r="AL498"/>
      <c r="AM498"/>
      <c r="AN498"/>
      <c r="AO498"/>
      <c r="AP498"/>
      <c r="AQ498"/>
      <c r="AR498"/>
    </row>
    <row r="499" spans="1:44" ht="15" customHeight="1" x14ac:dyDescent="0.3">
      <c r="A499" s="2">
        <v>4.9800000000000004</v>
      </c>
      <c r="B499" s="1">
        <f t="shared" si="110"/>
        <v>1.0471285480508972E-5</v>
      </c>
      <c r="C499" s="1">
        <f t="shared" si="111"/>
        <v>9.6454251188165234E-10</v>
      </c>
      <c r="D499" s="1">
        <f t="shared" si="112"/>
        <v>1.8852935643922951E-2</v>
      </c>
      <c r="E499" s="1">
        <f t="shared" si="113"/>
        <v>1.9117739267950813E-4</v>
      </c>
      <c r="F499" s="1">
        <f t="shared" si="114"/>
        <v>4.8784185889898052E-2</v>
      </c>
      <c r="G499" s="1">
        <f t="shared" si="115"/>
        <v>4.8255617324993658E-2</v>
      </c>
      <c r="H499" s="1">
        <f t="shared" si="123"/>
        <v>0.48255617324993655</v>
      </c>
      <c r="J499" s="2">
        <v>8.9700000000000006</v>
      </c>
      <c r="K499" s="1">
        <v>1.071519305237603E-9</v>
      </c>
      <c r="L499" s="1">
        <v>9.4258684380496394E-6</v>
      </c>
      <c r="M499" s="1">
        <v>2.3771245163907377E-5</v>
      </c>
      <c r="N499" s="1">
        <v>3.3293714591393487E-3</v>
      </c>
      <c r="O499" s="1">
        <v>0.99800871082927156</v>
      </c>
      <c r="P499" s="1">
        <v>0.99857406425284789</v>
      </c>
      <c r="Q499" s="2">
        <v>9.9857406425284783</v>
      </c>
      <c r="S499" s="2">
        <v>4.9800000000000004</v>
      </c>
      <c r="T499" s="1">
        <f t="shared" si="116"/>
        <v>1.0471285480508972E-5</v>
      </c>
      <c r="U499" s="1">
        <f t="shared" si="117"/>
        <v>9.6454251188165234E-10</v>
      </c>
      <c r="V499" s="1">
        <f t="shared" si="118"/>
        <v>1.4191059583347505E-2</v>
      </c>
      <c r="W499" s="1">
        <f t="shared" si="119"/>
        <v>2.8602980138884165E-2</v>
      </c>
      <c r="X499" s="1">
        <f t="shared" si="120"/>
        <v>0.80109071874553217</v>
      </c>
      <c r="Y499" s="1">
        <f t="shared" si="121"/>
        <v>0.8012373680168654</v>
      </c>
      <c r="Z499" s="1">
        <f t="shared" si="122"/>
        <v>40.061868400843274</v>
      </c>
      <c r="AB499">
        <v>6.29</v>
      </c>
      <c r="AC499">
        <v>5.1286138399136375E-7</v>
      </c>
      <c r="AD499">
        <v>1.96934304575563E-8</v>
      </c>
      <c r="AE499">
        <v>7.7166862174931863E-2</v>
      </c>
      <c r="AF499">
        <v>7.611045941689377E-3</v>
      </c>
      <c r="AG499">
        <v>0.1647556125142213</v>
      </c>
      <c r="AH499">
        <v>0.16476095046786046</v>
      </c>
      <c r="AI499">
        <v>8.238047523393023</v>
      </c>
      <c r="AJ499"/>
      <c r="AK499"/>
      <c r="AL499"/>
      <c r="AM499"/>
      <c r="AN499"/>
      <c r="AO499"/>
      <c r="AP499"/>
      <c r="AQ499"/>
      <c r="AR499"/>
    </row>
    <row r="500" spans="1:44" ht="15" customHeight="1" x14ac:dyDescent="0.3">
      <c r="A500" s="2">
        <v>4.99</v>
      </c>
      <c r="B500" s="1">
        <f t="shared" si="110"/>
        <v>1.0232929922807521E-5</v>
      </c>
      <c r="C500" s="1">
        <f t="shared" si="111"/>
        <v>9.8700959316537073E-10</v>
      </c>
      <c r="D500" s="1">
        <f t="shared" si="112"/>
        <v>1.8827241492547161E-2</v>
      </c>
      <c r="E500" s="1">
        <f t="shared" si="113"/>
        <v>1.9545975124213964E-4</v>
      </c>
      <c r="F500" s="1">
        <f t="shared" si="114"/>
        <v>4.9863853778976272E-2</v>
      </c>
      <c r="G500" s="1">
        <f t="shared" si="115"/>
        <v>4.9347207455219477E-2</v>
      </c>
      <c r="H500" s="1">
        <f t="shared" si="123"/>
        <v>0.49347207455219477</v>
      </c>
      <c r="J500" s="2">
        <v>8.98</v>
      </c>
      <c r="K500" s="1">
        <v>1.0471285480508964E-9</v>
      </c>
      <c r="L500" s="1">
        <v>9.6454251188165312E-6</v>
      </c>
      <c r="M500" s="1">
        <v>2.2797184494795403E-5</v>
      </c>
      <c r="N500" s="1">
        <v>3.3295338025842013E-3</v>
      </c>
      <c r="O500" s="1">
        <v>0.99805394989552898</v>
      </c>
      <c r="P500" s="1">
        <v>0.99863248068621335</v>
      </c>
      <c r="Q500" s="2">
        <v>9.9863248068621324</v>
      </c>
      <c r="S500" s="2">
        <v>4.99</v>
      </c>
      <c r="T500" s="1">
        <f t="shared" si="116"/>
        <v>1.0232929922807521E-5</v>
      </c>
      <c r="U500" s="1">
        <f t="shared" si="117"/>
        <v>9.8700959316537073E-10</v>
      </c>
      <c r="V500" s="1">
        <f t="shared" si="118"/>
        <v>1.4474194977957712E-2</v>
      </c>
      <c r="W500" s="1">
        <f t="shared" si="119"/>
        <v>2.8508601674014099E-2</v>
      </c>
      <c r="X500" s="1">
        <f t="shared" si="120"/>
        <v>0.79739622863683601</v>
      </c>
      <c r="Y500" s="1">
        <f t="shared" si="121"/>
        <v>0.79753934995146691</v>
      </c>
      <c r="Z500" s="1">
        <f t="shared" si="122"/>
        <v>39.876967497573347</v>
      </c>
      <c r="AB500">
        <v>6.3</v>
      </c>
      <c r="AC500">
        <v>5.0118723362727218E-7</v>
      </c>
      <c r="AD500">
        <v>2.0152149381185686E-8</v>
      </c>
      <c r="AE500">
        <v>7.7570036327406514E-2</v>
      </c>
      <c r="AF500">
        <v>7.4766545575311672E-3</v>
      </c>
      <c r="AG500">
        <v>0.16161140746122046</v>
      </c>
      <c r="AH500">
        <v>0.16161660652835261</v>
      </c>
      <c r="AI500">
        <v>8.0808303264176313</v>
      </c>
      <c r="AJ500"/>
      <c r="AK500"/>
      <c r="AL500"/>
      <c r="AM500"/>
      <c r="AN500"/>
      <c r="AO500"/>
      <c r="AP500"/>
      <c r="AQ500"/>
      <c r="AR500"/>
    </row>
    <row r="501" spans="1:44" ht="15" customHeight="1" x14ac:dyDescent="0.3">
      <c r="A501" s="2">
        <v>5</v>
      </c>
      <c r="B501" s="1">
        <f t="shared" si="110"/>
        <v>1.0000000000000001E-5</v>
      </c>
      <c r="C501" s="1">
        <f t="shared" si="111"/>
        <v>1.0099999999999998E-9</v>
      </c>
      <c r="D501" s="1">
        <f t="shared" si="112"/>
        <v>1.8801032866591946E-2</v>
      </c>
      <c r="E501" s="1">
        <f t="shared" si="113"/>
        <v>1.9982785556800882E-4</v>
      </c>
      <c r="F501" s="1">
        <f t="shared" si="114"/>
        <v>5.0966136075934268E-2</v>
      </c>
      <c r="G501" s="1">
        <f t="shared" si="115"/>
        <v>5.0461140971494643E-2</v>
      </c>
      <c r="H501" s="1">
        <f t="shared" si="123"/>
        <v>0.50461140971494645</v>
      </c>
      <c r="J501" s="2">
        <v>8.99</v>
      </c>
      <c r="K501" s="1">
        <v>1.0232929922807512E-9</v>
      </c>
      <c r="L501" s="1">
        <v>9.8700959316537158E-6</v>
      </c>
      <c r="M501" s="1">
        <v>2.1835129213001325E-5</v>
      </c>
      <c r="N501" s="1">
        <v>3.329694145131166E-3</v>
      </c>
      <c r="O501" s="1">
        <v>0.99809816315743227</v>
      </c>
      <c r="P501" s="1">
        <v>0.99869017824849182</v>
      </c>
      <c r="Q501" s="2">
        <v>9.9869017824849173</v>
      </c>
      <c r="S501" s="2">
        <v>5</v>
      </c>
      <c r="T501" s="1">
        <f t="shared" si="116"/>
        <v>1.0000000000000001E-5</v>
      </c>
      <c r="U501" s="1">
        <f t="shared" si="117"/>
        <v>1.0099999999999998E-9</v>
      </c>
      <c r="V501" s="1">
        <f t="shared" si="118"/>
        <v>1.4761989720965899E-2</v>
      </c>
      <c r="W501" s="1">
        <f t="shared" si="119"/>
        <v>2.8412670093011367E-2</v>
      </c>
      <c r="X501" s="1">
        <f t="shared" si="120"/>
        <v>0.79365079365079361</v>
      </c>
      <c r="Y501" s="1">
        <f t="shared" si="121"/>
        <v>0.79379046906560513</v>
      </c>
      <c r="Z501" s="1">
        <f t="shared" si="122"/>
        <v>39.689523453280259</v>
      </c>
      <c r="AB501">
        <v>6.31</v>
      </c>
      <c r="AC501">
        <v>4.8977881936844619E-7</v>
      </c>
      <c r="AD501">
        <v>2.0621553241162245E-8</v>
      </c>
      <c r="AE501">
        <v>7.7968123889070026E-2</v>
      </c>
      <c r="AF501">
        <v>7.343958703643327E-3</v>
      </c>
      <c r="AG501">
        <v>0.15851581876936985</v>
      </c>
      <c r="AH501">
        <v>0.15852088219814972</v>
      </c>
      <c r="AI501">
        <v>7.9260441099074859</v>
      </c>
      <c r="AJ501"/>
      <c r="AK501"/>
      <c r="AL501"/>
      <c r="AM501"/>
      <c r="AN501"/>
      <c r="AO501"/>
      <c r="AP501"/>
      <c r="AQ501"/>
      <c r="AR501"/>
    </row>
    <row r="502" spans="1:44" ht="15" customHeight="1" x14ac:dyDescent="0.3">
      <c r="A502" s="2">
        <v>5.01</v>
      </c>
      <c r="B502" s="1">
        <f t="shared" si="110"/>
        <v>9.7723722095581059E-6</v>
      </c>
      <c r="C502" s="1">
        <f t="shared" si="111"/>
        <v>1.0335259222035617E-9</v>
      </c>
      <c r="D502" s="1">
        <f t="shared" si="112"/>
        <v>1.8774300515085173E-2</v>
      </c>
      <c r="E502" s="1">
        <f t="shared" si="113"/>
        <v>2.0428324748580454E-4</v>
      </c>
      <c r="F502" s="1">
        <f t="shared" si="114"/>
        <v>5.2091449327374854E-2</v>
      </c>
      <c r="G502" s="1">
        <f t="shared" si="115"/>
        <v>5.159784059343523E-2</v>
      </c>
      <c r="H502" s="1">
        <f t="shared" si="123"/>
        <v>0.51597840593435229</v>
      </c>
      <c r="J502" s="2">
        <v>9</v>
      </c>
      <c r="K502" s="1">
        <v>1.0000000000000001E-9</v>
      </c>
      <c r="L502" s="1">
        <v>1.0099999999999998E-5</v>
      </c>
      <c r="M502" s="1">
        <v>2.088457298080279E-5</v>
      </c>
      <c r="N502" s="1">
        <v>3.3298525711698661E-3</v>
      </c>
      <c r="O502" s="1">
        <v>0.99814137378729972</v>
      </c>
      <c r="P502" s="1">
        <v>0.99874718726574163</v>
      </c>
      <c r="Q502" s="2">
        <v>9.9874718726574159</v>
      </c>
      <c r="S502" s="2">
        <v>5.01</v>
      </c>
      <c r="T502" s="1">
        <f t="shared" si="116"/>
        <v>9.7723722095581059E-6</v>
      </c>
      <c r="U502" s="1">
        <f t="shared" si="117"/>
        <v>1.0335259222035617E-9</v>
      </c>
      <c r="V502" s="1">
        <f t="shared" si="118"/>
        <v>1.5054482147873971E-2</v>
      </c>
      <c r="W502" s="1">
        <f t="shared" si="119"/>
        <v>2.8315172617375345E-2</v>
      </c>
      <c r="X502" s="1">
        <f t="shared" si="120"/>
        <v>0.78985436616662674</v>
      </c>
      <c r="Y502" s="1">
        <f t="shared" si="121"/>
        <v>0.78999067588571803</v>
      </c>
      <c r="Z502" s="1">
        <f t="shared" si="122"/>
        <v>39.499533794285902</v>
      </c>
      <c r="AB502">
        <v>6.32</v>
      </c>
      <c r="AC502">
        <v>4.7863009232263745E-7</v>
      </c>
      <c r="AD502">
        <v>2.1101890921625836E-8</v>
      </c>
      <c r="AE502">
        <v>7.8361116989012519E-2</v>
      </c>
      <c r="AF502">
        <v>7.2129610036624943E-3</v>
      </c>
      <c r="AG502">
        <v>0.15546852917348716</v>
      </c>
      <c r="AH502">
        <v>0.15547346012296404</v>
      </c>
      <c r="AI502">
        <v>7.7736730061482016</v>
      </c>
      <c r="AJ502"/>
      <c r="AK502"/>
      <c r="AL502"/>
      <c r="AM502"/>
      <c r="AN502"/>
      <c r="AO502"/>
      <c r="AP502"/>
      <c r="AQ502"/>
      <c r="AR502"/>
    </row>
    <row r="503" spans="1:44" ht="15" customHeight="1" x14ac:dyDescent="0.3">
      <c r="A503" s="2">
        <v>5.0199999999999996</v>
      </c>
      <c r="B503" s="1">
        <f t="shared" si="110"/>
        <v>9.5499258602143587E-6</v>
      </c>
      <c r="C503" s="1">
        <f t="shared" si="111"/>
        <v>1.0575998335314086E-9</v>
      </c>
      <c r="D503" s="1">
        <f t="shared" si="112"/>
        <v>1.8747035101234093E-2</v>
      </c>
      <c r="E503" s="1">
        <f t="shared" si="113"/>
        <v>2.0882748312765089E-4</v>
      </c>
      <c r="F503" s="1">
        <f t="shared" si="114"/>
        <v>5.3240215202022413E-2</v>
      </c>
      <c r="G503" s="1">
        <f t="shared" si="115"/>
        <v>5.2757734022484397E-2</v>
      </c>
      <c r="H503" s="1">
        <f t="shared" si="123"/>
        <v>0.52757734022484393</v>
      </c>
      <c r="J503" s="2">
        <v>9.01</v>
      </c>
      <c r="K503" s="1">
        <v>9.7723722095580808E-10</v>
      </c>
      <c r="L503" s="1">
        <v>1.0335259222035644E-5</v>
      </c>
      <c r="M503" s="1">
        <v>1.9945015388858979E-5</v>
      </c>
      <c r="N503" s="1">
        <v>3.3300091641018568E-3</v>
      </c>
      <c r="O503" s="1">
        <v>0.99818360443795384</v>
      </c>
      <c r="P503" s="1">
        <v>0.99880353771125596</v>
      </c>
      <c r="Q503" s="2">
        <v>9.9880353771125598</v>
      </c>
      <c r="S503" s="2">
        <v>5.0199999999999996</v>
      </c>
      <c r="T503" s="1">
        <f t="shared" si="116"/>
        <v>9.5499258602143587E-6</v>
      </c>
      <c r="U503" s="1">
        <f t="shared" si="117"/>
        <v>1.0575998335314086E-9</v>
      </c>
      <c r="V503" s="1">
        <f t="shared" si="118"/>
        <v>1.5351709317373011E-2</v>
      </c>
      <c r="W503" s="1">
        <f t="shared" si="119"/>
        <v>2.8216096894209002E-2</v>
      </c>
      <c r="X503" s="1">
        <f t="shared" si="120"/>
        <v>0.78600692465837574</v>
      </c>
      <c r="Y503" s="1">
        <f t="shared" si="121"/>
        <v>0.78613994707492374</v>
      </c>
      <c r="Z503" s="1">
        <f t="shared" si="122"/>
        <v>39.306997353746183</v>
      </c>
      <c r="AB503">
        <v>6.33</v>
      </c>
      <c r="AC503">
        <v>4.6773514128719735E-7</v>
      </c>
      <c r="AD503">
        <v>2.159341710397258E-8</v>
      </c>
      <c r="AE503">
        <v>7.8749010622475468E-2</v>
      </c>
      <c r="AF503">
        <v>7.0836631258415095E-3</v>
      </c>
      <c r="AG503">
        <v>0.15246920602504799</v>
      </c>
      <c r="AH503">
        <v>0.15247400756737298</v>
      </c>
      <c r="AI503">
        <v>7.6237003783686497</v>
      </c>
      <c r="AJ503"/>
      <c r="AK503"/>
      <c r="AL503"/>
      <c r="AM503"/>
      <c r="AN503"/>
      <c r="AO503"/>
      <c r="AP503"/>
      <c r="AQ503"/>
      <c r="AR503"/>
    </row>
    <row r="504" spans="1:44" ht="15" customHeight="1" x14ac:dyDescent="0.3">
      <c r="A504" s="2">
        <v>5.03</v>
      </c>
      <c r="B504" s="1">
        <f t="shared" si="110"/>
        <v>9.3325430079698941E-6</v>
      </c>
      <c r="C504" s="1">
        <f t="shared" si="111"/>
        <v>1.0822344982899843E-9</v>
      </c>
      <c r="D504" s="1">
        <f t="shared" si="112"/>
        <v>1.8719227204785856E-2</v>
      </c>
      <c r="E504" s="1">
        <f t="shared" si="113"/>
        <v>2.1346213253569044E-4</v>
      </c>
      <c r="F504" s="1">
        <f t="shared" si="114"/>
        <v>5.441286043387529E-2</v>
      </c>
      <c r="G504" s="1">
        <f t="shared" si="115"/>
        <v>5.3941253888254409E-2</v>
      </c>
      <c r="H504" s="1">
        <f t="shared" si="123"/>
        <v>0.53941253888254403</v>
      </c>
      <c r="J504" s="2">
        <v>9.02</v>
      </c>
      <c r="K504" s="1">
        <v>9.5499258602143329E-10</v>
      </c>
      <c r="L504" s="1">
        <v>1.0575998335314114E-5</v>
      </c>
      <c r="M504" s="1">
        <v>1.901596169845858E-5</v>
      </c>
      <c r="N504" s="1">
        <v>3.3301640063835899E-3</v>
      </c>
      <c r="O504" s="1">
        <v>0.99822487725419029</v>
      </c>
      <c r="P504" s="1">
        <v>0.99885925922092222</v>
      </c>
      <c r="Q504" s="2">
        <v>9.9885925922092209</v>
      </c>
      <c r="S504" s="2">
        <v>5.03</v>
      </c>
      <c r="T504" s="1">
        <f t="shared" si="116"/>
        <v>9.3325430079698941E-6</v>
      </c>
      <c r="U504" s="1">
        <f t="shared" si="117"/>
        <v>1.0822344982899843E-9</v>
      </c>
      <c r="V504" s="1">
        <f t="shared" si="118"/>
        <v>1.5653706939574043E-2</v>
      </c>
      <c r="W504" s="1">
        <f t="shared" si="119"/>
        <v>2.8115431020141989E-2</v>
      </c>
      <c r="X504" s="1">
        <f t="shared" si="120"/>
        <v>0.78210847442465303</v>
      </c>
      <c r="Y504" s="1">
        <f t="shared" si="121"/>
        <v>0.78223828616180191</v>
      </c>
      <c r="Z504" s="1">
        <f t="shared" si="122"/>
        <v>39.1119143080901</v>
      </c>
      <c r="AB504">
        <v>6.34</v>
      </c>
      <c r="AC504">
        <v>4.5708818961487426E-7</v>
      </c>
      <c r="AD504">
        <v>2.2096392401890515E-8</v>
      </c>
      <c r="AE504">
        <v>7.9131802581884098E-2</v>
      </c>
      <c r="AF504">
        <v>6.9560658060386308E-3</v>
      </c>
      <c r="AG504">
        <v>0.14951750203596753</v>
      </c>
      <c r="AH504">
        <v>0.14952217715854249</v>
      </c>
      <c r="AI504">
        <v>7.4761088579271249</v>
      </c>
      <c r="AJ504"/>
      <c r="AK504"/>
      <c r="AL504"/>
      <c r="AM504"/>
      <c r="AN504"/>
      <c r="AO504"/>
      <c r="AP504"/>
      <c r="AQ504"/>
      <c r="AR504"/>
    </row>
    <row r="505" spans="1:44" ht="15" customHeight="1" x14ac:dyDescent="0.3">
      <c r="A505" s="2">
        <v>5.04</v>
      </c>
      <c r="B505" s="1">
        <f t="shared" si="110"/>
        <v>9.1201083935590828E-6</v>
      </c>
      <c r="C505" s="1">
        <f t="shared" si="111"/>
        <v>1.1074429781046185E-9</v>
      </c>
      <c r="D505" s="1">
        <f t="shared" si="112"/>
        <v>1.8690867324582246E-2</v>
      </c>
      <c r="E505" s="1">
        <f t="shared" si="113"/>
        <v>2.1818877923629232E-4</v>
      </c>
      <c r="F505" s="1">
        <f t="shared" si="114"/>
        <v>5.5609816758203451E-2</v>
      </c>
      <c r="G505" s="1">
        <f t="shared" si="115"/>
        <v>5.5148837687641436E-2</v>
      </c>
      <c r="H505" s="1">
        <f t="shared" si="123"/>
        <v>0.55148837687641428</v>
      </c>
      <c r="J505" s="2">
        <v>9.0299999999999994</v>
      </c>
      <c r="K505" s="1">
        <v>9.3325430079699202E-10</v>
      </c>
      <c r="L505" s="1">
        <v>1.0822344982899812E-5</v>
      </c>
      <c r="M505" s="1">
        <v>1.8096922586395281E-5</v>
      </c>
      <c r="N505" s="1">
        <v>3.3303171795689341E-3</v>
      </c>
      <c r="O505" s="1">
        <v>0.9982652138840008</v>
      </c>
      <c r="P505" s="1">
        <v>0.99891438110842667</v>
      </c>
      <c r="Q505" s="2">
        <v>9.9891438110842667</v>
      </c>
      <c r="S505" s="2">
        <v>5.04</v>
      </c>
      <c r="T505" s="1">
        <f t="shared" si="116"/>
        <v>9.1201083935590828E-6</v>
      </c>
      <c r="U505" s="1">
        <f t="shared" si="117"/>
        <v>1.1074429781046185E-9</v>
      </c>
      <c r="V505" s="1">
        <f t="shared" si="118"/>
        <v>1.5960509303195029E-2</v>
      </c>
      <c r="W505" s="1">
        <f t="shared" si="119"/>
        <v>2.8013163565601656E-2</v>
      </c>
      <c r="X505" s="1">
        <f t="shared" si="120"/>
        <v>0.77815904830463345</v>
      </c>
      <c r="Y505" s="1">
        <f t="shared" si="121"/>
        <v>0.77828572425543585</v>
      </c>
      <c r="Z505" s="1">
        <f t="shared" si="122"/>
        <v>38.914286212771792</v>
      </c>
      <c r="AB505">
        <v>6.35</v>
      </c>
      <c r="AC505">
        <v>4.4668359215096327E-7</v>
      </c>
      <c r="AD505">
        <v>2.2611083499540222E-8</v>
      </c>
      <c r="AE505">
        <v>7.9509493386191565E-2</v>
      </c>
      <c r="AF505">
        <v>6.8301688712694786E-3</v>
      </c>
      <c r="AG505">
        <v>0.14661305601334332</v>
      </c>
      <c r="AH505">
        <v>0.14661760762091319</v>
      </c>
      <c r="AI505">
        <v>7.3308803810456595</v>
      </c>
      <c r="AJ505"/>
      <c r="AK505"/>
      <c r="AL505"/>
      <c r="AM505"/>
      <c r="AN505"/>
      <c r="AO505"/>
      <c r="AP505"/>
      <c r="AQ505"/>
      <c r="AR505"/>
    </row>
    <row r="506" spans="1:44" ht="15" customHeight="1" x14ac:dyDescent="0.3">
      <c r="A506" s="2">
        <v>5.05</v>
      </c>
      <c r="B506" s="1">
        <f t="shared" si="110"/>
        <v>8.9125093813374425E-6</v>
      </c>
      <c r="C506" s="1">
        <f t="shared" si="111"/>
        <v>1.1332386388449846E-9</v>
      </c>
      <c r="D506" s="1">
        <f t="shared" si="112"/>
        <v>1.8661945881315145E-2</v>
      </c>
      <c r="E506" s="1">
        <f t="shared" si="113"/>
        <v>2.2300901978080894E-4</v>
      </c>
      <c r="F506" s="1">
        <f t="shared" si="114"/>
        <v>5.6831520840097294E-2</v>
      </c>
      <c r="G506" s="1">
        <f t="shared" si="115"/>
        <v>5.6380927716420816E-2</v>
      </c>
      <c r="H506" s="1">
        <f t="shared" si="123"/>
        <v>0.56380927716420814</v>
      </c>
      <c r="J506" s="2">
        <v>9.0399999999999991</v>
      </c>
      <c r="K506" s="1">
        <v>9.1201083935591081E-10</v>
      </c>
      <c r="L506" s="1">
        <v>1.1074429781046155E-5</v>
      </c>
      <c r="M506" s="1">
        <v>1.7187413892437857E-5</v>
      </c>
      <c r="N506" s="1">
        <v>3.3304687643512603E-3</v>
      </c>
      <c r="O506" s="1">
        <v>0.99830463548955684</v>
      </c>
      <c r="P506" s="1">
        <v>0.99896893238031315</v>
      </c>
      <c r="Q506" s="2">
        <v>9.9896893238031303</v>
      </c>
      <c r="S506" s="2">
        <v>5.05</v>
      </c>
      <c r="T506" s="1">
        <f t="shared" si="116"/>
        <v>8.9125093813374425E-6</v>
      </c>
      <c r="U506" s="1">
        <f t="shared" si="117"/>
        <v>1.1332386388449846E-9</v>
      </c>
      <c r="V506" s="1">
        <f t="shared" si="118"/>
        <v>1.6272149201787926E-2</v>
      </c>
      <c r="W506" s="1">
        <f t="shared" si="119"/>
        <v>2.7909283599404026E-2</v>
      </c>
      <c r="X506" s="1">
        <f t="shared" si="120"/>
        <v>0.77415870737836046</v>
      </c>
      <c r="Y506" s="1">
        <f t="shared" si="121"/>
        <v>0.77428232074479142</v>
      </c>
      <c r="Z506" s="1">
        <f t="shared" si="122"/>
        <v>38.71411603723957</v>
      </c>
      <c r="AB506">
        <v>6.36</v>
      </c>
      <c r="AC506">
        <v>4.365158322401653E-7</v>
      </c>
      <c r="AD506">
        <v>2.3137763292954543E-8</v>
      </c>
      <c r="AE506">
        <v>7.9882086208729622E-2</v>
      </c>
      <c r="AF506">
        <v>6.7059712637567905E-3</v>
      </c>
      <c r="AG506">
        <v>0.14375549358427986</v>
      </c>
      <c r="AH506">
        <v>0.14375992450096925</v>
      </c>
      <c r="AI506">
        <v>7.1879962250484626</v>
      </c>
      <c r="AJ506"/>
      <c r="AK506"/>
      <c r="AL506"/>
      <c r="AM506"/>
      <c r="AN506"/>
      <c r="AO506"/>
      <c r="AP506"/>
      <c r="AQ506"/>
      <c r="AR506"/>
    </row>
    <row r="507" spans="1:44" ht="15" customHeight="1" x14ac:dyDescent="0.3">
      <c r="A507" s="2">
        <v>5.0599999999999996</v>
      </c>
      <c r="B507" s="1">
        <f t="shared" si="110"/>
        <v>8.7096358995608107E-6</v>
      </c>
      <c r="C507" s="1">
        <f t="shared" si="111"/>
        <v>1.159635157711851E-9</v>
      </c>
      <c r="D507" s="1">
        <f t="shared" si="112"/>
        <v>1.8632453220489311E-2</v>
      </c>
      <c r="E507" s="1">
        <f t="shared" si="113"/>
        <v>2.2792446325178162E-4</v>
      </c>
      <c r="F507" s="1">
        <f t="shared" si="114"/>
        <v>5.8078414195264071E-2</v>
      </c>
      <c r="G507" s="1">
        <f t="shared" si="115"/>
        <v>5.7637970993020711E-2</v>
      </c>
      <c r="H507" s="1">
        <f t="shared" si="123"/>
        <v>0.57637970993020704</v>
      </c>
      <c r="J507" s="2">
        <v>9.0500000000000007</v>
      </c>
      <c r="K507" s="1">
        <v>8.9125093813374338E-10</v>
      </c>
      <c r="L507" s="1">
        <v>1.1332386388449857E-5</v>
      </c>
      <c r="M507" s="1">
        <v>1.6286956369182466E-5</v>
      </c>
      <c r="N507" s="1">
        <v>3.3306188406051359E-3</v>
      </c>
      <c r="O507" s="1">
        <v>0.99834316275795709</v>
      </c>
      <c r="P507" s="1">
        <v>0.99902294175089978</v>
      </c>
      <c r="Q507" s="2">
        <v>9.9902294175089974</v>
      </c>
      <c r="S507" s="2">
        <v>5.0599999999999996</v>
      </c>
      <c r="T507" s="1">
        <f t="shared" si="116"/>
        <v>8.7096358995608107E-6</v>
      </c>
      <c r="U507" s="1">
        <f t="shared" si="117"/>
        <v>1.159635157711851E-9</v>
      </c>
      <c r="V507" s="1">
        <f t="shared" si="118"/>
        <v>1.6588657859095603E-2</v>
      </c>
      <c r="W507" s="1">
        <f t="shared" si="119"/>
        <v>2.7803780713634797E-2</v>
      </c>
      <c r="X507" s="1">
        <f t="shared" si="120"/>
        <v>0.77010754164942063</v>
      </c>
      <c r="Y507" s="1">
        <f t="shared" si="121"/>
        <v>0.77022816398048566</v>
      </c>
      <c r="Z507" s="1">
        <f t="shared" si="122"/>
        <v>38.511408199024281</v>
      </c>
      <c r="AB507">
        <v>6.37</v>
      </c>
      <c r="AC507">
        <v>4.2657951880159212E-7</v>
      </c>
      <c r="AD507">
        <v>2.3676711034731241E-8</v>
      </c>
      <c r="AE507">
        <v>8.0249586803754783E-2</v>
      </c>
      <c r="AF507">
        <v>6.5834710654150697E-3</v>
      </c>
      <c r="AG507">
        <v>0.14094442790999293</v>
      </c>
      <c r="AH507">
        <v>0.14094874088128784</v>
      </c>
      <c r="AI507">
        <v>7.0474370440643916</v>
      </c>
      <c r="AJ507"/>
      <c r="AK507"/>
      <c r="AL507"/>
      <c r="AM507"/>
      <c r="AN507"/>
      <c r="AO507"/>
      <c r="AP507"/>
      <c r="AQ507"/>
      <c r="AR507"/>
    </row>
    <row r="508" spans="1:44" ht="15" customHeight="1" x14ac:dyDescent="0.3">
      <c r="A508" s="2">
        <v>5.07</v>
      </c>
      <c r="B508" s="1">
        <f t="shared" si="110"/>
        <v>8.5113803820237531E-6</v>
      </c>
      <c r="C508" s="1">
        <f t="shared" si="111"/>
        <v>1.1866465304889263E-9</v>
      </c>
      <c r="D508" s="1">
        <f t="shared" si="112"/>
        <v>1.8602379615598942E-2</v>
      </c>
      <c r="E508" s="1">
        <f t="shared" si="113"/>
        <v>2.3293673073351005E-4</v>
      </c>
      <c r="F508" s="1">
        <f t="shared" si="114"/>
        <v>5.9350943102767638E-2</v>
      </c>
      <c r="G508" s="1">
        <f t="shared" si="115"/>
        <v>5.8920419174171491E-2</v>
      </c>
      <c r="H508" s="1">
        <f t="shared" si="123"/>
        <v>0.5892041917417149</v>
      </c>
      <c r="J508" s="2">
        <v>9.06</v>
      </c>
      <c r="K508" s="1">
        <v>8.709635899560787E-10</v>
      </c>
      <c r="L508" s="1">
        <v>1.159635157711854E-5</v>
      </c>
      <c r="M508" s="1">
        <v>1.5395075434256319E-5</v>
      </c>
      <c r="N508" s="1">
        <v>3.3307674874276244E-3</v>
      </c>
      <c r="O508" s="1">
        <v>0.99838081591174488</v>
      </c>
      <c r="P508" s="1">
        <v>0.99907643765706411</v>
      </c>
      <c r="Q508" s="2">
        <v>9.99076437657064</v>
      </c>
      <c r="S508" s="2">
        <v>5.07</v>
      </c>
      <c r="T508" s="1">
        <f t="shared" si="116"/>
        <v>8.5113803820237531E-6</v>
      </c>
      <c r="U508" s="1">
        <f t="shared" si="117"/>
        <v>1.1866465304889263E-9</v>
      </c>
      <c r="V508" s="1">
        <f t="shared" si="118"/>
        <v>1.6910064853635123E-2</v>
      </c>
      <c r="W508" s="1">
        <f t="shared" si="119"/>
        <v>2.7696645048788295E-2</v>
      </c>
      <c r="X508" s="1">
        <f t="shared" si="120"/>
        <v>0.76600567070799408</v>
      </c>
      <c r="Y508" s="1">
        <f t="shared" si="121"/>
        <v>0.76612337193695135</v>
      </c>
      <c r="Z508" s="1">
        <f t="shared" si="122"/>
        <v>38.30616859684757</v>
      </c>
      <c r="AB508">
        <v>6.38</v>
      </c>
      <c r="AC508">
        <v>4.1686938347033493E-7</v>
      </c>
      <c r="AD508">
        <v>2.422821248209688E-8</v>
      </c>
      <c r="AE508">
        <v>8.0612003431875759E-2</v>
      </c>
      <c r="AF508">
        <v>6.4626655227080811E-3</v>
      </c>
      <c r="AG508">
        <v>0.13817946038843948</v>
      </c>
      <c r="AH508">
        <v>0.13818365808311597</v>
      </c>
      <c r="AI508">
        <v>6.9091829041557977</v>
      </c>
      <c r="AJ508"/>
      <c r="AK508"/>
      <c r="AL508"/>
      <c r="AM508"/>
      <c r="AN508"/>
      <c r="AO508"/>
      <c r="AP508"/>
      <c r="AQ508"/>
      <c r="AR508"/>
    </row>
    <row r="509" spans="1:44" ht="15" customHeight="1" x14ac:dyDescent="0.3">
      <c r="A509" s="2">
        <v>5.08</v>
      </c>
      <c r="B509" s="1">
        <f t="shared" si="110"/>
        <v>8.3176377110266992E-6</v>
      </c>
      <c r="C509" s="1">
        <f t="shared" si="111"/>
        <v>1.2142870789635886E-9</v>
      </c>
      <c r="D509" s="1">
        <f t="shared" si="112"/>
        <v>1.8571715271524739E-2</v>
      </c>
      <c r="E509" s="1">
        <f t="shared" si="113"/>
        <v>2.380474547458772E-4</v>
      </c>
      <c r="F509" s="1">
        <f t="shared" si="114"/>
        <v>6.0649558509397843E-2</v>
      </c>
      <c r="G509" s="1">
        <f t="shared" si="115"/>
        <v>6.0228728462118693E-2</v>
      </c>
      <c r="H509" s="1">
        <f t="shared" si="123"/>
        <v>0.60228728462118686</v>
      </c>
      <c r="J509" s="2">
        <v>9.07</v>
      </c>
      <c r="K509" s="1">
        <v>8.5113803820237469E-10</v>
      </c>
      <c r="L509" s="1">
        <v>1.1866465304889272E-5</v>
      </c>
      <c r="M509" s="1">
        <v>1.451130092467744E-5</v>
      </c>
      <c r="N509" s="1">
        <v>3.3309147831792202E-3</v>
      </c>
      <c r="O509" s="1">
        <v>0.99841761471919821</v>
      </c>
      <c r="P509" s="1">
        <v>0.99912944827290018</v>
      </c>
      <c r="Q509" s="2">
        <v>9.9912944827290016</v>
      </c>
      <c r="S509" s="2">
        <v>5.08</v>
      </c>
      <c r="T509" s="1">
        <f t="shared" si="116"/>
        <v>8.3176377110266992E-6</v>
      </c>
      <c r="U509" s="1">
        <f t="shared" si="117"/>
        <v>1.2142870789635886E-9</v>
      </c>
      <c r="V509" s="1">
        <f t="shared" si="118"/>
        <v>1.7236398042610197E-2</v>
      </c>
      <c r="W509" s="1">
        <f t="shared" si="119"/>
        <v>2.7587867319129933E-2</v>
      </c>
      <c r="X509" s="1">
        <f t="shared" si="120"/>
        <v>0.76185324437226676</v>
      </c>
      <c r="Y509" s="1">
        <f t="shared" si="121"/>
        <v>0.76196809285298472</v>
      </c>
      <c r="Z509" s="1">
        <f t="shared" si="122"/>
        <v>38.098404642649243</v>
      </c>
      <c r="AB509">
        <v>6.39</v>
      </c>
      <c r="AC509">
        <v>4.0738027780411229E-7</v>
      </c>
      <c r="AD509">
        <v>2.4792560048418833E-8</v>
      </c>
      <c r="AE509">
        <v>8.0969346784541707E-2</v>
      </c>
      <c r="AF509">
        <v>6.3435510718194282E-3</v>
      </c>
      <c r="AG509">
        <v>0.13546018134479743</v>
      </c>
      <c r="AH509">
        <v>0.13546426635679751</v>
      </c>
      <c r="AI509">
        <v>6.7732133178398755</v>
      </c>
      <c r="AJ509"/>
      <c r="AK509"/>
      <c r="AL509"/>
      <c r="AM509"/>
      <c r="AN509"/>
      <c r="AO509"/>
      <c r="AP509"/>
      <c r="AQ509"/>
      <c r="AR509"/>
    </row>
    <row r="510" spans="1:44" ht="15" customHeight="1" x14ac:dyDescent="0.3">
      <c r="A510" s="2">
        <v>5.09</v>
      </c>
      <c r="B510" s="1">
        <f t="shared" si="110"/>
        <v>8.128305161640983E-6</v>
      </c>
      <c r="C510" s="1">
        <f t="shared" si="111"/>
        <v>1.2425714585205067E-9</v>
      </c>
      <c r="D510" s="1">
        <f t="shared" si="112"/>
        <v>1.85404503281579E-2</v>
      </c>
      <c r="E510" s="1">
        <f t="shared" si="113"/>
        <v>2.4325827864035015E-4</v>
      </c>
      <c r="F510" s="1">
        <f t="shared" si="114"/>
        <v>6.1974715925358026E-2</v>
      </c>
      <c r="G510" s="1">
        <f t="shared" si="115"/>
        <v>6.1563359503089464E-2</v>
      </c>
      <c r="H510" s="1">
        <f t="shared" si="123"/>
        <v>0.61563359503089465</v>
      </c>
      <c r="J510" s="2">
        <v>9.08</v>
      </c>
      <c r="K510" s="1">
        <v>8.3176377110266926E-10</v>
      </c>
      <c r="L510" s="1">
        <v>1.2142870789635896E-5</v>
      </c>
      <c r="M510" s="1">
        <v>1.3635166853327061E-5</v>
      </c>
      <c r="N510" s="1">
        <v>3.3310608055244456E-3</v>
      </c>
      <c r="O510" s="1">
        <v>0.99845357850439975</v>
      </c>
      <c r="P510" s="1">
        <v>0.9991820015242574</v>
      </c>
      <c r="Q510" s="2">
        <v>9.991820015242574</v>
      </c>
      <c r="S510" s="2">
        <v>5.09</v>
      </c>
      <c r="T510" s="1">
        <f t="shared" si="116"/>
        <v>8.128305161640983E-6</v>
      </c>
      <c r="U510" s="1">
        <f t="shared" si="117"/>
        <v>1.2425714585205067E-9</v>
      </c>
      <c r="V510" s="1">
        <f t="shared" si="118"/>
        <v>1.75676834852634E-2</v>
      </c>
      <c r="W510" s="1">
        <f t="shared" si="119"/>
        <v>2.7477438838245532E-2</v>
      </c>
      <c r="X510" s="1">
        <f t="shared" si="120"/>
        <v>0.75765044330615328</v>
      </c>
      <c r="Y510" s="1">
        <f t="shared" si="121"/>
        <v>0.7577625058486227</v>
      </c>
      <c r="Z510" s="1">
        <f t="shared" si="122"/>
        <v>37.888125292431134</v>
      </c>
      <c r="AB510">
        <v>6.4</v>
      </c>
      <c r="AC510">
        <v>3.9810717055349618E-7</v>
      </c>
      <c r="AD510">
        <v>2.5370052958246826E-8</v>
      </c>
      <c r="AE510">
        <v>8.1321629907766618E-2</v>
      </c>
      <c r="AF510">
        <v>6.2261233640777949E-3</v>
      </c>
      <c r="AG510">
        <v>0.13278617070916765</v>
      </c>
      <c r="AH510">
        <v>0.13279014555942412</v>
      </c>
      <c r="AI510">
        <v>6.6395072779712061</v>
      </c>
      <c r="AJ510"/>
      <c r="AK510"/>
      <c r="AL510"/>
      <c r="AM510"/>
      <c r="AN510"/>
      <c r="AO510"/>
      <c r="AP510"/>
      <c r="AQ510"/>
      <c r="AR510"/>
    </row>
    <row r="511" spans="1:44" ht="15" customHeight="1" x14ac:dyDescent="0.3">
      <c r="A511" s="2">
        <v>5.0999999999999996</v>
      </c>
      <c r="B511" s="1">
        <f t="shared" si="110"/>
        <v>7.9432823472428065E-6</v>
      </c>
      <c r="C511" s="1">
        <f t="shared" si="111"/>
        <v>1.2715146659121102E-9</v>
      </c>
      <c r="D511" s="1">
        <f t="shared" si="112"/>
        <v>1.8508574864257693E-2</v>
      </c>
      <c r="E511" s="1">
        <f t="shared" si="113"/>
        <v>2.4857085595705072E-4</v>
      </c>
      <c r="F511" s="1">
        <f t="shared" si="114"/>
        <v>6.3326875310947939E-2</v>
      </c>
      <c r="G511" s="1">
        <f t="shared" si="115"/>
        <v>6.2924777276691393E-2</v>
      </c>
      <c r="H511" s="1">
        <f t="shared" si="123"/>
        <v>0.6292477727669139</v>
      </c>
      <c r="J511" s="2">
        <v>9.09</v>
      </c>
      <c r="K511" s="1">
        <v>8.1283051616409768E-10</v>
      </c>
      <c r="L511" s="1">
        <v>1.2425714585205077E-5</v>
      </c>
      <c r="M511" s="1">
        <v>1.2766211167343387E-5</v>
      </c>
      <c r="N511" s="1">
        <v>3.3312056314721093E-3</v>
      </c>
      <c r="O511" s="1">
        <v>0.99848872615708817</v>
      </c>
      <c r="P511" s="1">
        <v>0.999234125103166</v>
      </c>
      <c r="Q511" s="2">
        <v>9.9923412510316592</v>
      </c>
      <c r="S511" s="2">
        <v>5.0999999999999996</v>
      </c>
      <c r="T511" s="1">
        <f t="shared" si="116"/>
        <v>7.9432823472428065E-6</v>
      </c>
      <c r="U511" s="1">
        <f t="shared" si="117"/>
        <v>1.2715146659121102E-9</v>
      </c>
      <c r="V511" s="1">
        <f t="shared" si="118"/>
        <v>1.7903945365783654E-2</v>
      </c>
      <c r="W511" s="1">
        <f t="shared" si="119"/>
        <v>2.7365351544738778E-2</v>
      </c>
      <c r="X511" s="1">
        <f t="shared" si="120"/>
        <v>0.75339747961127768</v>
      </c>
      <c r="Y511" s="1">
        <f t="shared" si="121"/>
        <v>0.753506821516298</v>
      </c>
      <c r="Z511" s="1">
        <f t="shared" si="122"/>
        <v>37.675341075814899</v>
      </c>
      <c r="AB511">
        <v>6.41</v>
      </c>
      <c r="AC511">
        <v>3.8904514499428027E-7</v>
      </c>
      <c r="AD511">
        <v>2.5960997405965543E-8</v>
      </c>
      <c r="AE511">
        <v>8.1668868125258545E-2</v>
      </c>
      <c r="AF511">
        <v>6.1103772915804882E-3</v>
      </c>
      <c r="AG511">
        <v>0.13015699868093653</v>
      </c>
      <c r="AH511">
        <v>0.13016086581914749</v>
      </c>
      <c r="AI511">
        <v>6.5080432909573744</v>
      </c>
      <c r="AJ511"/>
      <c r="AK511"/>
      <c r="AL511"/>
      <c r="AM511"/>
      <c r="AN511"/>
      <c r="AO511"/>
      <c r="AP511"/>
      <c r="AQ511"/>
      <c r="AR511"/>
    </row>
    <row r="512" spans="1:44" ht="15" customHeight="1" x14ac:dyDescent="0.3">
      <c r="A512" s="2">
        <v>5.1100000000000003</v>
      </c>
      <c r="B512" s="1">
        <f t="shared" si="110"/>
        <v>7.7624711662868956E-6</v>
      </c>
      <c r="C512" s="1">
        <f t="shared" si="111"/>
        <v>1.3011320472100688E-9</v>
      </c>
      <c r="D512" s="1">
        <f t="shared" si="112"/>
        <v>1.8476078901549085E-2</v>
      </c>
      <c r="E512" s="1">
        <f t="shared" si="113"/>
        <v>2.5398684974181911E-4</v>
      </c>
      <c r="F512" s="1">
        <f t="shared" si="114"/>
        <v>6.47065009539219E-2</v>
      </c>
      <c r="G512" s="1">
        <f t="shared" si="115"/>
        <v>6.431345097592478E-2</v>
      </c>
      <c r="H512" s="1">
        <f t="shared" si="123"/>
        <v>0.6431345097592478</v>
      </c>
      <c r="J512" s="2">
        <v>9.1</v>
      </c>
      <c r="K512" s="1">
        <v>7.9432823472428E-10</v>
      </c>
      <c r="L512" s="1">
        <v>1.2715146659121113E-5</v>
      </c>
      <c r="M512" s="1">
        <v>1.1903975508377001E-5</v>
      </c>
      <c r="N512" s="1">
        <v>3.3313493374152701E-3</v>
      </c>
      <c r="O512" s="1">
        <v>0.9985230761422984</v>
      </c>
      <c r="P512" s="1">
        <v>0.99928584648215724</v>
      </c>
      <c r="Q512" s="2">
        <v>9.9928584648215715</v>
      </c>
      <c r="S512" s="2">
        <v>5.1100000000000003</v>
      </c>
      <c r="T512" s="1">
        <f t="shared" si="116"/>
        <v>7.7624711662868956E-6</v>
      </c>
      <c r="U512" s="1">
        <f t="shared" si="117"/>
        <v>1.3011320472100688E-9</v>
      </c>
      <c r="V512" s="1">
        <f t="shared" si="118"/>
        <v>1.8245205915893268E-2</v>
      </c>
      <c r="W512" s="1">
        <f t="shared" si="119"/>
        <v>2.7251598028035583E-2</v>
      </c>
      <c r="X512" s="1">
        <f t="shared" si="120"/>
        <v>0.74909459739113193</v>
      </c>
      <c r="Y512" s="1">
        <f t="shared" si="121"/>
        <v>0.74920128248419049</v>
      </c>
      <c r="Z512" s="1">
        <f t="shared" si="122"/>
        <v>37.460064124209524</v>
      </c>
      <c r="AB512">
        <v>6.42</v>
      </c>
      <c r="AC512">
        <v>3.8018939632056089E-7</v>
      </c>
      <c r="AD512">
        <v>2.6565706718143378E-8</v>
      </c>
      <c r="AE512">
        <v>8.2011078961118061E-2</v>
      </c>
      <c r="AF512">
        <v>5.9963070129606475E-3</v>
      </c>
      <c r="AG512">
        <v>0.12757222637928822</v>
      </c>
      <c r="AH512">
        <v>0.12757598818564247</v>
      </c>
      <c r="AI512">
        <v>6.3787994092821236</v>
      </c>
      <c r="AJ512"/>
      <c r="AK512"/>
      <c r="AL512"/>
      <c r="AM512"/>
      <c r="AN512"/>
      <c r="AO512"/>
      <c r="AP512"/>
      <c r="AQ512"/>
      <c r="AR512"/>
    </row>
    <row r="513" spans="1:44" ht="15" customHeight="1" x14ac:dyDescent="0.3">
      <c r="A513" s="2">
        <v>5.12</v>
      </c>
      <c r="B513" s="1">
        <f t="shared" si="110"/>
        <v>7.5857757502918323E-6</v>
      </c>
      <c r="C513" s="1">
        <f t="shared" si="111"/>
        <v>1.331439305941972E-9</v>
      </c>
      <c r="D513" s="1">
        <f t="shared" si="112"/>
        <v>1.8442952409066866E-2</v>
      </c>
      <c r="E513" s="1">
        <f t="shared" si="113"/>
        <v>2.5950793182218904E-4</v>
      </c>
      <c r="F513" s="1">
        <f t="shared" si="114"/>
        <v>6.6114061337195607E-2</v>
      </c>
      <c r="G513" s="1">
        <f t="shared" si="115"/>
        <v>6.5729853877483271E-2</v>
      </c>
      <c r="H513" s="1">
        <f t="shared" si="123"/>
        <v>0.65729853877483269</v>
      </c>
      <c r="J513" s="2">
        <v>9.11</v>
      </c>
      <c r="K513" s="1">
        <v>7.7624711662869035E-10</v>
      </c>
      <c r="L513" s="1">
        <v>1.3011320472100676E-5</v>
      </c>
      <c r="M513" s="1">
        <v>1.1048004974570596E-5</v>
      </c>
      <c r="N513" s="1">
        <v>3.3314919991709047E-3</v>
      </c>
      <c r="O513" s="1">
        <v>0.99855664650979203</v>
      </c>
      <c r="P513" s="1">
        <v>0.999337192928484</v>
      </c>
      <c r="Q513" s="2">
        <v>9.9933719292848391</v>
      </c>
      <c r="S513" s="2">
        <v>5.12</v>
      </c>
      <c r="T513" s="1">
        <f t="shared" si="116"/>
        <v>7.5857757502918323E-6</v>
      </c>
      <c r="U513" s="1">
        <f t="shared" si="117"/>
        <v>1.331439305941972E-9</v>
      </c>
      <c r="V513" s="1">
        <f t="shared" si="118"/>
        <v>1.8591485337243616E-2</v>
      </c>
      <c r="W513" s="1">
        <f t="shared" si="119"/>
        <v>2.7136171554252131E-2</v>
      </c>
      <c r="X513" s="1">
        <f t="shared" si="120"/>
        <v>0.74474207328533548</v>
      </c>
      <c r="Y513" s="1">
        <f t="shared" si="121"/>
        <v>0.74484616394969894</v>
      </c>
      <c r="Z513" s="1">
        <f t="shared" si="122"/>
        <v>37.242308197484945</v>
      </c>
      <c r="AB513">
        <v>6.43</v>
      </c>
      <c r="AC513">
        <v>3.7153522909717226E-7</v>
      </c>
      <c r="AD513">
        <v>2.7184501519661868E-8</v>
      </c>
      <c r="AE513">
        <v>8.2348282062261982E-2</v>
      </c>
      <c r="AF513">
        <v>5.8839059792460055E-3</v>
      </c>
      <c r="AG513">
        <v>0.12503140647942243</v>
      </c>
      <c r="AH513">
        <v>0.1250350652662767</v>
      </c>
      <c r="AI513">
        <v>6.2517532633138346</v>
      </c>
      <c r="AJ513"/>
      <c r="AK513"/>
      <c r="AL513"/>
      <c r="AM513"/>
      <c r="AN513"/>
      <c r="AO513"/>
      <c r="AP513"/>
      <c r="AQ513"/>
      <c r="AR513"/>
    </row>
    <row r="514" spans="1:44" ht="15" customHeight="1" x14ac:dyDescent="0.3">
      <c r="A514" s="2">
        <v>5.13</v>
      </c>
      <c r="B514" s="1">
        <f t="shared" si="110"/>
        <v>7.4131024130091704E-6</v>
      </c>
      <c r="C514" s="1">
        <f t="shared" si="111"/>
        <v>1.3624525114175708E-9</v>
      </c>
      <c r="D514" s="1">
        <f t="shared" si="112"/>
        <v>1.8409185307752669E-2</v>
      </c>
      <c r="E514" s="1">
        <f t="shared" si="113"/>
        <v>2.6513578204122236E-4</v>
      </c>
      <c r="F514" s="1">
        <f t="shared" si="114"/>
        <v>6.7550028996576209E-2</v>
      </c>
      <c r="G514" s="1">
        <f t="shared" si="115"/>
        <v>6.7174463202018919E-2</v>
      </c>
      <c r="H514" s="1">
        <f t="shared" si="123"/>
        <v>0.67174463202018919</v>
      </c>
      <c r="J514" s="2">
        <v>9.1199999999999992</v>
      </c>
      <c r="K514" s="1">
        <v>7.5857757502918245E-10</v>
      </c>
      <c r="L514" s="1">
        <v>1.3314393059419734E-5</v>
      </c>
      <c r="M514" s="1">
        <v>1.0197847884133305E-5</v>
      </c>
      <c r="N514" s="1">
        <v>3.3316336920193113E-3</v>
      </c>
      <c r="O514" s="1">
        <v>0.99858945490328466</v>
      </c>
      <c r="P514" s="1">
        <v>0.99938819151825031</v>
      </c>
      <c r="Q514" s="2">
        <v>9.9938819151825022</v>
      </c>
      <c r="S514" s="2">
        <v>5.13</v>
      </c>
      <c r="T514" s="1">
        <f t="shared" si="116"/>
        <v>7.4131024130091704E-6</v>
      </c>
      <c r="U514" s="1">
        <f t="shared" si="117"/>
        <v>1.3624525114175708E-9</v>
      </c>
      <c r="V514" s="1">
        <f t="shared" si="118"/>
        <v>1.8942801723757102E-2</v>
      </c>
      <c r="W514" s="1">
        <f t="shared" si="119"/>
        <v>2.7019066092080969E-2</v>
      </c>
      <c r="X514" s="1">
        <f t="shared" si="120"/>
        <v>0.74034021697191055</v>
      </c>
      <c r="Y514" s="1">
        <f t="shared" si="121"/>
        <v>0.74044177418094614</v>
      </c>
      <c r="Z514" s="1">
        <f t="shared" si="122"/>
        <v>37.022088709047303</v>
      </c>
      <c r="AB514">
        <v>6.44</v>
      </c>
      <c r="AC514">
        <v>3.6307805477010047E-7</v>
      </c>
      <c r="AD514">
        <v>2.7817709903715546E-8</v>
      </c>
      <c r="AE514">
        <v>8.2680499120724518E-2</v>
      </c>
      <c r="AF514">
        <v>5.7731669597584937E-3</v>
      </c>
      <c r="AG514">
        <v>0.12253408383407266</v>
      </c>
      <c r="AH514">
        <v>0.12253764184758165</v>
      </c>
      <c r="AI514">
        <v>6.1268820923790823</v>
      </c>
      <c r="AJ514"/>
      <c r="AK514"/>
      <c r="AL514"/>
      <c r="AM514"/>
      <c r="AN514"/>
      <c r="AO514"/>
      <c r="AP514"/>
      <c r="AQ514"/>
      <c r="AR514"/>
    </row>
    <row r="515" spans="1:44" ht="15" customHeight="1" x14ac:dyDescent="0.3">
      <c r="A515" s="2">
        <v>5.14</v>
      </c>
      <c r="B515" s="1">
        <f t="shared" ref="B515:B578" si="124">10^(-A515)</f>
        <v>7.2443596007498957E-6</v>
      </c>
      <c r="C515" s="1">
        <f t="shared" ref="C515:C578" si="125">Kw/B515</f>
        <v>1.3941881072489145E-9</v>
      </c>
      <c r="D515" s="1">
        <f t="shared" ref="D515:D578" si="126">((WASB_Ca*WASB_Va)-(WASB_Cb*H515))/(WASB_Va+H515)</f>
        <v>1.8374767475311166E-2</v>
      </c>
      <c r="E515" s="1">
        <f t="shared" ref="E515:E578" si="127">(WASB_Ca*H515)/(WASB_Va+H515)</f>
        <v>2.7087208744813924E-4</v>
      </c>
      <c r="F515" s="1">
        <f t="shared" ref="F515:F578" si="128">WASB_Ka/(B515+WASB_Ka)</f>
        <v>6.901488036818261E-2</v>
      </c>
      <c r="G515" s="1">
        <f t="shared" ref="G515:G578" si="129">(F515-((B515-C515)/WASB_Ca)) / (1 + ((B515-C515)/WASB_Cb))</f>
        <v>6.8647759964039726E-2</v>
      </c>
      <c r="H515" s="1">
        <f t="shared" si="123"/>
        <v>0.68647759964039723</v>
      </c>
      <c r="J515" s="2">
        <v>9.1300000000000008</v>
      </c>
      <c r="K515" s="1">
        <v>7.413102413009137E-10</v>
      </c>
      <c r="L515" s="1">
        <v>1.362452511417577E-5</v>
      </c>
      <c r="M515" s="1">
        <v>9.3530555404133499E-6</v>
      </c>
      <c r="N515" s="1">
        <v>3.3317744907432642E-3</v>
      </c>
      <c r="O515" s="1">
        <v>0.9986215185694729</v>
      </c>
      <c r="P515" s="1">
        <v>0.99943886915045532</v>
      </c>
      <c r="Q515" s="2">
        <v>9.9943886915045521</v>
      </c>
      <c r="S515" s="2">
        <v>5.14</v>
      </c>
      <c r="T515" s="1">
        <f t="shared" ref="T515:T578" si="130">10^-S515</f>
        <v>7.2443596007498957E-6</v>
      </c>
      <c r="U515" s="1">
        <f t="shared" ref="U515:U578" si="131">Kw/T515</f>
        <v>1.3941881072489145E-9</v>
      </c>
      <c r="V515" s="1">
        <f t="shared" ref="V515:V578" si="132">((SAWB_Cb*SAWB_Vb)-(SAWB_Ca*Z515))/(Z515+SAWB_Vb)</f>
        <v>1.9299170984057323E-2</v>
      </c>
      <c r="W515" s="1">
        <f t="shared" ref="W515:W578" si="133">(SAWB_Cb*Z515)/(Z515+SAWB_Vb)</f>
        <v>2.6900276338647559E-2</v>
      </c>
      <c r="X515" s="1">
        <f t="shared" ref="X515:X578" si="134">T515/(T515+SAWB_Ka)</f>
        <v>0.73588937163551549</v>
      </c>
      <c r="Y515" s="1">
        <f t="shared" ref="Y515:Y578" si="135">(X515+((T515-U515)/SAWB_Cb))/(1-((T515-U515)/SAWB_Ca))</f>
        <v>0.73598845498425969</v>
      </c>
      <c r="Z515" s="1">
        <f t="shared" ref="Z515:Z578" si="136">(Y515*SAWB_Cb*SAWB_Vb)/SAWB_Ca</f>
        <v>36.799422749212987</v>
      </c>
      <c r="AB515">
        <v>6.45</v>
      </c>
      <c r="AC515">
        <v>3.5481338923357463E-7</v>
      </c>
      <c r="AD515">
        <v>2.8465667605771049E-8</v>
      </c>
      <c r="AE515">
        <v>8.3007753795979744E-2</v>
      </c>
      <c r="AF515">
        <v>5.6640820680067512E-3</v>
      </c>
      <c r="AG515">
        <v>0.1200797960799842</v>
      </c>
      <c r="AH515">
        <v>0.12008325550168468</v>
      </c>
      <c r="AI515">
        <v>6.0041627750842341</v>
      </c>
      <c r="AJ515"/>
      <c r="AK515"/>
      <c r="AL515"/>
      <c r="AM515"/>
      <c r="AN515"/>
      <c r="AO515"/>
      <c r="AP515"/>
      <c r="AQ515"/>
      <c r="AR515"/>
    </row>
    <row r="516" spans="1:44" ht="15" customHeight="1" x14ac:dyDescent="0.3">
      <c r="A516" s="2">
        <v>5.15</v>
      </c>
      <c r="B516" s="1">
        <f t="shared" si="124"/>
        <v>7.0794578438413623E-6</v>
      </c>
      <c r="C516" s="1">
        <f t="shared" si="125"/>
        <v>1.4266629200689851E-9</v>
      </c>
      <c r="D516" s="1">
        <f t="shared" si="126"/>
        <v>1.8339688751331591E-2</v>
      </c>
      <c r="E516" s="1">
        <f t="shared" si="127"/>
        <v>2.7671854144473455E-4</v>
      </c>
      <c r="F516" s="1">
        <f t="shared" si="128"/>
        <v>7.0509095625229751E-2</v>
      </c>
      <c r="G516" s="1">
        <f t="shared" si="129"/>
        <v>7.0150228811114948E-2</v>
      </c>
      <c r="H516" s="1">
        <f t="shared" ref="H516:H579" si="137">G516*(WASB_Va * WASB_Ca)/WASB_Cb</f>
        <v>0.70150228811114945</v>
      </c>
      <c r="J516" s="2">
        <v>9.14</v>
      </c>
      <c r="K516" s="1">
        <v>7.2443596007498633E-10</v>
      </c>
      <c r="L516" s="1">
        <v>1.3941881072489208E-5</v>
      </c>
      <c r="M516" s="1">
        <v>8.5131819983802875E-6</v>
      </c>
      <c r="N516" s="1">
        <v>3.3319144696669365E-3</v>
      </c>
      <c r="O516" s="1">
        <v>0.99865285436686491</v>
      </c>
      <c r="P516" s="1">
        <v>0.99948925256095622</v>
      </c>
      <c r="Q516" s="2">
        <v>9.9948925256095613</v>
      </c>
      <c r="S516" s="2">
        <v>5.15</v>
      </c>
      <c r="T516" s="1">
        <f t="shared" si="130"/>
        <v>7.0794578438413623E-6</v>
      </c>
      <c r="U516" s="1">
        <f t="shared" si="131"/>
        <v>1.4266629200689851E-9</v>
      </c>
      <c r="V516" s="1">
        <f t="shared" si="132"/>
        <v>1.9660606764138423E-2</v>
      </c>
      <c r="W516" s="1">
        <f t="shared" si="133"/>
        <v>2.6779797745287191E-2</v>
      </c>
      <c r="X516" s="1">
        <f t="shared" si="134"/>
        <v>0.73138991439956813</v>
      </c>
      <c r="Y516" s="1">
        <f t="shared" si="135"/>
        <v>0.73148658213556117</v>
      </c>
      <c r="Z516" s="1">
        <f t="shared" si="136"/>
        <v>36.574329106778059</v>
      </c>
      <c r="AB516">
        <v>6.46</v>
      </c>
      <c r="AC516">
        <v>3.4673685045253148E-7</v>
      </c>
      <c r="AD516">
        <v>2.9128718181578733E-8</v>
      </c>
      <c r="AE516">
        <v>8.3330071637424077E-2</v>
      </c>
      <c r="AF516">
        <v>5.5566427875253094E-3</v>
      </c>
      <c r="AG516">
        <v>0.11766807422905202</v>
      </c>
      <c r="AH516">
        <v>0.11767143717740164</v>
      </c>
      <c r="AI516">
        <v>5.8835718588700825</v>
      </c>
      <c r="AJ516"/>
      <c r="AK516"/>
      <c r="AL516"/>
      <c r="AM516"/>
      <c r="AN516"/>
      <c r="AO516"/>
      <c r="AP516"/>
      <c r="AQ516"/>
      <c r="AR516"/>
    </row>
    <row r="517" spans="1:44" ht="15" customHeight="1" x14ac:dyDescent="0.3">
      <c r="A517" s="2">
        <v>5.16</v>
      </c>
      <c r="B517" s="1">
        <f t="shared" si="124"/>
        <v>6.9183097091893498E-6</v>
      </c>
      <c r="C517" s="1">
        <f t="shared" si="125"/>
        <v>1.4598941684533898E-9</v>
      </c>
      <c r="D517" s="1">
        <f t="shared" si="126"/>
        <v>1.8303938942680613E-2</v>
      </c>
      <c r="E517" s="1">
        <f t="shared" si="127"/>
        <v>2.8267684288656403E-4</v>
      </c>
      <c r="F517" s="1">
        <f t="shared" si="128"/>
        <v>7.2033158503842745E-2</v>
      </c>
      <c r="G517" s="1">
        <f t="shared" si="129"/>
        <v>7.1682357852055206E-2</v>
      </c>
      <c r="H517" s="1">
        <f t="shared" si="137"/>
        <v>0.71682357852055201</v>
      </c>
      <c r="J517" s="2">
        <v>9.15</v>
      </c>
      <c r="K517" s="1">
        <v>7.079457843841369E-10</v>
      </c>
      <c r="L517" s="1">
        <v>1.4266629200689838E-5</v>
      </c>
      <c r="M517" s="1">
        <v>7.6777838323153616E-6</v>
      </c>
      <c r="N517" s="1">
        <v>3.3320537026946141E-3</v>
      </c>
      <c r="O517" s="1">
        <v>0.99868347877442065</v>
      </c>
      <c r="P517" s="1">
        <v>0.99953936833636459</v>
      </c>
      <c r="Q517" s="2">
        <v>9.9953936833636448</v>
      </c>
      <c r="S517" s="2">
        <v>5.16</v>
      </c>
      <c r="T517" s="1">
        <f t="shared" si="130"/>
        <v>6.9183097091893498E-6</v>
      </c>
      <c r="U517" s="1">
        <f t="shared" si="131"/>
        <v>1.4598941684533898E-9</v>
      </c>
      <c r="V517" s="1">
        <f t="shared" si="132"/>
        <v>2.0027120370428485E-2</v>
      </c>
      <c r="W517" s="1">
        <f t="shared" si="133"/>
        <v>2.6657626543190503E-2</v>
      </c>
      <c r="X517" s="1">
        <f t="shared" si="134"/>
        <v>0.72684225672023917</v>
      </c>
      <c r="Y517" s="1">
        <f t="shared" si="135"/>
        <v>0.72693656577364185</v>
      </c>
      <c r="Z517" s="1">
        <f t="shared" si="136"/>
        <v>36.346828288682097</v>
      </c>
      <c r="AB517">
        <v>6.47</v>
      </c>
      <c r="AC517">
        <v>3.3884415613920242E-7</v>
      </c>
      <c r="AD517">
        <v>2.9807213189330507E-8</v>
      </c>
      <c r="AE517">
        <v>8.3647480007149666E-2</v>
      </c>
      <c r="AF517">
        <v>5.450839997616779E-3</v>
      </c>
      <c r="AG517">
        <v>0.11529844324387258</v>
      </c>
      <c r="AH517">
        <v>0.11530171177574469</v>
      </c>
      <c r="AI517">
        <v>5.7650855887872341</v>
      </c>
      <c r="AJ517"/>
      <c r="AK517"/>
      <c r="AL517"/>
      <c r="AM517"/>
      <c r="AN517"/>
      <c r="AO517"/>
      <c r="AP517"/>
      <c r="AQ517"/>
      <c r="AR517"/>
    </row>
    <row r="518" spans="1:44" ht="15" customHeight="1" x14ac:dyDescent="0.3">
      <c r="A518" s="2">
        <v>5.17</v>
      </c>
      <c r="B518" s="1">
        <f t="shared" si="124"/>
        <v>6.7608297539198155E-6</v>
      </c>
      <c r="C518" s="1">
        <f t="shared" si="125"/>
        <v>1.4938994720498899E-9</v>
      </c>
      <c r="D518" s="1">
        <f t="shared" si="126"/>
        <v>1.8267507829172379E-2</v>
      </c>
      <c r="E518" s="1">
        <f t="shared" si="127"/>
        <v>2.8874869513793665E-4</v>
      </c>
      <c r="F518" s="1">
        <f t="shared" si="128"/>
        <v>7.3587556117573519E-2</v>
      </c>
      <c r="G518" s="1">
        <f t="shared" si="129"/>
        <v>7.3244638473741311E-2</v>
      </c>
      <c r="H518" s="1">
        <f t="shared" si="137"/>
        <v>0.73244638473741308</v>
      </c>
      <c r="J518" s="2">
        <v>9.16</v>
      </c>
      <c r="K518" s="1">
        <v>6.9183097091893558E-10</v>
      </c>
      <c r="L518" s="1">
        <v>1.4598941684533887E-5</v>
      </c>
      <c r="M518" s="1">
        <v>6.8464199046826073E-6</v>
      </c>
      <c r="N518" s="1">
        <v>3.3321922633492199E-3</v>
      </c>
      <c r="O518" s="1">
        <v>0.99871340790000296</v>
      </c>
      <c r="P518" s="1">
        <v>0.99958924292787299</v>
      </c>
      <c r="Q518" s="2">
        <v>9.9958924292787295</v>
      </c>
      <c r="S518" s="2">
        <v>5.17</v>
      </c>
      <c r="T518" s="1">
        <f t="shared" si="130"/>
        <v>6.7608297539198155E-6</v>
      </c>
      <c r="U518" s="1">
        <f t="shared" si="131"/>
        <v>1.4938994720498899E-9</v>
      </c>
      <c r="V518" s="1">
        <f t="shared" si="132"/>
        <v>2.0398720693410016E-2</v>
      </c>
      <c r="W518" s="1">
        <f t="shared" si="133"/>
        <v>2.6533759768863331E-2</v>
      </c>
      <c r="X518" s="1">
        <f t="shared" si="134"/>
        <v>0.72224684474031164</v>
      </c>
      <c r="Y518" s="1">
        <f t="shared" si="135"/>
        <v>0.72233885075332094</v>
      </c>
      <c r="Z518" s="1">
        <f t="shared" si="136"/>
        <v>36.116942537666048</v>
      </c>
      <c r="AB518">
        <v>6.48</v>
      </c>
      <c r="AC518">
        <v>3.3113112148259042E-7</v>
      </c>
      <c r="AD518">
        <v>3.0501512376060421E-8</v>
      </c>
      <c r="AE518">
        <v>8.3960008003133718E-2</v>
      </c>
      <c r="AF518">
        <v>5.3466639989554277E-3</v>
      </c>
      <c r="AG518">
        <v>0.11297042259750616</v>
      </c>
      <c r="AH518">
        <v>0.11297359870964131</v>
      </c>
      <c r="AI518">
        <v>5.6486799354820656</v>
      </c>
      <c r="AJ518"/>
      <c r="AK518"/>
      <c r="AL518"/>
      <c r="AM518"/>
      <c r="AN518"/>
      <c r="AO518"/>
      <c r="AP518"/>
      <c r="AQ518"/>
      <c r="AR518"/>
    </row>
    <row r="519" spans="1:44" ht="15" customHeight="1" x14ac:dyDescent="0.3">
      <c r="A519" s="2">
        <v>5.18</v>
      </c>
      <c r="B519" s="1">
        <f t="shared" si="124"/>
        <v>6.6069344800759593E-6</v>
      </c>
      <c r="C519" s="1">
        <f t="shared" si="125"/>
        <v>1.5286968609205703E-9</v>
      </c>
      <c r="D519" s="1">
        <f t="shared" si="126"/>
        <v>1.8230385169521433E-2</v>
      </c>
      <c r="E519" s="1">
        <f t="shared" si="127"/>
        <v>2.9493580507976091E-4</v>
      </c>
      <c r="F519" s="1">
        <f t="shared" si="128"/>
        <v>7.5172778760288411E-2</v>
      </c>
      <c r="G519" s="1">
        <f t="shared" si="129"/>
        <v>7.4837565146271462E-2</v>
      </c>
      <c r="H519" s="1">
        <f t="shared" si="137"/>
        <v>0.74837565146271456</v>
      </c>
      <c r="J519" s="2">
        <v>9.17</v>
      </c>
      <c r="K519" s="1">
        <v>6.7608297539198086E-10</v>
      </c>
      <c r="L519" s="1">
        <v>1.4938994720498914E-5</v>
      </c>
      <c r="M519" s="1">
        <v>6.0186511360572368E-6</v>
      </c>
      <c r="N519" s="1">
        <v>3.3323302248106572E-3</v>
      </c>
      <c r="O519" s="1">
        <v>0.99874265748864466</v>
      </c>
      <c r="P519" s="1">
        <v>0.99963890266502553</v>
      </c>
      <c r="Q519" s="2">
        <v>9.9963890266502542</v>
      </c>
      <c r="S519" s="2">
        <v>5.18</v>
      </c>
      <c r="T519" s="1">
        <f t="shared" si="130"/>
        <v>6.6069344800759593E-6</v>
      </c>
      <c r="U519" s="1">
        <f t="shared" si="131"/>
        <v>1.5286968609205703E-9</v>
      </c>
      <c r="V519" s="1">
        <f t="shared" si="132"/>
        <v>2.0775414131964615E-2</v>
      </c>
      <c r="W519" s="1">
        <f t="shared" si="133"/>
        <v>2.6408195289345134E-2</v>
      </c>
      <c r="X519" s="1">
        <f t="shared" si="134"/>
        <v>0.71760415960095436</v>
      </c>
      <c r="Y519" s="1">
        <f t="shared" si="135"/>
        <v>0.71769391695653462</v>
      </c>
      <c r="Z519" s="1">
        <f t="shared" si="136"/>
        <v>35.884695847826734</v>
      </c>
      <c r="AB519">
        <v>6.49</v>
      </c>
      <c r="AC519">
        <v>3.2359365692962763E-7</v>
      </c>
      <c r="AD519">
        <v>3.1211983868387323E-8</v>
      </c>
      <c r="AE519">
        <v>8.4267686382961726E-2</v>
      </c>
      <c r="AF519">
        <v>5.2441045390127575E-3</v>
      </c>
      <c r="AG519">
        <v>0.11068352681728941</v>
      </c>
      <c r="AH519">
        <v>0.11068661244770468</v>
      </c>
      <c r="AI519">
        <v>5.5343306223852338</v>
      </c>
      <c r="AJ519"/>
      <c r="AK519"/>
      <c r="AL519"/>
      <c r="AM519"/>
      <c r="AN519"/>
      <c r="AO519"/>
      <c r="AP519"/>
      <c r="AQ519"/>
      <c r="AR519"/>
    </row>
    <row r="520" spans="1:44" ht="15" customHeight="1" x14ac:dyDescent="0.3">
      <c r="A520" s="2">
        <v>5.19</v>
      </c>
      <c r="B520" s="1">
        <f t="shared" si="124"/>
        <v>6.456542290346543E-6</v>
      </c>
      <c r="C520" s="1">
        <f t="shared" si="125"/>
        <v>1.564304785101609E-9</v>
      </c>
      <c r="D520" s="1">
        <f t="shared" si="126"/>
        <v>1.8192560707583957E-2</v>
      </c>
      <c r="E520" s="1">
        <f t="shared" si="127"/>
        <v>3.012398820693412E-4</v>
      </c>
      <c r="F520" s="1">
        <f t="shared" si="128"/>
        <v>7.6789319697100331E-2</v>
      </c>
      <c r="G520" s="1">
        <f t="shared" si="129"/>
        <v>7.6461635216101664E-2</v>
      </c>
      <c r="H520" s="1">
        <f t="shared" si="137"/>
        <v>0.76461635216101664</v>
      </c>
      <c r="J520" s="2">
        <v>9.18</v>
      </c>
      <c r="K520" s="1">
        <v>6.6069344800759527E-10</v>
      </c>
      <c r="L520" s="1">
        <v>1.5286968609205717E-5</v>
      </c>
      <c r="M520" s="1">
        <v>5.1940402759084007E-6</v>
      </c>
      <c r="N520" s="1">
        <v>3.332467659954015E-3</v>
      </c>
      <c r="O520" s="1">
        <v>0.99877124293063702</v>
      </c>
      <c r="P520" s="1">
        <v>0.99968837376943742</v>
      </c>
      <c r="Q520" s="2">
        <v>9.9968837376943736</v>
      </c>
      <c r="S520" s="2">
        <v>5.19</v>
      </c>
      <c r="T520" s="1">
        <f t="shared" si="130"/>
        <v>6.456542290346543E-6</v>
      </c>
      <c r="U520" s="1">
        <f t="shared" si="131"/>
        <v>1.564304785101609E-9</v>
      </c>
      <c r="V520" s="1">
        <f t="shared" si="132"/>
        <v>2.1157204518616104E-2</v>
      </c>
      <c r="W520" s="1">
        <f t="shared" si="133"/>
        <v>2.6280931827127967E-2</v>
      </c>
      <c r="X520" s="1">
        <f t="shared" si="134"/>
        <v>0.71291471770949877</v>
      </c>
      <c r="Y520" s="1">
        <f t="shared" si="135"/>
        <v>0.71300227955944551</v>
      </c>
      <c r="Z520" s="1">
        <f t="shared" si="136"/>
        <v>35.650113977972275</v>
      </c>
      <c r="AB520">
        <v>6.5</v>
      </c>
      <c r="AC520">
        <v>3.1622776601683734E-7</v>
      </c>
      <c r="AD520">
        <v>3.1939004367700689E-8</v>
      </c>
      <c r="AE520">
        <v>8.4570547488196104E-2</v>
      </c>
      <c r="AF520">
        <v>5.1431508372679615E-3</v>
      </c>
      <c r="AG520">
        <v>0.10843726601257918</v>
      </c>
      <c r="AH520">
        <v>0.10844026304193614</v>
      </c>
      <c r="AI520">
        <v>5.4220131520968069</v>
      </c>
      <c r="AJ520"/>
      <c r="AK520"/>
      <c r="AL520"/>
      <c r="AM520"/>
      <c r="AN520"/>
      <c r="AO520"/>
      <c r="AP520"/>
      <c r="AQ520"/>
      <c r="AR520"/>
    </row>
    <row r="521" spans="1:44" ht="15" customHeight="1" x14ac:dyDescent="0.3">
      <c r="A521" s="2">
        <v>5.2</v>
      </c>
      <c r="B521" s="1">
        <f t="shared" si="124"/>
        <v>6.3095734448019212E-6</v>
      </c>
      <c r="C521" s="1">
        <f t="shared" si="125"/>
        <v>1.6007421243857275E-9</v>
      </c>
      <c r="D521" s="1">
        <f t="shared" si="126"/>
        <v>1.8154024178892433E-2</v>
      </c>
      <c r="E521" s="1">
        <f t="shared" si="127"/>
        <v>3.0766263685126134E-4</v>
      </c>
      <c r="F521" s="1">
        <f t="shared" si="128"/>
        <v>7.8437674943021812E-2</v>
      </c>
      <c r="G521" s="1">
        <f t="shared" si="129"/>
        <v>7.8117348686856727E-2</v>
      </c>
      <c r="H521" s="1">
        <f t="shared" si="137"/>
        <v>0.78117348686856725</v>
      </c>
      <c r="J521" s="2">
        <v>9.19</v>
      </c>
      <c r="K521" s="1">
        <v>6.4565422903465485E-10</v>
      </c>
      <c r="L521" s="1">
        <v>1.5643047851016077E-5</v>
      </c>
      <c r="M521" s="1">
        <v>4.3721516742852139E-6</v>
      </c>
      <c r="N521" s="1">
        <v>3.3326046413876191E-3</v>
      </c>
      <c r="O521" s="1">
        <v>0.99879917926943917</v>
      </c>
      <c r="P521" s="1">
        <v>0.9997376823684675</v>
      </c>
      <c r="Q521" s="2">
        <v>9.9973768236846752</v>
      </c>
      <c r="S521" s="2">
        <v>5.2</v>
      </c>
      <c r="T521" s="1">
        <f t="shared" si="130"/>
        <v>6.3095734448019212E-6</v>
      </c>
      <c r="U521" s="1">
        <f t="shared" si="131"/>
        <v>1.6007421243857275E-9</v>
      </c>
      <c r="V521" s="1">
        <f t="shared" si="132"/>
        <v>2.1544093045850927E-2</v>
      </c>
      <c r="W521" s="1">
        <f t="shared" si="133"/>
        <v>2.6151968984716358E-2</v>
      </c>
      <c r="X521" s="1">
        <f t="shared" si="134"/>
        <v>0.70817907096137034</v>
      </c>
      <c r="Y521" s="1">
        <f t="shared" si="135"/>
        <v>0.70826448925371954</v>
      </c>
      <c r="Z521" s="1">
        <f t="shared" si="136"/>
        <v>35.413224462685982</v>
      </c>
      <c r="AB521">
        <v>6.51</v>
      </c>
      <c r="AC521">
        <v>3.090295432513585E-7</v>
      </c>
      <c r="AD521">
        <v>3.2682959349892508E-8</v>
      </c>
      <c r="AE521">
        <v>8.4868625169494422E-2</v>
      </c>
      <c r="AF521">
        <v>5.0437916101685291E-3</v>
      </c>
      <c r="AG521">
        <v>0.10623114638635225</v>
      </c>
      <c r="AH521">
        <v>0.10623405663928449</v>
      </c>
      <c r="AI521">
        <v>5.3117028319642241</v>
      </c>
      <c r="AJ521"/>
      <c r="AK521"/>
      <c r="AL521"/>
      <c r="AM521"/>
      <c r="AN521"/>
      <c r="AO521"/>
      <c r="AP521"/>
      <c r="AQ521"/>
      <c r="AR521"/>
    </row>
    <row r="522" spans="1:44" ht="15" customHeight="1" x14ac:dyDescent="0.3">
      <c r="A522" s="2">
        <v>5.21</v>
      </c>
      <c r="B522" s="1">
        <f t="shared" si="124"/>
        <v>6.1659500186148109E-6</v>
      </c>
      <c r="C522" s="1">
        <f t="shared" si="125"/>
        <v>1.638028198332522E-9</v>
      </c>
      <c r="D522" s="1">
        <f t="shared" si="126"/>
        <v>1.8114765317488762E-2</v>
      </c>
      <c r="E522" s="1">
        <f t="shared" si="127"/>
        <v>3.1420578041853976E-4</v>
      </c>
      <c r="F522" s="1">
        <f t="shared" si="128"/>
        <v>8.0118343029019407E-2</v>
      </c>
      <c r="G522" s="1">
        <f t="shared" si="129"/>
        <v>7.9805207987493645E-2</v>
      </c>
      <c r="H522" s="1">
        <f t="shared" si="137"/>
        <v>0.79805207987493643</v>
      </c>
      <c r="J522" s="2">
        <v>9.1999999999999993</v>
      </c>
      <c r="K522" s="1">
        <v>6.309573444801927E-10</v>
      </c>
      <c r="L522" s="1">
        <v>1.6007421243857258E-5</v>
      </c>
      <c r="M522" s="1">
        <v>3.5525510540831509E-6</v>
      </c>
      <c r="N522" s="1">
        <v>3.3327412414909862E-3</v>
      </c>
      <c r="O522" s="1">
        <v>0.9988264812094183</v>
      </c>
      <c r="P522" s="1">
        <v>0.9997868545088574</v>
      </c>
      <c r="Q522" s="2">
        <v>9.9978685450885738</v>
      </c>
      <c r="S522" s="2">
        <v>5.21</v>
      </c>
      <c r="T522" s="1">
        <f t="shared" si="130"/>
        <v>6.1659500186148109E-6</v>
      </c>
      <c r="U522" s="1">
        <f t="shared" si="131"/>
        <v>1.638028198332522E-9</v>
      </c>
      <c r="V522" s="1">
        <f t="shared" si="132"/>
        <v>2.1936078193699884E-2</v>
      </c>
      <c r="W522" s="1">
        <f t="shared" si="133"/>
        <v>2.6021307268766707E-2</v>
      </c>
      <c r="X522" s="1">
        <f t="shared" si="134"/>
        <v>0.70339780691438958</v>
      </c>
      <c r="Y522" s="1">
        <f t="shared" si="135"/>
        <v>0.70348113242019183</v>
      </c>
      <c r="Z522" s="1">
        <f t="shared" si="136"/>
        <v>35.174056621009591</v>
      </c>
      <c r="AB522">
        <v>6.52</v>
      </c>
      <c r="AC522">
        <v>3.0199517204020165E-7</v>
      </c>
      <c r="AD522">
        <v>3.3444243269741692E-8</v>
      </c>
      <c r="AE522">
        <v>8.5161954712575302E-2</v>
      </c>
      <c r="AF522">
        <v>4.9460150958082283E-3</v>
      </c>
      <c r="AG522">
        <v>0.10406467073061626</v>
      </c>
      <c r="AH522">
        <v>0.10406749597701746</v>
      </c>
      <c r="AI522">
        <v>5.2033747988508736</v>
      </c>
      <c r="AJ522"/>
      <c r="AK522"/>
      <c r="AL522"/>
      <c r="AM522"/>
      <c r="AN522"/>
      <c r="AO522"/>
      <c r="AP522"/>
      <c r="AQ522"/>
      <c r="AR522"/>
    </row>
    <row r="523" spans="1:44" ht="15" customHeight="1" x14ac:dyDescent="0.3">
      <c r="A523" s="2">
        <v>5.22</v>
      </c>
      <c r="B523" s="1">
        <f t="shared" si="124"/>
        <v>6.0255958607435782E-6</v>
      </c>
      <c r="C523" s="1">
        <f t="shared" si="125"/>
        <v>1.676182776511936E-9</v>
      </c>
      <c r="D523" s="1">
        <f t="shared" si="126"/>
        <v>1.807477386306033E-2</v>
      </c>
      <c r="E523" s="1">
        <f t="shared" si="127"/>
        <v>3.2087102282327818E-4</v>
      </c>
      <c r="F523" s="1">
        <f t="shared" si="128"/>
        <v>8.1831824755151952E-2</v>
      </c>
      <c r="G523" s="1">
        <f t="shared" si="129"/>
        <v>8.1525717727500807E-2</v>
      </c>
      <c r="H523" s="1">
        <f t="shared" si="137"/>
        <v>0.81525717727500802</v>
      </c>
      <c r="J523" s="2">
        <v>9.2100000000000009</v>
      </c>
      <c r="K523" s="1">
        <v>6.1659500186147947E-10</v>
      </c>
      <c r="L523" s="1">
        <v>1.6380281983325262E-5</v>
      </c>
      <c r="M523" s="1">
        <v>2.7348052839973108E-6</v>
      </c>
      <c r="N523" s="1">
        <v>3.3328775324526672E-3</v>
      </c>
      <c r="O523" s="1">
        <v>0.99885316312341632</v>
      </c>
      <c r="P523" s="1">
        <v>0.99983591617033352</v>
      </c>
      <c r="Q523" s="2">
        <v>9.9983591617033341</v>
      </c>
      <c r="S523" s="2">
        <v>5.22</v>
      </c>
      <c r="T523" s="1">
        <f t="shared" si="130"/>
        <v>6.0255958607435782E-6</v>
      </c>
      <c r="U523" s="1">
        <f t="shared" si="131"/>
        <v>1.676182776511936E-9</v>
      </c>
      <c r="V523" s="1">
        <f t="shared" si="132"/>
        <v>2.2333155658769879E-2</v>
      </c>
      <c r="W523" s="1">
        <f t="shared" si="133"/>
        <v>2.5888948113743371E-2</v>
      </c>
      <c r="X523" s="1">
        <f t="shared" si="134"/>
        <v>0.69857154891373907</v>
      </c>
      <c r="Y523" s="1">
        <f t="shared" si="135"/>
        <v>0.69865283125320998</v>
      </c>
      <c r="Z523" s="1">
        <f t="shared" si="136"/>
        <v>34.9326415626605</v>
      </c>
      <c r="AB523">
        <v>6.53</v>
      </c>
      <c r="AC523">
        <v>2.9512092266663814E-7</v>
      </c>
      <c r="AD523">
        <v>3.4223259770059504E-8</v>
      </c>
      <c r="AE523">
        <v>8.5450572765123897E-2</v>
      </c>
      <c r="AF523">
        <v>4.849809078292037E-3</v>
      </c>
      <c r="AG523">
        <v>0.10193733890562615</v>
      </c>
      <c r="AH523">
        <v>0.10194008086189937</v>
      </c>
      <c r="AI523">
        <v>5.0970040430949686</v>
      </c>
      <c r="AJ523"/>
      <c r="AK523"/>
      <c r="AL523"/>
      <c r="AM523"/>
      <c r="AN523"/>
      <c r="AO523"/>
      <c r="AP523"/>
      <c r="AQ523"/>
      <c r="AR523"/>
    </row>
    <row r="524" spans="1:44" ht="15" customHeight="1" x14ac:dyDescent="0.3">
      <c r="A524" s="2">
        <v>5.23</v>
      </c>
      <c r="B524" s="1">
        <f t="shared" si="124"/>
        <v>5.8884365535558799E-6</v>
      </c>
      <c r="C524" s="1">
        <f t="shared" si="125"/>
        <v>1.7152260889863644E-9</v>
      </c>
      <c r="D524" s="1">
        <f t="shared" si="126"/>
        <v>1.8034039568383349E-2</v>
      </c>
      <c r="E524" s="1">
        <f t="shared" si="127"/>
        <v>3.2766007193610835E-4</v>
      </c>
      <c r="F524" s="1">
        <f t="shared" si="128"/>
        <v>8.3578622930486651E-2</v>
      </c>
      <c r="G524" s="1">
        <f t="shared" si="129"/>
        <v>8.3279384438828166E-2</v>
      </c>
      <c r="H524" s="1">
        <f t="shared" si="137"/>
        <v>0.83279384438828163</v>
      </c>
      <c r="J524" s="2">
        <v>9.2200000000000006</v>
      </c>
      <c r="K524" s="1">
        <v>6.0255958607435515E-10</v>
      </c>
      <c r="L524" s="1">
        <v>1.6761827765119433E-5</v>
      </c>
      <c r="M524" s="1">
        <v>1.9184821518565575E-6</v>
      </c>
      <c r="N524" s="1">
        <v>3.3330135863080244E-3</v>
      </c>
      <c r="O524" s="1">
        <v>0.9988792390601553</v>
      </c>
      <c r="P524" s="1">
        <v>0.9998848932791905</v>
      </c>
      <c r="Q524" s="2">
        <v>9.9988489327919048</v>
      </c>
      <c r="S524" s="2">
        <v>5.23</v>
      </c>
      <c r="T524" s="1">
        <f t="shared" si="130"/>
        <v>5.8884365535558799E-6</v>
      </c>
      <c r="U524" s="1">
        <f t="shared" si="131"/>
        <v>1.7152260889863644E-9</v>
      </c>
      <c r="V524" s="1">
        <f t="shared" si="132"/>
        <v>2.2735318284918909E-2</v>
      </c>
      <c r="W524" s="1">
        <f t="shared" si="133"/>
        <v>2.575489390502703E-2</v>
      </c>
      <c r="X524" s="1">
        <f t="shared" si="134"/>
        <v>0.69370095616596938</v>
      </c>
      <c r="Y524" s="1">
        <f t="shared" si="135"/>
        <v>0.69378024383403381</v>
      </c>
      <c r="Z524" s="1">
        <f t="shared" si="136"/>
        <v>34.689012191701693</v>
      </c>
      <c r="AB524">
        <v>6.54</v>
      </c>
      <c r="AC524">
        <v>2.8840315031266014E-7</v>
      </c>
      <c r="AD524">
        <v>3.5020421895705747E-8</v>
      </c>
      <c r="AE524">
        <v>8.5734517264720311E-2</v>
      </c>
      <c r="AF524">
        <v>4.7551609117598998E-3</v>
      </c>
      <c r="AG524">
        <v>9.9848648302935633E-2</v>
      </c>
      <c r="AH524">
        <v>9.9851308633204891E-2</v>
      </c>
      <c r="AI524">
        <v>4.9925654316602444</v>
      </c>
      <c r="AJ524"/>
      <c r="AK524"/>
      <c r="AL524"/>
      <c r="AM524"/>
      <c r="AN524"/>
      <c r="AO524"/>
      <c r="AP524"/>
      <c r="AQ524"/>
      <c r="AR524"/>
    </row>
    <row r="525" spans="1:44" ht="15" customHeight="1" x14ac:dyDescent="0.3">
      <c r="A525" s="2">
        <v>5.24</v>
      </c>
      <c r="B525" s="1">
        <f t="shared" si="124"/>
        <v>5.7543993733715608E-6</v>
      </c>
      <c r="C525" s="1">
        <f t="shared" si="125"/>
        <v>1.7551788370368717E-9</v>
      </c>
      <c r="D525" s="1">
        <f t="shared" si="126"/>
        <v>1.7992552207077378E-2</v>
      </c>
      <c r="E525" s="1">
        <f t="shared" si="127"/>
        <v>3.3457463215377038E-4</v>
      </c>
      <c r="F525" s="1">
        <f t="shared" si="128"/>
        <v>8.5359242099487365E-2</v>
      </c>
      <c r="G525" s="1">
        <f t="shared" si="129"/>
        <v>8.5066716304243672E-2</v>
      </c>
      <c r="H525" s="1">
        <f t="shared" si="137"/>
        <v>0.85066716304243672</v>
      </c>
      <c r="J525" s="2">
        <v>9.23</v>
      </c>
      <c r="K525" s="1">
        <v>5.8884365535558649E-10</v>
      </c>
      <c r="L525" s="1">
        <v>1.7152260889863689E-5</v>
      </c>
      <c r="M525" s="1">
        <v>1.1031501383583352E-6</v>
      </c>
      <c r="N525" s="1">
        <v>3.3331494749769407E-3</v>
      </c>
      <c r="O525" s="1">
        <v>0.99890472275147857</v>
      </c>
      <c r="P525" s="1">
        <v>0.99993381172185469</v>
      </c>
      <c r="Q525" s="2">
        <v>9.9993381172185458</v>
      </c>
      <c r="S525" s="2">
        <v>5.24</v>
      </c>
      <c r="T525" s="1">
        <f t="shared" si="130"/>
        <v>5.7543993733715608E-6</v>
      </c>
      <c r="U525" s="1">
        <f t="shared" si="131"/>
        <v>1.7551788370368717E-9</v>
      </c>
      <c r="V525" s="1">
        <f t="shared" si="132"/>
        <v>2.3142555995770381E-2</v>
      </c>
      <c r="W525" s="1">
        <f t="shared" si="133"/>
        <v>2.5619148001409877E-2</v>
      </c>
      <c r="X525" s="1">
        <f t="shared" si="134"/>
        <v>0.68878672376052263</v>
      </c>
      <c r="Y525" s="1">
        <f t="shared" si="135"/>
        <v>0.68886406415176527</v>
      </c>
      <c r="Z525" s="1">
        <f t="shared" si="136"/>
        <v>34.443203207588262</v>
      </c>
      <c r="AB525">
        <v>6.55</v>
      </c>
      <c r="AC525">
        <v>2.8183829312644502E-7</v>
      </c>
      <c r="AD525">
        <v>3.5836152312591163E-8</v>
      </c>
      <c r="AE525">
        <v>8.6013827367871276E-2</v>
      </c>
      <c r="AF525">
        <v>4.6620575440429095E-3</v>
      </c>
      <c r="AG525">
        <v>9.7798094292336102E-2</v>
      </c>
      <c r="AH525">
        <v>9.7800674609620872E-2</v>
      </c>
      <c r="AI525">
        <v>4.8900337304810435</v>
      </c>
      <c r="AJ525"/>
      <c r="AK525"/>
      <c r="AL525"/>
      <c r="AM525"/>
      <c r="AN525"/>
      <c r="AO525"/>
      <c r="AP525"/>
      <c r="AQ525"/>
      <c r="AR525"/>
    </row>
    <row r="526" spans="1:44" ht="15" customHeight="1" x14ac:dyDescent="0.3">
      <c r="A526" s="2">
        <v>5.25</v>
      </c>
      <c r="B526" s="1">
        <f t="shared" si="124"/>
        <v>5.6234132519034836E-6</v>
      </c>
      <c r="C526" s="1">
        <f t="shared" si="125"/>
        <v>1.7960622041393141E-9</v>
      </c>
      <c r="D526" s="1">
        <f t="shared" si="126"/>
        <v>1.7950301581674401E-2</v>
      </c>
      <c r="E526" s="1">
        <f t="shared" si="127"/>
        <v>3.4161640305426628E-4</v>
      </c>
      <c r="F526" s="1">
        <f t="shared" si="128"/>
        <v>8.7174188254586921E-2</v>
      </c>
      <c r="G526" s="1">
        <f t="shared" si="129"/>
        <v>8.6888222871829165E-2</v>
      </c>
      <c r="H526" s="1">
        <f t="shared" si="137"/>
        <v>0.86888222871829157</v>
      </c>
      <c r="J526" s="2">
        <v>9.24</v>
      </c>
      <c r="K526" s="1">
        <v>5.7543993733715462E-10</v>
      </c>
      <c r="L526" s="1">
        <v>1.7551788370368762E-5</v>
      </c>
      <c r="M526" s="1">
        <v>2.8837819104274165E-7</v>
      </c>
      <c r="N526" s="1">
        <v>3.3332852703014926E-3</v>
      </c>
      <c r="O526" s="1">
        <v>0.99892962761943205</v>
      </c>
      <c r="P526" s="1">
        <v>0.99998269735843448</v>
      </c>
      <c r="Q526" s="2">
        <v>9.9998269735843444</v>
      </c>
      <c r="S526" s="2">
        <v>5.25</v>
      </c>
      <c r="T526" s="1">
        <f t="shared" si="130"/>
        <v>5.6234132519034836E-6</v>
      </c>
      <c r="U526" s="1">
        <f t="shared" si="131"/>
        <v>1.7960622041393141E-9</v>
      </c>
      <c r="V526" s="1">
        <f t="shared" si="132"/>
        <v>2.3554855729268034E-2</v>
      </c>
      <c r="W526" s="1">
        <f t="shared" si="133"/>
        <v>2.5481714756910655E-2</v>
      </c>
      <c r="X526" s="1">
        <f t="shared" si="134"/>
        <v>0.68382958263733429</v>
      </c>
      <c r="Y526" s="1">
        <f t="shared" si="135"/>
        <v>0.68390502207037218</v>
      </c>
      <c r="Z526" s="1">
        <f t="shared" si="136"/>
        <v>34.195251103518608</v>
      </c>
      <c r="AB526">
        <v>6.56</v>
      </c>
      <c r="AC526">
        <v>2.7542287033381632E-7</v>
      </c>
      <c r="AD526">
        <v>3.6670883531780278E-8</v>
      </c>
      <c r="AE526">
        <v>8.628854338021566E-2</v>
      </c>
      <c r="AF526">
        <v>4.570485539928117E-3</v>
      </c>
      <c r="AG526">
        <v>9.5785170652774865E-2</v>
      </c>
      <c r="AH526">
        <v>9.5787672520128514E-2</v>
      </c>
      <c r="AI526">
        <v>4.7893836260064253</v>
      </c>
      <c r="AJ526"/>
      <c r="AK526"/>
      <c r="AL526"/>
      <c r="AM526"/>
      <c r="AN526"/>
      <c r="AO526"/>
      <c r="AP526"/>
      <c r="AQ526"/>
      <c r="AR526"/>
    </row>
    <row r="527" spans="1:44" ht="15" customHeight="1" x14ac:dyDescent="0.3">
      <c r="A527" s="2">
        <v>5.26</v>
      </c>
      <c r="B527" s="1">
        <f t="shared" si="124"/>
        <v>5.4954087385762383E-6</v>
      </c>
      <c r="C527" s="1">
        <f t="shared" si="125"/>
        <v>1.8378978671960855E-9</v>
      </c>
      <c r="D527" s="1">
        <f t="shared" si="126"/>
        <v>1.7907277532005637E-2</v>
      </c>
      <c r="E527" s="1">
        <f t="shared" si="127"/>
        <v>3.4878707799906075E-4</v>
      </c>
      <c r="F527" s="1">
        <f t="shared" si="128"/>
        <v>8.9023968534654788E-2</v>
      </c>
      <c r="G527" s="1">
        <f t="shared" si="129"/>
        <v>8.8744414755327558E-2</v>
      </c>
      <c r="H527" s="1">
        <f t="shared" si="137"/>
        <v>0.8874441475532755</v>
      </c>
      <c r="J527" s="2">
        <v>9.25</v>
      </c>
      <c r="K527" s="1">
        <v>5.6234132519034889E-10</v>
      </c>
      <c r="L527" s="1">
        <v>1.7960622041393124E-5</v>
      </c>
      <c r="M527" s="1">
        <v>-5.2626450163692603E-7</v>
      </c>
      <c r="N527" s="1">
        <v>3.3334210440836057E-3</v>
      </c>
      <c r="O527" s="1">
        <v>0.99895396678319259</v>
      </c>
      <c r="P527" s="1">
        <v>1.0000315760362717</v>
      </c>
      <c r="Q527" s="2">
        <v>10.000315760362716</v>
      </c>
      <c r="S527" s="2">
        <v>5.26</v>
      </c>
      <c r="T527" s="1">
        <f t="shared" si="130"/>
        <v>5.4954087385762383E-6</v>
      </c>
      <c r="U527" s="1">
        <f t="shared" si="131"/>
        <v>1.8378978671960855E-9</v>
      </c>
      <c r="V527" s="1">
        <f t="shared" si="132"/>
        <v>2.3972201374473281E-2</v>
      </c>
      <c r="W527" s="1">
        <f t="shared" si="133"/>
        <v>2.5342599541842238E-2</v>
      </c>
      <c r="X527" s="1">
        <f t="shared" si="134"/>
        <v>0.67883029949921103</v>
      </c>
      <c r="Y527" s="1">
        <f t="shared" si="135"/>
        <v>0.67890388324050122</v>
      </c>
      <c r="Z527" s="1">
        <f t="shared" si="136"/>
        <v>33.945194162025061</v>
      </c>
      <c r="AB527">
        <v>6.57</v>
      </c>
      <c r="AC527">
        <v>2.691534803926908E-7</v>
      </c>
      <c r="AD527">
        <v>3.7525058138814531E-8</v>
      </c>
      <c r="AE527">
        <v>8.6558706687970458E-2</v>
      </c>
      <c r="AF527">
        <v>4.4804311040098459E-3</v>
      </c>
      <c r="AG527">
        <v>9.3809369987363903E-2</v>
      </c>
      <c r="AH527">
        <v>9.3811794918976676E-2</v>
      </c>
      <c r="AI527">
        <v>4.6905897459488344</v>
      </c>
      <c r="AJ527"/>
      <c r="AK527"/>
      <c r="AL527"/>
      <c r="AM527"/>
      <c r="AN527"/>
      <c r="AO527"/>
      <c r="AP527"/>
      <c r="AQ527"/>
      <c r="AR527"/>
    </row>
    <row r="528" spans="1:44" ht="15" customHeight="1" x14ac:dyDescent="0.3">
      <c r="A528" s="2">
        <v>5.27</v>
      </c>
      <c r="B528" s="1">
        <f t="shared" si="124"/>
        <v>5.3703179637025301E-6</v>
      </c>
      <c r="C528" s="1">
        <f t="shared" si="125"/>
        <v>1.8807080080294951E-9</v>
      </c>
      <c r="D528" s="1">
        <f t="shared" si="126"/>
        <v>1.7863469943908496E-2</v>
      </c>
      <c r="E528" s="1">
        <f t="shared" si="127"/>
        <v>3.5608834268191687E-4</v>
      </c>
      <c r="F528" s="1">
        <f t="shared" si="128"/>
        <v>9.0909090909090828E-2</v>
      </c>
      <c r="G528" s="1">
        <f t="shared" si="129"/>
        <v>9.0635803320073677E-2</v>
      </c>
      <c r="H528" s="1">
        <f t="shared" si="137"/>
        <v>0.90635803320073671</v>
      </c>
      <c r="J528" s="2">
        <v>9.26</v>
      </c>
      <c r="K528" s="1">
        <v>5.495408738576243E-10</v>
      </c>
      <c r="L528" s="1">
        <v>1.837897867196084E-5</v>
      </c>
      <c r="M528" s="1">
        <v>-1.3412087362287532E-6</v>
      </c>
      <c r="N528" s="1">
        <v>3.3335568681227049E-3</v>
      </c>
      <c r="O528" s="1">
        <v>0.99897775306584335</v>
      </c>
      <c r="P528" s="1">
        <v>1.0000804736034927</v>
      </c>
      <c r="Q528" s="2">
        <v>10.000804736034926</v>
      </c>
      <c r="S528" s="2">
        <v>5.27</v>
      </c>
      <c r="T528" s="1">
        <f t="shared" si="130"/>
        <v>5.3703179637025301E-6</v>
      </c>
      <c r="U528" s="1">
        <f t="shared" si="131"/>
        <v>1.8807080080294951E-9</v>
      </c>
      <c r="V528" s="1">
        <f t="shared" si="132"/>
        <v>2.4394573710810684E-2</v>
      </c>
      <c r="W528" s="1">
        <f t="shared" si="133"/>
        <v>2.5201808763063101E-2</v>
      </c>
      <c r="X528" s="1">
        <f t="shared" si="134"/>
        <v>0.67378967666778045</v>
      </c>
      <c r="Y528" s="1">
        <f t="shared" si="135"/>
        <v>0.6738614489548761</v>
      </c>
      <c r="Z528" s="1">
        <f t="shared" si="136"/>
        <v>33.693072447743802</v>
      </c>
      <c r="AB528">
        <v>6.58</v>
      </c>
      <c r="AC528">
        <v>2.6302679918953789E-7</v>
      </c>
      <c r="AD528">
        <v>3.8399129028376719E-8</v>
      </c>
      <c r="AE528">
        <v>8.6824359690677214E-2</v>
      </c>
      <c r="AF528">
        <v>4.3918801031075927E-3</v>
      </c>
      <c r="AG528">
        <v>9.187018412261988E-2</v>
      </c>
      <c r="AH528">
        <v>9.1872533584887353E-2</v>
      </c>
      <c r="AI528">
        <v>4.5936266792443678</v>
      </c>
      <c r="AJ528"/>
      <c r="AK528"/>
      <c r="AL528"/>
      <c r="AM528"/>
      <c r="AN528"/>
      <c r="AO528"/>
      <c r="AP528"/>
      <c r="AQ528"/>
      <c r="AR528"/>
    </row>
    <row r="529" spans="1:44" ht="15" customHeight="1" x14ac:dyDescent="0.3">
      <c r="A529" s="2">
        <v>5.28</v>
      </c>
      <c r="B529" s="1">
        <f t="shared" si="124"/>
        <v>5.2480746024977206E-6</v>
      </c>
      <c r="C529" s="1">
        <f t="shared" si="125"/>
        <v>1.9245153251428814E-9</v>
      </c>
      <c r="D529" s="1">
        <f t="shared" si="126"/>
        <v>1.7818868758255845E-2</v>
      </c>
      <c r="E529" s="1">
        <f t="shared" si="127"/>
        <v>3.6352187362402588E-4</v>
      </c>
      <c r="F529" s="1">
        <f t="shared" si="128"/>
        <v>9.283006384728526E-2</v>
      </c>
      <c r="G529" s="1">
        <f t="shared" si="129"/>
        <v>9.2562900354249009E-2</v>
      </c>
      <c r="H529" s="1">
        <f t="shared" si="137"/>
        <v>0.92562900354249</v>
      </c>
      <c r="J529" s="2">
        <v>9.27</v>
      </c>
      <c r="K529" s="1">
        <v>5.3703179637025259E-10</v>
      </c>
      <c r="L529" s="1">
        <v>1.8807080080294966E-5</v>
      </c>
      <c r="M529" s="1">
        <v>-2.1568855202818943E-6</v>
      </c>
      <c r="N529" s="1">
        <v>3.3336928142533801E-3</v>
      </c>
      <c r="O529" s="1">
        <v>0.99900099900099903</v>
      </c>
      <c r="P529" s="1">
        <v>1.0001294159225702</v>
      </c>
      <c r="Q529" s="2">
        <v>10.001294159225701</v>
      </c>
      <c r="S529" s="2">
        <v>5.28</v>
      </c>
      <c r="T529" s="1">
        <f t="shared" si="130"/>
        <v>5.2480746024977206E-6</v>
      </c>
      <c r="U529" s="1">
        <f t="shared" si="131"/>
        <v>1.9245153251428814E-9</v>
      </c>
      <c r="V529" s="1">
        <f t="shared" si="132"/>
        <v>2.4821950349968345E-2</v>
      </c>
      <c r="W529" s="1">
        <f t="shared" si="133"/>
        <v>2.5059349883343882E-2</v>
      </c>
      <c r="X529" s="1">
        <f t="shared" si="134"/>
        <v>0.66870855188194478</v>
      </c>
      <c r="Y529" s="1">
        <f t="shared" si="135"/>
        <v>0.66877855594621438</v>
      </c>
      <c r="Z529" s="1">
        <f t="shared" si="136"/>
        <v>33.438927797310711</v>
      </c>
      <c r="AB529">
        <v>6.59</v>
      </c>
      <c r="AC529">
        <v>2.5703957827688611E-7</v>
      </c>
      <c r="AD529">
        <v>3.9293559644422378E-8</v>
      </c>
      <c r="AE529">
        <v>8.7085545735303069E-2</v>
      </c>
      <c r="AF529">
        <v>4.3048180882323114E-3</v>
      </c>
      <c r="AG529">
        <v>8.9967104492094455E-2</v>
      </c>
      <c r="AH529">
        <v>8.9969379904652147E-2</v>
      </c>
      <c r="AI529">
        <v>4.4984689952326073</v>
      </c>
      <c r="AJ529"/>
      <c r="AK529"/>
      <c r="AL529"/>
      <c r="AM529"/>
      <c r="AN529"/>
      <c r="AO529"/>
      <c r="AP529"/>
      <c r="AQ529"/>
      <c r="AR529"/>
    </row>
    <row r="530" spans="1:44" ht="15" customHeight="1" x14ac:dyDescent="0.3">
      <c r="A530" s="2">
        <v>5.29</v>
      </c>
      <c r="B530" s="1">
        <f t="shared" si="124"/>
        <v>5.1286138399136439E-6</v>
      </c>
      <c r="C530" s="1">
        <f t="shared" si="125"/>
        <v>1.9693430457556274E-9</v>
      </c>
      <c r="D530" s="1">
        <f t="shared" si="126"/>
        <v>1.7773463980308945E-2</v>
      </c>
      <c r="E530" s="1">
        <f t="shared" si="127"/>
        <v>3.7108933661517623E-4</v>
      </c>
      <c r="F530" s="1">
        <f t="shared" si="128"/>
        <v>9.4787395973196131E-2</v>
      </c>
      <c r="G530" s="1">
        <f t="shared" si="129"/>
        <v>9.4526217725213621E-2</v>
      </c>
      <c r="H530" s="1">
        <f t="shared" si="137"/>
        <v>0.94526217725213613</v>
      </c>
      <c r="J530" s="2">
        <v>9.2799999999999994</v>
      </c>
      <c r="K530" s="1">
        <v>5.2480746024977249E-10</v>
      </c>
      <c r="L530" s="1">
        <v>1.9245153251428799E-5</v>
      </c>
      <c r="M530" s="1">
        <v>-2.973726298570081E-6</v>
      </c>
      <c r="N530" s="1">
        <v>3.3338289543830956E-3</v>
      </c>
      <c r="O530" s="1">
        <v>0.99902371683928703</v>
      </c>
      <c r="P530" s="1">
        <v>1.0001784288839008</v>
      </c>
      <c r="Q530" s="2">
        <v>10.001784288839008</v>
      </c>
      <c r="S530" s="2">
        <v>5.29</v>
      </c>
      <c r="T530" s="1">
        <f t="shared" si="130"/>
        <v>5.1286138399136439E-6</v>
      </c>
      <c r="U530" s="1">
        <f t="shared" si="131"/>
        <v>1.9693430457556274E-9</v>
      </c>
      <c r="V530" s="1">
        <f t="shared" si="132"/>
        <v>2.5254305680660366E-2</v>
      </c>
      <c r="W530" s="1">
        <f t="shared" si="133"/>
        <v>2.4915231439779875E-2</v>
      </c>
      <c r="X530" s="1">
        <f t="shared" si="134"/>
        <v>0.66358779803791423</v>
      </c>
      <c r="Y530" s="1">
        <f t="shared" si="135"/>
        <v>0.66365607612673538</v>
      </c>
      <c r="Z530" s="1">
        <f t="shared" si="136"/>
        <v>33.182803806336771</v>
      </c>
      <c r="AB530">
        <v>6.6</v>
      </c>
      <c r="AC530">
        <v>2.511886431509578E-7</v>
      </c>
      <c r="AD530">
        <v>4.0208824225903253E-8</v>
      </c>
      <c r="AE530">
        <v>8.7342309051744449E-2</v>
      </c>
      <c r="AF530">
        <v>4.2192303160851858E-3</v>
      </c>
      <c r="AG530">
        <v>8.8099622504584488E-2</v>
      </c>
      <c r="AH530">
        <v>8.8101825241309425E-2</v>
      </c>
      <c r="AI530">
        <v>4.4050912620654712</v>
      </c>
      <c r="AJ530"/>
      <c r="AK530"/>
      <c r="AL530"/>
      <c r="AM530"/>
      <c r="AN530"/>
      <c r="AO530"/>
      <c r="AP530"/>
      <c r="AQ530"/>
      <c r="AR530"/>
    </row>
    <row r="531" spans="1:44" ht="15" customHeight="1" x14ac:dyDescent="0.3">
      <c r="A531" s="2">
        <v>5.3</v>
      </c>
      <c r="B531" s="1">
        <f t="shared" si="124"/>
        <v>5.011872336272719E-6</v>
      </c>
      <c r="C531" s="1">
        <f t="shared" si="125"/>
        <v>2.0152149381185696E-9</v>
      </c>
      <c r="D531" s="1">
        <f t="shared" si="126"/>
        <v>1.7727245689395012E-2</v>
      </c>
      <c r="E531" s="1">
        <f t="shared" si="127"/>
        <v>3.7879238510083119E-4</v>
      </c>
      <c r="F531" s="1">
        <f t="shared" si="128"/>
        <v>9.6781595704819187E-2</v>
      </c>
      <c r="G531" s="1">
        <f t="shared" si="129"/>
        <v>9.6526267020690157E-2</v>
      </c>
      <c r="H531" s="1">
        <f t="shared" si="137"/>
        <v>0.96526267020690149</v>
      </c>
      <c r="J531" s="2">
        <v>9.2899999999999991</v>
      </c>
      <c r="K531" s="1">
        <v>5.128613839913648E-10</v>
      </c>
      <c r="L531" s="1">
        <v>1.9693430457556257E-5</v>
      </c>
      <c r="M531" s="1">
        <v>-3.792163179677536E-6</v>
      </c>
      <c r="N531" s="1">
        <v>3.3339653605299461E-3</v>
      </c>
      <c r="O531" s="1">
        <v>0.99904591855468527</v>
      </c>
      <c r="P531" s="1">
        <v>1.0002275384194088</v>
      </c>
      <c r="Q531" s="2">
        <v>10.002275384194087</v>
      </c>
      <c r="S531" s="2">
        <v>5.3</v>
      </c>
      <c r="T531" s="1">
        <f t="shared" si="130"/>
        <v>5.011872336272719E-6</v>
      </c>
      <c r="U531" s="1">
        <f t="shared" si="131"/>
        <v>2.0152149381185696E-9</v>
      </c>
      <c r="V531" s="1">
        <f t="shared" si="132"/>
        <v>2.5691610816460691E-2</v>
      </c>
      <c r="W531" s="1">
        <f t="shared" si="133"/>
        <v>2.4769463061179772E-2</v>
      </c>
      <c r="X531" s="1">
        <f t="shared" si="134"/>
        <v>0.65842832287001629</v>
      </c>
      <c r="Y531" s="1">
        <f t="shared" si="135"/>
        <v>0.65849491626845769</v>
      </c>
      <c r="Z531" s="1">
        <f t="shared" si="136"/>
        <v>32.924745813422881</v>
      </c>
      <c r="AB531">
        <v>6.61</v>
      </c>
      <c r="AC531">
        <v>2.454708915685024E-7</v>
      </c>
      <c r="AD531">
        <v>4.1145408058215489E-8</v>
      </c>
      <c r="AE531">
        <v>8.759469468977725E-2</v>
      </c>
      <c r="AF531">
        <v>4.135101770074253E-3</v>
      </c>
      <c r="AG531">
        <v>8.6267229897119782E-2</v>
      </c>
      <c r="AH531">
        <v>8.6269361287099666E-2</v>
      </c>
      <c r="AI531">
        <v>4.313468064354983</v>
      </c>
      <c r="AJ531"/>
      <c r="AK531"/>
      <c r="AL531"/>
      <c r="AM531"/>
      <c r="AN531"/>
      <c r="AO531"/>
      <c r="AP531"/>
      <c r="AQ531"/>
      <c r="AR531"/>
    </row>
    <row r="532" spans="1:44" ht="15" customHeight="1" x14ac:dyDescent="0.3">
      <c r="A532" s="2">
        <v>5.31</v>
      </c>
      <c r="B532" s="1">
        <f t="shared" si="124"/>
        <v>4.8977881936844583E-6</v>
      </c>
      <c r="C532" s="1">
        <f t="shared" si="125"/>
        <v>2.0621553241162262E-9</v>
      </c>
      <c r="D532" s="1">
        <f t="shared" si="126"/>
        <v>1.7680204048909649E-2</v>
      </c>
      <c r="E532" s="1">
        <f t="shared" si="127"/>
        <v>3.8663265851505871E-4</v>
      </c>
      <c r="F532" s="1">
        <f t="shared" si="128"/>
        <v>9.8813170878332315E-2</v>
      </c>
      <c r="G532" s="1">
        <f t="shared" si="129"/>
        <v>9.8563559174583454E-2</v>
      </c>
      <c r="H532" s="1">
        <f t="shared" si="137"/>
        <v>0.98563559174583448</v>
      </c>
      <c r="J532" s="2">
        <v>9.3000000000000007</v>
      </c>
      <c r="K532" s="1">
        <v>5.011872336272705E-10</v>
      </c>
      <c r="L532" s="1">
        <v>2.0152149381185755E-5</v>
      </c>
      <c r="M532" s="1">
        <v>-4.6126291630098947E-6</v>
      </c>
      <c r="N532" s="1">
        <v>3.3341021048605012E-3</v>
      </c>
      <c r="O532" s="1">
        <v>0.99906761585072035</v>
      </c>
      <c r="P532" s="1">
        <v>1.0002767705161781</v>
      </c>
      <c r="Q532" s="2">
        <v>10.00276770516178</v>
      </c>
      <c r="S532" s="2">
        <v>5.31</v>
      </c>
      <c r="T532" s="1">
        <f t="shared" si="130"/>
        <v>4.8977881936844583E-6</v>
      </c>
      <c r="U532" s="1">
        <f t="shared" si="131"/>
        <v>2.0621553241162262E-9</v>
      </c>
      <c r="V532" s="1">
        <f t="shared" si="132"/>
        <v>2.6133833546914325E-2</v>
      </c>
      <c r="W532" s="1">
        <f t="shared" si="133"/>
        <v>2.4622055484361891E-2</v>
      </c>
      <c r="X532" s="1">
        <f t="shared" si="134"/>
        <v>0.6532310685716578</v>
      </c>
      <c r="Y532" s="1">
        <f t="shared" si="135"/>
        <v>0.65329601762366263</v>
      </c>
      <c r="Z532" s="1">
        <f t="shared" si="136"/>
        <v>32.664800881183133</v>
      </c>
      <c r="AB532">
        <v>6.62</v>
      </c>
      <c r="AC532">
        <v>2.3988329190194845E-7</v>
      </c>
      <c r="AD532">
        <v>4.2103807730503977E-8</v>
      </c>
      <c r="AE532">
        <v>8.7842748457490294E-2</v>
      </c>
      <c r="AF532">
        <v>4.0524171808365688E-3</v>
      </c>
      <c r="AG532">
        <v>8.4469419072954924E-2</v>
      </c>
      <c r="AH532">
        <v>8.4471480401425741E-2</v>
      </c>
      <c r="AI532">
        <v>4.223574020071287</v>
      </c>
      <c r="AJ532"/>
      <c r="AK532"/>
      <c r="AL532"/>
      <c r="AM532"/>
      <c r="AN532"/>
      <c r="AO532"/>
      <c r="AP532"/>
      <c r="AQ532"/>
      <c r="AR532"/>
    </row>
    <row r="533" spans="1:44" ht="15" customHeight="1" x14ac:dyDescent="0.3">
      <c r="A533" s="2">
        <v>5.32</v>
      </c>
      <c r="B533" s="1">
        <f t="shared" si="124"/>
        <v>4.7863009232263716E-6</v>
      </c>
      <c r="C533" s="1">
        <f t="shared" si="125"/>
        <v>2.1101890921625851E-9</v>
      </c>
      <c r="D533" s="1">
        <f t="shared" si="126"/>
        <v>1.7632329316643627E-2</v>
      </c>
      <c r="E533" s="1">
        <f t="shared" si="127"/>
        <v>3.946117805593955E-4</v>
      </c>
      <c r="F533" s="1">
        <f t="shared" si="128"/>
        <v>0.10088262835672351</v>
      </c>
      <c r="G533" s="1">
        <f t="shared" si="129"/>
        <v>0.10063860407724558</v>
      </c>
      <c r="H533" s="1">
        <f t="shared" si="137"/>
        <v>1.0063860407724556</v>
      </c>
      <c r="J533" s="2">
        <v>9.31</v>
      </c>
      <c r="K533" s="1">
        <v>4.8977881936844456E-10</v>
      </c>
      <c r="L533" s="1">
        <v>2.0621553241162315E-5</v>
      </c>
      <c r="M533" s="1">
        <v>-5.4355583663518228E-6</v>
      </c>
      <c r="N533" s="1">
        <v>3.3342392597277251E-3</v>
      </c>
      <c r="O533" s="1">
        <v>0.99908882016652878</v>
      </c>
      <c r="P533" s="1">
        <v>1.0003261512301216</v>
      </c>
      <c r="Q533" s="2">
        <v>10.003261512301215</v>
      </c>
      <c r="S533" s="2">
        <v>5.32</v>
      </c>
      <c r="T533" s="1">
        <f t="shared" si="130"/>
        <v>4.7863009232263716E-6</v>
      </c>
      <c r="U533" s="1">
        <f t="shared" si="131"/>
        <v>2.1101890921625851E-9</v>
      </c>
      <c r="V533" s="1">
        <f t="shared" si="132"/>
        <v>2.6580938292134079E-2</v>
      </c>
      <c r="W533" s="1">
        <f t="shared" si="133"/>
        <v>2.4473020569288639E-2</v>
      </c>
      <c r="X533" s="1">
        <f t="shared" si="134"/>
        <v>0.64799701135594845</v>
      </c>
      <c r="Y533" s="1">
        <f t="shared" si="135"/>
        <v>0.64806035548502905</v>
      </c>
      <c r="Z533" s="1">
        <f t="shared" si="136"/>
        <v>32.403017774251452</v>
      </c>
      <c r="AB533">
        <v>6.63</v>
      </c>
      <c r="AC533">
        <v>2.3442288153199206E-7</v>
      </c>
      <c r="AD533">
        <v>4.308453139896088E-8</v>
      </c>
      <c r="AE533">
        <v>8.8086516861235586E-2</v>
      </c>
      <c r="AF533">
        <v>3.9711610462548046E-3</v>
      </c>
      <c r="AG533">
        <v>8.2705683424799198E-2</v>
      </c>
      <c r="AH533">
        <v>8.2707675934051816E-2</v>
      </c>
      <c r="AI533">
        <v>4.135383796702591</v>
      </c>
      <c r="AJ533"/>
      <c r="AK533"/>
      <c r="AL533"/>
      <c r="AM533"/>
      <c r="AN533"/>
      <c r="AO533"/>
      <c r="AP533"/>
      <c r="AQ533"/>
      <c r="AR533"/>
    </row>
    <row r="534" spans="1:44" ht="15" customHeight="1" x14ac:dyDescent="0.3">
      <c r="A534" s="2">
        <v>5.33</v>
      </c>
      <c r="B534" s="1">
        <f t="shared" si="124"/>
        <v>4.6773514128719787E-6</v>
      </c>
      <c r="C534" s="1">
        <f t="shared" si="125"/>
        <v>2.1593417103972556E-9</v>
      </c>
      <c r="D534" s="1">
        <f t="shared" si="126"/>
        <v>1.7583611855433008E-2</v>
      </c>
      <c r="E534" s="1">
        <f t="shared" si="127"/>
        <v>4.0273135742783232E-4</v>
      </c>
      <c r="F534" s="1">
        <f t="shared" si="128"/>
        <v>0.10299047362272698</v>
      </c>
      <c r="G534" s="1">
        <f t="shared" si="129"/>
        <v>0.10275191017001166</v>
      </c>
      <c r="H534" s="1">
        <f t="shared" si="137"/>
        <v>1.0275191017001166</v>
      </c>
      <c r="J534" s="2">
        <v>9.32</v>
      </c>
      <c r="K534" s="1">
        <v>4.7863009232263674E-10</v>
      </c>
      <c r="L534" s="1">
        <v>2.1101890921625868E-5</v>
      </c>
      <c r="M534" s="1">
        <v>-6.261386254166892E-6</v>
      </c>
      <c r="N534" s="1">
        <v>3.3343768977090273E-3</v>
      </c>
      <c r="O534" s="1">
        <v>0.99910954268278573</v>
      </c>
      <c r="P534" s="1">
        <v>1.0003757066996977</v>
      </c>
      <c r="Q534" s="2">
        <v>10.003757066996975</v>
      </c>
      <c r="S534" s="2">
        <v>5.33</v>
      </c>
      <c r="T534" s="1">
        <f t="shared" si="130"/>
        <v>4.6773514128719787E-6</v>
      </c>
      <c r="U534" s="1">
        <f t="shared" si="131"/>
        <v>2.1593417103972556E-9</v>
      </c>
      <c r="V534" s="1">
        <f t="shared" si="132"/>
        <v>2.7032886061085781E-2</v>
      </c>
      <c r="W534" s="1">
        <f t="shared" si="133"/>
        <v>2.4322371312971405E-2</v>
      </c>
      <c r="X534" s="1">
        <f t="shared" si="134"/>
        <v>0.64272716095567528</v>
      </c>
      <c r="Y534" s="1">
        <f t="shared" si="135"/>
        <v>0.64278893868513476</v>
      </c>
      <c r="Z534" s="1">
        <f t="shared" si="136"/>
        <v>32.139446934256732</v>
      </c>
      <c r="AB534">
        <v>6.64</v>
      </c>
      <c r="AC534">
        <v>2.2908676527677716E-7</v>
      </c>
      <c r="AD534">
        <v>4.4088099056256784E-8</v>
      </c>
      <c r="AE534">
        <v>8.8326047047122366E-2</v>
      </c>
      <c r="AF534">
        <v>3.8913176509592106E-3</v>
      </c>
      <c r="AG534">
        <v>8.0975517643540704E-2</v>
      </c>
      <c r="AH534">
        <v>8.0977442533797225E-2</v>
      </c>
      <c r="AI534">
        <v>4.0488721266898606</v>
      </c>
      <c r="AJ534"/>
      <c r="AK534"/>
      <c r="AL534"/>
      <c r="AM534"/>
      <c r="AN534"/>
      <c r="AO534"/>
      <c r="AP534"/>
      <c r="AQ534"/>
      <c r="AR534"/>
    </row>
    <row r="535" spans="1:44" ht="15" customHeight="1" x14ac:dyDescent="0.3">
      <c r="A535" s="2">
        <v>5.34</v>
      </c>
      <c r="B535" s="1">
        <f t="shared" si="124"/>
        <v>4.5708818961487476E-6</v>
      </c>
      <c r="C535" s="1">
        <f t="shared" si="125"/>
        <v>2.2096392401890494E-9</v>
      </c>
      <c r="D535" s="1">
        <f t="shared" si="126"/>
        <v>1.7534042144130495E-2</v>
      </c>
      <c r="E535" s="1">
        <f t="shared" si="127"/>
        <v>4.109929759782508E-4</v>
      </c>
      <c r="F535" s="1">
        <f t="shared" si="128"/>
        <v>0.10513721035591966</v>
      </c>
      <c r="G535" s="1">
        <f t="shared" si="129"/>
        <v>0.10490398402385974</v>
      </c>
      <c r="H535" s="1">
        <f t="shared" si="137"/>
        <v>1.0490398402385974</v>
      </c>
      <c r="J535" s="2">
        <v>9.33</v>
      </c>
      <c r="K535" s="1">
        <v>4.6773514128719668E-10</v>
      </c>
      <c r="L535" s="1">
        <v>2.1593417103972612E-5</v>
      </c>
      <c r="M535" s="1">
        <v>-7.0905498666242306E-6</v>
      </c>
      <c r="N535" s="1">
        <v>3.3345150916444374E-3</v>
      </c>
      <c r="O535" s="1">
        <v>0.99912979432750038</v>
      </c>
      <c r="P535" s="1">
        <v>1.000425463159675</v>
      </c>
      <c r="Q535" s="2">
        <v>10.00425463159675</v>
      </c>
      <c r="S535" s="2">
        <v>5.34</v>
      </c>
      <c r="T535" s="1">
        <f t="shared" si="130"/>
        <v>4.5708818961487476E-6</v>
      </c>
      <c r="U535" s="1">
        <f t="shared" si="131"/>
        <v>2.2096392401890494E-9</v>
      </c>
      <c r="V535" s="1">
        <f t="shared" si="132"/>
        <v>2.7489634413765757E-2</v>
      </c>
      <c r="W535" s="1">
        <f t="shared" si="133"/>
        <v>2.4170121862078082E-2</v>
      </c>
      <c r="X535" s="1">
        <f t="shared" si="134"/>
        <v>0.63742256006246911</v>
      </c>
      <c r="Y535" s="1">
        <f t="shared" si="135"/>
        <v>0.63748280903515775</v>
      </c>
      <c r="Z535" s="1">
        <f t="shared" si="136"/>
        <v>31.874140451757889</v>
      </c>
      <c r="AB535">
        <v>6.65</v>
      </c>
      <c r="AC535">
        <v>2.2387211385683346E-7</v>
      </c>
      <c r="AD535">
        <v>4.511504280724737E-8</v>
      </c>
      <c r="AE535">
        <v>8.8561386744078374E-2</v>
      </c>
      <c r="AF535">
        <v>3.812871085307206E-3</v>
      </c>
      <c r="AG535">
        <v>7.9278418012729973E-2</v>
      </c>
      <c r="AH535">
        <v>7.9280276442990516E-2</v>
      </c>
      <c r="AI535">
        <v>3.9640138221495262</v>
      </c>
      <c r="AJ535"/>
      <c r="AK535"/>
      <c r="AL535"/>
      <c r="AM535"/>
      <c r="AN535"/>
      <c r="AO535"/>
      <c r="AP535"/>
      <c r="AQ535"/>
      <c r="AR535"/>
    </row>
    <row r="536" spans="1:44" ht="15" customHeight="1" x14ac:dyDescent="0.3">
      <c r="A536" s="2">
        <v>5.35</v>
      </c>
      <c r="B536" s="1">
        <f t="shared" si="124"/>
        <v>4.4668359215096296E-6</v>
      </c>
      <c r="C536" s="1">
        <f t="shared" si="125"/>
        <v>2.2611083499540238E-9</v>
      </c>
      <c r="D536" s="1">
        <f t="shared" si="126"/>
        <v>1.7483610788895532E-2</v>
      </c>
      <c r="E536" s="1">
        <f t="shared" si="127"/>
        <v>4.1939820185074469E-4</v>
      </c>
      <c r="F536" s="1">
        <f t="shared" si="128"/>
        <v>0.10732333999384591</v>
      </c>
      <c r="G536" s="1">
        <f t="shared" si="129"/>
        <v>0.10709532990206305</v>
      </c>
      <c r="H536" s="1">
        <f t="shared" si="137"/>
        <v>1.0709532990206305</v>
      </c>
      <c r="J536" s="2">
        <v>9.34</v>
      </c>
      <c r="K536" s="1">
        <v>4.5708818961487362E-10</v>
      </c>
      <c r="L536" s="1">
        <v>2.2096392401890546E-5</v>
      </c>
      <c r="M536" s="1">
        <v>-7.9234880496323751E-6</v>
      </c>
      <c r="N536" s="1">
        <v>3.3346539146749386E-3</v>
      </c>
      <c r="O536" s="1">
        <v>0.999149585781687</v>
      </c>
      <c r="P536" s="1">
        <v>1.0004754469549606</v>
      </c>
      <c r="Q536" s="2">
        <v>10.004754469549605</v>
      </c>
      <c r="S536" s="2">
        <v>5.35</v>
      </c>
      <c r="T536" s="1">
        <f t="shared" si="130"/>
        <v>4.4668359215096296E-6</v>
      </c>
      <c r="U536" s="1">
        <f t="shared" si="131"/>
        <v>2.2611083499540238E-9</v>
      </c>
      <c r="V536" s="1">
        <f t="shared" si="132"/>
        <v>2.7951137427466705E-2</v>
      </c>
      <c r="W536" s="1">
        <f t="shared" si="133"/>
        <v>2.4016287524177768E-2</v>
      </c>
      <c r="X536" s="1">
        <f t="shared" si="134"/>
        <v>0.63208428370520542</v>
      </c>
      <c r="Y536" s="1">
        <f t="shared" si="135"/>
        <v>0.63214304070282612</v>
      </c>
      <c r="Z536" s="1">
        <f t="shared" si="136"/>
        <v>31.607152035141304</v>
      </c>
      <c r="AB536">
        <v>6.66</v>
      </c>
      <c r="AC536">
        <v>2.1877616239495479E-7</v>
      </c>
      <c r="AD536">
        <v>4.616590715110247E-8</v>
      </c>
      <c r="AE536">
        <v>8.8792584208496908E-2</v>
      </c>
      <c r="AF536">
        <v>3.7358052638343619E-3</v>
      </c>
      <c r="AG536">
        <v>7.7613882689100452E-2</v>
      </c>
      <c r="AH536">
        <v>7.7615675777960913E-2</v>
      </c>
      <c r="AI536">
        <v>3.8807837888980456</v>
      </c>
      <c r="AJ536"/>
      <c r="AK536"/>
      <c r="AL536"/>
      <c r="AM536"/>
      <c r="AN536"/>
      <c r="AO536"/>
      <c r="AP536"/>
      <c r="AQ536"/>
      <c r="AR536"/>
    </row>
    <row r="537" spans="1:44" ht="15" customHeight="1" x14ac:dyDescent="0.3">
      <c r="A537" s="2">
        <v>5.36</v>
      </c>
      <c r="B537" s="1">
        <f t="shared" si="124"/>
        <v>4.3651583224016507E-6</v>
      </c>
      <c r="C537" s="1">
        <f t="shared" si="125"/>
        <v>2.3137763292954554E-9</v>
      </c>
      <c r="D537" s="1">
        <f t="shared" si="126"/>
        <v>1.7432308534799341E-2</v>
      </c>
      <c r="E537" s="1">
        <f t="shared" si="127"/>
        <v>4.2794857753344288E-4</v>
      </c>
      <c r="F537" s="1">
        <f t="shared" si="128"/>
        <v>0.10954936127707542</v>
      </c>
      <c r="G537" s="1">
        <f t="shared" si="129"/>
        <v>0.10932644930674081</v>
      </c>
      <c r="H537" s="1">
        <f t="shared" si="137"/>
        <v>1.093264493067408</v>
      </c>
      <c r="J537" s="2">
        <v>9.35</v>
      </c>
      <c r="K537" s="1">
        <v>4.4668359215096336E-10</v>
      </c>
      <c r="L537" s="1">
        <v>2.2611083499540216E-5</v>
      </c>
      <c r="M537" s="1">
        <v>-8.7606416858090426E-6</v>
      </c>
      <c r="N537" s="1">
        <v>3.3347934402809679E-3</v>
      </c>
      <c r="O537" s="1">
        <v>0.9991689274849066</v>
      </c>
      <c r="P537" s="1">
        <v>1.0005256845544888</v>
      </c>
      <c r="Q537" s="2">
        <v>10.005256845544887</v>
      </c>
      <c r="S537" s="2">
        <v>5.36</v>
      </c>
      <c r="T537" s="1">
        <f t="shared" si="130"/>
        <v>4.3651583224016507E-6</v>
      </c>
      <c r="U537" s="1">
        <f t="shared" si="131"/>
        <v>2.3137763292954554E-9</v>
      </c>
      <c r="V537" s="1">
        <f t="shared" si="132"/>
        <v>2.8417345667327586E-2</v>
      </c>
      <c r="W537" s="1">
        <f t="shared" si="133"/>
        <v>2.3860884777557472E-2</v>
      </c>
      <c r="X537" s="1">
        <f t="shared" si="134"/>
        <v>0.62671343856782624</v>
      </c>
      <c r="Y537" s="1">
        <f t="shared" si="135"/>
        <v>0.62677073952979989</v>
      </c>
      <c r="Z537" s="1">
        <f t="shared" si="136"/>
        <v>31.338536976489991</v>
      </c>
      <c r="AB537">
        <v>6.67</v>
      </c>
      <c r="AC537">
        <v>2.1379620895022279E-7</v>
      </c>
      <c r="AD537">
        <v>4.7241249270007107E-8</v>
      </c>
      <c r="AE537">
        <v>8.901968817048389E-2</v>
      </c>
      <c r="AF537">
        <v>3.6601039431720345E-3</v>
      </c>
      <c r="AG537">
        <v>7.59814119694142E-2</v>
      </c>
      <c r="AH537">
        <v>7.5983140795855761E-2</v>
      </c>
      <c r="AI537">
        <v>3.7991570397927878</v>
      </c>
      <c r="AJ537"/>
      <c r="AK537"/>
      <c r="AL537"/>
      <c r="AM537"/>
      <c r="AN537"/>
      <c r="AO537"/>
      <c r="AP537"/>
      <c r="AQ537"/>
      <c r="AR537"/>
    </row>
    <row r="538" spans="1:44" ht="15" customHeight="1" x14ac:dyDescent="0.3">
      <c r="A538" s="2">
        <v>5.37</v>
      </c>
      <c r="B538" s="1">
        <f t="shared" si="124"/>
        <v>4.2657951880159181E-6</v>
      </c>
      <c r="C538" s="1">
        <f t="shared" si="125"/>
        <v>2.3676711034731257E-9</v>
      </c>
      <c r="D538" s="1">
        <f t="shared" si="126"/>
        <v>1.7380126277740663E-2</v>
      </c>
      <c r="E538" s="1">
        <f t="shared" si="127"/>
        <v>4.3664562037655627E-4</v>
      </c>
      <c r="F538" s="1">
        <f t="shared" si="128"/>
        <v>0.11181576977811709</v>
      </c>
      <c r="G538" s="1">
        <f t="shared" si="129"/>
        <v>0.11159784050923093</v>
      </c>
      <c r="H538" s="1">
        <f t="shared" si="137"/>
        <v>1.1159784050923092</v>
      </c>
      <c r="J538" s="2">
        <v>9.36</v>
      </c>
      <c r="K538" s="1">
        <v>4.3651583224016624E-10</v>
      </c>
      <c r="L538" s="1">
        <v>2.3137763292954493E-5</v>
      </c>
      <c r="M538" s="1">
        <v>-9.6024539266670324E-6</v>
      </c>
      <c r="N538" s="1">
        <v>3.3349337423211108E-3</v>
      </c>
      <c r="O538" s="1">
        <v>0.9991878296406882</v>
      </c>
      <c r="P538" s="1">
        <v>1.0005762025651859</v>
      </c>
      <c r="Q538" s="2">
        <v>10.005762025651858</v>
      </c>
      <c r="S538" s="2">
        <v>5.37</v>
      </c>
      <c r="T538" s="1">
        <f t="shared" si="130"/>
        <v>4.2657951880159181E-6</v>
      </c>
      <c r="U538" s="1">
        <f t="shared" si="131"/>
        <v>2.3676711034731257E-9</v>
      </c>
      <c r="V538" s="1">
        <f t="shared" si="132"/>
        <v>2.888820616135521E-2</v>
      </c>
      <c r="W538" s="1">
        <f t="shared" si="133"/>
        <v>2.3703931279548264E-2</v>
      </c>
      <c r="X538" s="1">
        <f t="shared" si="134"/>
        <v>0.62131116224698368</v>
      </c>
      <c r="Y538" s="1">
        <f t="shared" si="135"/>
        <v>0.62136704228888384</v>
      </c>
      <c r="Z538" s="1">
        <f t="shared" si="136"/>
        <v>31.068352114444195</v>
      </c>
      <c r="AB538">
        <v>6.68</v>
      </c>
      <c r="AC538">
        <v>2.089296130854039E-7</v>
      </c>
      <c r="AD538">
        <v>4.8341639324586477E-8</v>
      </c>
      <c r="AE538">
        <v>8.9242747781715176E-2</v>
      </c>
      <c r="AF538">
        <v>3.5857507394282772E-3</v>
      </c>
      <c r="AG538">
        <v>7.4380508543932508E-2</v>
      </c>
      <c r="AH538">
        <v>7.4382174148083263E-2</v>
      </c>
      <c r="AI538">
        <v>3.7191087074041631</v>
      </c>
      <c r="AJ538"/>
      <c r="AK538"/>
      <c r="AL538"/>
      <c r="AM538"/>
      <c r="AN538"/>
      <c r="AO538"/>
      <c r="AP538"/>
      <c r="AQ538"/>
      <c r="AR538"/>
    </row>
    <row r="539" spans="1:44" ht="15" customHeight="1" x14ac:dyDescent="0.3">
      <c r="A539" s="2">
        <v>5.38</v>
      </c>
      <c r="B539" s="1">
        <f t="shared" si="124"/>
        <v>4.168693834703354E-6</v>
      </c>
      <c r="C539" s="1">
        <f t="shared" si="125"/>
        <v>2.4228212482096851E-9</v>
      </c>
      <c r="D539" s="1">
        <f t="shared" si="126"/>
        <v>1.7327055076666625E-2</v>
      </c>
      <c r="E539" s="1">
        <f t="shared" si="127"/>
        <v>4.4549082055556273E-4</v>
      </c>
      <c r="F539" s="1">
        <f t="shared" si="128"/>
        <v>0.11412305741415042</v>
      </c>
      <c r="G539" s="1">
        <f t="shared" si="129"/>
        <v>0.11390999806424688</v>
      </c>
      <c r="H539" s="1">
        <f t="shared" si="137"/>
        <v>1.1390999806424689</v>
      </c>
      <c r="J539" s="2">
        <v>9.3699999999999992</v>
      </c>
      <c r="K539" s="1">
        <v>4.2657951880159295E-10</v>
      </c>
      <c r="L539" s="1">
        <v>2.3676711034731197E-5</v>
      </c>
      <c r="M539" s="1">
        <v>-1.0449370426074184E-5</v>
      </c>
      <c r="N539" s="1">
        <v>3.335074895071012E-3</v>
      </c>
      <c r="O539" s="1">
        <v>0.99920630222183071</v>
      </c>
      <c r="P539" s="1">
        <v>1.0006270277460163</v>
      </c>
      <c r="Q539" s="2">
        <v>10.006270277460162</v>
      </c>
      <c r="S539" s="2">
        <v>5.38</v>
      </c>
      <c r="T539" s="1">
        <f t="shared" si="130"/>
        <v>4.168693834703354E-6</v>
      </c>
      <c r="U539" s="1">
        <f t="shared" si="131"/>
        <v>2.4228212482096851E-9</v>
      </c>
      <c r="V539" s="1">
        <f t="shared" si="132"/>
        <v>2.9363662380100648E-2</v>
      </c>
      <c r="W539" s="1">
        <f t="shared" si="133"/>
        <v>2.3545445873299785E-2</v>
      </c>
      <c r="X539" s="1">
        <f t="shared" si="134"/>
        <v>0.61587862245006564</v>
      </c>
      <c r="Y539" s="1">
        <f t="shared" si="135"/>
        <v>0.6159331158816348</v>
      </c>
      <c r="Z539" s="1">
        <f t="shared" si="136"/>
        <v>30.79665579408174</v>
      </c>
      <c r="AB539">
        <v>6.69</v>
      </c>
      <c r="AC539">
        <v>2.0417379446695257E-7</v>
      </c>
      <c r="AD539">
        <v>4.9467660756213149E-8</v>
      </c>
      <c r="AE539">
        <v>8.9461812564910537E-2</v>
      </c>
      <c r="AF539">
        <v>3.5127291450298215E-3</v>
      </c>
      <c r="AG539">
        <v>7.2810677736814142E-2</v>
      </c>
      <c r="AH539">
        <v>7.2812281120683733E-2</v>
      </c>
      <c r="AI539">
        <v>3.6406140560341864</v>
      </c>
      <c r="AJ539"/>
      <c r="AK539"/>
      <c r="AL539"/>
      <c r="AM539"/>
      <c r="AN539"/>
      <c r="AO539"/>
      <c r="AP539"/>
      <c r="AQ539"/>
      <c r="AR539"/>
    </row>
    <row r="540" spans="1:44" ht="15" customHeight="1" x14ac:dyDescent="0.3">
      <c r="A540" s="2">
        <v>5.39</v>
      </c>
      <c r="B540" s="1">
        <f t="shared" si="124"/>
        <v>4.0738027780411272E-6</v>
      </c>
      <c r="C540" s="1">
        <f t="shared" si="125"/>
        <v>2.4792560048418806E-9</v>
      </c>
      <c r="D540" s="1">
        <f t="shared" si="126"/>
        <v>1.7273086166092539E-2</v>
      </c>
      <c r="E540" s="1">
        <f t="shared" si="127"/>
        <v>4.5448563898457621E-4</v>
      </c>
      <c r="F540" s="1">
        <f t="shared" si="128"/>
        <v>0.11647171194356069</v>
      </c>
      <c r="G540" s="1">
        <f t="shared" si="129"/>
        <v>0.11626341230780608</v>
      </c>
      <c r="H540" s="1">
        <f t="shared" si="137"/>
        <v>1.1626341230780608</v>
      </c>
      <c r="J540" s="2">
        <v>9.3800000000000008</v>
      </c>
      <c r="K540" s="1">
        <v>4.1686938347033427E-10</v>
      </c>
      <c r="L540" s="1">
        <v>2.4228212482096919E-5</v>
      </c>
      <c r="M540" s="1">
        <v>-1.1301839575067496E-5</v>
      </c>
      <c r="N540" s="1">
        <v>3.3352169732625112E-3</v>
      </c>
      <c r="O540" s="1">
        <v>0.99922435497558493</v>
      </c>
      <c r="P540" s="1">
        <v>1.0006781870221133</v>
      </c>
      <c r="Q540" s="2">
        <v>10.006781870221133</v>
      </c>
      <c r="S540" s="2">
        <v>5.39</v>
      </c>
      <c r="T540" s="1">
        <f t="shared" si="130"/>
        <v>4.0738027780411272E-6</v>
      </c>
      <c r="U540" s="1">
        <f t="shared" si="131"/>
        <v>2.4792560048418806E-9</v>
      </c>
      <c r="V540" s="1">
        <f t="shared" si="132"/>
        <v>2.9843654221165257E-2</v>
      </c>
      <c r="W540" s="1">
        <f t="shared" si="133"/>
        <v>2.3385448592944915E-2</v>
      </c>
      <c r="X540" s="1">
        <f t="shared" si="134"/>
        <v>0.61041701613436905</v>
      </c>
      <c r="Y540" s="1">
        <f t="shared" si="135"/>
        <v>0.61047015647712721</v>
      </c>
      <c r="Z540" s="1">
        <f t="shared" si="136"/>
        <v>30.523507823856363</v>
      </c>
      <c r="AB540">
        <v>6.7</v>
      </c>
      <c r="AC540">
        <v>1.9952623149688761E-7</v>
      </c>
      <c r="AD540">
        <v>5.0619910596354589E-8</v>
      </c>
      <c r="AE540">
        <v>8.9676932364926992E-2</v>
      </c>
      <c r="AF540">
        <v>3.4410225450243366E-3</v>
      </c>
      <c r="AG540">
        <v>7.127142773375704E-2</v>
      </c>
      <c r="AH540">
        <v>7.1272969861944646E-2</v>
      </c>
      <c r="AI540">
        <v>3.5636484930972321</v>
      </c>
      <c r="AJ540"/>
      <c r="AK540"/>
      <c r="AL540"/>
      <c r="AM540"/>
      <c r="AN540"/>
      <c r="AO540"/>
      <c r="AP540"/>
      <c r="AQ540"/>
      <c r="AR540"/>
    </row>
    <row r="541" spans="1:44" ht="15" customHeight="1" x14ac:dyDescent="0.3">
      <c r="A541" s="2">
        <v>5.4</v>
      </c>
      <c r="B541" s="1">
        <f t="shared" si="124"/>
        <v>3.9810717055349657E-6</v>
      </c>
      <c r="C541" s="1">
        <f t="shared" si="125"/>
        <v>2.53700529582468E-9</v>
      </c>
      <c r="D541" s="1">
        <f t="shared" si="126"/>
        <v>1.7218210968913236E-2</v>
      </c>
      <c r="E541" s="1">
        <f t="shared" si="127"/>
        <v>4.636315051811268E-4</v>
      </c>
      <c r="F541" s="1">
        <f t="shared" si="128"/>
        <v>0.11886221644630186</v>
      </c>
      <c r="G541" s="1">
        <f t="shared" si="129"/>
        <v>0.11865856883895384</v>
      </c>
      <c r="H541" s="1">
        <f t="shared" si="137"/>
        <v>1.1865856883895383</v>
      </c>
      <c r="J541" s="2">
        <v>9.39</v>
      </c>
      <c r="K541" s="1">
        <v>4.073802778041116E-10</v>
      </c>
      <c r="L541" s="1">
        <v>2.4792560048418874E-5</v>
      </c>
      <c r="M541" s="1">
        <v>-1.2160312738245628E-5</v>
      </c>
      <c r="N541" s="1">
        <v>3.3353600521230406E-3</v>
      </c>
      <c r="O541" s="1">
        <v>0.99924199742872311</v>
      </c>
      <c r="P541" s="1">
        <v>1.0007297074990087</v>
      </c>
      <c r="Q541" s="2">
        <v>10.007297074990086</v>
      </c>
      <c r="S541" s="2">
        <v>5.4</v>
      </c>
      <c r="T541" s="1">
        <f t="shared" si="130"/>
        <v>3.9810717055349657E-6</v>
      </c>
      <c r="U541" s="1">
        <f t="shared" si="131"/>
        <v>2.53700529582468E-9</v>
      </c>
      <c r="V541" s="1">
        <f t="shared" si="132"/>
        <v>3.0328117998704281E-2</v>
      </c>
      <c r="W541" s="1">
        <f t="shared" si="133"/>
        <v>2.3223960667098576E-2</v>
      </c>
      <c r="X541" s="1">
        <f t="shared" si="134"/>
        <v>0.60492756858836716</v>
      </c>
      <c r="Y541" s="1">
        <f t="shared" si="135"/>
        <v>0.60497938859282185</v>
      </c>
      <c r="Z541" s="1">
        <f t="shared" si="136"/>
        <v>30.248969429641093</v>
      </c>
      <c r="AB541">
        <v>6.71</v>
      </c>
      <c r="AC541">
        <v>1.9498445997580421E-7</v>
      </c>
      <c r="AD541">
        <v>5.1798999783127934E-8</v>
      </c>
      <c r="AE541">
        <v>8.9888157301470997E-2</v>
      </c>
      <c r="AF541">
        <v>3.3706142328429997E-3</v>
      </c>
      <c r="AG541">
        <v>6.9762269797196713E-2</v>
      </c>
      <c r="AH541">
        <v>6.9763751597573032E-2</v>
      </c>
      <c r="AI541">
        <v>3.4881875798786512</v>
      </c>
      <c r="AJ541"/>
      <c r="AK541"/>
      <c r="AL541"/>
      <c r="AM541"/>
      <c r="AN541"/>
      <c r="AO541"/>
      <c r="AP541"/>
      <c r="AQ541"/>
      <c r="AR541"/>
    </row>
    <row r="542" spans="1:44" ht="15" customHeight="1" x14ac:dyDescent="0.3">
      <c r="A542" s="2">
        <v>5.41</v>
      </c>
      <c r="B542" s="1">
        <f t="shared" si="124"/>
        <v>3.8904514499428E-6</v>
      </c>
      <c r="C542" s="1">
        <f t="shared" si="125"/>
        <v>2.5960997405965563E-9</v>
      </c>
      <c r="D542" s="1">
        <f t="shared" si="126"/>
        <v>1.7162421109497422E-2</v>
      </c>
      <c r="E542" s="1">
        <f t="shared" si="127"/>
        <v>4.729298150837631E-4</v>
      </c>
      <c r="F542" s="1">
        <f t="shared" si="128"/>
        <v>0.12129504878814865</v>
      </c>
      <c r="G542" s="1">
        <f t="shared" si="129"/>
        <v>0.12109594798534591</v>
      </c>
      <c r="H542" s="1">
        <f t="shared" si="137"/>
        <v>1.2109594798534591</v>
      </c>
      <c r="J542" s="2">
        <v>9.4</v>
      </c>
      <c r="K542" s="1">
        <v>3.9810717055349621E-10</v>
      </c>
      <c r="L542" s="1">
        <v>2.5370052958246823E-5</v>
      </c>
      <c r="M542" s="1">
        <v>-1.3025244491738131E-5</v>
      </c>
      <c r="N542" s="1">
        <v>3.3355042074152894E-3</v>
      </c>
      <c r="O542" s="1">
        <v>0.99925923889249435</v>
      </c>
      <c r="P542" s="1">
        <v>1.0007816164769614</v>
      </c>
      <c r="Q542" s="2">
        <v>10.007816164769613</v>
      </c>
      <c r="S542" s="2">
        <v>5.41</v>
      </c>
      <c r="T542" s="1">
        <f t="shared" si="130"/>
        <v>3.8904514499428E-6</v>
      </c>
      <c r="U542" s="1">
        <f t="shared" si="131"/>
        <v>2.5960997405965563E-9</v>
      </c>
      <c r="V542" s="1">
        <f t="shared" si="132"/>
        <v>3.0816986438086603E-2</v>
      </c>
      <c r="W542" s="1">
        <f t="shared" si="133"/>
        <v>2.30610045206378E-2</v>
      </c>
      <c r="X542" s="1">
        <f t="shared" si="134"/>
        <v>0.59941153245620327</v>
      </c>
      <c r="Y542" s="1">
        <f t="shared" si="135"/>
        <v>0.59946206411867142</v>
      </c>
      <c r="Z542" s="1">
        <f t="shared" si="136"/>
        <v>29.973103205933572</v>
      </c>
      <c r="AB542">
        <v>6.72</v>
      </c>
      <c r="AC542">
        <v>1.9054607179632443E-7</v>
      </c>
      <c r="AD542">
        <v>5.300555348522711E-8</v>
      </c>
      <c r="AE542">
        <v>9.0095537723425378E-2</v>
      </c>
      <c r="AF542">
        <v>3.301487425524875E-3</v>
      </c>
      <c r="AG542">
        <v>6.8282718469387785E-2</v>
      </c>
      <c r="AH542">
        <v>6.8284140833751505E-2</v>
      </c>
      <c r="AI542">
        <v>3.4142070416875749</v>
      </c>
      <c r="AJ542"/>
      <c r="AK542"/>
      <c r="AL542"/>
      <c r="AM542"/>
      <c r="AN542"/>
      <c r="AO542"/>
      <c r="AP542"/>
      <c r="AQ542"/>
      <c r="AR542"/>
    </row>
    <row r="543" spans="1:44" ht="15" customHeight="1" x14ac:dyDescent="0.3">
      <c r="A543" s="2">
        <v>5.42</v>
      </c>
      <c r="B543" s="1">
        <f t="shared" si="124"/>
        <v>3.8018939632056064E-6</v>
      </c>
      <c r="C543" s="1">
        <f t="shared" si="125"/>
        <v>2.6565706718143396E-9</v>
      </c>
      <c r="D543" s="1">
        <f t="shared" si="126"/>
        <v>1.7105708427055666E-2</v>
      </c>
      <c r="E543" s="1">
        <f t="shared" si="127"/>
        <v>4.8238192882405531E-4</v>
      </c>
      <c r="F543" s="1">
        <f t="shared" si="128"/>
        <v>0.12377068106893553</v>
      </c>
      <c r="G543" s="1">
        <f t="shared" si="129"/>
        <v>0.12357602425278723</v>
      </c>
      <c r="H543" s="1">
        <f t="shared" si="137"/>
        <v>1.2357602425278722</v>
      </c>
      <c r="J543" s="2">
        <v>9.41</v>
      </c>
      <c r="K543" s="1">
        <v>3.8904514499427963E-10</v>
      </c>
      <c r="L543" s="1">
        <v>2.5960997405965588E-5</v>
      </c>
      <c r="M543" s="1">
        <v>-1.3897092862971665E-5</v>
      </c>
      <c r="N543" s="1">
        <v>3.3356495154771618E-3</v>
      </c>
      <c r="O543" s="1">
        <v>0.99927608846747118</v>
      </c>
      <c r="P543" s="1">
        <v>1.0008339414653982</v>
      </c>
      <c r="Q543" s="2">
        <v>10.008339414653982</v>
      </c>
      <c r="S543" s="2">
        <v>5.42</v>
      </c>
      <c r="T543" s="1">
        <f t="shared" si="130"/>
        <v>3.8018939632056064E-6</v>
      </c>
      <c r="U543" s="1">
        <f t="shared" si="131"/>
        <v>2.6565706718143396E-9</v>
      </c>
      <c r="V543" s="1">
        <f t="shared" si="132"/>
        <v>3.13101886758601E-2</v>
      </c>
      <c r="W543" s="1">
        <f t="shared" si="133"/>
        <v>2.2896603774713298E-2</v>
      </c>
      <c r="X543" s="1">
        <f t="shared" si="134"/>
        <v>0.59387018670673086</v>
      </c>
      <c r="Y543" s="1">
        <f t="shared" si="135"/>
        <v>0.59391946128578355</v>
      </c>
      <c r="Z543" s="1">
        <f t="shared" si="136"/>
        <v>29.695973064289181</v>
      </c>
      <c r="AB543">
        <v>6.73</v>
      </c>
      <c r="AC543">
        <v>1.8620871366628614E-7</v>
      </c>
      <c r="AD543">
        <v>5.4240211433395696E-8</v>
      </c>
      <c r="AE543">
        <v>9.0299124164784098E-2</v>
      </c>
      <c r="AF543">
        <v>3.2336252784052988E-3</v>
      </c>
      <c r="AG543">
        <v>6.6832291763691973E-2</v>
      </c>
      <c r="AH543">
        <v>6.6833655548401413E-2</v>
      </c>
      <c r="AI543">
        <v>3.3416827774200706</v>
      </c>
      <c r="AJ543"/>
      <c r="AK543"/>
      <c r="AL543"/>
      <c r="AM543"/>
      <c r="AN543"/>
      <c r="AO543"/>
      <c r="AP543"/>
      <c r="AQ543"/>
      <c r="AR543"/>
    </row>
    <row r="544" spans="1:44" ht="15" customHeight="1" x14ac:dyDescent="0.3">
      <c r="A544" s="2">
        <v>5.43</v>
      </c>
      <c r="B544" s="1">
        <f t="shared" si="124"/>
        <v>3.7153522909717272E-6</v>
      </c>
      <c r="C544" s="1">
        <f t="shared" si="125"/>
        <v>2.7184501519661834E-9</v>
      </c>
      <c r="D544" s="1">
        <f t="shared" si="126"/>
        <v>1.704806498927142E-2</v>
      </c>
      <c r="E544" s="1">
        <f t="shared" si="127"/>
        <v>4.9198916845476367E-4</v>
      </c>
      <c r="F544" s="1">
        <f t="shared" si="128"/>
        <v>0.1262895790549185</v>
      </c>
      <c r="G544" s="1">
        <f t="shared" si="129"/>
        <v>0.1260992657588639</v>
      </c>
      <c r="H544" s="1">
        <f t="shared" si="137"/>
        <v>1.260992657588639</v>
      </c>
      <c r="J544" s="2">
        <v>9.42</v>
      </c>
      <c r="K544" s="1">
        <v>3.801893963205603E-10</v>
      </c>
      <c r="L544" s="1">
        <v>2.6565706718143418E-5</v>
      </c>
      <c r="M544" s="1">
        <v>-1.4776319572316369E-5</v>
      </c>
      <c r="N544" s="1">
        <v>3.3357960532620526E-3</v>
      </c>
      <c r="O544" s="1">
        <v>0.99929255504828718</v>
      </c>
      <c r="P544" s="1">
        <v>1.0008867101974714</v>
      </c>
      <c r="Q544" s="2">
        <v>10.008867101974714</v>
      </c>
      <c r="S544" s="2">
        <v>5.43</v>
      </c>
      <c r="T544" s="1">
        <f t="shared" si="130"/>
        <v>3.7153522909717272E-6</v>
      </c>
      <c r="U544" s="1">
        <f t="shared" si="131"/>
        <v>2.7184501519661834E-9</v>
      </c>
      <c r="V544" s="1">
        <f t="shared" si="132"/>
        <v>3.1807650265160158E-2</v>
      </c>
      <c r="W544" s="1">
        <f t="shared" si="133"/>
        <v>2.2730783244946613E-2</v>
      </c>
      <c r="X544" s="1">
        <f t="shared" si="134"/>
        <v>0.58830483554862067</v>
      </c>
      <c r="Y544" s="1">
        <f t="shared" si="135"/>
        <v>0.58835288358115856</v>
      </c>
      <c r="Z544" s="1">
        <f t="shared" si="136"/>
        <v>29.417644179057927</v>
      </c>
      <c r="AB544">
        <v>6.74</v>
      </c>
      <c r="AC544">
        <v>1.8197008586099811E-7</v>
      </c>
      <c r="AD544">
        <v>5.550362825962015E-8</v>
      </c>
      <c r="AE544">
        <v>9.0498967302185263E-2</v>
      </c>
      <c r="AF544">
        <v>3.1670108992715817E-3</v>
      </c>
      <c r="AG544">
        <v>6.5410511344402095E-2</v>
      </c>
      <c r="AH544">
        <v>6.5411817370982256E-2</v>
      </c>
      <c r="AI544">
        <v>3.270590868549113</v>
      </c>
      <c r="AJ544"/>
      <c r="AK544"/>
      <c r="AL544"/>
      <c r="AM544"/>
      <c r="AN544"/>
      <c r="AO544"/>
      <c r="AP544"/>
      <c r="AQ544"/>
      <c r="AR544"/>
    </row>
    <row r="545" spans="1:44" ht="15" customHeight="1" x14ac:dyDescent="0.3">
      <c r="A545" s="2">
        <v>5.44</v>
      </c>
      <c r="B545" s="1">
        <f t="shared" si="124"/>
        <v>3.6307805477010082E-6</v>
      </c>
      <c r="C545" s="1">
        <f t="shared" si="125"/>
        <v>2.7817709903715518E-9</v>
      </c>
      <c r="D545" s="1">
        <f t="shared" si="126"/>
        <v>1.69894831061831E-2</v>
      </c>
      <c r="E545" s="1">
        <f t="shared" si="127"/>
        <v>5.0175281563614993E-4</v>
      </c>
      <c r="F545" s="1">
        <f t="shared" si="128"/>
        <v>0.12885220159544455</v>
      </c>
      <c r="G545" s="1">
        <f t="shared" si="129"/>
        <v>0.12866613365085414</v>
      </c>
      <c r="H545" s="1">
        <f t="shared" si="137"/>
        <v>1.2866613365085413</v>
      </c>
      <c r="J545" s="2">
        <v>9.43</v>
      </c>
      <c r="K545" s="1">
        <v>3.7153522909717169E-10</v>
      </c>
      <c r="L545" s="1">
        <v>2.7184501519661909E-5</v>
      </c>
      <c r="M545" s="1">
        <v>-1.5663390276736092E-5</v>
      </c>
      <c r="N545" s="1">
        <v>3.3359438983794555E-3</v>
      </c>
      <c r="O545" s="1">
        <v>0.99930864732827107</v>
      </c>
      <c r="P545" s="1">
        <v>1.0009399506447421</v>
      </c>
      <c r="Q545" s="2">
        <v>10.009399506447419</v>
      </c>
      <c r="S545" s="2">
        <v>5.44</v>
      </c>
      <c r="T545" s="1">
        <f t="shared" si="130"/>
        <v>3.6307805477010082E-6</v>
      </c>
      <c r="U545" s="1">
        <f t="shared" si="131"/>
        <v>2.7817709903715518E-9</v>
      </c>
      <c r="V545" s="1">
        <f t="shared" si="132"/>
        <v>3.2309293186689278E-2</v>
      </c>
      <c r="W545" s="1">
        <f t="shared" si="133"/>
        <v>2.2563568937770236E-2</v>
      </c>
      <c r="X545" s="1">
        <f t="shared" si="134"/>
        <v>0.58271680729321618</v>
      </c>
      <c r="Y545" s="1">
        <f t="shared" si="135"/>
        <v>0.58276365861018609</v>
      </c>
      <c r="Z545" s="1">
        <f t="shared" si="136"/>
        <v>29.138182930509306</v>
      </c>
      <c r="AB545">
        <v>6.75</v>
      </c>
      <c r="AC545">
        <v>1.7782794100389206E-7</v>
      </c>
      <c r="AD545">
        <v>5.6796473844225327E-8</v>
      </c>
      <c r="AE545">
        <v>9.0695117914029788E-2</v>
      </c>
      <c r="AF545">
        <v>3.101627361990066E-3</v>
      </c>
      <c r="AG545">
        <v>6.4016902695429728E-2</v>
      </c>
      <c r="AH545">
        <v>6.401815175115548E-2</v>
      </c>
      <c r="AI545">
        <v>3.2009075875577739</v>
      </c>
      <c r="AJ545"/>
      <c r="AK545"/>
      <c r="AL545"/>
      <c r="AM545"/>
      <c r="AN545"/>
      <c r="AO545"/>
      <c r="AP545"/>
      <c r="AQ545"/>
      <c r="AR545"/>
    </row>
    <row r="546" spans="1:44" ht="15" customHeight="1" x14ac:dyDescent="0.3">
      <c r="A546" s="2">
        <v>5.45</v>
      </c>
      <c r="B546" s="1">
        <f t="shared" si="124"/>
        <v>3.5481338923357504E-6</v>
      </c>
      <c r="C546" s="1">
        <f t="shared" si="125"/>
        <v>2.8465667605771016E-9</v>
      </c>
      <c r="D546" s="1">
        <f t="shared" si="126"/>
        <v>1.6929955344304571E-2</v>
      </c>
      <c r="E546" s="1">
        <f t="shared" si="127"/>
        <v>5.1167410928257154E-4</v>
      </c>
      <c r="F546" s="1">
        <f t="shared" si="128"/>
        <v>0.13145900002414834</v>
      </c>
      <c r="G546" s="1">
        <f t="shared" si="129"/>
        <v>0.13127708150813747</v>
      </c>
      <c r="H546" s="1">
        <f t="shared" si="137"/>
        <v>1.3127708150813746</v>
      </c>
      <c r="J546" s="2">
        <v>9.44</v>
      </c>
      <c r="K546" s="1">
        <v>3.6307805477010058E-10</v>
      </c>
      <c r="L546" s="1">
        <v>2.7817709903715539E-5</v>
      </c>
      <c r="M546" s="1">
        <v>-1.6558774815614168E-5</v>
      </c>
      <c r="N546" s="1">
        <v>3.3360931291359355E-3</v>
      </c>
      <c r="O546" s="1">
        <v>0.99932437380397676</v>
      </c>
      <c r="P546" s="1">
        <v>1.0009936910319972</v>
      </c>
      <c r="Q546" s="2">
        <v>10.009936910319972</v>
      </c>
      <c r="S546" s="2">
        <v>5.45</v>
      </c>
      <c r="T546" s="1">
        <f t="shared" si="130"/>
        <v>3.5481338923357504E-6</v>
      </c>
      <c r="U546" s="1">
        <f t="shared" si="131"/>
        <v>2.8465667605771016E-9</v>
      </c>
      <c r="V546" s="1">
        <f t="shared" si="132"/>
        <v>3.2815035865381675E-2</v>
      </c>
      <c r="W546" s="1">
        <f t="shared" si="133"/>
        <v>2.2394988044872773E-2</v>
      </c>
      <c r="X546" s="1">
        <f t="shared" si="134"/>
        <v>0.5771074531670245</v>
      </c>
      <c r="Y546" s="1">
        <f t="shared" si="135"/>
        <v>0.57715313690878634</v>
      </c>
      <c r="Z546" s="1">
        <f t="shared" si="136"/>
        <v>28.857656845439319</v>
      </c>
      <c r="AB546">
        <v>6.76</v>
      </c>
      <c r="AC546">
        <v>1.7378008287493735E-7</v>
      </c>
      <c r="AD546">
        <v>5.8119433671052907E-8</v>
      </c>
      <c r="AE546">
        <v>9.0887626841171021E-2</v>
      </c>
      <c r="AF546">
        <v>3.0374577196096574E-3</v>
      </c>
      <c r="AG546">
        <v>6.2650995278190777E-2</v>
      </c>
      <c r="AH546">
        <v>6.2652188116646579E-2</v>
      </c>
      <c r="AI546">
        <v>3.1326094058323295</v>
      </c>
      <c r="AJ546"/>
      <c r="AK546"/>
      <c r="AL546"/>
      <c r="AM546"/>
      <c r="AN546"/>
      <c r="AO546"/>
      <c r="AP546"/>
      <c r="AQ546"/>
      <c r="AR546"/>
    </row>
    <row r="547" spans="1:44" ht="15" customHeight="1" x14ac:dyDescent="0.3">
      <c r="A547" s="2">
        <v>5.46</v>
      </c>
      <c r="B547" s="1">
        <f t="shared" si="124"/>
        <v>3.4673685045253126E-6</v>
      </c>
      <c r="C547" s="1">
        <f t="shared" si="125"/>
        <v>2.9128718181578749E-9</v>
      </c>
      <c r="D547" s="1">
        <f t="shared" si="126"/>
        <v>1.6869474540969442E-2</v>
      </c>
      <c r="E547" s="1">
        <f t="shared" si="127"/>
        <v>5.2175424317175967E-4</v>
      </c>
      <c r="F547" s="1">
        <f t="shared" si="128"/>
        <v>0.13411041754495617</v>
      </c>
      <c r="G547" s="1">
        <f t="shared" si="129"/>
        <v>0.13393255472938445</v>
      </c>
      <c r="H547" s="1">
        <f t="shared" si="137"/>
        <v>1.3393255472938443</v>
      </c>
      <c r="J547" s="2">
        <v>9.4499999999999993</v>
      </c>
      <c r="K547" s="1">
        <v>3.5481338923357471E-10</v>
      </c>
      <c r="L547" s="1">
        <v>2.8465667605771042E-5</v>
      </c>
      <c r="M547" s="1">
        <v>-1.7462947458770798E-5</v>
      </c>
      <c r="N547" s="1">
        <v>3.3362438245764623E-3</v>
      </c>
      <c r="O547" s="1">
        <v>0.99933974277961191</v>
      </c>
      <c r="P547" s="1">
        <v>1.0010479598522046</v>
      </c>
      <c r="Q547" s="2">
        <v>10.010479598522046</v>
      </c>
      <c r="S547" s="2">
        <v>5.46</v>
      </c>
      <c r="T547" s="1">
        <f t="shared" si="130"/>
        <v>3.4673685045253126E-6</v>
      </c>
      <c r="U547" s="1">
        <f t="shared" si="131"/>
        <v>2.9128718181578749E-9</v>
      </c>
      <c r="V547" s="1">
        <f t="shared" si="132"/>
        <v>3.3324793192855348E-2</v>
      </c>
      <c r="W547" s="1">
        <f t="shared" si="133"/>
        <v>2.2225068935714885E-2</v>
      </c>
      <c r="X547" s="1">
        <f t="shared" si="134"/>
        <v>0.57147814607588043</v>
      </c>
      <c r="Y547" s="1">
        <f t="shared" si="135"/>
        <v>0.57152269070723272</v>
      </c>
      <c r="Z547" s="1">
        <f t="shared" si="136"/>
        <v>28.576134535361632</v>
      </c>
      <c r="AB547">
        <v>6.77</v>
      </c>
      <c r="AC547">
        <v>1.6982436524617427E-7</v>
      </c>
      <c r="AD547">
        <v>5.9473209190914539E-8</v>
      </c>
      <c r="AE547">
        <v>9.107654494915797E-2</v>
      </c>
      <c r="AF547">
        <v>2.9744850169473435E-3</v>
      </c>
      <c r="AG547">
        <v>6.1312322679016054E-2</v>
      </c>
      <c r="AH547">
        <v>6.1313460020632586E-2</v>
      </c>
      <c r="AI547">
        <v>3.0656730010316289</v>
      </c>
      <c r="AJ547"/>
      <c r="AK547"/>
      <c r="AL547"/>
      <c r="AM547"/>
      <c r="AN547"/>
      <c r="AO547"/>
      <c r="AP547"/>
      <c r="AQ547"/>
      <c r="AR547"/>
    </row>
    <row r="548" spans="1:44" ht="15" customHeight="1" x14ac:dyDescent="0.3">
      <c r="A548" s="2">
        <v>5.47</v>
      </c>
      <c r="B548" s="1">
        <f t="shared" si="124"/>
        <v>3.388441561392022E-6</v>
      </c>
      <c r="C548" s="1">
        <f t="shared" si="125"/>
        <v>2.9807213189330525E-9</v>
      </c>
      <c r="D548" s="1">
        <f t="shared" si="126"/>
        <v>1.6808033818884072E-2</v>
      </c>
      <c r="E548" s="1">
        <f t="shared" si="127"/>
        <v>5.3199436351932103E-4</v>
      </c>
      <c r="F548" s="1">
        <f t="shared" si="128"/>
        <v>0.13680688860321005</v>
      </c>
      <c r="G548" s="1">
        <f t="shared" si="129"/>
        <v>0.13663298990483858</v>
      </c>
      <c r="H548" s="1">
        <f t="shared" si="137"/>
        <v>1.3663298990483856</v>
      </c>
      <c r="J548" s="2">
        <v>9.4600000000000009</v>
      </c>
      <c r="K548" s="1">
        <v>3.4673685045252974E-10</v>
      </c>
      <c r="L548" s="1">
        <v>2.9128718181578877E-5</v>
      </c>
      <c r="M548" s="1">
        <v>-1.8376387156954399E-5</v>
      </c>
      <c r="N548" s="1">
        <v>3.3363960645261589E-3</v>
      </c>
      <c r="O548" s="1">
        <v>0.99935476237136889</v>
      </c>
      <c r="P548" s="1">
        <v>1.0011027858816204</v>
      </c>
      <c r="Q548" s="2">
        <v>10.011027858816202</v>
      </c>
      <c r="S548" s="2">
        <v>5.47</v>
      </c>
      <c r="T548" s="1">
        <f t="shared" si="130"/>
        <v>3.388441561392022E-6</v>
      </c>
      <c r="U548" s="1">
        <f t="shared" si="131"/>
        <v>2.9807213189330525E-9</v>
      </c>
      <c r="V548" s="1">
        <f t="shared" si="132"/>
        <v>3.3838476555738531E-2</v>
      </c>
      <c r="W548" s="1">
        <f t="shared" si="133"/>
        <v>2.2053841148087158E-2</v>
      </c>
      <c r="X548" s="1">
        <f t="shared" si="134"/>
        <v>0.56583027932301877</v>
      </c>
      <c r="Y548" s="1">
        <f t="shared" si="135"/>
        <v>0.56587371264789255</v>
      </c>
      <c r="Z548" s="1">
        <f t="shared" si="136"/>
        <v>28.293685632394627</v>
      </c>
      <c r="AB548">
        <v>6.78</v>
      </c>
      <c r="AC548">
        <v>1.6595869074375559E-7</v>
      </c>
      <c r="AD548">
        <v>6.0858518193510303E-8</v>
      </c>
      <c r="AE548">
        <v>9.1261923092013364E-2</v>
      </c>
      <c r="AF548">
        <v>2.9126923026622149E-3</v>
      </c>
      <c r="AG548">
        <v>6.0000422746418508E-2</v>
      </c>
      <c r="AH548">
        <v>6.0001505278986803E-2</v>
      </c>
      <c r="AI548">
        <v>3.0000752639493404</v>
      </c>
      <c r="AJ548"/>
      <c r="AK548"/>
      <c r="AL548"/>
      <c r="AM548"/>
      <c r="AN548"/>
      <c r="AO548"/>
      <c r="AP548"/>
      <c r="AQ548"/>
      <c r="AR548"/>
    </row>
    <row r="549" spans="1:44" ht="15" customHeight="1" x14ac:dyDescent="0.3">
      <c r="A549" s="2">
        <v>5.48</v>
      </c>
      <c r="B549" s="1">
        <f t="shared" si="124"/>
        <v>3.3113112148259022E-6</v>
      </c>
      <c r="C549" s="1">
        <f t="shared" si="125"/>
        <v>3.0501512376060442E-9</v>
      </c>
      <c r="D549" s="1">
        <f t="shared" si="126"/>
        <v>1.6745626600872362E-2</v>
      </c>
      <c r="E549" s="1">
        <f t="shared" si="127"/>
        <v>5.4239556652127281E-4</v>
      </c>
      <c r="F549" s="1">
        <f t="shared" si="128"/>
        <v>0.1395488382422882</v>
      </c>
      <c r="G549" s="1">
        <f t="shared" si="129"/>
        <v>0.13937881417406858</v>
      </c>
      <c r="H549" s="1">
        <f t="shared" si="137"/>
        <v>1.3937881417406857</v>
      </c>
      <c r="J549" s="2">
        <v>9.4700000000000006</v>
      </c>
      <c r="K549" s="1">
        <v>3.3884415613920192E-10</v>
      </c>
      <c r="L549" s="1">
        <v>2.980721318933055E-5</v>
      </c>
      <c r="M549" s="1">
        <v>-1.929957779482633E-5</v>
      </c>
      <c r="N549" s="1">
        <v>3.3365499296324711E-3</v>
      </c>
      <c r="O549" s="1">
        <v>0.9993694405116601</v>
      </c>
      <c r="P549" s="1">
        <v>1.0011581981950513</v>
      </c>
      <c r="Q549" s="2">
        <v>10.011581981950512</v>
      </c>
      <c r="S549" s="2">
        <v>5.48</v>
      </c>
      <c r="T549" s="1">
        <f t="shared" si="130"/>
        <v>3.3113112148259022E-6</v>
      </c>
      <c r="U549" s="1">
        <f t="shared" si="131"/>
        <v>3.0501512376060442E-9</v>
      </c>
      <c r="V549" s="1">
        <f t="shared" si="132"/>
        <v>3.4355993869944298E-2</v>
      </c>
      <c r="W549" s="1">
        <f t="shared" si="133"/>
        <v>2.188133537668524E-2</v>
      </c>
      <c r="X549" s="1">
        <f t="shared" si="134"/>
        <v>0.56016526528343602</v>
      </c>
      <c r="Y549" s="1">
        <f t="shared" si="135"/>
        <v>0.56020761445926404</v>
      </c>
      <c r="Z549" s="1">
        <f t="shared" si="136"/>
        <v>28.010380722963205</v>
      </c>
      <c r="AB549">
        <v>6.79</v>
      </c>
      <c r="AC549">
        <v>1.6218100973589288E-7</v>
      </c>
      <c r="AD549">
        <v>6.2276095188009744E-8</v>
      </c>
      <c r="AE549">
        <v>9.1443812077525E-2</v>
      </c>
      <c r="AF549">
        <v>2.8520626408249971E-3</v>
      </c>
      <c r="AG549">
        <v>5.8714837718546145E-2</v>
      </c>
      <c r="AH549">
        <v>5.8715866097709547E-2</v>
      </c>
      <c r="AI549">
        <v>2.9357933048854772</v>
      </c>
      <c r="AJ549"/>
      <c r="AK549"/>
      <c r="AL549"/>
      <c r="AM549"/>
      <c r="AN549"/>
      <c r="AO549"/>
      <c r="AP549"/>
      <c r="AQ549"/>
      <c r="AR549"/>
    </row>
    <row r="550" spans="1:44" ht="15" customHeight="1" x14ac:dyDescent="0.3">
      <c r="A550" s="2">
        <v>5.49</v>
      </c>
      <c r="B550" s="1">
        <f t="shared" si="124"/>
        <v>3.2359365692962801E-6</v>
      </c>
      <c r="C550" s="1">
        <f t="shared" si="125"/>
        <v>3.1211983868387287E-9</v>
      </c>
      <c r="D550" s="1">
        <f t="shared" si="126"/>
        <v>1.668224662479436E-2</v>
      </c>
      <c r="E550" s="1">
        <f t="shared" si="127"/>
        <v>5.5295889586760686E-4</v>
      </c>
      <c r="F550" s="1">
        <f t="shared" si="128"/>
        <v>0.14233668144614312</v>
      </c>
      <c r="G550" s="1">
        <f t="shared" si="129"/>
        <v>0.1421704445696127</v>
      </c>
      <c r="H550" s="1">
        <f t="shared" si="137"/>
        <v>1.421704445696127</v>
      </c>
      <c r="J550" s="2">
        <v>9.48</v>
      </c>
      <c r="K550" s="1">
        <v>3.3113112148259045E-10</v>
      </c>
      <c r="L550" s="1">
        <v>3.0501512376060422E-5</v>
      </c>
      <c r="M550" s="1">
        <v>-2.023300844658778E-5</v>
      </c>
      <c r="N550" s="1">
        <v>3.3367055014077644E-3</v>
      </c>
      <c r="O550" s="1">
        <v>0.99938378495325642</v>
      </c>
      <c r="P550" s="1">
        <v>1.0012142261812811</v>
      </c>
      <c r="Q550" s="2">
        <v>10.01214226181281</v>
      </c>
      <c r="S550" s="2">
        <v>5.49</v>
      </c>
      <c r="T550" s="1">
        <f t="shared" si="130"/>
        <v>3.2359365692962801E-6</v>
      </c>
      <c r="U550" s="1">
        <f t="shared" si="131"/>
        <v>3.1211983868387287E-9</v>
      </c>
      <c r="V550" s="1">
        <f t="shared" si="132"/>
        <v>3.4877249620950304E-2</v>
      </c>
      <c r="W550" s="1">
        <f t="shared" si="133"/>
        <v>2.1707583459683235E-2</v>
      </c>
      <c r="X550" s="1">
        <f t="shared" si="134"/>
        <v>0.55448453403709319</v>
      </c>
      <c r="Y550" s="1">
        <f t="shared" si="135"/>
        <v>0.55452582558886498</v>
      </c>
      <c r="Z550" s="1">
        <f t="shared" si="136"/>
        <v>27.726291279443249</v>
      </c>
      <c r="AB550">
        <v>6.8</v>
      </c>
      <c r="AC550">
        <v>1.5848931924611122E-7</v>
      </c>
      <c r="AD550">
        <v>6.3726691792499566E-8</v>
      </c>
      <c r="AE550">
        <v>9.1622262634028145E-2</v>
      </c>
      <c r="AF550">
        <v>2.7925791219906206E-3</v>
      </c>
      <c r="AG550">
        <v>5.7455114341144517E-2</v>
      </c>
      <c r="AH550">
        <v>5.7456089190868927E-2</v>
      </c>
      <c r="AI550">
        <v>2.8728044595434463</v>
      </c>
      <c r="AJ550"/>
      <c r="AK550"/>
      <c r="AL550"/>
      <c r="AM550"/>
      <c r="AN550"/>
      <c r="AO550"/>
      <c r="AP550"/>
      <c r="AQ550"/>
      <c r="AR550"/>
    </row>
    <row r="551" spans="1:44" ht="15" customHeight="1" x14ac:dyDescent="0.3">
      <c r="A551" s="2">
        <v>5.5</v>
      </c>
      <c r="B551" s="1">
        <f t="shared" si="124"/>
        <v>3.1622776601683767E-6</v>
      </c>
      <c r="C551" s="1">
        <f t="shared" si="125"/>
        <v>3.1939004367700655E-9</v>
      </c>
      <c r="D551" s="1">
        <f t="shared" si="126"/>
        <v>1.6617887958619303E-2</v>
      </c>
      <c r="E551" s="1">
        <f t="shared" si="127"/>
        <v>5.6368534023011629E-4</v>
      </c>
      <c r="F551" s="1">
        <f t="shared" si="128"/>
        <v>0.14517082246824048</v>
      </c>
      <c r="G551" s="1">
        <f t="shared" si="129"/>
        <v>0.14500828734699803</v>
      </c>
      <c r="H551" s="1">
        <f t="shared" si="137"/>
        <v>1.4500828734699802</v>
      </c>
      <c r="J551" s="2">
        <v>9.49</v>
      </c>
      <c r="K551" s="1">
        <v>3.2359365692962771E-10</v>
      </c>
      <c r="L551" s="1">
        <v>3.1211983868387318E-5</v>
      </c>
      <c r="M551" s="1">
        <v>-2.117717363443809E-5</v>
      </c>
      <c r="N551" s="1">
        <v>3.3368628622724066E-3</v>
      </c>
      <c r="O551" s="1">
        <v>0.99939780327333605</v>
      </c>
      <c r="P551" s="1">
        <v>1.0012708995586725</v>
      </c>
      <c r="Q551" s="2">
        <v>10.012708995586724</v>
      </c>
      <c r="S551" s="2">
        <v>5.5</v>
      </c>
      <c r="T551" s="1">
        <f t="shared" si="130"/>
        <v>3.1622776601683767E-6</v>
      </c>
      <c r="U551" s="1">
        <f t="shared" si="131"/>
        <v>3.1939004367700655E-9</v>
      </c>
      <c r="V551" s="1">
        <f t="shared" si="132"/>
        <v>3.5402144910126936E-2</v>
      </c>
      <c r="W551" s="1">
        <f t="shared" si="133"/>
        <v>2.1532618363291022E-2</v>
      </c>
      <c r="X551" s="1">
        <f t="shared" si="134"/>
        <v>0.54878953196364599</v>
      </c>
      <c r="Y551" s="1">
        <f t="shared" si="135"/>
        <v>0.5488297917976539</v>
      </c>
      <c r="Z551" s="1">
        <f t="shared" si="136"/>
        <v>27.441489589882696</v>
      </c>
      <c r="AB551">
        <v>6.81</v>
      </c>
      <c r="AC551">
        <v>1.5488166189124805E-7</v>
      </c>
      <c r="AD551">
        <v>6.5211077132500241E-8</v>
      </c>
      <c r="AE551">
        <v>9.1797325378653621E-2</v>
      </c>
      <c r="AF551">
        <v>2.7342248737821299E-3</v>
      </c>
      <c r="AG551">
        <v>5.6220803976356856E-2</v>
      </c>
      <c r="AH551">
        <v>5.6221725889379626E-2</v>
      </c>
      <c r="AI551">
        <v>2.8110862944689812</v>
      </c>
      <c r="AJ551"/>
      <c r="AK551"/>
      <c r="AL551"/>
      <c r="AM551"/>
      <c r="AN551"/>
      <c r="AO551"/>
      <c r="AP551"/>
      <c r="AQ551"/>
      <c r="AR551"/>
    </row>
    <row r="552" spans="1:44" ht="15" customHeight="1" x14ac:dyDescent="0.3">
      <c r="A552" s="2">
        <v>5.51</v>
      </c>
      <c r="B552" s="1">
        <f t="shared" si="124"/>
        <v>3.0902954325135885E-6</v>
      </c>
      <c r="C552" s="1">
        <f t="shared" si="125"/>
        <v>3.2682959349892472E-9</v>
      </c>
      <c r="D552" s="1">
        <f t="shared" si="126"/>
        <v>1.6552545015632542E-2</v>
      </c>
      <c r="E552" s="1">
        <f t="shared" si="127"/>
        <v>5.7457583072790944E-4</v>
      </c>
      <c r="F552" s="1">
        <f t="shared" si="128"/>
        <v>0.14805165414742624</v>
      </c>
      <c r="G552" s="1">
        <f t="shared" si="129"/>
        <v>0.14789273730166377</v>
      </c>
      <c r="H552" s="1">
        <f t="shared" si="137"/>
        <v>1.4789273730166377</v>
      </c>
      <c r="J552" s="2">
        <v>9.5</v>
      </c>
      <c r="K552" s="1">
        <v>3.1622776601683744E-10</v>
      </c>
      <c r="L552" s="1">
        <v>3.193900436770068E-5</v>
      </c>
      <c r="M552" s="1">
        <v>-2.2132573589935173E-5</v>
      </c>
      <c r="N552" s="1">
        <v>3.3370220955983229E-3</v>
      </c>
      <c r="O552" s="1">
        <v>0.99941150287744129</v>
      </c>
      <c r="P552" s="1">
        <v>1.0013282483909487</v>
      </c>
      <c r="Q552" s="2">
        <v>10.013282483909487</v>
      </c>
      <c r="S552" s="2">
        <v>5.51</v>
      </c>
      <c r="T552" s="1">
        <f t="shared" si="130"/>
        <v>3.0902954325135885E-6</v>
      </c>
      <c r="U552" s="1">
        <f t="shared" si="131"/>
        <v>3.2682959349892472E-9</v>
      </c>
      <c r="V552" s="1">
        <f t="shared" si="132"/>
        <v>3.5930577507136907E-2</v>
      </c>
      <c r="W552" s="1">
        <f t="shared" si="133"/>
        <v>2.1356474164287698E-2</v>
      </c>
      <c r="X552" s="1">
        <f t="shared" si="134"/>
        <v>0.54308172030155999</v>
      </c>
      <c r="Y552" s="1">
        <f t="shared" si="135"/>
        <v>0.54312097371884738</v>
      </c>
      <c r="Z552" s="1">
        <f t="shared" si="136"/>
        <v>27.156048685942366</v>
      </c>
      <c r="AB552">
        <v>6.82</v>
      </c>
      <c r="AC552">
        <v>1.5135612484362046E-7</v>
      </c>
      <c r="AD552">
        <v>6.6730038248767351E-8</v>
      </c>
      <c r="AE552">
        <v>9.196905078701692E-2</v>
      </c>
      <c r="AF552">
        <v>2.6769830709943614E-3</v>
      </c>
      <c r="AG552">
        <v>5.501146270267835E-2</v>
      </c>
      <c r="AH552">
        <v>5.5012332240936261E-2</v>
      </c>
      <c r="AI552">
        <v>2.7506166120468132</v>
      </c>
      <c r="AJ552"/>
      <c r="AK552"/>
      <c r="AL552"/>
      <c r="AM552"/>
      <c r="AN552"/>
      <c r="AO552"/>
      <c r="AP552"/>
      <c r="AQ552"/>
      <c r="AR552"/>
    </row>
    <row r="553" spans="1:44" ht="15" customHeight="1" x14ac:dyDescent="0.3">
      <c r="A553" s="2">
        <v>5.52</v>
      </c>
      <c r="B553" s="1">
        <f t="shared" si="124"/>
        <v>3.0199517204020146E-6</v>
      </c>
      <c r="C553" s="1">
        <f t="shared" si="125"/>
        <v>3.3444243269741716E-9</v>
      </c>
      <c r="D553" s="1">
        <f t="shared" si="126"/>
        <v>1.6486212569754178E-2</v>
      </c>
      <c r="E553" s="1">
        <f t="shared" si="127"/>
        <v>5.85631238374304E-4</v>
      </c>
      <c r="F553" s="1">
        <f t="shared" si="128"/>
        <v>0.15097955721132331</v>
      </c>
      <c r="G553" s="1">
        <f t="shared" si="129"/>
        <v>0.15082417707338971</v>
      </c>
      <c r="H553" s="1">
        <f t="shared" si="137"/>
        <v>1.5082417707338971</v>
      </c>
      <c r="J553" s="2">
        <v>9.51</v>
      </c>
      <c r="K553" s="1">
        <v>3.090295432513586E-10</v>
      </c>
      <c r="L553" s="1">
        <v>3.2682959349892498E-5</v>
      </c>
      <c r="M553" s="1">
        <v>-2.3099714518421061E-5</v>
      </c>
      <c r="N553" s="1">
        <v>3.3371832857530702E-3</v>
      </c>
      <c r="O553" s="1">
        <v>0.99942489100334797</v>
      </c>
      <c r="P553" s="1">
        <v>1.0013863031031645</v>
      </c>
      <c r="Q553" s="2">
        <v>10.013863031031644</v>
      </c>
      <c r="S553" s="2">
        <v>5.52</v>
      </c>
      <c r="T553" s="1">
        <f t="shared" si="130"/>
        <v>3.0199517204020146E-6</v>
      </c>
      <c r="U553" s="1">
        <f t="shared" si="131"/>
        <v>3.3444243269741716E-9</v>
      </c>
      <c r="V553" s="1">
        <f t="shared" si="132"/>
        <v>3.646244190841659E-2</v>
      </c>
      <c r="W553" s="1">
        <f t="shared" si="133"/>
        <v>2.1179186030527805E-2</v>
      </c>
      <c r="X553" s="1">
        <f t="shared" si="134"/>
        <v>0.53736257367456297</v>
      </c>
      <c r="Y553" s="1">
        <f t="shared" si="135"/>
        <v>0.53740084538407928</v>
      </c>
      <c r="Z553" s="1">
        <f t="shared" si="136"/>
        <v>26.870042269203964</v>
      </c>
      <c r="AB553">
        <v>6.83</v>
      </c>
      <c r="AC553">
        <v>1.479108388168204E-7</v>
      </c>
      <c r="AD553">
        <v>6.828438051459031E-8</v>
      </c>
      <c r="AE553">
        <v>9.213748916432031E-2</v>
      </c>
      <c r="AF553">
        <v>2.6208369452265655E-3</v>
      </c>
      <c r="AG553">
        <v>5.3826651406385144E-2</v>
      </c>
      <c r="AH553">
        <v>5.3827469101421783E-2</v>
      </c>
      <c r="AI553">
        <v>2.6913734550710893</v>
      </c>
      <c r="AJ553"/>
      <c r="AK553"/>
      <c r="AL553"/>
      <c r="AM553"/>
      <c r="AN553"/>
      <c r="AO553"/>
      <c r="AP553"/>
      <c r="AQ553"/>
      <c r="AR553"/>
    </row>
    <row r="554" spans="1:44" ht="15" customHeight="1" x14ac:dyDescent="0.3">
      <c r="A554" s="2">
        <v>5.53</v>
      </c>
      <c r="B554" s="1">
        <f t="shared" si="124"/>
        <v>2.951209226666379E-6</v>
      </c>
      <c r="C554" s="1">
        <f t="shared" si="125"/>
        <v>3.4223259770059532E-9</v>
      </c>
      <c r="D554" s="1">
        <f t="shared" si="126"/>
        <v>1.6418885770946134E-2</v>
      </c>
      <c r="E554" s="1">
        <f t="shared" si="127"/>
        <v>5.9685237150897781E-4</v>
      </c>
      <c r="F554" s="1">
        <f t="shared" si="128"/>
        <v>0.15395489956790548</v>
      </c>
      <c r="G554" s="1">
        <f t="shared" si="129"/>
        <v>0.15380297643887866</v>
      </c>
      <c r="H554" s="1">
        <f t="shared" si="137"/>
        <v>1.5380297643887866</v>
      </c>
      <c r="J554" s="2">
        <v>9.52</v>
      </c>
      <c r="K554" s="1">
        <v>3.0199517204020115E-10</v>
      </c>
      <c r="L554" s="1">
        <v>3.3444243269741747E-5</v>
      </c>
      <c r="M554" s="1">
        <v>-2.4079108866664159E-5</v>
      </c>
      <c r="N554" s="1">
        <v>3.3373465181444437E-3</v>
      </c>
      <c r="O554" s="1">
        <v>0.99943797472484774</v>
      </c>
      <c r="P554" s="1">
        <v>1.0014450944978772</v>
      </c>
      <c r="Q554" s="2">
        <v>10.014450944978771</v>
      </c>
      <c r="S554" s="2">
        <v>5.53</v>
      </c>
      <c r="T554" s="1">
        <f t="shared" si="130"/>
        <v>2.951209226666379E-6</v>
      </c>
      <c r="U554" s="1">
        <f t="shared" si="131"/>
        <v>3.4223259770059532E-9</v>
      </c>
      <c r="V554" s="1">
        <f t="shared" si="132"/>
        <v>3.6997629401728099E-2</v>
      </c>
      <c r="W554" s="1">
        <f t="shared" si="133"/>
        <v>2.1000790199423965E-2</v>
      </c>
      <c r="X554" s="1">
        <f t="shared" si="134"/>
        <v>0.53163357858854188</v>
      </c>
      <c r="Y554" s="1">
        <f t="shared" si="135"/>
        <v>0.53167089272001389</v>
      </c>
      <c r="Z554" s="1">
        <f t="shared" si="136"/>
        <v>26.583544636000696</v>
      </c>
      <c r="AB554">
        <v>6.84</v>
      </c>
      <c r="AC554">
        <v>1.4454397707459271E-7</v>
      </c>
      <c r="AD554">
        <v>6.9874928062812601E-8</v>
      </c>
      <c r="AE554">
        <v>9.2302690617840161E-2</v>
      </c>
      <c r="AF554">
        <v>2.5657697940532792E-3</v>
      </c>
      <c r="AG554">
        <v>5.2665935864748659E-2</v>
      </c>
      <c r="AH554">
        <v>5.2666702218101623E-2</v>
      </c>
      <c r="AI554">
        <v>2.6333351109050809</v>
      </c>
      <c r="AJ554"/>
      <c r="AK554"/>
      <c r="AL554"/>
      <c r="AM554"/>
      <c r="AN554"/>
      <c r="AO554"/>
      <c r="AP554"/>
      <c r="AQ554"/>
      <c r="AR554"/>
    </row>
    <row r="555" spans="1:44" ht="15" customHeight="1" x14ac:dyDescent="0.3">
      <c r="A555" s="2">
        <v>5.54</v>
      </c>
      <c r="B555" s="1">
        <f t="shared" si="124"/>
        <v>2.8840315031265995E-6</v>
      </c>
      <c r="C555" s="1">
        <f t="shared" si="125"/>
        <v>3.5020421895705771E-9</v>
      </c>
      <c r="D555" s="1">
        <f t="shared" si="126"/>
        <v>1.6350560160683012E-2</v>
      </c>
      <c r="E555" s="1">
        <f t="shared" si="127"/>
        <v>6.0823997321949761E-4</v>
      </c>
      <c r="F555" s="1">
        <f t="shared" si="128"/>
        <v>0.15697803558596407</v>
      </c>
      <c r="G555" s="1">
        <f t="shared" si="129"/>
        <v>0.15682949159320844</v>
      </c>
      <c r="H555" s="1">
        <f t="shared" si="137"/>
        <v>1.5682949159320843</v>
      </c>
      <c r="J555" s="2">
        <v>9.5299999999999994</v>
      </c>
      <c r="K555" s="1">
        <v>2.9512092266663821E-10</v>
      </c>
      <c r="L555" s="1">
        <v>3.4223259770059495E-5</v>
      </c>
      <c r="M555" s="1">
        <v>-2.5071275593825343E-5</v>
      </c>
      <c r="N555" s="1">
        <v>3.3375118792656373E-3</v>
      </c>
      <c r="O555" s="1">
        <v>0.99945076095544683</v>
      </c>
      <c r="P555" s="1">
        <v>1.0015046537715233</v>
      </c>
      <c r="Q555" s="2">
        <v>10.015046537715232</v>
      </c>
      <c r="S555" s="2">
        <v>5.54</v>
      </c>
      <c r="T555" s="1">
        <f t="shared" si="130"/>
        <v>2.8840315031265995E-6</v>
      </c>
      <c r="U555" s="1">
        <f t="shared" si="131"/>
        <v>3.5020421895705771E-9</v>
      </c>
      <c r="V555" s="1">
        <f t="shared" si="132"/>
        <v>3.7536028136755155E-2</v>
      </c>
      <c r="W555" s="1">
        <f t="shared" si="133"/>
        <v>2.0821323954414949E-2</v>
      </c>
      <c r="X555" s="1">
        <f t="shared" si="134"/>
        <v>0.52589623190208379</v>
      </c>
      <c r="Y555" s="1">
        <f t="shared" si="135"/>
        <v>0.52593261201861008</v>
      </c>
      <c r="Z555" s="1">
        <f t="shared" si="136"/>
        <v>26.296630600930502</v>
      </c>
      <c r="AB555">
        <v>6.85</v>
      </c>
      <c r="AC555">
        <v>1.4125375446227539E-7</v>
      </c>
      <c r="AD555">
        <v>7.1502524222797944E-8</v>
      </c>
      <c r="AE555">
        <v>9.2464705030770242E-2</v>
      </c>
      <c r="AF555">
        <v>2.5117649897432527E-3</v>
      </c>
      <c r="AG555">
        <v>5.1528886821345633E-2</v>
      </c>
      <c r="AH555">
        <v>5.1529602304913803E-2</v>
      </c>
      <c r="AI555">
        <v>2.5764801152456904</v>
      </c>
      <c r="AJ555"/>
      <c r="AK555"/>
      <c r="AL555"/>
      <c r="AM555"/>
      <c r="AN555"/>
      <c r="AO555"/>
      <c r="AP555"/>
      <c r="AQ555"/>
      <c r="AR555"/>
    </row>
    <row r="556" spans="1:44" ht="15" customHeight="1" x14ac:dyDescent="0.3">
      <c r="A556" s="2">
        <v>5.55</v>
      </c>
      <c r="B556" s="1">
        <f t="shared" si="124"/>
        <v>2.818382931264453E-6</v>
      </c>
      <c r="C556" s="1">
        <f t="shared" si="125"/>
        <v>3.583615231259113E-9</v>
      </c>
      <c r="D556" s="1">
        <f t="shared" si="126"/>
        <v>1.6281231687460568E-2</v>
      </c>
      <c r="E556" s="1">
        <f t="shared" si="127"/>
        <v>6.1979471875657185E-4</v>
      </c>
      <c r="F556" s="1">
        <f t="shared" si="128"/>
        <v>0.16004930536524653</v>
      </c>
      <c r="G556" s="1">
        <f t="shared" si="129"/>
        <v>0.15990406442093325</v>
      </c>
      <c r="H556" s="1">
        <f t="shared" si="137"/>
        <v>1.5990406442093323</v>
      </c>
      <c r="J556" s="2">
        <v>9.5399999999999991</v>
      </c>
      <c r="K556" s="1">
        <v>2.8840315031266024E-10</v>
      </c>
      <c r="L556" s="1">
        <v>3.5020421895705736E-5</v>
      </c>
      <c r="M556" s="1">
        <v>-2.6076740445943463E-5</v>
      </c>
      <c r="N556" s="1">
        <v>3.3376794567409906E-3</v>
      </c>
      <c r="O556" s="1">
        <v>0.99946325645198153</v>
      </c>
      <c r="P556" s="1">
        <v>1.0015650125310123</v>
      </c>
      <c r="Q556" s="2">
        <v>10.015650125310122</v>
      </c>
      <c r="S556" s="2">
        <v>5.55</v>
      </c>
      <c r="T556" s="1">
        <f t="shared" si="130"/>
        <v>2.818382931264453E-6</v>
      </c>
      <c r="U556" s="1">
        <f t="shared" si="131"/>
        <v>3.583615231259113E-9</v>
      </c>
      <c r="V556" s="1">
        <f t="shared" si="132"/>
        <v>3.8077523201697126E-2</v>
      </c>
      <c r="W556" s="1">
        <f t="shared" si="133"/>
        <v>2.0640825599434292E-2</v>
      </c>
      <c r="X556" s="1">
        <f t="shared" si="134"/>
        <v>0.52015203927396569</v>
      </c>
      <c r="Y556" s="1">
        <f t="shared" si="135"/>
        <v>0.52018750838434002</v>
      </c>
      <c r="Z556" s="1">
        <f t="shared" si="136"/>
        <v>26.009375419217005</v>
      </c>
      <c r="AB556">
        <v>6.86</v>
      </c>
      <c r="AC556">
        <v>1.3803842646028823E-7</v>
      </c>
      <c r="AD556">
        <v>7.316803196757413E-8</v>
      </c>
      <c r="AE556">
        <v>9.2623582037390559E-2</v>
      </c>
      <c r="AF556">
        <v>2.4588059875364754E-3</v>
      </c>
      <c r="AG556">
        <v>5.0415080053767936E-2</v>
      </c>
      <c r="AH556">
        <v>5.0415745110159234E-2</v>
      </c>
      <c r="AI556">
        <v>2.5207872555079618</v>
      </c>
      <c r="AJ556"/>
      <c r="AK556"/>
      <c r="AL556"/>
      <c r="AM556"/>
      <c r="AN556"/>
      <c r="AO556"/>
      <c r="AP556"/>
      <c r="AQ556"/>
      <c r="AR556"/>
    </row>
    <row r="557" spans="1:44" ht="15" customHeight="1" x14ac:dyDescent="0.3">
      <c r="A557" s="2">
        <v>5.56</v>
      </c>
      <c r="B557" s="1">
        <f t="shared" si="124"/>
        <v>2.7542287033381663E-6</v>
      </c>
      <c r="C557" s="1">
        <f t="shared" si="125"/>
        <v>3.6670883531780233E-9</v>
      </c>
      <c r="D557" s="1">
        <f t="shared" si="126"/>
        <v>1.6210896722314499E-2</v>
      </c>
      <c r="E557" s="1">
        <f t="shared" si="127"/>
        <v>6.3151721294758356E-4</v>
      </c>
      <c r="F557" s="1">
        <f t="shared" si="128"/>
        <v>0.1631690339971052</v>
      </c>
      <c r="G557" s="1">
        <f t="shared" si="129"/>
        <v>0.16302702175767345</v>
      </c>
      <c r="H557" s="1">
        <f t="shared" si="137"/>
        <v>1.6302702175767343</v>
      </c>
      <c r="J557" s="2">
        <v>9.5500000000000007</v>
      </c>
      <c r="K557" s="1">
        <v>2.8183829312644407E-10</v>
      </c>
      <c r="L557" s="1">
        <v>3.5836152312591285E-5</v>
      </c>
      <c r="M557" s="1">
        <v>-2.7096036234006175E-5</v>
      </c>
      <c r="N557" s="1">
        <v>3.337849339372334E-3</v>
      </c>
      <c r="O557" s="1">
        <v>0.99947546781815244</v>
      </c>
      <c r="P557" s="1">
        <v>1.0016262028105432</v>
      </c>
      <c r="Q557" s="2">
        <v>10.01626202810543</v>
      </c>
      <c r="S557" s="2">
        <v>5.56</v>
      </c>
      <c r="T557" s="1">
        <f t="shared" si="130"/>
        <v>2.7542287033381663E-6</v>
      </c>
      <c r="U557" s="1">
        <f t="shared" si="131"/>
        <v>3.6670883531780233E-9</v>
      </c>
      <c r="V557" s="1">
        <f t="shared" si="132"/>
        <v>3.862199670579651E-2</v>
      </c>
      <c r="W557" s="1">
        <f t="shared" si="133"/>
        <v>2.0459334431401164E-2</v>
      </c>
      <c r="X557" s="1">
        <f t="shared" si="134"/>
        <v>0.51440251359098743</v>
      </c>
      <c r="Y557" s="1">
        <f t="shared" si="135"/>
        <v>0.51443709416175987</v>
      </c>
      <c r="Z557" s="1">
        <f t="shared" si="136"/>
        <v>25.721854708087992</v>
      </c>
      <c r="AB557">
        <v>6.87</v>
      </c>
      <c r="AC557">
        <v>1.3489628825916511E-7</v>
      </c>
      <c r="AD557">
        <v>7.4872334371392797E-8</v>
      </c>
      <c r="AE557">
        <v>9.277937099953143E-2</v>
      </c>
      <c r="AF557">
        <v>2.4068763334895212E-3</v>
      </c>
      <c r="AG557">
        <v>4.9324096434029754E-2</v>
      </c>
      <c r="AH557">
        <v>4.9324711476889674E-2</v>
      </c>
      <c r="AI557">
        <v>2.4662355738444837</v>
      </c>
      <c r="AJ557"/>
      <c r="AK557"/>
      <c r="AL557"/>
      <c r="AM557"/>
      <c r="AN557"/>
      <c r="AO557"/>
      <c r="AP557"/>
      <c r="AQ557"/>
      <c r="AR557"/>
    </row>
    <row r="558" spans="1:44" ht="15" customHeight="1" x14ac:dyDescent="0.3">
      <c r="A558" s="2">
        <v>5.57</v>
      </c>
      <c r="B558" s="1">
        <f t="shared" si="124"/>
        <v>2.6915348039269108E-6</v>
      </c>
      <c r="C558" s="1">
        <f t="shared" si="125"/>
        <v>3.7525058138814491E-9</v>
      </c>
      <c r="D558" s="1">
        <f t="shared" si="126"/>
        <v>1.6139552074320922E-2</v>
      </c>
      <c r="E558" s="1">
        <f t="shared" si="127"/>
        <v>6.4340798761317985E-4</v>
      </c>
      <c r="F558" s="1">
        <f t="shared" si="128"/>
        <v>0.16633753081656208</v>
      </c>
      <c r="G558" s="1">
        <f t="shared" si="129"/>
        <v>0.16619867464309968</v>
      </c>
      <c r="H558" s="1">
        <f t="shared" si="137"/>
        <v>1.6619867464309968</v>
      </c>
      <c r="J558" s="2">
        <v>9.56</v>
      </c>
      <c r="K558" s="1">
        <v>2.7542287033381539E-10</v>
      </c>
      <c r="L558" s="1">
        <v>3.6670883531780398E-5</v>
      </c>
      <c r="M558" s="1">
        <v>-2.8129703115823408E-5</v>
      </c>
      <c r="N558" s="1">
        <v>3.3380216171859703E-3</v>
      </c>
      <c r="O558" s="1">
        <v>0.99948740150798077</v>
      </c>
      <c r="P558" s="1">
        <v>1.0016882570886563</v>
      </c>
      <c r="Q558" s="2">
        <v>10.016882570886562</v>
      </c>
      <c r="S558" s="2">
        <v>5.57</v>
      </c>
      <c r="T558" s="1">
        <f t="shared" si="130"/>
        <v>2.6915348039269108E-6</v>
      </c>
      <c r="U558" s="1">
        <f t="shared" si="131"/>
        <v>3.7525058138814491E-9</v>
      </c>
      <c r="V558" s="1">
        <f t="shared" si="132"/>
        <v>3.9169327867716278E-2</v>
      </c>
      <c r="W558" s="1">
        <f t="shared" si="133"/>
        <v>2.027689071076124E-2</v>
      </c>
      <c r="X558" s="1">
        <f t="shared" si="134"/>
        <v>0.50864917337961957</v>
      </c>
      <c r="Y558" s="1">
        <f t="shared" si="135"/>
        <v>0.50868288734690048</v>
      </c>
      <c r="Z558" s="1">
        <f t="shared" si="136"/>
        <v>25.434144367345024</v>
      </c>
      <c r="AB558">
        <v>6.88</v>
      </c>
      <c r="AC558">
        <v>1.3182567385564048E-7</v>
      </c>
      <c r="AD558">
        <v>7.6616335077947691E-8</v>
      </c>
      <c r="AE558">
        <v>9.2932120984300884E-2</v>
      </c>
      <c r="AF558">
        <v>2.3559596718997077E-3</v>
      </c>
      <c r="AG558">
        <v>4.8255521981966198E-2</v>
      </c>
      <c r="AH558">
        <v>4.825608739628736E-2</v>
      </c>
      <c r="AI558">
        <v>2.412804369814368</v>
      </c>
      <c r="AJ558"/>
      <c r="AK558"/>
      <c r="AL558"/>
      <c r="AM558"/>
      <c r="AN558"/>
      <c r="AO558"/>
      <c r="AP558"/>
      <c r="AQ558"/>
      <c r="AR558"/>
    </row>
    <row r="559" spans="1:44" ht="15" customHeight="1" x14ac:dyDescent="0.3">
      <c r="A559" s="2">
        <v>5.58</v>
      </c>
      <c r="B559" s="1">
        <f t="shared" si="124"/>
        <v>2.630267991895377E-6</v>
      </c>
      <c r="C559" s="1">
        <f t="shared" si="125"/>
        <v>3.8399129028376749E-9</v>
      </c>
      <c r="D559" s="1">
        <f t="shared" si="126"/>
        <v>1.6067195006048456E-2</v>
      </c>
      <c r="E559" s="1">
        <f t="shared" si="127"/>
        <v>6.5546749899192392E-4</v>
      </c>
      <c r="F559" s="1">
        <f t="shared" si="128"/>
        <v>0.169555088646763</v>
      </c>
      <c r="G559" s="1">
        <f t="shared" si="129"/>
        <v>0.16941931756628556</v>
      </c>
      <c r="H559" s="1">
        <f t="shared" si="137"/>
        <v>1.6941931756628554</v>
      </c>
      <c r="J559" s="2">
        <v>9.57</v>
      </c>
      <c r="K559" s="1">
        <v>2.6915348039269034E-10</v>
      </c>
      <c r="L559" s="1">
        <v>3.7525058138814595E-5</v>
      </c>
      <c r="M559" s="1">
        <v>-2.9178288881824407E-5</v>
      </c>
      <c r="N559" s="1">
        <v>3.3381963814803038E-3</v>
      </c>
      <c r="O559" s="1">
        <v>0.99949906382918652</v>
      </c>
      <c r="P559" s="1">
        <v>1.0017512083055278</v>
      </c>
      <c r="Q559" s="2">
        <v>10.017512083055276</v>
      </c>
      <c r="S559" s="2">
        <v>5.58</v>
      </c>
      <c r="T559" s="1">
        <f t="shared" si="130"/>
        <v>2.630267991895377E-6</v>
      </c>
      <c r="U559" s="1">
        <f t="shared" si="131"/>
        <v>3.8399129028376749E-9</v>
      </c>
      <c r="V559" s="1">
        <f t="shared" si="132"/>
        <v>3.9719393109666025E-2</v>
      </c>
      <c r="W559" s="1">
        <f t="shared" si="133"/>
        <v>2.0093535630111323E-2</v>
      </c>
      <c r="X559" s="1">
        <f t="shared" si="134"/>
        <v>0.50289354120498975</v>
      </c>
      <c r="Y559" s="1">
        <f t="shared" si="135"/>
        <v>0.50292640998600391</v>
      </c>
      <c r="Z559" s="1">
        <f t="shared" si="136"/>
        <v>25.146320499300199</v>
      </c>
      <c r="AB559">
        <v>6.89</v>
      </c>
      <c r="AC559">
        <v>1.288249551693134E-7</v>
      </c>
      <c r="AD559">
        <v>7.8400958779497854E-8</v>
      </c>
      <c r="AE559">
        <v>9.3081880743043646E-2</v>
      </c>
      <c r="AF559">
        <v>2.3060397523187817E-3</v>
      </c>
      <c r="AG559">
        <v>4.7208947911911887E-2</v>
      </c>
      <c r="AH559">
        <v>4.7209464054325016E-2</v>
      </c>
      <c r="AI559">
        <v>2.3604732027162507</v>
      </c>
      <c r="AJ559"/>
      <c r="AK559"/>
      <c r="AL559"/>
      <c r="AM559"/>
      <c r="AN559"/>
      <c r="AO559"/>
      <c r="AP559"/>
      <c r="AQ559"/>
      <c r="AR559"/>
    </row>
    <row r="560" spans="1:44" ht="15" customHeight="1" x14ac:dyDescent="0.3">
      <c r="A560" s="2">
        <v>5.59</v>
      </c>
      <c r="B560" s="1">
        <f t="shared" si="124"/>
        <v>2.5703957827688596E-6</v>
      </c>
      <c r="C560" s="1">
        <f t="shared" si="125"/>
        <v>3.9293559644422403E-9</v>
      </c>
      <c r="D560" s="1">
        <f t="shared" si="126"/>
        <v>1.5993823248930703E-2</v>
      </c>
      <c r="E560" s="1">
        <f t="shared" si="127"/>
        <v>6.6769612517821617E-4</v>
      </c>
      <c r="F560" s="1">
        <f t="shared" si="128"/>
        <v>0.17282198303686061</v>
      </c>
      <c r="G560" s="1">
        <f t="shared" si="129"/>
        <v>0.17268922770446865</v>
      </c>
      <c r="H560" s="1">
        <f t="shared" si="137"/>
        <v>1.7268922770446864</v>
      </c>
      <c r="J560" s="2">
        <v>9.58</v>
      </c>
      <c r="K560" s="1">
        <v>2.6302679918953798E-10</v>
      </c>
      <c r="L560" s="1">
        <v>3.8399129028376711E-5</v>
      </c>
      <c r="M560" s="1">
        <v>-3.0242349244939591E-5</v>
      </c>
      <c r="N560" s="1">
        <v>3.3383737248741563E-3</v>
      </c>
      <c r="O560" s="1">
        <v>0.99951046094649132</v>
      </c>
      <c r="P560" s="1">
        <v>1.0018150898805172</v>
      </c>
      <c r="Q560" s="2">
        <v>10.018150898805171</v>
      </c>
      <c r="S560" s="2">
        <v>5.59</v>
      </c>
      <c r="T560" s="1">
        <f t="shared" si="130"/>
        <v>2.5703957827688596E-6</v>
      </c>
      <c r="U560" s="1">
        <f t="shared" si="131"/>
        <v>3.9293559644422403E-9</v>
      </c>
      <c r="V560" s="1">
        <f t="shared" si="132"/>
        <v>4.0272066157155416E-2</v>
      </c>
      <c r="W560" s="1">
        <f t="shared" si="133"/>
        <v>1.9909311280948194E-2</v>
      </c>
      <c r="X560" s="1">
        <f t="shared" si="134"/>
        <v>0.49713714206078763</v>
      </c>
      <c r="Y560" s="1">
        <f t="shared" si="135"/>
        <v>0.4971691865651845</v>
      </c>
      <c r="Z560" s="1">
        <f t="shared" si="136"/>
        <v>24.858459328259226</v>
      </c>
      <c r="AB560">
        <v>6.9</v>
      </c>
      <c r="AC560">
        <v>1.2589254117941651E-7</v>
      </c>
      <c r="AD560">
        <v>8.0227151707152563E-8</v>
      </c>
      <c r="AE560">
        <v>9.3228698691499495E-2</v>
      </c>
      <c r="AF560">
        <v>2.2571004361668398E-3</v>
      </c>
      <c r="AG560">
        <v>4.618397067294016E-2</v>
      </c>
      <c r="AH560">
        <v>4.6184437871986603E-2</v>
      </c>
      <c r="AI560">
        <v>2.3092218935993301</v>
      </c>
      <c r="AJ560"/>
      <c r="AK560"/>
      <c r="AL560"/>
      <c r="AM560"/>
      <c r="AN560"/>
      <c r="AO560"/>
      <c r="AP560"/>
      <c r="AQ560"/>
      <c r="AR560"/>
    </row>
    <row r="561" spans="1:44" ht="15" customHeight="1" x14ac:dyDescent="0.3">
      <c r="A561" s="2">
        <v>5.6</v>
      </c>
      <c r="B561" s="1">
        <f t="shared" si="124"/>
        <v>2.5118864315095806E-6</v>
      </c>
      <c r="C561" s="1">
        <f t="shared" si="125"/>
        <v>4.0208824225903214E-9</v>
      </c>
      <c r="D561" s="1">
        <f t="shared" si="126"/>
        <v>1.5919435018526721E-2</v>
      </c>
      <c r="E561" s="1">
        <f t="shared" si="127"/>
        <v>6.8009416357887962E-4</v>
      </c>
      <c r="F561" s="1">
        <f t="shared" si="128"/>
        <v>0.17613847149442752</v>
      </c>
      <c r="G561" s="1">
        <f t="shared" si="129"/>
        <v>0.17600866415632138</v>
      </c>
      <c r="H561" s="1">
        <f t="shared" si="137"/>
        <v>1.7600866415632137</v>
      </c>
      <c r="J561" s="2">
        <v>9.59</v>
      </c>
      <c r="K561" s="1">
        <v>2.5703957827688617E-10</v>
      </c>
      <c r="L561" s="1">
        <v>3.9293559644422369E-5</v>
      </c>
      <c r="M561" s="1">
        <v>-3.1322448134654367E-5</v>
      </c>
      <c r="N561" s="1">
        <v>3.338553741355776E-3</v>
      </c>
      <c r="O561" s="1">
        <v>0.99952159888484737</v>
      </c>
      <c r="P561" s="1">
        <v>1.0018799357299732</v>
      </c>
      <c r="Q561" s="2">
        <v>10.018799357299732</v>
      </c>
      <c r="S561" s="2">
        <v>5.6</v>
      </c>
      <c r="T561" s="1">
        <f t="shared" si="130"/>
        <v>2.5118864315095806E-6</v>
      </c>
      <c r="U561" s="1">
        <f t="shared" si="131"/>
        <v>4.0208824225903214E-9</v>
      </c>
      <c r="V561" s="1">
        <f t="shared" si="132"/>
        <v>4.0827218144235289E-2</v>
      </c>
      <c r="W561" s="1">
        <f t="shared" si="133"/>
        <v>1.9724260618588237E-2</v>
      </c>
      <c r="X561" s="1">
        <f t="shared" si="134"/>
        <v>0.49138150175370787</v>
      </c>
      <c r="Y561" s="1">
        <f t="shared" si="135"/>
        <v>0.49141274239463395</v>
      </c>
      <c r="Z561" s="1">
        <f t="shared" si="136"/>
        <v>24.5706371197317</v>
      </c>
      <c r="AB561">
        <v>6.91</v>
      </c>
      <c r="AC561">
        <v>1.2302687708123796E-7</v>
      </c>
      <c r="AD561">
        <v>8.2095882132574147E-8</v>
      </c>
      <c r="AE561">
        <v>9.3372622891127577E-2</v>
      </c>
      <c r="AF561">
        <v>2.2091257029574784E-3</v>
      </c>
      <c r="AG561">
        <v>4.5180191982940758E-2</v>
      </c>
      <c r="AH561">
        <v>4.5180610539326954E-2</v>
      </c>
      <c r="AI561">
        <v>2.2590305269663475</v>
      </c>
      <c r="AJ561"/>
      <c r="AK561"/>
      <c r="AL561"/>
      <c r="AM561"/>
      <c r="AN561"/>
      <c r="AO561"/>
      <c r="AP561"/>
      <c r="AQ561"/>
      <c r="AR561"/>
    </row>
    <row r="562" spans="1:44" ht="15" customHeight="1" x14ac:dyDescent="0.3">
      <c r="A562" s="2">
        <v>5.61</v>
      </c>
      <c r="B562" s="1">
        <f t="shared" si="124"/>
        <v>2.4547089156850267E-6</v>
      </c>
      <c r="C562" s="1">
        <f t="shared" si="125"/>
        <v>4.1145408058215441E-9</v>
      </c>
      <c r="D562" s="1">
        <f t="shared" si="126"/>
        <v>1.5844029029635779E-2</v>
      </c>
      <c r="E562" s="1">
        <f t="shared" si="127"/>
        <v>6.9266182839403687E-4</v>
      </c>
      <c r="F562" s="1">
        <f t="shared" si="128"/>
        <v>0.17950479271357711</v>
      </c>
      <c r="G562" s="1">
        <f t="shared" si="129"/>
        <v>0.1793778671709105</v>
      </c>
      <c r="H562" s="1">
        <f t="shared" si="137"/>
        <v>1.7937786717091049</v>
      </c>
      <c r="J562" s="2">
        <v>9.6</v>
      </c>
      <c r="K562" s="1">
        <v>2.5118864315095784E-10</v>
      </c>
      <c r="L562" s="1">
        <v>4.0208824225903246E-5</v>
      </c>
      <c r="M562" s="1">
        <v>-3.2419157995525045E-5</v>
      </c>
      <c r="N562" s="1">
        <v>3.338736526332587E-3</v>
      </c>
      <c r="O562" s="1">
        <v>0.99953248353259372</v>
      </c>
      <c r="P562" s="1">
        <v>1.0019457802853164</v>
      </c>
      <c r="Q562" s="2">
        <v>10.019457802853164</v>
      </c>
      <c r="S562" s="2">
        <v>5.61</v>
      </c>
      <c r="T562" s="1">
        <f t="shared" si="130"/>
        <v>2.4547089156850267E-6</v>
      </c>
      <c r="U562" s="1">
        <f t="shared" si="131"/>
        <v>4.1145408058215441E-9</v>
      </c>
      <c r="V562" s="1">
        <f t="shared" si="132"/>
        <v>4.1384717724068515E-2</v>
      </c>
      <c r="W562" s="1">
        <f t="shared" si="133"/>
        <v>1.9538427425310496E-2</v>
      </c>
      <c r="X562" s="1">
        <f t="shared" si="134"/>
        <v>0.48562814528605919</v>
      </c>
      <c r="Y562" s="1">
        <f t="shared" si="135"/>
        <v>0.48565860199099875</v>
      </c>
      <c r="Z562" s="1">
        <f t="shared" si="136"/>
        <v>24.282930099549937</v>
      </c>
      <c r="AB562">
        <v>6.92</v>
      </c>
      <c r="AC562">
        <v>1.2022644346174111E-7</v>
      </c>
      <c r="AD562">
        <v>8.4008140881369888E-8</v>
      </c>
      <c r="AE562">
        <v>9.3513701031564977E-2</v>
      </c>
      <c r="AF562">
        <v>2.1620996561450057E-3</v>
      </c>
      <c r="AG562">
        <v>4.4197218856802889E-2</v>
      </c>
      <c r="AH562">
        <v>4.4197589043636965E-2</v>
      </c>
      <c r="AI562">
        <v>2.2098794521818483</v>
      </c>
      <c r="AJ562"/>
      <c r="AK562"/>
      <c r="AL562"/>
      <c r="AM562"/>
      <c r="AN562"/>
      <c r="AO562"/>
      <c r="AP562"/>
      <c r="AQ562"/>
      <c r="AR562"/>
    </row>
    <row r="563" spans="1:44" ht="15" customHeight="1" x14ac:dyDescent="0.3">
      <c r="A563" s="2">
        <v>5.62</v>
      </c>
      <c r="B563" s="1">
        <f t="shared" si="124"/>
        <v>2.3988329190194872E-6</v>
      </c>
      <c r="C563" s="1">
        <f t="shared" si="125"/>
        <v>4.2103807730503927E-9</v>
      </c>
      <c r="D563" s="1">
        <f t="shared" si="126"/>
        <v>1.5767604511231728E-2</v>
      </c>
      <c r="E563" s="1">
        <f t="shared" si="127"/>
        <v>7.0539924812804567E-4</v>
      </c>
      <c r="F563" s="1">
        <f t="shared" si="128"/>
        <v>0.1829211658000259</v>
      </c>
      <c r="G563" s="1">
        <f t="shared" si="129"/>
        <v>0.18279705737357849</v>
      </c>
      <c r="H563" s="1">
        <f t="shared" si="137"/>
        <v>1.8279705737357848</v>
      </c>
      <c r="J563" s="2">
        <v>9.61</v>
      </c>
      <c r="K563" s="1">
        <v>2.4547089156850289E-10</v>
      </c>
      <c r="L563" s="1">
        <v>4.1145408058215405E-5</v>
      </c>
      <c r="M563" s="1">
        <v>-3.3533060090184211E-5</v>
      </c>
      <c r="N563" s="1">
        <v>3.3389221766816973E-3</v>
      </c>
      <c r="O563" s="1">
        <v>0.99954312064454265</v>
      </c>
      <c r="P563" s="1">
        <v>1.0020126585113991</v>
      </c>
      <c r="Q563" s="2">
        <v>10.02012658511399</v>
      </c>
      <c r="S563" s="2">
        <v>5.62</v>
      </c>
      <c r="T563" s="1">
        <f t="shared" si="130"/>
        <v>2.3988329190194872E-6</v>
      </c>
      <c r="U563" s="1">
        <f t="shared" si="131"/>
        <v>4.2103807730503927E-9</v>
      </c>
      <c r="V563" s="1">
        <f t="shared" si="132"/>
        <v>4.1944431184653512E-2</v>
      </c>
      <c r="W563" s="1">
        <f t="shared" si="133"/>
        <v>1.9351856271782163E-2</v>
      </c>
      <c r="X563" s="1">
        <f t="shared" si="134"/>
        <v>0.4798785952401895</v>
      </c>
      <c r="Y563" s="1">
        <f t="shared" si="135"/>
        <v>0.47990828746157921</v>
      </c>
      <c r="Z563" s="1">
        <f t="shared" si="136"/>
        <v>23.995414373078962</v>
      </c>
      <c r="AB563">
        <v>6.93</v>
      </c>
      <c r="AC563">
        <v>1.174897554939528E-7</v>
      </c>
      <c r="AD563">
        <v>8.5964941858440139E-8</v>
      </c>
      <c r="AE563">
        <v>9.3651980414185459E-2</v>
      </c>
      <c r="AF563">
        <v>2.1160065286048467E-3</v>
      </c>
      <c r="AG563">
        <v>4.3234663628969931E-2</v>
      </c>
      <c r="AH563">
        <v>4.3234985691980615E-2</v>
      </c>
      <c r="AI563">
        <v>2.1617492845990305</v>
      </c>
      <c r="AJ563"/>
      <c r="AK563"/>
      <c r="AL563"/>
      <c r="AM563"/>
      <c r="AN563"/>
      <c r="AO563"/>
      <c r="AP563"/>
      <c r="AQ563"/>
      <c r="AR563"/>
    </row>
    <row r="564" spans="1:44" ht="15" customHeight="1" x14ac:dyDescent="0.3">
      <c r="A564" s="2">
        <v>5.63</v>
      </c>
      <c r="B564" s="1">
        <f t="shared" si="124"/>
        <v>2.3442288153199192E-6</v>
      </c>
      <c r="C564" s="1">
        <f t="shared" si="125"/>
        <v>4.3084531398960907E-9</v>
      </c>
      <c r="D564" s="1">
        <f t="shared" si="126"/>
        <v>1.569016122118097E-2</v>
      </c>
      <c r="E564" s="1">
        <f t="shared" si="127"/>
        <v>7.1830646313650489E-4</v>
      </c>
      <c r="F564" s="1">
        <f t="shared" si="128"/>
        <v>0.1863877894944134</v>
      </c>
      <c r="G564" s="1">
        <f t="shared" si="129"/>
        <v>0.18626643499006415</v>
      </c>
      <c r="H564" s="1">
        <f t="shared" si="137"/>
        <v>1.8626643499006414</v>
      </c>
      <c r="J564" s="2">
        <v>9.6199999999999992</v>
      </c>
      <c r="K564" s="1">
        <v>2.3988329190194892E-10</v>
      </c>
      <c r="L564" s="1">
        <v>4.2103807730503895E-5</v>
      </c>
      <c r="M564" s="1">
        <v>-3.4664744807017844E-5</v>
      </c>
      <c r="N564" s="1">
        <v>3.3391107908011695E-3</v>
      </c>
      <c r="O564" s="1">
        <v>0.9995535158449953</v>
      </c>
      <c r="P564" s="1">
        <v>1.0020806059251555</v>
      </c>
      <c r="Q564" s="2">
        <v>10.020806059251553</v>
      </c>
      <c r="S564" s="2">
        <v>5.63</v>
      </c>
      <c r="T564" s="1">
        <f t="shared" si="130"/>
        <v>2.3442288153199192E-6</v>
      </c>
      <c r="U564" s="1">
        <f t="shared" si="131"/>
        <v>4.3084531398960907E-9</v>
      </c>
      <c r="V564" s="1">
        <f t="shared" si="132"/>
        <v>4.2506222569507174E-2</v>
      </c>
      <c r="W564" s="1">
        <f t="shared" si="133"/>
        <v>1.916459247683094E-2</v>
      </c>
      <c r="X564" s="1">
        <f t="shared" si="134"/>
        <v>0.47413437016835042</v>
      </c>
      <c r="Y564" s="1">
        <f t="shared" si="135"/>
        <v>0.47416331689397323</v>
      </c>
      <c r="Z564" s="1">
        <f t="shared" si="136"/>
        <v>23.708165844698662</v>
      </c>
      <c r="AB564">
        <v>6.94</v>
      </c>
      <c r="AC564">
        <v>1.1481536214968794E-7</v>
      </c>
      <c r="AD564">
        <v>8.7967322585564398E-8</v>
      </c>
      <c r="AE564">
        <v>9.3787507936725689E-2</v>
      </c>
      <c r="AF564">
        <v>2.0708306877581049E-3</v>
      </c>
      <c r="AG564">
        <v>4.2292143970620907E-2</v>
      </c>
      <c r="AH564">
        <v>4.2292418128359127E-2</v>
      </c>
      <c r="AI564">
        <v>2.1146209064179566</v>
      </c>
      <c r="AJ564"/>
      <c r="AK564"/>
      <c r="AL564"/>
      <c r="AM564"/>
      <c r="AN564"/>
      <c r="AO564"/>
      <c r="AP564"/>
      <c r="AQ564"/>
      <c r="AR564"/>
    </row>
    <row r="565" spans="1:44" ht="15" customHeight="1" x14ac:dyDescent="0.3">
      <c r="A565" s="2">
        <v>5.64</v>
      </c>
      <c r="B565" s="1">
        <f t="shared" si="124"/>
        <v>2.2908676527677705E-6</v>
      </c>
      <c r="C565" s="1">
        <f t="shared" si="125"/>
        <v>4.4088099056256807E-9</v>
      </c>
      <c r="D565" s="1">
        <f t="shared" si="126"/>
        <v>1.5611699460707397E-2</v>
      </c>
      <c r="E565" s="1">
        <f t="shared" si="127"/>
        <v>7.3138342321543389E-4</v>
      </c>
      <c r="F565" s="1">
        <f t="shared" si="128"/>
        <v>0.18990484139524341</v>
      </c>
      <c r="G565" s="1">
        <f t="shared" si="129"/>
        <v>0.18978617907022644</v>
      </c>
      <c r="H565" s="1">
        <f t="shared" si="137"/>
        <v>1.8978617907022644</v>
      </c>
      <c r="J565" s="2">
        <v>9.6300000000000008</v>
      </c>
      <c r="K565" s="1">
        <v>2.3442288153199129E-10</v>
      </c>
      <c r="L565" s="1">
        <v>4.3084531398961024E-5</v>
      </c>
      <c r="M565" s="1">
        <v>-3.5814811972784968E-5</v>
      </c>
      <c r="N565" s="1">
        <v>3.339302468662131E-3</v>
      </c>
      <c r="O565" s="1">
        <v>0.99956367463069151</v>
      </c>
      <c r="P565" s="1">
        <v>1.002149658614558</v>
      </c>
      <c r="Q565" s="2">
        <v>10.021496586145579</v>
      </c>
      <c r="S565" s="2">
        <v>5.64</v>
      </c>
      <c r="T565" s="1">
        <f t="shared" si="130"/>
        <v>2.2908676527677705E-6</v>
      </c>
      <c r="U565" s="1">
        <f t="shared" si="131"/>
        <v>4.4088099056256807E-9</v>
      </c>
      <c r="V565" s="1">
        <f t="shared" si="132"/>
        <v>4.3069953803093891E-2</v>
      </c>
      <c r="W565" s="1">
        <f t="shared" si="133"/>
        <v>1.8976682065635367E-2</v>
      </c>
      <c r="X565" s="1">
        <f t="shared" si="134"/>
        <v>0.46839698299162824</v>
      </c>
      <c r="Y565" s="1">
        <f t="shared" si="135"/>
        <v>0.4684252027547921</v>
      </c>
      <c r="Z565" s="1">
        <f t="shared" si="136"/>
        <v>23.421260137739605</v>
      </c>
      <c r="AB565">
        <v>6.95</v>
      </c>
      <c r="AC565">
        <v>1.1220184543019621E-7</v>
      </c>
      <c r="AD565">
        <v>9.0016344751508404E-8</v>
      </c>
      <c r="AE565">
        <v>9.3920330078946082E-2</v>
      </c>
      <c r="AF565">
        <v>2.0265566403513072E-3</v>
      </c>
      <c r="AG565">
        <v>4.1369282901730087E-2</v>
      </c>
      <c r="AH565">
        <v>4.1369509345753265E-2</v>
      </c>
      <c r="AI565">
        <v>2.0684754672876631</v>
      </c>
      <c r="AJ565"/>
      <c r="AK565"/>
      <c r="AL565"/>
      <c r="AM565"/>
      <c r="AN565"/>
      <c r="AO565"/>
      <c r="AP565"/>
      <c r="AQ565"/>
      <c r="AR565"/>
    </row>
    <row r="566" spans="1:44" ht="15" customHeight="1" x14ac:dyDescent="0.3">
      <c r="A566" s="2">
        <v>5.65</v>
      </c>
      <c r="B566" s="1">
        <f t="shared" si="124"/>
        <v>2.2387211385683329E-6</v>
      </c>
      <c r="C566" s="1">
        <f t="shared" si="125"/>
        <v>4.5115042807247405E-9</v>
      </c>
      <c r="D566" s="1">
        <f t="shared" si="126"/>
        <v>1.5532220088566331E-2</v>
      </c>
      <c r="E566" s="1">
        <f t="shared" si="127"/>
        <v>7.4462998523894481E-4</v>
      </c>
      <c r="F566" s="1">
        <f t="shared" si="128"/>
        <v>0.19347247718289254</v>
      </c>
      <c r="G566" s="1">
        <f t="shared" si="129"/>
        <v>0.19335644671281721</v>
      </c>
      <c r="H566" s="1">
        <f t="shared" si="137"/>
        <v>1.933564467128172</v>
      </c>
      <c r="J566" s="2">
        <v>9.64</v>
      </c>
      <c r="K566" s="1">
        <v>2.2908676527677644E-10</v>
      </c>
      <c r="L566" s="1">
        <v>4.4088099056256926E-5</v>
      </c>
      <c r="M566" s="1">
        <v>-3.698387117018398E-5</v>
      </c>
      <c r="N566" s="1">
        <v>3.3394973118616974E-3</v>
      </c>
      <c r="O566" s="1">
        <v>0.99957360237369264</v>
      </c>
      <c r="P566" s="1">
        <v>1.0022198532578801</v>
      </c>
      <c r="Q566" s="2">
        <v>10.0221985325788</v>
      </c>
      <c r="S566" s="2">
        <v>5.65</v>
      </c>
      <c r="T566" s="1">
        <f t="shared" si="130"/>
        <v>2.2387211385683329E-6</v>
      </c>
      <c r="U566" s="1">
        <f t="shared" si="131"/>
        <v>4.5115042807247405E-9</v>
      </c>
      <c r="V566" s="1">
        <f t="shared" si="132"/>
        <v>4.3635484820772806E-2</v>
      </c>
      <c r="W566" s="1">
        <f t="shared" si="133"/>
        <v>1.8788171726409064E-2</v>
      </c>
      <c r="X566" s="1">
        <f t="shared" si="134"/>
        <v>0.46266793941151141</v>
      </c>
      <c r="Y566" s="1">
        <f t="shared" si="135"/>
        <v>0.46269545030101827</v>
      </c>
      <c r="Z566" s="1">
        <f t="shared" si="136"/>
        <v>23.134772515050916</v>
      </c>
      <c r="AB566">
        <v>6.96</v>
      </c>
      <c r="AC566">
        <v>1.0964781961431838E-7</v>
      </c>
      <c r="AD566">
        <v>9.2113094774946972E-8</v>
      </c>
      <c r="AE566">
        <v>9.4050492889293152E-2</v>
      </c>
      <c r="AF566">
        <v>1.9831690369022837E-3</v>
      </c>
      <c r="AG566">
        <v>4.0465708798247166E-2</v>
      </c>
      <c r="AH566">
        <v>4.0465887693286594E-2</v>
      </c>
      <c r="AI566">
        <v>2.0232943846643292</v>
      </c>
      <c r="AJ566"/>
      <c r="AK566"/>
      <c r="AL566"/>
      <c r="AM566"/>
      <c r="AN566"/>
      <c r="AO566"/>
      <c r="AP566"/>
      <c r="AQ566"/>
      <c r="AR566"/>
    </row>
    <row r="567" spans="1:44" ht="15" customHeight="1" x14ac:dyDescent="0.3">
      <c r="A567" s="2">
        <v>5.66</v>
      </c>
      <c r="B567" s="1">
        <f t="shared" si="124"/>
        <v>2.1877616239495505E-6</v>
      </c>
      <c r="C567" s="1">
        <f t="shared" si="125"/>
        <v>4.6165907151102417E-9</v>
      </c>
      <c r="D567" s="1">
        <f t="shared" si="126"/>
        <v>1.5451724534889013E-2</v>
      </c>
      <c r="E567" s="1">
        <f t="shared" si="127"/>
        <v>7.5804591085183097E-4</v>
      </c>
      <c r="F567" s="1">
        <f t="shared" si="128"/>
        <v>0.19709082984618417</v>
      </c>
      <c r="G567" s="1">
        <f t="shared" si="129"/>
        <v>0.19697737229280263</v>
      </c>
      <c r="H567" s="1">
        <f t="shared" si="137"/>
        <v>1.9697737229280261</v>
      </c>
      <c r="J567" s="2">
        <v>9.65</v>
      </c>
      <c r="K567" s="1">
        <v>2.238721138568331E-10</v>
      </c>
      <c r="L567" s="1">
        <v>4.5115042807247443E-5</v>
      </c>
      <c r="M567" s="1">
        <v>-3.8172542060654155E-5</v>
      </c>
      <c r="N567" s="1">
        <v>3.3396954236767757E-3</v>
      </c>
      <c r="O567" s="1">
        <v>0.99958330432419917</v>
      </c>
      <c r="P567" s="1">
        <v>1.0022912271432842</v>
      </c>
      <c r="Q567" s="2">
        <v>10.022912271432842</v>
      </c>
      <c r="S567" s="2">
        <v>5.66</v>
      </c>
      <c r="T567" s="1">
        <f t="shared" si="130"/>
        <v>2.1877616239495505E-6</v>
      </c>
      <c r="U567" s="1">
        <f t="shared" si="131"/>
        <v>4.6165907151102417E-9</v>
      </c>
      <c r="V567" s="1">
        <f t="shared" si="132"/>
        <v>4.4202673703017767E-2</v>
      </c>
      <c r="W567" s="1">
        <f t="shared" si="133"/>
        <v>1.8599108765660746E-2</v>
      </c>
      <c r="X567" s="1">
        <f t="shared" si="134"/>
        <v>0.45694873633763083</v>
      </c>
      <c r="Y567" s="1">
        <f t="shared" si="135"/>
        <v>0.45697555600754025</v>
      </c>
      <c r="Z567" s="1">
        <f t="shared" si="136"/>
        <v>22.848777800377011</v>
      </c>
      <c r="AB567">
        <v>6.97</v>
      </c>
      <c r="AC567">
        <v>1.0715193052376054E-7</v>
      </c>
      <c r="AD567">
        <v>9.4258684380496176E-8</v>
      </c>
      <c r="AE567">
        <v>9.4178041972530435E-2</v>
      </c>
      <c r="AF567">
        <v>1.9406526758231871E-3</v>
      </c>
      <c r="AG567">
        <v>3.9581055394637396E-2</v>
      </c>
      <c r="AH567">
        <v>3.9581186878748752E-2</v>
      </c>
      <c r="AI567">
        <v>1.9790593439374375</v>
      </c>
      <c r="AJ567"/>
      <c r="AK567"/>
      <c r="AL567"/>
      <c r="AM567"/>
      <c r="AN567"/>
      <c r="AO567"/>
      <c r="AP567"/>
      <c r="AQ567"/>
      <c r="AR567"/>
    </row>
    <row r="568" spans="1:44" ht="15" customHeight="1" x14ac:dyDescent="0.3">
      <c r="A568" s="2">
        <v>5.67</v>
      </c>
      <c r="B568" s="1">
        <f t="shared" si="124"/>
        <v>2.1379620895022301E-6</v>
      </c>
      <c r="C568" s="1">
        <f t="shared" si="125"/>
        <v>4.7241249270007054E-9</v>
      </c>
      <c r="D568" s="1">
        <f t="shared" si="126"/>
        <v>1.5370214814658046E-2</v>
      </c>
      <c r="E568" s="1">
        <f t="shared" si="127"/>
        <v>7.7163086422365882E-4</v>
      </c>
      <c r="F568" s="1">
        <f t="shared" si="128"/>
        <v>0.20076000891310181</v>
      </c>
      <c r="G568" s="1">
        <f t="shared" si="129"/>
        <v>0.20064906669280677</v>
      </c>
      <c r="H568" s="1">
        <f t="shared" si="137"/>
        <v>2.0064906669280678</v>
      </c>
      <c r="J568" s="2">
        <v>9.66</v>
      </c>
      <c r="K568" s="1">
        <v>2.1877616239495448E-10</v>
      </c>
      <c r="L568" s="1">
        <v>4.6165907151102537E-5</v>
      </c>
      <c r="M568" s="1">
        <v>-3.9381454712523143E-5</v>
      </c>
      <c r="N568" s="1">
        <v>3.3398969091187536E-3</v>
      </c>
      <c r="O568" s="1">
        <v>0.99959278561330578</v>
      </c>
      <c r="P568" s="1">
        <v>1.0023638181887409</v>
      </c>
      <c r="Q568" s="2">
        <v>10.023638181887408</v>
      </c>
      <c r="S568" s="2">
        <v>5.67</v>
      </c>
      <c r="T568" s="1">
        <f t="shared" si="130"/>
        <v>2.1379620895022301E-6</v>
      </c>
      <c r="U568" s="1">
        <f t="shared" si="131"/>
        <v>4.7241249270007054E-9</v>
      </c>
      <c r="V568" s="1">
        <f t="shared" si="132"/>
        <v>4.4771376813649934E-2</v>
      </c>
      <c r="W568" s="1">
        <f t="shared" si="133"/>
        <v>1.8409541062116688E-2</v>
      </c>
      <c r="X568" s="1">
        <f t="shared" si="134"/>
        <v>0.45124086033513289</v>
      </c>
      <c r="Y568" s="1">
        <f t="shared" si="135"/>
        <v>0.45126700601432562</v>
      </c>
      <c r="Z568" s="1">
        <f t="shared" si="136"/>
        <v>22.56335030071628</v>
      </c>
      <c r="AB568">
        <v>6.98</v>
      </c>
      <c r="AC568">
        <v>1.0471285480508987E-7</v>
      </c>
      <c r="AD568">
        <v>9.6454251188165109E-8</v>
      </c>
      <c r="AE568">
        <v>9.4303022478305784E-2</v>
      </c>
      <c r="AF568">
        <v>1.8989925072314085E-3</v>
      </c>
      <c r="AG568">
        <v>3.8714961782009873E-2</v>
      </c>
      <c r="AH568">
        <v>3.8715045966707134E-2</v>
      </c>
      <c r="AI568">
        <v>1.9357522983353566</v>
      </c>
      <c r="AJ568"/>
      <c r="AK568"/>
      <c r="AL568"/>
      <c r="AM568"/>
      <c r="AN568"/>
      <c r="AO568"/>
      <c r="AP568"/>
      <c r="AQ568"/>
      <c r="AR568"/>
    </row>
    <row r="569" spans="1:44" ht="15" customHeight="1" x14ac:dyDescent="0.3">
      <c r="A569" s="2">
        <v>5.68</v>
      </c>
      <c r="B569" s="1">
        <f t="shared" si="124"/>
        <v>2.0892961308540377E-6</v>
      </c>
      <c r="C569" s="1">
        <f t="shared" si="125"/>
        <v>4.8341639324586514E-9</v>
      </c>
      <c r="D569" s="1">
        <f t="shared" si="126"/>
        <v>1.5287693540774003E-2</v>
      </c>
      <c r="E569" s="1">
        <f t="shared" si="127"/>
        <v>7.8538440987099942E-4</v>
      </c>
      <c r="F569" s="1">
        <f t="shared" si="128"/>
        <v>0.20448009968725797</v>
      </c>
      <c r="G569" s="1">
        <f t="shared" si="129"/>
        <v>0.20437161654029393</v>
      </c>
      <c r="H569" s="1">
        <f t="shared" si="137"/>
        <v>2.0437161654029392</v>
      </c>
      <c r="J569" s="2">
        <v>9.67</v>
      </c>
      <c r="K569" s="1">
        <v>2.1379620895022245E-10</v>
      </c>
      <c r="L569" s="1">
        <v>4.724124927000718E-5</v>
      </c>
      <c r="M569" s="1">
        <v>-4.061124993470296E-5</v>
      </c>
      <c r="N569" s="1">
        <v>3.340101874989117E-3</v>
      </c>
      <c r="O569" s="1">
        <v>0.99960205125569512</v>
      </c>
      <c r="P569" s="1">
        <v>1.0024376649622926</v>
      </c>
      <c r="Q569" s="2">
        <v>10.024376649622925</v>
      </c>
      <c r="S569" s="2">
        <v>5.68</v>
      </c>
      <c r="T569" s="1">
        <f t="shared" si="130"/>
        <v>2.0892961308540377E-6</v>
      </c>
      <c r="U569" s="1">
        <f t="shared" si="131"/>
        <v>4.8341639324586514E-9</v>
      </c>
      <c r="V569" s="1">
        <f t="shared" si="132"/>
        <v>4.5341448941806521E-2</v>
      </c>
      <c r="W569" s="1">
        <f t="shared" si="133"/>
        <v>1.8219517019397828E-2</v>
      </c>
      <c r="X569" s="1">
        <f t="shared" si="134"/>
        <v>0.44554578609509249</v>
      </c>
      <c r="Y569" s="1">
        <f t="shared" si="135"/>
        <v>0.44557127459663898</v>
      </c>
      <c r="Z569" s="1">
        <f t="shared" si="136"/>
        <v>22.278563729831948</v>
      </c>
      <c r="AB569">
        <v>6.99</v>
      </c>
      <c r="AC569">
        <v>1.0232929922807534E-7</v>
      </c>
      <c r="AD569">
        <v>9.8700959316536942E-8</v>
      </c>
      <c r="AE569">
        <v>9.442547909062235E-2</v>
      </c>
      <c r="AF569">
        <v>1.8581736364592148E-3</v>
      </c>
      <c r="AG569">
        <v>3.7867072402059165E-2</v>
      </c>
      <c r="AH569">
        <v>3.7867109372432005E-2</v>
      </c>
      <c r="AI569">
        <v>1.8933554686216003</v>
      </c>
      <c r="AJ569"/>
      <c r="AK569"/>
      <c r="AL569"/>
      <c r="AM569"/>
      <c r="AN569"/>
      <c r="AO569"/>
      <c r="AP569"/>
      <c r="AQ569"/>
      <c r="AR569"/>
    </row>
    <row r="570" spans="1:44" ht="15" customHeight="1" x14ac:dyDescent="0.3">
      <c r="A570" s="2">
        <v>5.69</v>
      </c>
      <c r="B570" s="1">
        <f t="shared" si="124"/>
        <v>2.0417379446695244E-6</v>
      </c>
      <c r="C570" s="1">
        <f t="shared" si="125"/>
        <v>4.9467660756213184E-9</v>
      </c>
      <c r="D570" s="1">
        <f t="shared" si="126"/>
        <v>1.5204163936672364E-2</v>
      </c>
      <c r="E570" s="1">
        <f t="shared" si="127"/>
        <v>7.9930601055460619E-4</v>
      </c>
      <c r="F570" s="1">
        <f t="shared" si="128"/>
        <v>0.20825116249181586</v>
      </c>
      <c r="G570" s="1">
        <f t="shared" si="129"/>
        <v>0.20814508345218774</v>
      </c>
      <c r="H570" s="1">
        <f t="shared" si="137"/>
        <v>2.0814508345218772</v>
      </c>
      <c r="J570" s="2">
        <v>9.68</v>
      </c>
      <c r="K570" s="1">
        <v>2.0892961308540397E-10</v>
      </c>
      <c r="L570" s="1">
        <v>4.8341639324586466E-5</v>
      </c>
      <c r="M570" s="1">
        <v>-4.1862579616066799E-5</v>
      </c>
      <c r="N570" s="1">
        <v>3.3403104299360108E-3</v>
      </c>
      <c r="O570" s="1">
        <v>0.99961110615226911</v>
      </c>
      <c r="P570" s="1">
        <v>1.0025128067026705</v>
      </c>
      <c r="Q570" s="2">
        <v>10.025128067026705</v>
      </c>
      <c r="S570" s="2">
        <v>5.69</v>
      </c>
      <c r="T570" s="1">
        <f t="shared" si="130"/>
        <v>2.0417379446695244E-6</v>
      </c>
      <c r="U570" s="1">
        <f t="shared" si="131"/>
        <v>4.9467660756213184E-9</v>
      </c>
      <c r="V570" s="1">
        <f t="shared" si="132"/>
        <v>4.5912743447357796E-2</v>
      </c>
      <c r="W570" s="1">
        <f t="shared" si="133"/>
        <v>1.8029085517547404E-2</v>
      </c>
      <c r="X570" s="1">
        <f t="shared" si="134"/>
        <v>0.43986497493125687</v>
      </c>
      <c r="Y570" s="1">
        <f t="shared" si="135"/>
        <v>0.43988982266159454</v>
      </c>
      <c r="Z570" s="1">
        <f t="shared" si="136"/>
        <v>21.994491133079727</v>
      </c>
      <c r="AB570">
        <v>7</v>
      </c>
      <c r="AC570">
        <v>9.9999999999999995E-8</v>
      </c>
      <c r="AD570">
        <v>1.0099999999999999E-7</v>
      </c>
      <c r="AE570">
        <v>9.4545456018181817E-2</v>
      </c>
      <c r="AF570">
        <v>1.8181813272727275E-3</v>
      </c>
      <c r="AG570">
        <v>3.7037037037037035E-2</v>
      </c>
      <c r="AH570">
        <v>3.7037026851851902E-2</v>
      </c>
      <c r="AI570">
        <v>1.8518513425925953</v>
      </c>
      <c r="AJ570"/>
      <c r="AK570"/>
      <c r="AL570"/>
      <c r="AM570"/>
      <c r="AN570"/>
      <c r="AO570"/>
      <c r="AP570"/>
      <c r="AQ570"/>
      <c r="AR570"/>
    </row>
    <row r="571" spans="1:44" ht="15" customHeight="1" x14ac:dyDescent="0.3">
      <c r="A571" s="2">
        <v>5.7</v>
      </c>
      <c r="B571" s="1">
        <f t="shared" si="124"/>
        <v>1.9952623149688749E-6</v>
      </c>
      <c r="C571" s="1">
        <f t="shared" si="125"/>
        <v>5.0619910596354619E-9</v>
      </c>
      <c r="D571" s="1">
        <f t="shared" si="126"/>
        <v>1.5119629848449896E-2</v>
      </c>
      <c r="E571" s="1">
        <f t="shared" si="127"/>
        <v>8.1339502525835038E-4</v>
      </c>
      <c r="F571" s="1">
        <f t="shared" si="128"/>
        <v>0.21207323192259819</v>
      </c>
      <c r="G571" s="1">
        <f t="shared" si="129"/>
        <v>0.21196950328866168</v>
      </c>
      <c r="H571" s="1">
        <f t="shared" si="137"/>
        <v>2.1196950328866166</v>
      </c>
      <c r="J571" s="2">
        <v>9.69</v>
      </c>
      <c r="K571" s="1">
        <v>2.0417379446695298E-10</v>
      </c>
      <c r="L571" s="1">
        <v>4.9467660756213049E-5</v>
      </c>
      <c r="M571" s="1">
        <v>-4.313610707077491E-5</v>
      </c>
      <c r="N571" s="1">
        <v>3.3405226845117956E-3</v>
      </c>
      <c r="O571" s="1">
        <v>0.99961995509272328</v>
      </c>
      <c r="P571" s="1">
        <v>1.0025892833402805</v>
      </c>
      <c r="Q571" s="2">
        <v>10.025892833402805</v>
      </c>
      <c r="S571" s="2">
        <v>5.7</v>
      </c>
      <c r="T571" s="1">
        <f t="shared" si="130"/>
        <v>1.9952623149688749E-6</v>
      </c>
      <c r="U571" s="1">
        <f t="shared" si="131"/>
        <v>5.0619910596354619E-9</v>
      </c>
      <c r="V571" s="1">
        <f t="shared" si="132"/>
        <v>4.6485112409469155E-2</v>
      </c>
      <c r="W571" s="1">
        <f t="shared" si="133"/>
        <v>1.7838295863510285E-2</v>
      </c>
      <c r="X571" s="1">
        <f t="shared" si="134"/>
        <v>0.43419987330633791</v>
      </c>
      <c r="Y571" s="1">
        <f t="shared" si="135"/>
        <v>0.43422409627426228</v>
      </c>
      <c r="Z571" s="1">
        <f t="shared" si="136"/>
        <v>21.711204813713113</v>
      </c>
      <c r="AB571">
        <v>7.01</v>
      </c>
      <c r="AC571">
        <v>9.7723722095581017E-8</v>
      </c>
      <c r="AD571">
        <v>1.0335259222035622E-7</v>
      </c>
      <c r="AE571">
        <v>9.466299698556771E-2</v>
      </c>
      <c r="AF571">
        <v>1.7790010048107647E-3</v>
      </c>
      <c r="AG571">
        <v>3.6224510795964539E-2</v>
      </c>
      <c r="AH571">
        <v>3.6224453487749567E-2</v>
      </c>
      <c r="AI571">
        <v>1.8112226743874784</v>
      </c>
      <c r="AJ571"/>
      <c r="AK571"/>
      <c r="AL571"/>
      <c r="AM571"/>
      <c r="AN571"/>
      <c r="AO571"/>
      <c r="AP571"/>
      <c r="AQ571"/>
      <c r="AR571"/>
    </row>
    <row r="572" spans="1:44" ht="15" customHeight="1" x14ac:dyDescent="0.3">
      <c r="A572" s="2">
        <v>5.71</v>
      </c>
      <c r="B572" s="1">
        <f t="shared" si="124"/>
        <v>1.9498445997580441E-6</v>
      </c>
      <c r="C572" s="1">
        <f t="shared" si="125"/>
        <v>5.1798999783127879E-9</v>
      </c>
      <c r="D572" s="1">
        <f t="shared" si="126"/>
        <v>1.5034095756459007E-2</v>
      </c>
      <c r="E572" s="1">
        <f t="shared" si="127"/>
        <v>8.276507072568324E-4</v>
      </c>
      <c r="F572" s="1">
        <f t="shared" si="128"/>
        <v>0.21594631611218496</v>
      </c>
      <c r="G572" s="1">
        <f t="shared" si="129"/>
        <v>0.21584488541790298</v>
      </c>
      <c r="H572" s="1">
        <f t="shared" si="137"/>
        <v>2.1584488541790297</v>
      </c>
      <c r="J572" s="2">
        <v>9.6999999999999993</v>
      </c>
      <c r="K572" s="1">
        <v>1.9952623149688802E-10</v>
      </c>
      <c r="L572" s="1">
        <v>5.0619910596354482E-5</v>
      </c>
      <c r="M572" s="1">
        <v>-4.443250738961061E-5</v>
      </c>
      <c r="N572" s="1">
        <v>3.3407387512316014E-3</v>
      </c>
      <c r="O572" s="1">
        <v>0.99962860275806231</v>
      </c>
      <c r="P572" s="1">
        <v>1.002667135518563</v>
      </c>
      <c r="Q572" s="2">
        <v>10.026671355185629</v>
      </c>
      <c r="S572" s="2">
        <v>5.71</v>
      </c>
      <c r="T572" s="1">
        <f t="shared" si="130"/>
        <v>1.9498445997580441E-6</v>
      </c>
      <c r="U572" s="1">
        <f t="shared" si="131"/>
        <v>5.1798999783127879E-9</v>
      </c>
      <c r="V572" s="1">
        <f t="shared" si="132"/>
        <v>4.7058406777995491E-2</v>
      </c>
      <c r="W572" s="1">
        <f t="shared" si="133"/>
        <v>1.7647197740668169E-2</v>
      </c>
      <c r="X572" s="1">
        <f t="shared" si="134"/>
        <v>0.42855191139093735</v>
      </c>
      <c r="Y572" s="1">
        <f t="shared" si="135"/>
        <v>0.42857552521641057</v>
      </c>
      <c r="Z572" s="1">
        <f t="shared" si="136"/>
        <v>21.428776260820527</v>
      </c>
      <c r="AB572">
        <v>7.02</v>
      </c>
      <c r="AC572">
        <v>9.5499258602143556E-8</v>
      </c>
      <c r="AD572">
        <v>1.0575998335314089E-7</v>
      </c>
      <c r="AE572">
        <v>9.4778145225238142E-2</v>
      </c>
      <c r="AF572">
        <v>1.7406182582539564E-3</v>
      </c>
      <c r="AG572">
        <v>3.542915409728898E-2</v>
      </c>
      <c r="AH572">
        <v>3.5429049672402832E-2</v>
      </c>
      <c r="AI572">
        <v>1.7714524836201417</v>
      </c>
      <c r="AJ572"/>
      <c r="AK572"/>
      <c r="AL572"/>
      <c r="AM572"/>
      <c r="AN572"/>
      <c r="AO572"/>
      <c r="AP572"/>
      <c r="AQ572"/>
      <c r="AR572"/>
    </row>
    <row r="573" spans="1:44" ht="15" customHeight="1" x14ac:dyDescent="0.3">
      <c r="A573" s="2">
        <v>5.72</v>
      </c>
      <c r="B573" s="1">
        <f t="shared" si="124"/>
        <v>1.9054607179632462E-6</v>
      </c>
      <c r="C573" s="1">
        <f t="shared" si="125"/>
        <v>5.3005553485227054E-9</v>
      </c>
      <c r="D573" s="1">
        <f t="shared" si="126"/>
        <v>1.4947566786328552E-2</v>
      </c>
      <c r="E573" s="1">
        <f t="shared" si="127"/>
        <v>8.4207220227857456E-4</v>
      </c>
      <c r="F573" s="1">
        <f t="shared" si="128"/>
        <v>0.21987039600684155</v>
      </c>
      <c r="G573" s="1">
        <f t="shared" si="129"/>
        <v>0.21977121199369162</v>
      </c>
      <c r="H573" s="1">
        <f t="shared" si="137"/>
        <v>2.1977121199369161</v>
      </c>
      <c r="J573" s="2">
        <v>9.7100000000000009</v>
      </c>
      <c r="K573" s="1">
        <v>1.949844599758039E-10</v>
      </c>
      <c r="L573" s="1">
        <v>5.1798999783128012E-5</v>
      </c>
      <c r="M573" s="1">
        <v>-4.575246779761246E-5</v>
      </c>
      <c r="N573" s="1">
        <v>3.3409587446329354E-3</v>
      </c>
      <c r="O573" s="1">
        <v>0.99963705372305822</v>
      </c>
      <c r="P573" s="1">
        <v>1.0027464046157442</v>
      </c>
      <c r="Q573" s="2">
        <v>10.027464046157441</v>
      </c>
      <c r="S573" s="2">
        <v>5.72</v>
      </c>
      <c r="T573" s="1">
        <f t="shared" si="130"/>
        <v>1.9054607179632462E-6</v>
      </c>
      <c r="U573" s="1">
        <f t="shared" si="131"/>
        <v>5.3005553485227054E-9</v>
      </c>
      <c r="V573" s="1">
        <f t="shared" si="132"/>
        <v>4.7632476527382339E-2</v>
      </c>
      <c r="W573" s="1">
        <f t="shared" si="133"/>
        <v>1.7455841157539218E-2</v>
      </c>
      <c r="X573" s="1">
        <f t="shared" si="134"/>
        <v>0.42292250165808465</v>
      </c>
      <c r="Y573" s="1">
        <f t="shared" si="135"/>
        <v>0.42294552158086612</v>
      </c>
      <c r="Z573" s="1">
        <f t="shared" si="136"/>
        <v>21.147276079043305</v>
      </c>
      <c r="AB573">
        <v>7.03</v>
      </c>
      <c r="AC573">
        <v>9.3325430079699072E-8</v>
      </c>
      <c r="AD573">
        <v>1.0822344982899828E-7</v>
      </c>
      <c r="AE573">
        <v>9.4890943470297071E-2</v>
      </c>
      <c r="AF573">
        <v>1.703018843234315E-3</v>
      </c>
      <c r="AG573">
        <v>3.4650632648182231E-2</v>
      </c>
      <c r="AH573">
        <v>3.4650481086866983E-2</v>
      </c>
      <c r="AI573">
        <v>1.7325240543433491</v>
      </c>
      <c r="AJ573"/>
      <c r="AK573"/>
      <c r="AL573"/>
      <c r="AM573"/>
      <c r="AN573"/>
      <c r="AO573"/>
      <c r="AP573"/>
      <c r="AQ573"/>
      <c r="AR573"/>
    </row>
    <row r="574" spans="1:44" ht="15" customHeight="1" x14ac:dyDescent="0.3">
      <c r="A574" s="2">
        <v>5.73</v>
      </c>
      <c r="B574" s="1">
        <f t="shared" si="124"/>
        <v>1.8620871366628635E-6</v>
      </c>
      <c r="C574" s="1">
        <f t="shared" si="125"/>
        <v>5.4240211433395636E-9</v>
      </c>
      <c r="D574" s="1">
        <f t="shared" si="126"/>
        <v>1.4860048719369559E-2</v>
      </c>
      <c r="E574" s="1">
        <f t="shared" si="127"/>
        <v>8.5665854677173991E-4</v>
      </c>
      <c r="F574" s="1">
        <f t="shared" si="128"/>
        <v>0.22384542465816953</v>
      </c>
      <c r="G574" s="1">
        <f t="shared" si="129"/>
        <v>0.22374843724768761</v>
      </c>
      <c r="H574" s="1">
        <f t="shared" si="137"/>
        <v>2.2374843724768758</v>
      </c>
      <c r="J574" s="2">
        <v>9.7200000000000006</v>
      </c>
      <c r="K574" s="1">
        <v>1.9054607179632416E-10</v>
      </c>
      <c r="L574" s="1">
        <v>5.3005553485227185E-5</v>
      </c>
      <c r="M574" s="1">
        <v>-4.7096688018151292E-5</v>
      </c>
      <c r="N574" s="1">
        <v>3.3411827813363583E-3</v>
      </c>
      <c r="O574" s="1">
        <v>0.99964531245865507</v>
      </c>
      <c r="P574" s="1">
        <v>1.0028271327669882</v>
      </c>
      <c r="Q574" s="2">
        <v>10.028271327669881</v>
      </c>
      <c r="S574" s="2">
        <v>5.73</v>
      </c>
      <c r="T574" s="1">
        <f t="shared" si="130"/>
        <v>1.8620871366628635E-6</v>
      </c>
      <c r="U574" s="1">
        <f t="shared" si="131"/>
        <v>5.4240211433395636E-9</v>
      </c>
      <c r="V574" s="1">
        <f t="shared" si="132"/>
        <v>4.8207170812739959E-2</v>
      </c>
      <c r="W574" s="1">
        <f t="shared" si="133"/>
        <v>1.7264276395753345E-2</v>
      </c>
      <c r="X574" s="1">
        <f t="shared" si="134"/>
        <v>0.417313037516227</v>
      </c>
      <c r="Y574" s="1">
        <f t="shared" si="135"/>
        <v>0.41733547840432994</v>
      </c>
      <c r="Z574" s="1">
        <f t="shared" si="136"/>
        <v>20.866773920216495</v>
      </c>
      <c r="AB574">
        <v>7.04</v>
      </c>
      <c r="AC574">
        <v>9.120108393559095E-8</v>
      </c>
      <c r="AD574">
        <v>1.1074429781046171E-7</v>
      </c>
      <c r="AE574">
        <v>9.5001433948013886E-2</v>
      </c>
      <c r="AF574">
        <v>1.6661886839953747E-3</v>
      </c>
      <c r="AG574">
        <v>3.3888617420671965E-2</v>
      </c>
      <c r="AH574">
        <v>3.3888418677090144E-2</v>
      </c>
      <c r="AI574">
        <v>1.6944209338545071</v>
      </c>
      <c r="AJ574"/>
      <c r="AK574"/>
      <c r="AL574"/>
      <c r="AM574"/>
      <c r="AN574"/>
      <c r="AO574"/>
      <c r="AP574"/>
      <c r="AQ574"/>
      <c r="AR574"/>
    </row>
    <row r="575" spans="1:44" ht="15" customHeight="1" x14ac:dyDescent="0.3">
      <c r="A575" s="2">
        <v>5.74</v>
      </c>
      <c r="B575" s="1">
        <f t="shared" si="124"/>
        <v>1.8197008586099798E-6</v>
      </c>
      <c r="C575" s="1">
        <f t="shared" si="125"/>
        <v>5.5503628259620188E-9</v>
      </c>
      <c r="D575" s="1">
        <f t="shared" si="126"/>
        <v>1.477154800232419E-2</v>
      </c>
      <c r="E575" s="1">
        <f t="shared" si="127"/>
        <v>8.7140866627930154E-4</v>
      </c>
      <c r="F575" s="1">
        <f t="shared" si="128"/>
        <v>0.22787132653141642</v>
      </c>
      <c r="G575" s="1">
        <f t="shared" si="129"/>
        <v>0.22777648679836268</v>
      </c>
      <c r="H575" s="1">
        <f t="shared" si="137"/>
        <v>2.2777648679836267</v>
      </c>
      <c r="J575" s="2">
        <v>9.73</v>
      </c>
      <c r="K575" s="1">
        <v>1.862087136662862E-10</v>
      </c>
      <c r="L575" s="1">
        <v>5.4240211433395683E-5</v>
      </c>
      <c r="M575" s="1">
        <v>-4.8465880643644797E-5</v>
      </c>
      <c r="N575" s="1">
        <v>3.3414109801072739E-3</v>
      </c>
      <c r="O575" s="1">
        <v>0.99965338333431841</v>
      </c>
      <c r="P575" s="1">
        <v>1.002909362886963</v>
      </c>
      <c r="Q575" s="2">
        <v>10.02909362886963</v>
      </c>
      <c r="S575" s="2">
        <v>5.74</v>
      </c>
      <c r="T575" s="1">
        <f t="shared" si="130"/>
        <v>1.8197008586099798E-6</v>
      </c>
      <c r="U575" s="1">
        <f t="shared" si="131"/>
        <v>5.5503628259620188E-9</v>
      </c>
      <c r="V575" s="1">
        <f t="shared" si="132"/>
        <v>4.8782338127748244E-2</v>
      </c>
      <c r="W575" s="1">
        <f t="shared" si="133"/>
        <v>1.7072553957417254E-2</v>
      </c>
      <c r="X575" s="1">
        <f t="shared" si="134"/>
        <v>0.41172489198336509</v>
      </c>
      <c r="Y575" s="1">
        <f t="shared" si="135"/>
        <v>0.41174676834134255</v>
      </c>
      <c r="Z575" s="1">
        <f t="shared" si="136"/>
        <v>20.587338417067127</v>
      </c>
      <c r="AB575">
        <v>7.05</v>
      </c>
      <c r="AC575">
        <v>8.9125093813374537E-8</v>
      </c>
      <c r="AD575">
        <v>1.1332386388449832E-7</v>
      </c>
      <c r="AE575">
        <v>9.510965837406167E-2</v>
      </c>
      <c r="AF575">
        <v>1.630113875312772E-3</v>
      </c>
      <c r="AG575">
        <v>3.3142784624789874E-2</v>
      </c>
      <c r="AH575">
        <v>3.314253862704581E-2</v>
      </c>
      <c r="AI575">
        <v>1.6571269313522903</v>
      </c>
      <c r="AJ575"/>
      <c r="AK575"/>
      <c r="AL575"/>
      <c r="AM575"/>
      <c r="AN575"/>
      <c r="AO575"/>
      <c r="AP575"/>
      <c r="AQ575"/>
      <c r="AR575"/>
    </row>
    <row r="576" spans="1:44" ht="15" customHeight="1" x14ac:dyDescent="0.3">
      <c r="A576" s="2">
        <v>5.75</v>
      </c>
      <c r="B576" s="1">
        <f t="shared" si="124"/>
        <v>1.7782794100389193E-6</v>
      </c>
      <c r="C576" s="1">
        <f t="shared" si="125"/>
        <v>5.6796473844225367E-9</v>
      </c>
      <c r="D576" s="1">
        <f t="shared" si="126"/>
        <v>1.4682071756416729E-2</v>
      </c>
      <c r="E576" s="1">
        <f t="shared" si="127"/>
        <v>8.8632137393054498E-4</v>
      </c>
      <c r="F576" s="1">
        <f t="shared" si="128"/>
        <v>0.23194799683241624</v>
      </c>
      <c r="G576" s="1">
        <f t="shared" si="129"/>
        <v>0.23185525697854859</v>
      </c>
      <c r="H576" s="1">
        <f t="shared" si="137"/>
        <v>2.3185525697854859</v>
      </c>
      <c r="J576" s="2">
        <v>9.74</v>
      </c>
      <c r="K576" s="1">
        <v>1.8197008586099781E-10</v>
      </c>
      <c r="L576" s="1">
        <v>5.5503628259620238E-5</v>
      </c>
      <c r="M576" s="1">
        <v>-4.9860771513094215E-5</v>
      </c>
      <c r="N576" s="1">
        <v>3.3416434619188487E-3</v>
      </c>
      <c r="O576" s="1">
        <v>0.99966127062033161</v>
      </c>
      <c r="P576" s="1">
        <v>1.0029931386928304</v>
      </c>
      <c r="Q576" s="2">
        <v>10.029931386928302</v>
      </c>
      <c r="S576" s="2">
        <v>5.75</v>
      </c>
      <c r="T576" s="1">
        <f t="shared" si="130"/>
        <v>1.7782794100389193E-6</v>
      </c>
      <c r="U576" s="1">
        <f t="shared" si="131"/>
        <v>5.6796473844225367E-9</v>
      </c>
      <c r="V576" s="1">
        <f t="shared" si="132"/>
        <v>4.9357826464043179E-2</v>
      </c>
      <c r="W576" s="1">
        <f t="shared" si="133"/>
        <v>1.6880724511985606E-2</v>
      </c>
      <c r="X576" s="1">
        <f t="shared" si="134"/>
        <v>0.40615941640488218</v>
      </c>
      <c r="Y576" s="1">
        <f t="shared" si="135"/>
        <v>0.40618074238194646</v>
      </c>
      <c r="Z576" s="1">
        <f t="shared" si="136"/>
        <v>20.309037119097322</v>
      </c>
      <c r="AB576">
        <v>7.06</v>
      </c>
      <c r="AC576">
        <v>8.7096358995608061E-8</v>
      </c>
      <c r="AD576">
        <v>1.1596351577118515E-7</v>
      </c>
      <c r="AE576">
        <v>9.5215657947445076E-2</v>
      </c>
      <c r="AF576">
        <v>1.5947806841849685E-3</v>
      </c>
      <c r="AG576">
        <v>3.2412815678914929E-2</v>
      </c>
      <c r="AH576">
        <v>3.2412522329060361E-2</v>
      </c>
      <c r="AI576">
        <v>1.6206261164530182</v>
      </c>
      <c r="AJ576"/>
      <c r="AK576"/>
      <c r="AL576"/>
      <c r="AM576"/>
      <c r="AN576"/>
      <c r="AO576"/>
      <c r="AP576"/>
      <c r="AQ576"/>
      <c r="AR576"/>
    </row>
    <row r="577" spans="1:44" ht="15" customHeight="1" x14ac:dyDescent="0.3">
      <c r="A577" s="2">
        <v>5.76</v>
      </c>
      <c r="B577" s="1">
        <f t="shared" si="124"/>
        <v>1.7378008287493753E-6</v>
      </c>
      <c r="C577" s="1">
        <f t="shared" si="125"/>
        <v>5.8119433671052848E-9</v>
      </c>
      <c r="D577" s="1">
        <f t="shared" si="126"/>
        <v>1.4591627785665721E-2</v>
      </c>
      <c r="E577" s="1">
        <f t="shared" si="127"/>
        <v>9.0139536905571344E-4</v>
      </c>
      <c r="F577" s="1">
        <f t="shared" si="128"/>
        <v>0.23607530085516129</v>
      </c>
      <c r="G577" s="1">
        <f t="shared" si="129"/>
        <v>0.23598461418360331</v>
      </c>
      <c r="H577" s="1">
        <f t="shared" si="137"/>
        <v>2.3598461418360328</v>
      </c>
      <c r="J577" s="2">
        <v>9.75</v>
      </c>
      <c r="K577" s="1">
        <v>1.778279410038918E-10</v>
      </c>
      <c r="L577" s="1">
        <v>5.6796473844225409E-5</v>
      </c>
      <c r="M577" s="1">
        <v>-5.1282100096671777E-5</v>
      </c>
      <c r="N577" s="1">
        <v>3.3418803500161118E-3</v>
      </c>
      <c r="O577" s="1">
        <v>0.99966897849004122</v>
      </c>
      <c r="P577" s="1">
        <v>1.0030785047276762</v>
      </c>
      <c r="Q577" s="2">
        <v>10.030785047276762</v>
      </c>
      <c r="S577" s="2">
        <v>5.76</v>
      </c>
      <c r="T577" s="1">
        <f t="shared" si="130"/>
        <v>1.7378008287493753E-6</v>
      </c>
      <c r="U577" s="1">
        <f t="shared" si="131"/>
        <v>5.8119433671052848E-9</v>
      </c>
      <c r="V577" s="1">
        <f t="shared" si="132"/>
        <v>4.9933483471729032E-2</v>
      </c>
      <c r="W577" s="1">
        <f t="shared" si="133"/>
        <v>1.668883884275699E-2</v>
      </c>
      <c r="X577" s="1">
        <f t="shared" si="134"/>
        <v>0.40061793921746242</v>
      </c>
      <c r="Y577" s="1">
        <f t="shared" si="135"/>
        <v>0.40063872861544131</v>
      </c>
      <c r="Z577" s="1">
        <f t="shared" si="136"/>
        <v>20.031936430772063</v>
      </c>
      <c r="AB577">
        <v>7.07</v>
      </c>
      <c r="AC577">
        <v>8.5113803820237355E-8</v>
      </c>
      <c r="AD577">
        <v>1.1866465304889288E-7</v>
      </c>
      <c r="AE577">
        <v>9.5319473346089048E-2</v>
      </c>
      <c r="AF577">
        <v>1.5601755513036488E-3</v>
      </c>
      <c r="AG577">
        <v>3.1698397177483482E-2</v>
      </c>
      <c r="AH577">
        <v>3.1698056351507652E-2</v>
      </c>
      <c r="AI577">
        <v>1.5849028175753825</v>
      </c>
      <c r="AJ577"/>
      <c r="AK577"/>
      <c r="AL577"/>
      <c r="AM577"/>
      <c r="AN577"/>
      <c r="AO577"/>
      <c r="AP577"/>
      <c r="AQ577"/>
      <c r="AR577"/>
    </row>
    <row r="578" spans="1:44" ht="15" customHeight="1" x14ac:dyDescent="0.3">
      <c r="A578" s="2">
        <v>5.77</v>
      </c>
      <c r="B578" s="1">
        <f t="shared" si="124"/>
        <v>1.6982436524617446E-6</v>
      </c>
      <c r="C578" s="1">
        <f t="shared" si="125"/>
        <v>5.9473209190914476E-9</v>
      </c>
      <c r="D578" s="1">
        <f t="shared" si="126"/>
        <v>1.4500224584416814E-2</v>
      </c>
      <c r="E578" s="1">
        <f t="shared" si="127"/>
        <v>9.1662923593053083E-4</v>
      </c>
      <c r="F578" s="1">
        <f t="shared" si="128"/>
        <v>0.24025307335204202</v>
      </c>
      <c r="G578" s="1">
        <f t="shared" si="129"/>
        <v>0.24016439424223149</v>
      </c>
      <c r="H578" s="1">
        <f t="shared" si="137"/>
        <v>2.4016439424223148</v>
      </c>
      <c r="J578" s="2">
        <v>9.76</v>
      </c>
      <c r="K578" s="1">
        <v>1.7378008287493709E-10</v>
      </c>
      <c r="L578" s="1">
        <v>5.8119433671052997E-5</v>
      </c>
      <c r="M578" s="1">
        <v>-5.2730619887553504E-5</v>
      </c>
      <c r="N578" s="1">
        <v>3.3421217699812593E-3</v>
      </c>
      <c r="O578" s="1">
        <v>0.99967651102205168</v>
      </c>
      <c r="P578" s="1">
        <v>1.0031655063843923</v>
      </c>
      <c r="Q578" s="2">
        <v>10.031655063843923</v>
      </c>
      <c r="S578" s="2">
        <v>5.77</v>
      </c>
      <c r="T578" s="1">
        <f t="shared" si="130"/>
        <v>1.6982436524617446E-6</v>
      </c>
      <c r="U578" s="1">
        <f t="shared" si="131"/>
        <v>5.9473209190914476E-9</v>
      </c>
      <c r="V578" s="1">
        <f t="shared" si="132"/>
        <v>5.0509156620657747E-2</v>
      </c>
      <c r="W578" s="1">
        <f t="shared" si="133"/>
        <v>1.6496947793114086E-2</v>
      </c>
      <c r="X578" s="1">
        <f t="shared" si="134"/>
        <v>0.39510176476131242</v>
      </c>
      <c r="Y578" s="1">
        <f t="shared" si="135"/>
        <v>0.39512203104244603</v>
      </c>
      <c r="Z578" s="1">
        <f t="shared" si="136"/>
        <v>19.756101552122303</v>
      </c>
      <c r="AB578">
        <v>7.08</v>
      </c>
      <c r="AC578">
        <v>8.3176377110266823E-8</v>
      </c>
      <c r="AD578">
        <v>1.2142870789635911E-7</v>
      </c>
      <c r="AE578">
        <v>9.5421144723060583E-2</v>
      </c>
      <c r="AF578">
        <v>1.5262850923131348E-3</v>
      </c>
      <c r="AG578">
        <v>3.0999220856232454E-2</v>
      </c>
      <c r="AH578">
        <v>3.0998832404036638E-2</v>
      </c>
      <c r="AI578">
        <v>1.5499416202018319</v>
      </c>
      <c r="AJ578"/>
      <c r="AK578"/>
      <c r="AL578"/>
      <c r="AM578"/>
      <c r="AN578"/>
      <c r="AO578"/>
      <c r="AP578"/>
      <c r="AQ578"/>
      <c r="AR578"/>
    </row>
    <row r="579" spans="1:44" ht="15" customHeight="1" x14ac:dyDescent="0.3">
      <c r="A579" s="2">
        <v>5.78</v>
      </c>
      <c r="B579" s="1">
        <f t="shared" ref="B579:B642" si="138">10^(-A579)</f>
        <v>1.6595869074375577E-6</v>
      </c>
      <c r="C579" s="1">
        <f t="shared" ref="C579:C642" si="139">Kw/B579</f>
        <v>6.0858518193510233E-9</v>
      </c>
      <c r="D579" s="1">
        <f t="shared" ref="D579:D642" si="140">((WASB_Ca*WASB_Va)-(WASB_Cb*H579))/(WASB_Va+H579)</f>
        <v>1.4407871344056798E-2</v>
      </c>
      <c r="E579" s="1">
        <f t="shared" ref="E579:E642" si="141">(WASB_Ca*H579)/(WASB_Va+H579)</f>
        <v>9.3202144265720028E-4</v>
      </c>
      <c r="F579" s="1">
        <f t="shared" ref="F579:F642" si="142">WASB_Ka/(B579+WASB_Ka)</f>
        <v>0.24448111792880337</v>
      </c>
      <c r="G579" s="1">
        <f t="shared" ref="G579:G642" si="143">(F579-((B579-C579)/WASB_Ca)) / (1 + ((B579-C579)/WASB_Cb))</f>
        <v>0.24439440181200864</v>
      </c>
      <c r="H579" s="1">
        <f t="shared" si="137"/>
        <v>2.4439440181200864</v>
      </c>
      <c r="J579" s="2">
        <v>9.77</v>
      </c>
      <c r="K579" s="1">
        <v>1.6982436524617399E-10</v>
      </c>
      <c r="L579" s="1">
        <v>5.9473209190914636E-5</v>
      </c>
      <c r="M579" s="1">
        <v>-5.4207098801183887E-5</v>
      </c>
      <c r="N579" s="1">
        <v>3.3423678498001974E-3</v>
      </c>
      <c r="O579" s="1">
        <v>0.99968387220237043</v>
      </c>
      <c r="P579" s="1">
        <v>1.0032541899300216</v>
      </c>
      <c r="Q579" s="2">
        <v>10.032541899300215</v>
      </c>
      <c r="S579" s="2">
        <v>5.78</v>
      </c>
      <c r="T579" s="1">
        <f t="shared" ref="T579:T642" si="144">10^-S579</f>
        <v>1.6595869074375577E-6</v>
      </c>
      <c r="U579" s="1">
        <f t="shared" ref="U579:U642" si="145">Kw/T579</f>
        <v>6.0858518193510233E-9</v>
      </c>
      <c r="V579" s="1">
        <f t="shared" ref="V579:V642" si="146">((SAWB_Cb*SAWB_Vb)-(SAWB_Ca*Z579))/(Z579+SAWB_Vb)</f>
        <v>5.1084693362112334E-2</v>
      </c>
      <c r="W579" s="1">
        <f t="shared" ref="W579:W642" si="147">(SAWB_Cb*Z579)/(Z579+SAWB_Vb)</f>
        <v>1.6305102212629222E-2</v>
      </c>
      <c r="X579" s="1">
        <f t="shared" ref="X579:X642" si="148">T579/(T579+SAWB_Ka)</f>
        <v>0.38961217214274813</v>
      </c>
      <c r="Y579" s="1">
        <f t="shared" ref="Y579:Y642" si="149">(X579+((T579-U579)/SAWB_Cb))/(1-((T579-U579)/SAWB_Ca))</f>
        <v>0.38963192843732919</v>
      </c>
      <c r="Z579" s="1">
        <f t="shared" ref="Z579:Z642" si="150">(Y579*SAWB_Cb*SAWB_Vb)/SAWB_Ca</f>
        <v>19.481596421866463</v>
      </c>
      <c r="AB579">
        <v>7.09</v>
      </c>
      <c r="AC579">
        <v>8.128305161640995E-8</v>
      </c>
      <c r="AD579">
        <v>1.2425714585205047E-7</v>
      </c>
      <c r="AE579">
        <v>9.5520711703396446E-2</v>
      </c>
      <c r="AF579">
        <v>1.4930960988678568E-3</v>
      </c>
      <c r="AG579">
        <v>3.0314983555133616E-2</v>
      </c>
      <c r="AH579">
        <v>3.0314547300490199E-2</v>
      </c>
      <c r="AI579">
        <v>1.51572736502451</v>
      </c>
      <c r="AJ579"/>
      <c r="AK579"/>
      <c r="AL579"/>
      <c r="AM579"/>
      <c r="AN579"/>
      <c r="AO579"/>
      <c r="AP579"/>
      <c r="AQ579"/>
      <c r="AR579"/>
    </row>
    <row r="580" spans="1:44" ht="15" customHeight="1" x14ac:dyDescent="0.3">
      <c r="A580" s="2">
        <v>5.79</v>
      </c>
      <c r="B580" s="1">
        <f t="shared" si="138"/>
        <v>1.6218100973589276E-6</v>
      </c>
      <c r="C580" s="1">
        <f t="shared" si="139"/>
        <v>6.2276095188009782E-9</v>
      </c>
      <c r="D580" s="1">
        <f t="shared" si="140"/>
        <v>1.4314577958869954E-2</v>
      </c>
      <c r="E580" s="1">
        <f t="shared" si="141"/>
        <v>9.4757034018834116E-4</v>
      </c>
      <c r="F580" s="1">
        <f t="shared" si="142"/>
        <v>0.24875920646628946</v>
      </c>
      <c r="G580" s="1">
        <f t="shared" si="143"/>
        <v>0.24867440980168098</v>
      </c>
      <c r="H580" s="1">
        <f t="shared" ref="H580:H643" si="151">G580*(WASB_Va * WASB_Ca)/WASB_Cb</f>
        <v>2.4867440980168096</v>
      </c>
      <c r="J580" s="2">
        <v>9.7799999999999994</v>
      </c>
      <c r="K580" s="1">
        <v>1.6595869074375624E-10</v>
      </c>
      <c r="L580" s="1">
        <v>6.0858518193510067E-5</v>
      </c>
      <c r="M580" s="1">
        <v>-5.5712319582199332E-5</v>
      </c>
      <c r="N580" s="1">
        <v>3.3426187199303669E-3</v>
      </c>
      <c r="O580" s="1">
        <v>0.99969106592650436</v>
      </c>
      <c r="P580" s="1">
        <v>1.0033446025305826</v>
      </c>
      <c r="Q580" s="2">
        <v>10.033446025305825</v>
      </c>
      <c r="S580" s="2">
        <v>5.79</v>
      </c>
      <c r="T580" s="1">
        <f t="shared" si="144"/>
        <v>1.6218100973589276E-6</v>
      </c>
      <c r="U580" s="1">
        <f t="shared" si="145"/>
        <v>6.2276095188009782E-9</v>
      </c>
      <c r="V580" s="1">
        <f t="shared" si="146"/>
        <v>5.1659941290531024E-2</v>
      </c>
      <c r="W580" s="1">
        <f t="shared" si="147"/>
        <v>1.6113352903156325E-2</v>
      </c>
      <c r="X580" s="1">
        <f t="shared" si="148"/>
        <v>0.38415041414901557</v>
      </c>
      <c r="Y580" s="1">
        <f t="shared" si="149"/>
        <v>0.38416967326287638</v>
      </c>
      <c r="Z580" s="1">
        <f t="shared" si="150"/>
        <v>19.20848366314382</v>
      </c>
      <c r="AB580">
        <v>7.1</v>
      </c>
      <c r="AC580">
        <v>7.943282347242818E-8</v>
      </c>
      <c r="AD580">
        <v>1.2715146659121083E-7</v>
      </c>
      <c r="AE580">
        <v>9.5618213381509387E-2</v>
      </c>
      <c r="AF580">
        <v>1.4605955394968733E-3</v>
      </c>
      <c r="AG580">
        <v>2.9645387179174247E-2</v>
      </c>
      <c r="AH580">
        <v>2.9644902919670344E-2</v>
      </c>
      <c r="AI580">
        <v>1.4822451459835173</v>
      </c>
      <c r="AJ580"/>
      <c r="AK580"/>
      <c r="AL580"/>
      <c r="AM580"/>
      <c r="AN580"/>
      <c r="AO580"/>
      <c r="AP580"/>
      <c r="AQ580"/>
      <c r="AR580"/>
    </row>
    <row r="581" spans="1:44" ht="15" customHeight="1" x14ac:dyDescent="0.3">
      <c r="A581" s="2">
        <v>5.8</v>
      </c>
      <c r="B581" s="1">
        <f t="shared" si="138"/>
        <v>1.5848931924611111E-6</v>
      </c>
      <c r="C581" s="1">
        <f t="shared" si="139"/>
        <v>6.3726691792499607E-9</v>
      </c>
      <c r="D581" s="1">
        <f t="shared" si="140"/>
        <v>1.4220355030999042E-2</v>
      </c>
      <c r="E581" s="1">
        <f t="shared" si="141"/>
        <v>9.6327416150015946E-4</v>
      </c>
      <c r="F581" s="1">
        <f t="shared" si="142"/>
        <v>0.25308707857105694</v>
      </c>
      <c r="G581" s="1">
        <f t="shared" si="143"/>
        <v>0.25300415882232108</v>
      </c>
      <c r="H581" s="1">
        <f t="shared" si="151"/>
        <v>2.5300415882232108</v>
      </c>
      <c r="J581" s="2">
        <v>9.7899999999999991</v>
      </c>
      <c r="K581" s="1">
        <v>1.6218100973589318E-10</v>
      </c>
      <c r="L581" s="1">
        <v>6.2276095188009626E-5</v>
      </c>
      <c r="M581" s="1">
        <v>-5.7247080219232504E-5</v>
      </c>
      <c r="N581" s="1">
        <v>3.3428745133698718E-3</v>
      </c>
      <c r="O581" s="1">
        <v>0.99969809600150983</v>
      </c>
      <c r="P581" s="1">
        <v>1.0034367922763854</v>
      </c>
      <c r="Q581" s="2">
        <v>10.034367922763852</v>
      </c>
      <c r="S581" s="2">
        <v>5.8</v>
      </c>
      <c r="T581" s="1">
        <f t="shared" si="144"/>
        <v>1.5848931924611111E-6</v>
      </c>
      <c r="U581" s="1">
        <f t="shared" si="145"/>
        <v>6.3726691792499607E-9</v>
      </c>
      <c r="V581" s="1">
        <f t="shared" si="146"/>
        <v>5.2234748304907763E-2</v>
      </c>
      <c r="W581" s="1">
        <f t="shared" si="147"/>
        <v>1.592175056503075E-2</v>
      </c>
      <c r="X581" s="1">
        <f t="shared" si="148"/>
        <v>0.37871771621704031</v>
      </c>
      <c r="Y581" s="1">
        <f t="shared" si="149"/>
        <v>0.37873649063889003</v>
      </c>
      <c r="Z581" s="1">
        <f t="shared" si="150"/>
        <v>18.936824531944502</v>
      </c>
      <c r="AB581">
        <v>7.11</v>
      </c>
      <c r="AC581">
        <v>7.7624711662868932E-8</v>
      </c>
      <c r="AD581">
        <v>1.3011320472100693E-7</v>
      </c>
      <c r="AE581">
        <v>9.571368831914763E-2</v>
      </c>
      <c r="AF581">
        <v>1.4287705602841251E-3</v>
      </c>
      <c r="AG581">
        <v>2.899013865713173E-2</v>
      </c>
      <c r="AH581">
        <v>2.8989606164097438E-2</v>
      </c>
      <c r="AI581">
        <v>1.4494803082048717</v>
      </c>
      <c r="AJ581"/>
      <c r="AK581"/>
      <c r="AL581"/>
      <c r="AM581"/>
      <c r="AN581"/>
      <c r="AO581"/>
      <c r="AP581"/>
      <c r="AQ581"/>
      <c r="AR581"/>
    </row>
    <row r="582" spans="1:44" ht="15" customHeight="1" x14ac:dyDescent="0.3">
      <c r="A582" s="2">
        <v>5.81</v>
      </c>
      <c r="B582" s="1">
        <f t="shared" si="138"/>
        <v>1.5488166189124819E-6</v>
      </c>
      <c r="C582" s="1">
        <f t="shared" si="139"/>
        <v>6.5211077132500178E-9</v>
      </c>
      <c r="D582" s="1">
        <f t="shared" si="140"/>
        <v>1.41252138744746E-2</v>
      </c>
      <c r="E582" s="1">
        <f t="shared" si="141"/>
        <v>9.7913102092090005E-4</v>
      </c>
      <c r="F582" s="1">
        <f t="shared" si="142"/>
        <v>0.25746444105693</v>
      </c>
      <c r="G582" s="1">
        <f t="shared" si="143"/>
        <v>0.25738335666941359</v>
      </c>
      <c r="H582" s="1">
        <f t="shared" si="151"/>
        <v>2.5738335666941357</v>
      </c>
      <c r="J582" s="2">
        <v>9.8000000000000007</v>
      </c>
      <c r="K582" s="1">
        <v>1.5848931924611098E-10</v>
      </c>
      <c r="L582" s="1">
        <v>6.3726691792499661E-5</v>
      </c>
      <c r="M582" s="1">
        <v>-5.881219436782303E-5</v>
      </c>
      <c r="N582" s="1">
        <v>3.3431353657279706E-3</v>
      </c>
      <c r="O582" s="1">
        <v>0.99970496614799609</v>
      </c>
      <c r="P582" s="1">
        <v>1.0035308082078553</v>
      </c>
      <c r="Q582" s="2">
        <v>10.035308082078553</v>
      </c>
      <c r="S582" s="2">
        <v>5.81</v>
      </c>
      <c r="T582" s="1">
        <f t="shared" si="144"/>
        <v>1.5488166189124819E-6</v>
      </c>
      <c r="U582" s="1">
        <f t="shared" si="145"/>
        <v>6.5211077132500178E-9</v>
      </c>
      <c r="V582" s="1">
        <f t="shared" si="146"/>
        <v>5.2808962769506015E-2</v>
      </c>
      <c r="W582" s="1">
        <f t="shared" si="147"/>
        <v>1.5730345743497992E-2</v>
      </c>
      <c r="X582" s="1">
        <f t="shared" si="148"/>
        <v>0.37331527545762411</v>
      </c>
      <c r="Y582" s="1">
        <f t="shared" si="149"/>
        <v>0.37333357736623884</v>
      </c>
      <c r="Z582" s="1">
        <f t="shared" si="150"/>
        <v>18.666678868311941</v>
      </c>
      <c r="AB582">
        <v>7.12</v>
      </c>
      <c r="AC582">
        <v>7.5857757502918145E-8</v>
      </c>
      <c r="AD582">
        <v>1.3314393059419751E-7</v>
      </c>
      <c r="AE582">
        <v>9.5807174543881435E-2</v>
      </c>
      <c r="AF582">
        <v>1.397608485372855E-3</v>
      </c>
      <c r="AG582">
        <v>2.8348949898483314E-2</v>
      </c>
      <c r="AH582">
        <v>2.8348368916904558E-2</v>
      </c>
      <c r="AI582">
        <v>1.4174184458452279</v>
      </c>
      <c r="AJ582"/>
      <c r="AK582"/>
      <c r="AL582"/>
      <c r="AM582"/>
      <c r="AN582"/>
      <c r="AO582"/>
      <c r="AP582"/>
      <c r="AQ582"/>
      <c r="AR582"/>
    </row>
    <row r="583" spans="1:44" ht="15" customHeight="1" x14ac:dyDescent="0.3">
      <c r="A583" s="2">
        <v>5.82</v>
      </c>
      <c r="B583" s="1">
        <f t="shared" si="138"/>
        <v>1.5135612484362063E-6</v>
      </c>
      <c r="C583" s="1">
        <f t="shared" si="139"/>
        <v>6.6730038248767273E-9</v>
      </c>
      <c r="D583" s="1">
        <f t="shared" si="140"/>
        <v>1.4029166518277264E-2</v>
      </c>
      <c r="E583" s="1">
        <f t="shared" si="141"/>
        <v>9.9513891362045599E-4</v>
      </c>
      <c r="F583" s="1">
        <f t="shared" si="142"/>
        <v>0.26189096745958146</v>
      </c>
      <c r="G583" s="1">
        <f t="shared" si="143"/>
        <v>0.26181167783795456</v>
      </c>
      <c r="H583" s="1">
        <f t="shared" si="151"/>
        <v>2.6181167783795454</v>
      </c>
      <c r="J583" s="2">
        <v>9.81</v>
      </c>
      <c r="K583" s="1">
        <v>1.548816618912478E-10</v>
      </c>
      <c r="L583" s="1">
        <v>6.5211077132500348E-5</v>
      </c>
      <c r="M583" s="1">
        <v>-6.0408491781592474E-5</v>
      </c>
      <c r="N583" s="1">
        <v>3.343401415296932E-3</v>
      </c>
      <c r="O583" s="1">
        <v>0.99971168000208299</v>
      </c>
      <c r="P583" s="1">
        <v>1.0036267003418735</v>
      </c>
      <c r="Q583" s="2">
        <v>10.036267003418734</v>
      </c>
      <c r="S583" s="2">
        <v>5.82</v>
      </c>
      <c r="T583" s="1">
        <f t="shared" si="144"/>
        <v>1.5135612484362063E-6</v>
      </c>
      <c r="U583" s="1">
        <f t="shared" si="145"/>
        <v>6.6730038248767273E-9</v>
      </c>
      <c r="V583" s="1">
        <f t="shared" si="146"/>
        <v>5.3382433673526374E-2</v>
      </c>
      <c r="W583" s="1">
        <f t="shared" si="147"/>
        <v>1.5539188775491212E-2</v>
      </c>
      <c r="X583" s="1">
        <f t="shared" si="148"/>
        <v>0.36794425973640116</v>
      </c>
      <c r="Y583" s="1">
        <f t="shared" si="149"/>
        <v>0.36796210100766963</v>
      </c>
      <c r="Z583" s="1">
        <f t="shared" si="150"/>
        <v>18.398105050383482</v>
      </c>
      <c r="AB583">
        <v>7.13</v>
      </c>
      <c r="AC583">
        <v>7.413102413009154E-8</v>
      </c>
      <c r="AD583">
        <v>1.3624525114175739E-7</v>
      </c>
      <c r="AE583">
        <v>9.5898709548092612E-2</v>
      </c>
      <c r="AF583">
        <v>1.367096817302462E-3</v>
      </c>
      <c r="AG583">
        <v>2.7721537748587592E-2</v>
      </c>
      <c r="AH583">
        <v>2.7720907997003618E-2</v>
      </c>
      <c r="AI583">
        <v>1.3860453998501809</v>
      </c>
      <c r="AJ583"/>
      <c r="AK583"/>
      <c r="AL583"/>
      <c r="AM583"/>
      <c r="AN583"/>
      <c r="AO583"/>
      <c r="AP583"/>
      <c r="AQ583"/>
      <c r="AR583"/>
    </row>
    <row r="584" spans="1:44" ht="15" customHeight="1" x14ac:dyDescent="0.3">
      <c r="A584" s="2">
        <v>5.83</v>
      </c>
      <c r="B584" s="1">
        <f t="shared" si="138"/>
        <v>1.4791083881682056E-6</v>
      </c>
      <c r="C584" s="1">
        <f t="shared" si="139"/>
        <v>6.828438051459024E-9</v>
      </c>
      <c r="D584" s="1">
        <f t="shared" si="140"/>
        <v>1.3932225708399953E-2</v>
      </c>
      <c r="E584" s="1">
        <f t="shared" si="141"/>
        <v>1.0112957152666746E-3</v>
      </c>
      <c r="F584" s="1">
        <f t="shared" si="142"/>
        <v>0.26636629758619274</v>
      </c>
      <c r="G584" s="1">
        <f t="shared" si="143"/>
        <v>0.26628876307261878</v>
      </c>
      <c r="H584" s="1">
        <f t="shared" si="151"/>
        <v>2.6628876307261877</v>
      </c>
      <c r="J584" s="2">
        <v>9.82</v>
      </c>
      <c r="K584" s="1">
        <v>1.5135612484362048E-10</v>
      </c>
      <c r="L584" s="1">
        <v>6.6730038248767333E-5</v>
      </c>
      <c r="M584" s="1">
        <v>-6.203681875203698E-5</v>
      </c>
      <c r="N584" s="1">
        <v>3.3436728031253395E-3</v>
      </c>
      <c r="O584" s="1">
        <v>0.99971824111731611</v>
      </c>
      <c r="P584" s="1">
        <v>1.0037245196986571</v>
      </c>
      <c r="Q584" s="2">
        <v>10.03724519698657</v>
      </c>
      <c r="S584" s="2">
        <v>5.83</v>
      </c>
      <c r="T584" s="1">
        <f t="shared" si="144"/>
        <v>1.4791083881682056E-6</v>
      </c>
      <c r="U584" s="1">
        <f t="shared" si="145"/>
        <v>6.828438051459024E-9</v>
      </c>
      <c r="V584" s="1">
        <f t="shared" si="146"/>
        <v>5.3955010789370386E-2</v>
      </c>
      <c r="W584" s="1">
        <f t="shared" si="147"/>
        <v>1.534832973687654E-2</v>
      </c>
      <c r="X584" s="1">
        <f t="shared" si="148"/>
        <v>0.36260580681270521</v>
      </c>
      <c r="Y584" s="1">
        <f t="shared" si="149"/>
        <v>0.36262319902653323</v>
      </c>
      <c r="Z584" s="1">
        <f t="shared" si="150"/>
        <v>18.131159951326659</v>
      </c>
      <c r="AB584">
        <v>7.14</v>
      </c>
      <c r="AC584">
        <v>7.2443596007499061E-8</v>
      </c>
      <c r="AD584">
        <v>1.3941881072489126E-7</v>
      </c>
      <c r="AE584">
        <v>9.5988330288442308E-2</v>
      </c>
      <c r="AF584">
        <v>1.3372232371858923E-3</v>
      </c>
      <c r="AG584">
        <v>2.7107623942270016E-2</v>
      </c>
      <c r="AH584">
        <v>2.71069451126555E-2</v>
      </c>
      <c r="AI584">
        <v>1.355347255632775</v>
      </c>
      <c r="AJ584"/>
      <c r="AK584"/>
      <c r="AL584"/>
      <c r="AM584"/>
      <c r="AN584"/>
      <c r="AO584"/>
      <c r="AP584"/>
      <c r="AQ584"/>
      <c r="AR584"/>
    </row>
    <row r="585" spans="1:44" ht="15" customHeight="1" x14ac:dyDescent="0.3">
      <c r="A585" s="2">
        <v>5.84</v>
      </c>
      <c r="B585" s="1">
        <f t="shared" si="138"/>
        <v>1.445439770745926E-6</v>
      </c>
      <c r="C585" s="1">
        <f t="shared" si="139"/>
        <v>6.9874928062812654E-9</v>
      </c>
      <c r="D585" s="1">
        <f t="shared" si="140"/>
        <v>1.3834404908877889E-2</v>
      </c>
      <c r="E585" s="1">
        <f t="shared" si="141"/>
        <v>1.0275991818536852E-3</v>
      </c>
      <c r="F585" s="1">
        <f t="shared" si="142"/>
        <v>0.27089003710224752</v>
      </c>
      <c r="G585" s="1">
        <f t="shared" si="143"/>
        <v>0.27081421895504898</v>
      </c>
      <c r="H585" s="1">
        <f t="shared" si="151"/>
        <v>2.7081421895504896</v>
      </c>
      <c r="J585" s="2">
        <v>9.83</v>
      </c>
      <c r="K585" s="1">
        <v>1.4791083881682045E-10</v>
      </c>
      <c r="L585" s="1">
        <v>6.8284380514590295E-5</v>
      </c>
      <c r="M585" s="1">
        <v>-6.3698038557019894E-5</v>
      </c>
      <c r="N585" s="1">
        <v>3.3439496730928364E-3</v>
      </c>
      <c r="O585" s="1">
        <v>0.99972465296653656</v>
      </c>
      <c r="P585" s="1">
        <v>1.0038243183291851</v>
      </c>
      <c r="Q585" s="2">
        <v>10.038243183291851</v>
      </c>
      <c r="S585" s="2">
        <v>5.84</v>
      </c>
      <c r="T585" s="1">
        <f t="shared" si="144"/>
        <v>1.445439770745926E-6</v>
      </c>
      <c r="U585" s="1">
        <f t="shared" si="145"/>
        <v>6.9874928062812654E-9</v>
      </c>
      <c r="V585" s="1">
        <f t="shared" si="146"/>
        <v>5.4526544829151827E-2</v>
      </c>
      <c r="W585" s="1">
        <f t="shared" si="147"/>
        <v>1.5157818390282723E-2</v>
      </c>
      <c r="X585" s="1">
        <f t="shared" si="148"/>
        <v>0.35730102353727683</v>
      </c>
      <c r="Y585" s="1">
        <f t="shared" si="149"/>
        <v>0.35731797798435311</v>
      </c>
      <c r="Z585" s="1">
        <f t="shared" si="150"/>
        <v>17.865898899217655</v>
      </c>
      <c r="AB585">
        <v>7.15</v>
      </c>
      <c r="AC585">
        <v>7.0794578438413597E-8</v>
      </c>
      <c r="AD585">
        <v>1.4266629200689857E-7</v>
      </c>
      <c r="AE585">
        <v>9.6076073185794114E-2</v>
      </c>
      <c r="AF585">
        <v>1.3079756047352932E-3</v>
      </c>
      <c r="AG585">
        <v>2.6506935055936223E-2</v>
      </c>
      <c r="AH585">
        <v>2.6506206813568019E-2</v>
      </c>
      <c r="AI585">
        <v>1.3253103406784008</v>
      </c>
      <c r="AJ585"/>
      <c r="AK585"/>
      <c r="AL585"/>
      <c r="AM585"/>
      <c r="AN585"/>
      <c r="AO585"/>
      <c r="AP585"/>
      <c r="AQ585"/>
      <c r="AR585"/>
    </row>
    <row r="586" spans="1:44" ht="15" customHeight="1" x14ac:dyDescent="0.3">
      <c r="A586" s="2">
        <v>5.85</v>
      </c>
      <c r="B586" s="1">
        <f t="shared" si="138"/>
        <v>1.4125375446227531E-6</v>
      </c>
      <c r="C586" s="1">
        <f t="shared" si="139"/>
        <v>7.1502524222797985E-9</v>
      </c>
      <c r="D586" s="1">
        <f t="shared" si="140"/>
        <v>1.3735718301756976E-2</v>
      </c>
      <c r="E586" s="1">
        <f t="shared" si="141"/>
        <v>1.0440469497071702E-3</v>
      </c>
      <c r="F586" s="1">
        <f t="shared" si="142"/>
        <v>0.27546175715746402</v>
      </c>
      <c r="G586" s="1">
        <f t="shared" si="143"/>
        <v>0.27538761753027291</v>
      </c>
      <c r="H586" s="1">
        <f t="shared" si="151"/>
        <v>2.7538761753027288</v>
      </c>
      <c r="J586" s="2">
        <v>9.84</v>
      </c>
      <c r="K586" s="1">
        <v>1.4454397707459247E-10</v>
      </c>
      <c r="L586" s="1">
        <v>6.9874928062812718E-5</v>
      </c>
      <c r="M586" s="1">
        <v>-6.5393031918356944E-5</v>
      </c>
      <c r="N586" s="1">
        <v>3.3442321719863929E-3</v>
      </c>
      <c r="O586" s="1">
        <v>0.99973091894371025</v>
      </c>
      <c r="P586" s="1">
        <v>1.0039261493431946</v>
      </c>
      <c r="Q586" s="2">
        <v>10.039261493431946</v>
      </c>
      <c r="S586" s="2">
        <v>5.85</v>
      </c>
      <c r="T586" s="1">
        <f t="shared" si="144"/>
        <v>1.4125375446227531E-6</v>
      </c>
      <c r="U586" s="1">
        <f t="shared" si="145"/>
        <v>7.1502524222797985E-9</v>
      </c>
      <c r="V586" s="1">
        <f t="shared" si="146"/>
        <v>5.5096887599109565E-2</v>
      </c>
      <c r="W586" s="1">
        <f t="shared" si="147"/>
        <v>1.4967704133630145E-2</v>
      </c>
      <c r="X586" s="1">
        <f t="shared" si="148"/>
        <v>0.35203098510958747</v>
      </c>
      <c r="Y586" s="1">
        <f t="shared" si="149"/>
        <v>0.35204751279801322</v>
      </c>
      <c r="Z586" s="1">
        <f t="shared" si="150"/>
        <v>17.602375639900661</v>
      </c>
      <c r="AB586">
        <v>7.16</v>
      </c>
      <c r="AC586">
        <v>6.9183097091893466E-8</v>
      </c>
      <c r="AD586">
        <v>1.4598941684533906E-7</v>
      </c>
      <c r="AE586">
        <v>9.6161974125569066E-2</v>
      </c>
      <c r="AF586">
        <v>1.2793419581436456E-3</v>
      </c>
      <c r="AG586">
        <v>2.5919202458336135E-2</v>
      </c>
      <c r="AH586">
        <v>2.5918424441644623E-2</v>
      </c>
      <c r="AI586">
        <v>1.2959212220822314</v>
      </c>
      <c r="AJ586"/>
      <c r="AK586"/>
      <c r="AL586"/>
      <c r="AM586"/>
      <c r="AN586"/>
      <c r="AO586"/>
      <c r="AP586"/>
      <c r="AQ586"/>
      <c r="AR586"/>
    </row>
    <row r="587" spans="1:44" ht="15" customHeight="1" x14ac:dyDescent="0.3">
      <c r="A587" s="2">
        <v>5.86</v>
      </c>
      <c r="B587" s="1">
        <f t="shared" si="138"/>
        <v>1.3803842646028812E-6</v>
      </c>
      <c r="C587" s="1">
        <f t="shared" si="139"/>
        <v>7.3168031967574185E-9</v>
      </c>
      <c r="D587" s="1">
        <f t="shared" si="140"/>
        <v>1.3636180785972795E-2</v>
      </c>
      <c r="E587" s="1">
        <f t="shared" si="141"/>
        <v>1.060636535671201E-3</v>
      </c>
      <c r="F587" s="1">
        <f t="shared" si="142"/>
        <v>0.28008099405284853</v>
      </c>
      <c r="G587" s="1">
        <f t="shared" si="143"/>
        <v>0.28000849597423083</v>
      </c>
      <c r="H587" s="1">
        <f t="shared" si="151"/>
        <v>2.8000849597423083</v>
      </c>
      <c r="J587" s="2">
        <v>9.85</v>
      </c>
      <c r="K587" s="1">
        <v>1.4125375446227517E-10</v>
      </c>
      <c r="L587" s="1">
        <v>7.1502524222798059E-5</v>
      </c>
      <c r="M587" s="1">
        <v>-6.7122697468589203E-5</v>
      </c>
      <c r="N587" s="1">
        <v>3.344520449578098E-3</v>
      </c>
      <c r="O587" s="1">
        <v>0.99973704236571537</v>
      </c>
      <c r="P587" s="1">
        <v>1.0040300669377538</v>
      </c>
      <c r="Q587" s="2">
        <v>10.040300669377537</v>
      </c>
      <c r="S587" s="2">
        <v>5.86</v>
      </c>
      <c r="T587" s="1">
        <f t="shared" si="144"/>
        <v>1.3803842646028812E-6</v>
      </c>
      <c r="U587" s="1">
        <f t="shared" si="145"/>
        <v>7.3168031967574185E-9</v>
      </c>
      <c r="V587" s="1">
        <f t="shared" si="146"/>
        <v>5.5665892151586953E-2</v>
      </c>
      <c r="W587" s="1">
        <f t="shared" si="147"/>
        <v>1.4778035949471016E-2</v>
      </c>
      <c r="X587" s="1">
        <f t="shared" si="148"/>
        <v>0.34679673439534126</v>
      </c>
      <c r="Y587" s="1">
        <f t="shared" si="149"/>
        <v>0.34681284605712592</v>
      </c>
      <c r="Z587" s="1">
        <f t="shared" si="150"/>
        <v>17.340642302856295</v>
      </c>
      <c r="AB587">
        <v>7.17</v>
      </c>
      <c r="AC587">
        <v>6.7608297539197998E-8</v>
      </c>
      <c r="AD587">
        <v>1.4938994720498934E-7</v>
      </c>
      <c r="AE587">
        <v>9.6246068458511261E-2</v>
      </c>
      <c r="AF587">
        <v>1.2513105138295794E-3</v>
      </c>
      <c r="AG587">
        <v>2.5344162260090796E-2</v>
      </c>
      <c r="AH587">
        <v>2.5343334080495789E-2</v>
      </c>
      <c r="AI587">
        <v>1.2671667040247894</v>
      </c>
      <c r="AJ587"/>
      <c r="AK587"/>
      <c r="AL587"/>
      <c r="AM587"/>
      <c r="AN587"/>
      <c r="AO587"/>
      <c r="AP587"/>
      <c r="AQ587"/>
      <c r="AR587"/>
    </row>
    <row r="588" spans="1:44" ht="15" customHeight="1" x14ac:dyDescent="0.3">
      <c r="A588" s="2">
        <v>5.87</v>
      </c>
      <c r="B588" s="1">
        <f t="shared" si="138"/>
        <v>1.3489628825916527E-6</v>
      </c>
      <c r="C588" s="1">
        <f t="shared" si="139"/>
        <v>7.4872334371392707E-9</v>
      </c>
      <c r="D588" s="1">
        <f t="shared" si="140"/>
        <v>1.3535807975114899E-2</v>
      </c>
      <c r="E588" s="1">
        <f t="shared" si="141"/>
        <v>1.07736533748085E-3</v>
      </c>
      <c r="F588" s="1">
        <f t="shared" si="142"/>
        <v>0.28474724895080145</v>
      </c>
      <c r="G588" s="1">
        <f t="shared" si="143"/>
        <v>0.28467635630434496</v>
      </c>
      <c r="H588" s="1">
        <f t="shared" si="151"/>
        <v>2.8467635630434494</v>
      </c>
      <c r="J588" s="2">
        <v>9.86</v>
      </c>
      <c r="K588" s="1">
        <v>1.3803842646028825E-10</v>
      </c>
      <c r="L588" s="1">
        <v>7.3168031967574111E-5</v>
      </c>
      <c r="M588" s="1">
        <v>-6.8887952227308905E-5</v>
      </c>
      <c r="N588" s="1">
        <v>3.3448146587045507E-3</v>
      </c>
      <c r="O588" s="1">
        <v>0.99974302647408986</v>
      </c>
      <c r="P588" s="1">
        <v>1.0041361264264352</v>
      </c>
      <c r="Q588" s="2">
        <v>10.041361264264351</v>
      </c>
      <c r="S588" s="2">
        <v>5.87</v>
      </c>
      <c r="T588" s="1">
        <f t="shared" si="144"/>
        <v>1.3489628825916527E-6</v>
      </c>
      <c r="U588" s="1">
        <f t="shared" si="145"/>
        <v>7.4872334371392707E-9</v>
      </c>
      <c r="V588" s="1">
        <f t="shared" si="146"/>
        <v>5.6233412934250326E-2</v>
      </c>
      <c r="W588" s="1">
        <f t="shared" si="147"/>
        <v>1.4588862355249891E-2</v>
      </c>
      <c r="X588" s="1">
        <f t="shared" si="148"/>
        <v>0.34159928130454997</v>
      </c>
      <c r="Y588" s="1">
        <f t="shared" si="149"/>
        <v>0.34161498740197643</v>
      </c>
      <c r="Z588" s="1">
        <f t="shared" si="150"/>
        <v>17.080749370098822</v>
      </c>
      <c r="AB588">
        <v>7.18</v>
      </c>
      <c r="AC588">
        <v>6.606934480075943E-8</v>
      </c>
      <c r="AD588">
        <v>1.5286968609205741E-7</v>
      </c>
      <c r="AE588">
        <v>9.6328391001841901E-2</v>
      </c>
      <c r="AF588">
        <v>1.2238696660526983E-3</v>
      </c>
      <c r="AG588">
        <v>2.4781555262095752E-2</v>
      </c>
      <c r="AH588">
        <v>2.478067650382695E-2</v>
      </c>
      <c r="AI588">
        <v>1.2390338251913475</v>
      </c>
      <c r="AJ588"/>
      <c r="AK588"/>
      <c r="AL588"/>
      <c r="AM588"/>
      <c r="AN588"/>
      <c r="AO588"/>
      <c r="AP588"/>
      <c r="AQ588"/>
      <c r="AR588"/>
    </row>
    <row r="589" spans="1:44" ht="15" customHeight="1" x14ac:dyDescent="0.3">
      <c r="A589" s="2">
        <v>5.88</v>
      </c>
      <c r="B589" s="1">
        <f t="shared" si="138"/>
        <v>1.3182567385564063E-6</v>
      </c>
      <c r="C589" s="1">
        <f t="shared" si="139"/>
        <v>7.6616335077947595E-9</v>
      </c>
      <c r="D589" s="1">
        <f t="shared" si="140"/>
        <v>1.3434616194053475E-2</v>
      </c>
      <c r="E589" s="1">
        <f t="shared" si="141"/>
        <v>1.094230634324421E-3</v>
      </c>
      <c r="F589" s="1">
        <f t="shared" si="142"/>
        <v>0.28945998763016223</v>
      </c>
      <c r="G589" s="1">
        <f t="shared" si="143"/>
        <v>0.2893906651350181</v>
      </c>
      <c r="H589" s="1">
        <f t="shared" si="151"/>
        <v>2.8939066513501808</v>
      </c>
      <c r="J589" s="2">
        <v>9.8699999999999992</v>
      </c>
      <c r="K589" s="1">
        <v>1.3489628825916514E-10</v>
      </c>
      <c r="L589" s="1">
        <v>7.4872334371392781E-5</v>
      </c>
      <c r="M589" s="1">
        <v>-7.068973208721271E-5</v>
      </c>
      <c r="N589" s="1">
        <v>3.3451149553478682E-3</v>
      </c>
      <c r="O589" s="1">
        <v>0.99974887443673854</v>
      </c>
      <c r="P589" s="1">
        <v>1.0042443842691013</v>
      </c>
      <c r="Q589" s="2">
        <v>10.042443842691013</v>
      </c>
      <c r="S589" s="2">
        <v>5.88</v>
      </c>
      <c r="T589" s="1">
        <f t="shared" si="144"/>
        <v>1.3182567385564063E-6</v>
      </c>
      <c r="U589" s="1">
        <f t="shared" si="145"/>
        <v>7.6616335077947595E-9</v>
      </c>
      <c r="V589" s="1">
        <f t="shared" si="146"/>
        <v>5.6799305936231323E-2</v>
      </c>
      <c r="W589" s="1">
        <f t="shared" si="147"/>
        <v>1.4400231354589557E-2</v>
      </c>
      <c r="X589" s="1">
        <f t="shared" si="148"/>
        <v>0.33643960223037561</v>
      </c>
      <c r="Y589" s="1">
        <f t="shared" si="149"/>
        <v>0.33645491296223606</v>
      </c>
      <c r="Z589" s="1">
        <f t="shared" si="150"/>
        <v>16.822745648111802</v>
      </c>
      <c r="AB589">
        <v>7.19</v>
      </c>
      <c r="AC589">
        <v>6.4565422903465397E-8</v>
      </c>
      <c r="AD589">
        <v>1.5643047851016097E-7</v>
      </c>
      <c r="AE589">
        <v>9.640897604078133E-2</v>
      </c>
      <c r="AF589">
        <v>1.1970079864062242E-3</v>
      </c>
      <c r="AG589">
        <v>2.4231126902904545E-2</v>
      </c>
      <c r="AH589">
        <v>2.4230197122806447E-2</v>
      </c>
      <c r="AI589">
        <v>1.2115098561403224</v>
      </c>
      <c r="AJ589"/>
      <c r="AK589"/>
      <c r="AL589"/>
      <c r="AM589"/>
      <c r="AN589"/>
      <c r="AO589"/>
      <c r="AP589"/>
      <c r="AQ589"/>
      <c r="AR589"/>
    </row>
    <row r="590" spans="1:44" ht="15" customHeight="1" x14ac:dyDescent="0.3">
      <c r="A590" s="2">
        <v>5.89</v>
      </c>
      <c r="B590" s="1">
        <f t="shared" si="138"/>
        <v>1.2882495516931333E-6</v>
      </c>
      <c r="C590" s="1">
        <f t="shared" si="139"/>
        <v>7.8400958779497904E-9</v>
      </c>
      <c r="D590" s="1">
        <f t="shared" si="140"/>
        <v>1.3332622474408307E-2</v>
      </c>
      <c r="E590" s="1">
        <f t="shared" si="141"/>
        <v>1.1112295875986154E-3</v>
      </c>
      <c r="F590" s="1">
        <f t="shared" si="142"/>
        <v>0.29421864028799749</v>
      </c>
      <c r="G590" s="1">
        <f t="shared" si="143"/>
        <v>0.29415085347986442</v>
      </c>
      <c r="H590" s="1">
        <f t="shared" si="151"/>
        <v>2.9415085347986438</v>
      </c>
      <c r="J590" s="2">
        <v>9.8800000000000008</v>
      </c>
      <c r="K590" s="1">
        <v>1.3182567385564002E-10</v>
      </c>
      <c r="L590" s="1">
        <v>7.6616335077947959E-5</v>
      </c>
      <c r="M590" s="1">
        <v>-7.2528992310182585E-5</v>
      </c>
      <c r="N590" s="1">
        <v>3.3454214987183642E-3</v>
      </c>
      <c r="O590" s="1">
        <v>0.99975458934960271</v>
      </c>
      <c r="P590" s="1">
        <v>1.0043548981023207</v>
      </c>
      <c r="Q590" s="2">
        <v>10.043548981023207</v>
      </c>
      <c r="S590" s="2">
        <v>5.89</v>
      </c>
      <c r="T590" s="1">
        <f t="shared" si="144"/>
        <v>1.2882495516931333E-6</v>
      </c>
      <c r="U590" s="1">
        <f t="shared" si="145"/>
        <v>7.8400958779497904E-9</v>
      </c>
      <c r="V590" s="1">
        <f t="shared" si="146"/>
        <v>5.7363428830886617E-2</v>
      </c>
      <c r="W590" s="1">
        <f t="shared" si="147"/>
        <v>1.4212190389704463E-2</v>
      </c>
      <c r="X590" s="1">
        <f t="shared" si="148"/>
        <v>0.33131863954878277</v>
      </c>
      <c r="Y590" s="1">
        <f t="shared" si="149"/>
        <v>0.33133356485648829</v>
      </c>
      <c r="Z590" s="1">
        <f t="shared" si="150"/>
        <v>16.566678242824413</v>
      </c>
      <c r="AB590">
        <v>7.2</v>
      </c>
      <c r="AC590">
        <v>6.3095734448019177E-8</v>
      </c>
      <c r="AD590">
        <v>1.6007421243857284E-7</v>
      </c>
      <c r="AE590">
        <v>9.64878573304188E-2</v>
      </c>
      <c r="AF590">
        <v>1.1707142231937302E-3</v>
      </c>
      <c r="AG590">
        <v>2.3692627205193977E-2</v>
      </c>
      <c r="AH590">
        <v>2.3691645932515253E-2</v>
      </c>
      <c r="AI590">
        <v>1.1845822966257629</v>
      </c>
      <c r="AJ590"/>
      <c r="AK590"/>
      <c r="AL590"/>
      <c r="AM590"/>
      <c r="AN590"/>
      <c r="AO590"/>
      <c r="AP590"/>
      <c r="AQ590"/>
      <c r="AR590"/>
    </row>
    <row r="591" spans="1:44" ht="15" customHeight="1" x14ac:dyDescent="0.3">
      <c r="A591" s="2">
        <v>5.9</v>
      </c>
      <c r="B591" s="1">
        <f t="shared" si="138"/>
        <v>1.2589254117941642E-6</v>
      </c>
      <c r="C591" s="1">
        <f t="shared" si="139"/>
        <v>8.0227151707152622E-9</v>
      </c>
      <c r="D591" s="1">
        <f t="shared" si="140"/>
        <v>1.3229844548842353E-2</v>
      </c>
      <c r="E591" s="1">
        <f t="shared" si="141"/>
        <v>1.1283592418596074E-3</v>
      </c>
      <c r="F591" s="1">
        <f t="shared" si="142"/>
        <v>0.2990226013898924</v>
      </c>
      <c r="G591" s="1">
        <f t="shared" si="143"/>
        <v>0.2989563166024351</v>
      </c>
      <c r="H591" s="1">
        <f t="shared" si="151"/>
        <v>2.9895631660243507</v>
      </c>
      <c r="J591" s="2">
        <v>9.89</v>
      </c>
      <c r="K591" s="1">
        <v>1.2882495516931275E-10</v>
      </c>
      <c r="L591" s="1">
        <v>7.8400958779498254E-5</v>
      </c>
      <c r="M591" s="1">
        <v>-7.4406708033637354E-5</v>
      </c>
      <c r="N591" s="1">
        <v>3.3457344513389393E-3</v>
      </c>
      <c r="O591" s="1">
        <v>0.99976017423829133</v>
      </c>
      <c r="P591" s="1">
        <v>1.0044677267704321</v>
      </c>
      <c r="Q591" s="2">
        <v>10.044677267704319</v>
      </c>
      <c r="S591" s="2">
        <v>5.9</v>
      </c>
      <c r="T591" s="1">
        <f t="shared" si="144"/>
        <v>1.2589254117941642E-6</v>
      </c>
      <c r="U591" s="1">
        <f t="shared" si="145"/>
        <v>8.0227151707152622E-9</v>
      </c>
      <c r="V591" s="1">
        <f t="shared" si="146"/>
        <v>5.7925641114884352E-2</v>
      </c>
      <c r="W591" s="1">
        <f t="shared" si="147"/>
        <v>1.4024786295038548E-2</v>
      </c>
      <c r="X591" s="1">
        <f t="shared" si="148"/>
        <v>0.32623730117883804</v>
      </c>
      <c r="Y591" s="1">
        <f t="shared" si="149"/>
        <v>0.3262518507524037</v>
      </c>
      <c r="Z591" s="1">
        <f t="shared" si="150"/>
        <v>16.312592537620183</v>
      </c>
      <c r="AB591">
        <v>7.21</v>
      </c>
      <c r="AC591">
        <v>6.1659500186148087E-8</v>
      </c>
      <c r="AD591">
        <v>1.6380281983325226E-7</v>
      </c>
      <c r="AE591">
        <v>9.6565068097910725E-2</v>
      </c>
      <c r="AF591">
        <v>1.1449773006964245E-3</v>
      </c>
      <c r="AG591">
        <v>2.3165810721407384E-2</v>
      </c>
      <c r="AH591">
        <v>2.3164777457574566E-2</v>
      </c>
      <c r="AI591">
        <v>1.1582388728787281</v>
      </c>
      <c r="AJ591"/>
      <c r="AK591"/>
      <c r="AL591"/>
      <c r="AM591"/>
      <c r="AN591"/>
      <c r="AO591"/>
      <c r="AP591"/>
      <c r="AQ591"/>
      <c r="AR591"/>
    </row>
    <row r="592" spans="1:44" ht="15" customHeight="1" x14ac:dyDescent="0.3">
      <c r="A592" s="2">
        <v>5.91</v>
      </c>
      <c r="B592" s="1">
        <f t="shared" si="138"/>
        <v>1.230268770812379E-6</v>
      </c>
      <c r="C592" s="1">
        <f t="shared" si="139"/>
        <v>8.2095882132574187E-9</v>
      </c>
      <c r="D592" s="1">
        <f t="shared" si="140"/>
        <v>1.3126300844165592E-2</v>
      </c>
      <c r="E592" s="1">
        <f t="shared" si="141"/>
        <v>1.1456165259724014E-3</v>
      </c>
      <c r="F592" s="1">
        <f t="shared" si="142"/>
        <v>0.30387122957040053</v>
      </c>
      <c r="G592" s="1">
        <f t="shared" si="143"/>
        <v>0.30380641391709196</v>
      </c>
      <c r="H592" s="1">
        <f t="shared" si="151"/>
        <v>3.0380641391709196</v>
      </c>
      <c r="J592" s="2">
        <v>9.9</v>
      </c>
      <c r="K592" s="1">
        <v>1.2589254117941656E-10</v>
      </c>
      <c r="L592" s="1">
        <v>8.0227151707152526E-5</v>
      </c>
      <c r="M592" s="1">
        <v>-7.6323874787430449E-5</v>
      </c>
      <c r="N592" s="1">
        <v>3.3460539791312386E-3</v>
      </c>
      <c r="O592" s="1">
        <v>0.99976563205967595</v>
      </c>
      <c r="P592" s="1">
        <v>1.0045829303572733</v>
      </c>
      <c r="Q592" s="2">
        <v>10.045829303572733</v>
      </c>
      <c r="S592" s="2">
        <v>5.91</v>
      </c>
      <c r="T592" s="1">
        <f t="shared" si="144"/>
        <v>1.230268770812379E-6</v>
      </c>
      <c r="U592" s="1">
        <f t="shared" si="145"/>
        <v>8.2095882132574187E-9</v>
      </c>
      <c r="V592" s="1">
        <f t="shared" si="146"/>
        <v>5.8485804243337804E-2</v>
      </c>
      <c r="W592" s="1">
        <f t="shared" si="147"/>
        <v>1.383806525222073E-2</v>
      </c>
      <c r="X592" s="1">
        <f t="shared" si="148"/>
        <v>0.32119646020335163</v>
      </c>
      <c r="Y592" s="1">
        <f t="shared" si="149"/>
        <v>0.32121064348725975</v>
      </c>
      <c r="Z592" s="1">
        <f t="shared" si="150"/>
        <v>16.060532174362987</v>
      </c>
      <c r="AB592">
        <v>7.22</v>
      </c>
      <c r="AC592">
        <v>6.0255958607435649E-8</v>
      </c>
      <c r="AD592">
        <v>1.6761827765119396E-7</v>
      </c>
      <c r="AE592">
        <v>9.6640641044988138E-2</v>
      </c>
      <c r="AF592">
        <v>1.1197863183372856E-3</v>
      </c>
      <c r="AG592">
        <v>2.2650436478667955E-2</v>
      </c>
      <c r="AH592">
        <v>2.2649350697043439E-2</v>
      </c>
      <c r="AI592">
        <v>1.1324675348521718</v>
      </c>
      <c r="AJ592"/>
      <c r="AK592"/>
      <c r="AL592"/>
      <c r="AM592"/>
      <c r="AN592"/>
      <c r="AO592"/>
      <c r="AP592"/>
      <c r="AQ592"/>
      <c r="AR592"/>
    </row>
    <row r="593" spans="1:44" ht="15" customHeight="1" x14ac:dyDescent="0.3">
      <c r="A593" s="2">
        <v>5.92</v>
      </c>
      <c r="B593" s="1">
        <f t="shared" si="138"/>
        <v>1.2022644346174125E-6</v>
      </c>
      <c r="C593" s="1">
        <f t="shared" si="139"/>
        <v>8.4008140881369799E-9</v>
      </c>
      <c r="D593" s="1">
        <f t="shared" si="140"/>
        <v>1.3022010473237484E-2</v>
      </c>
      <c r="E593" s="1">
        <f t="shared" si="141"/>
        <v>1.1629982544604193E-3</v>
      </c>
      <c r="F593" s="1">
        <f t="shared" si="142"/>
        <v>0.30876384758523689</v>
      </c>
      <c r="G593" s="1">
        <f t="shared" si="143"/>
        <v>0.3087004689416154</v>
      </c>
      <c r="H593" s="1">
        <f t="shared" si="151"/>
        <v>3.0870046894161538</v>
      </c>
      <c r="J593" s="2">
        <v>9.91</v>
      </c>
      <c r="K593" s="1">
        <v>1.2302687708123799E-10</v>
      </c>
      <c r="L593" s="1">
        <v>8.2095882132574133E-5</v>
      </c>
      <c r="M593" s="1">
        <v>-7.8281509021575573E-5</v>
      </c>
      <c r="N593" s="1">
        <v>3.3463802515035957E-3</v>
      </c>
      <c r="O593" s="1">
        <v>0.99977096570344937</v>
      </c>
      <c r="P593" s="1">
        <v>1.0047005702185943</v>
      </c>
      <c r="Q593" s="2">
        <v>10.047005702185942</v>
      </c>
      <c r="S593" s="2">
        <v>5.92</v>
      </c>
      <c r="T593" s="1">
        <f t="shared" si="144"/>
        <v>1.2022644346174125E-6</v>
      </c>
      <c r="U593" s="1">
        <f t="shared" si="145"/>
        <v>8.4008140881369799E-9</v>
      </c>
      <c r="V593" s="1">
        <f t="shared" si="146"/>
        <v>5.904378176072294E-2</v>
      </c>
      <c r="W593" s="1">
        <f t="shared" si="147"/>
        <v>1.365207274642569E-2</v>
      </c>
      <c r="X593" s="1">
        <f t="shared" si="148"/>
        <v>0.31619695454937119</v>
      </c>
      <c r="Y593" s="1">
        <f t="shared" si="149"/>
        <v>0.31621078074831427</v>
      </c>
      <c r="Z593" s="1">
        <f t="shared" si="150"/>
        <v>15.810539037415714</v>
      </c>
      <c r="AB593">
        <v>7.23</v>
      </c>
      <c r="AC593">
        <v>5.8884365535558776E-8</v>
      </c>
      <c r="AD593">
        <v>1.7152260889863652E-7</v>
      </c>
      <c r="AE593">
        <v>9.6714608350755724E-2</v>
      </c>
      <c r="AF593">
        <v>1.0951305497480894E-3</v>
      </c>
      <c r="AG593">
        <v>2.2146267923049804E-2</v>
      </c>
      <c r="AH593">
        <v>2.2145129068673986E-2</v>
      </c>
      <c r="AI593">
        <v>1.1072564534336993</v>
      </c>
      <c r="AJ593"/>
      <c r="AK593"/>
      <c r="AL593"/>
      <c r="AM593"/>
      <c r="AN593"/>
      <c r="AO593"/>
      <c r="AP593"/>
      <c r="AQ593"/>
      <c r="AR593"/>
    </row>
    <row r="594" spans="1:44" ht="15" customHeight="1" x14ac:dyDescent="0.3">
      <c r="A594" s="2">
        <v>5.93</v>
      </c>
      <c r="B594" s="1">
        <f t="shared" si="138"/>
        <v>1.1748975549395291E-6</v>
      </c>
      <c r="C594" s="1">
        <f t="shared" si="139"/>
        <v>8.5964941858440049E-9</v>
      </c>
      <c r="D594" s="1">
        <f t="shared" si="140"/>
        <v>1.2916993225659966E-2</v>
      </c>
      <c r="E594" s="1">
        <f t="shared" si="141"/>
        <v>1.1805011290566721E-3</v>
      </c>
      <c r="F594" s="1">
        <f t="shared" si="142"/>
        <v>0.31369974231668751</v>
      </c>
      <c r="G594" s="1">
        <f t="shared" si="143"/>
        <v>0.31363776930301956</v>
      </c>
      <c r="H594" s="1">
        <f t="shared" si="151"/>
        <v>3.1363776930301954</v>
      </c>
      <c r="J594" s="2">
        <v>9.92</v>
      </c>
      <c r="K594" s="1">
        <v>1.2022644346174114E-10</v>
      </c>
      <c r="L594" s="1">
        <v>8.400814088136987E-5</v>
      </c>
      <c r="M594" s="1">
        <v>-8.028064864504738E-5</v>
      </c>
      <c r="N594" s="1">
        <v>3.3467134414408408E-3</v>
      </c>
      <c r="O594" s="1">
        <v>0.99977617799364882</v>
      </c>
      <c r="P594" s="1">
        <v>1.0048207090151695</v>
      </c>
      <c r="Q594" s="2">
        <v>10.048207090151694</v>
      </c>
      <c r="S594" s="2">
        <v>5.93</v>
      </c>
      <c r="T594" s="1">
        <f t="shared" si="144"/>
        <v>1.1748975549395291E-6</v>
      </c>
      <c r="U594" s="1">
        <f t="shared" si="145"/>
        <v>8.5964941858440049E-9</v>
      </c>
      <c r="V594" s="1">
        <f t="shared" si="146"/>
        <v>5.9599439427330758E-2</v>
      </c>
      <c r="W594" s="1">
        <f t="shared" si="147"/>
        <v>1.3466853524223081E-2</v>
      </c>
      <c r="X594" s="1">
        <f t="shared" si="148"/>
        <v>0.31123958672789731</v>
      </c>
      <c r="Y594" s="1">
        <f t="shared" si="149"/>
        <v>0.31125306481240306</v>
      </c>
      <c r="Z594" s="1">
        <f t="shared" si="150"/>
        <v>15.562653240620152</v>
      </c>
      <c r="AB594">
        <v>7.24</v>
      </c>
      <c r="AC594">
        <v>5.7543993733715586E-8</v>
      </c>
      <c r="AD594">
        <v>1.7551788370368723E-7</v>
      </c>
      <c r="AE594">
        <v>9.6787001674764395E-2</v>
      </c>
      <c r="AF594">
        <v>1.0709994417452027E-3</v>
      </c>
      <c r="AG594">
        <v>2.1653072863290275E-2</v>
      </c>
      <c r="AH594">
        <v>2.1651880352607823E-2</v>
      </c>
      <c r="AI594">
        <v>1.082594017630391</v>
      </c>
      <c r="AJ594"/>
      <c r="AK594"/>
      <c r="AL594"/>
      <c r="AM594"/>
      <c r="AN594"/>
      <c r="AO594"/>
      <c r="AP594"/>
      <c r="AQ594"/>
      <c r="AR594"/>
    </row>
    <row r="595" spans="1:44" ht="15" customHeight="1" x14ac:dyDescent="0.3">
      <c r="A595" s="2">
        <v>5.94</v>
      </c>
      <c r="B595" s="1">
        <f t="shared" si="138"/>
        <v>1.1481536214968806E-6</v>
      </c>
      <c r="C595" s="1">
        <f t="shared" si="139"/>
        <v>8.7967322585564298E-9</v>
      </c>
      <c r="D595" s="1">
        <f t="shared" si="140"/>
        <v>1.2811269557255959E-2</v>
      </c>
      <c r="E595" s="1">
        <f t="shared" si="141"/>
        <v>1.1981217404573403E-3</v>
      </c>
      <c r="F595" s="1">
        <f t="shared" si="142"/>
        <v>0.31867816483360661</v>
      </c>
      <c r="G595" s="1">
        <f t="shared" si="143"/>
        <v>0.31861756679794706</v>
      </c>
      <c r="H595" s="1">
        <f t="shared" si="151"/>
        <v>3.1861756679794704</v>
      </c>
      <c r="J595" s="2">
        <v>9.93</v>
      </c>
      <c r="K595" s="1">
        <v>1.1748975549395284E-10</v>
      </c>
      <c r="L595" s="1">
        <v>8.5964941858440109E-5</v>
      </c>
      <c r="M595" s="1">
        <v>-8.2322353575984506E-5</v>
      </c>
      <c r="N595" s="1">
        <v>3.3470537255959974E-3</v>
      </c>
      <c r="O595" s="1">
        <v>0.99978127169014541</v>
      </c>
      <c r="P595" s="1">
        <v>1.0049434107466326</v>
      </c>
      <c r="Q595" s="2">
        <v>10.049434107466325</v>
      </c>
      <c r="S595" s="2">
        <v>5.94</v>
      </c>
      <c r="T595" s="1">
        <f t="shared" si="144"/>
        <v>1.1481536214968806E-6</v>
      </c>
      <c r="U595" s="1">
        <f t="shared" si="145"/>
        <v>8.7967322585564298E-9</v>
      </c>
      <c r="V595" s="1">
        <f t="shared" si="146"/>
        <v>6.0152645341021785E-2</v>
      </c>
      <c r="W595" s="1">
        <f t="shared" si="147"/>
        <v>1.3282451552992736E-2</v>
      </c>
      <c r="X595" s="1">
        <f t="shared" si="148"/>
        <v>0.30632512363203207</v>
      </c>
      <c r="Y595" s="1">
        <f t="shared" si="149"/>
        <v>0.30633826234397266</v>
      </c>
      <c r="Z595" s="1">
        <f t="shared" si="150"/>
        <v>15.316913117198633</v>
      </c>
      <c r="AB595">
        <v>7.25</v>
      </c>
      <c r="AC595">
        <v>5.6234132519034806E-8</v>
      </c>
      <c r="AD595">
        <v>1.7960622041393151E-7</v>
      </c>
      <c r="AE595">
        <v>9.6857852160340693E-2</v>
      </c>
      <c r="AF595">
        <v>1.0473826132197717E-3</v>
      </c>
      <c r="AG595">
        <v>2.1170623414023097E-2</v>
      </c>
      <c r="AH595">
        <v>2.1169376634593173E-2</v>
      </c>
      <c r="AI595">
        <v>1.0584688317296587</v>
      </c>
      <c r="AJ595"/>
      <c r="AK595"/>
      <c r="AL595"/>
      <c r="AM595"/>
      <c r="AN595"/>
      <c r="AO595"/>
      <c r="AP595"/>
      <c r="AQ595"/>
      <c r="AR595"/>
    </row>
    <row r="596" spans="1:44" ht="15" customHeight="1" x14ac:dyDescent="0.3">
      <c r="A596" s="2">
        <v>5.95</v>
      </c>
      <c r="B596" s="1">
        <f t="shared" si="138"/>
        <v>1.1220184543019616E-6</v>
      </c>
      <c r="C596" s="1">
        <f t="shared" si="139"/>
        <v>9.0016344751508437E-9</v>
      </c>
      <c r="D596" s="1">
        <f t="shared" si="140"/>
        <v>1.2704860578331815E-2</v>
      </c>
      <c r="E596" s="1">
        <f t="shared" si="141"/>
        <v>1.2158565702780309E-3</v>
      </c>
      <c r="F596" s="1">
        <f t="shared" si="142"/>
        <v>0.32369833050726338</v>
      </c>
      <c r="G596" s="1">
        <f t="shared" si="143"/>
        <v>0.32363907750890386</v>
      </c>
      <c r="H596" s="1">
        <f t="shared" si="151"/>
        <v>3.2363907750890384</v>
      </c>
      <c r="J596" s="2">
        <v>9.94</v>
      </c>
      <c r="K596" s="1">
        <v>1.1481536214968818E-10</v>
      </c>
      <c r="L596" s="1">
        <v>8.7967322585564211E-5</v>
      </c>
      <c r="M596" s="1">
        <v>-8.4407706303554414E-5</v>
      </c>
      <c r="N596" s="1">
        <v>3.3474012843839255E-3</v>
      </c>
      <c r="O596" s="1">
        <v>0.99978624949009853</v>
      </c>
      <c r="P596" s="1">
        <v>1.0050687407860492</v>
      </c>
      <c r="Q596" s="2">
        <v>10.050687407860492</v>
      </c>
      <c r="S596" s="2">
        <v>5.95</v>
      </c>
      <c r="T596" s="1">
        <f t="shared" si="144"/>
        <v>1.1220184543019616E-6</v>
      </c>
      <c r="U596" s="1">
        <f t="shared" si="145"/>
        <v>9.0016344751508437E-9</v>
      </c>
      <c r="V596" s="1">
        <f t="shared" si="146"/>
        <v>6.0703270054067594E-2</v>
      </c>
      <c r="W596" s="1">
        <f t="shared" si="147"/>
        <v>1.3098909981977467E-2</v>
      </c>
      <c r="X596" s="1">
        <f t="shared" si="148"/>
        <v>0.3014542963926245</v>
      </c>
      <c r="Y596" s="1">
        <f t="shared" si="149"/>
        <v>0.30146710425061102</v>
      </c>
      <c r="Z596" s="1">
        <f t="shared" si="150"/>
        <v>15.073355212530553</v>
      </c>
      <c r="AB596">
        <v>7.26</v>
      </c>
      <c r="AC596">
        <v>5.4954087385762357E-8</v>
      </c>
      <c r="AD596">
        <v>1.8378978671960864E-7</v>
      </c>
      <c r="AE596">
        <v>9.6927190438156716E-2</v>
      </c>
      <c r="AF596">
        <v>1.0242698539477586E-3</v>
      </c>
      <c r="AG596">
        <v>2.0698695938607986E-2</v>
      </c>
      <c r="AH596">
        <v>2.0697394248798334E-2</v>
      </c>
      <c r="AI596">
        <v>1.0348697124399164</v>
      </c>
      <c r="AJ596"/>
      <c r="AK596"/>
      <c r="AL596"/>
      <c r="AM596"/>
      <c r="AN596"/>
      <c r="AO596"/>
      <c r="AP596"/>
      <c r="AQ596"/>
      <c r="AR596"/>
    </row>
    <row r="597" spans="1:44" ht="15" customHeight="1" x14ac:dyDescent="0.3">
      <c r="A597" s="2">
        <v>5.96</v>
      </c>
      <c r="B597" s="1">
        <f t="shared" si="138"/>
        <v>1.0964781961431832E-6</v>
      </c>
      <c r="C597" s="1">
        <f t="shared" si="139"/>
        <v>9.2113094774947035E-9</v>
      </c>
      <c r="D597" s="1">
        <f t="shared" si="140"/>
        <v>1.2597788040725777E-2</v>
      </c>
      <c r="E597" s="1">
        <f t="shared" si="141"/>
        <v>1.2337019932123707E-3</v>
      </c>
      <c r="F597" s="1">
        <f t="shared" si="142"/>
        <v>0.3287594191841684</v>
      </c>
      <c r="G597" s="1">
        <f t="shared" si="143"/>
        <v>0.32870148197746563</v>
      </c>
      <c r="H597" s="1">
        <f t="shared" si="151"/>
        <v>3.2870148197746563</v>
      </c>
      <c r="J597" s="2">
        <v>9.9499999999999993</v>
      </c>
      <c r="K597" s="1">
        <v>1.1220184543019624E-10</v>
      </c>
      <c r="L597" s="1">
        <v>9.0016344751508374E-5</v>
      </c>
      <c r="M597" s="1">
        <v>-8.6537812461815613E-5</v>
      </c>
      <c r="N597" s="1">
        <v>3.3477563020769688E-3</v>
      </c>
      <c r="O597" s="1">
        <v>0.9997911140293797</v>
      </c>
      <c r="P597" s="1">
        <v>1.0051967659152508</v>
      </c>
      <c r="Q597" s="2">
        <v>10.051967659152506</v>
      </c>
      <c r="S597" s="2">
        <v>5.96</v>
      </c>
      <c r="T597" s="1">
        <f t="shared" si="144"/>
        <v>1.0964781961431832E-6</v>
      </c>
      <c r="U597" s="1">
        <f t="shared" si="145"/>
        <v>9.2113094774947035E-9</v>
      </c>
      <c r="V597" s="1">
        <f t="shared" si="146"/>
        <v>6.1251186684880513E-2</v>
      </c>
      <c r="W597" s="1">
        <f t="shared" si="147"/>
        <v>1.2916271105039829E-2</v>
      </c>
      <c r="X597" s="1">
        <f t="shared" si="148"/>
        <v>0.29662780029034724</v>
      </c>
      <c r="Y597" s="1">
        <f t="shared" si="149"/>
        <v>0.29664028559501282</v>
      </c>
      <c r="Z597" s="1">
        <f t="shared" si="150"/>
        <v>14.832014279750641</v>
      </c>
      <c r="AB597">
        <v>7.27</v>
      </c>
      <c r="AC597">
        <v>5.3703179637025192E-8</v>
      </c>
      <c r="AD597">
        <v>1.8807080080294989E-7</v>
      </c>
      <c r="AE597">
        <v>9.6995046630024798E-2</v>
      </c>
      <c r="AF597">
        <v>1.0016511233250629E-3</v>
      </c>
      <c r="AG597">
        <v>2.0237070991628664E-2</v>
      </c>
      <c r="AH597">
        <v>2.0235713720293428E-2</v>
      </c>
      <c r="AI597">
        <v>1.0117856860146712</v>
      </c>
      <c r="AJ597"/>
      <c r="AK597"/>
      <c r="AL597"/>
      <c r="AM597"/>
      <c r="AN597"/>
      <c r="AO597"/>
      <c r="AP597"/>
      <c r="AQ597"/>
      <c r="AR597"/>
    </row>
    <row r="598" spans="1:44" ht="15" customHeight="1" x14ac:dyDescent="0.3">
      <c r="A598" s="2">
        <v>5.97</v>
      </c>
      <c r="B598" s="1">
        <f t="shared" si="138"/>
        <v>1.0715193052376047E-6</v>
      </c>
      <c r="C598" s="1">
        <f t="shared" si="139"/>
        <v>9.4258684380496238E-9</v>
      </c>
      <c r="D598" s="1">
        <f t="shared" si="140"/>
        <v>1.2490074323648055E-2</v>
      </c>
      <c r="E598" s="1">
        <f t="shared" si="141"/>
        <v>1.2516542793919907E-3</v>
      </c>
      <c r="F598" s="1">
        <f t="shared" si="142"/>
        <v>0.33386057541687814</v>
      </c>
      <c r="G598" s="1">
        <f t="shared" si="143"/>
        <v>0.33380392543545429</v>
      </c>
      <c r="H598" s="1">
        <f t="shared" si="151"/>
        <v>3.3380392543545425</v>
      </c>
      <c r="J598" s="2">
        <v>9.9600000000000009</v>
      </c>
      <c r="K598" s="1">
        <v>1.0964781961431802E-10</v>
      </c>
      <c r="L598" s="1">
        <v>9.211309477494728E-5</v>
      </c>
      <c r="M598" s="1">
        <v>-8.8713801415822718E-5</v>
      </c>
      <c r="N598" s="1">
        <v>3.3481189669026371E-3</v>
      </c>
      <c r="O598" s="1">
        <v>0.99979586788396169</v>
      </c>
      <c r="P598" s="1">
        <v>1.0053275543609455</v>
      </c>
      <c r="Q598" s="2">
        <v>10.053275543609454</v>
      </c>
      <c r="S598" s="2">
        <v>5.97</v>
      </c>
      <c r="T598" s="1">
        <f t="shared" si="144"/>
        <v>1.0715193052376047E-6</v>
      </c>
      <c r="U598" s="1">
        <f t="shared" si="145"/>
        <v>9.4258684380496238E-9</v>
      </c>
      <c r="V598" s="1">
        <f t="shared" si="146"/>
        <v>6.1796271024450997E-2</v>
      </c>
      <c r="W598" s="1">
        <f t="shared" si="147"/>
        <v>1.2734576325183003E-2</v>
      </c>
      <c r="X598" s="1">
        <f t="shared" si="148"/>
        <v>0.29184629472301266</v>
      </c>
      <c r="Y598" s="1">
        <f t="shared" si="149"/>
        <v>0.29185846556218437</v>
      </c>
      <c r="Z598" s="1">
        <f t="shared" si="150"/>
        <v>14.592923278109216</v>
      </c>
      <c r="AB598">
        <v>7.28</v>
      </c>
      <c r="AC598">
        <v>5.2480746024977185E-8</v>
      </c>
      <c r="AD598">
        <v>1.9245153251428823E-7</v>
      </c>
      <c r="AE598">
        <v>9.7061450352901688E-2</v>
      </c>
      <c r="AF598">
        <v>9.795165490327684E-4</v>
      </c>
      <c r="AG598">
        <v>1.9785533261127392E-2</v>
      </c>
      <c r="AH598">
        <v>1.9784119707268521E-2</v>
      </c>
      <c r="AI598">
        <v>0.98920598536342585</v>
      </c>
      <c r="AJ598"/>
      <c r="AK598"/>
      <c r="AL598"/>
      <c r="AM598"/>
      <c r="AN598"/>
      <c r="AO598"/>
      <c r="AP598"/>
      <c r="AQ598"/>
      <c r="AR598"/>
    </row>
    <row r="599" spans="1:44" ht="15" customHeight="1" x14ac:dyDescent="0.3">
      <c r="A599" s="2">
        <v>5.98</v>
      </c>
      <c r="B599" s="1">
        <f t="shared" si="138"/>
        <v>1.0471285480508979E-6</v>
      </c>
      <c r="C599" s="1">
        <f t="shared" si="139"/>
        <v>9.6454251188165172E-9</v>
      </c>
      <c r="D599" s="1">
        <f t="shared" si="140"/>
        <v>1.238174241832176E-2</v>
      </c>
      <c r="E599" s="1">
        <f t="shared" si="141"/>
        <v>1.2697095969463736E-3</v>
      </c>
      <c r="F599" s="1">
        <f t="shared" si="142"/>
        <v>0.33900090875364197</v>
      </c>
      <c r="G599" s="1">
        <f t="shared" si="143"/>
        <v>0.33894551809494922</v>
      </c>
      <c r="H599" s="1">
        <f t="shared" si="151"/>
        <v>3.3894551809494922</v>
      </c>
      <c r="J599" s="2">
        <v>9.9700000000000006</v>
      </c>
      <c r="K599" s="1">
        <v>1.0715193052376019E-10</v>
      </c>
      <c r="L599" s="1">
        <v>9.4258684380496479E-5</v>
      </c>
      <c r="M599" s="1">
        <v>-9.0936826860347754E-5</v>
      </c>
      <c r="N599" s="1">
        <v>3.3484894711433917E-3</v>
      </c>
      <c r="O599" s="1">
        <v>0.99980051357127853</v>
      </c>
      <c r="P599" s="1">
        <v>1.0054611758316314</v>
      </c>
      <c r="Q599" s="2">
        <v>10.054611758316314</v>
      </c>
      <c r="S599" s="2">
        <v>5.98</v>
      </c>
      <c r="T599" s="1">
        <f t="shared" si="144"/>
        <v>1.0471285480508979E-6</v>
      </c>
      <c r="U599" s="1">
        <f t="shared" si="145"/>
        <v>9.6454251188165172E-9</v>
      </c>
      <c r="V599" s="1">
        <f t="shared" si="146"/>
        <v>6.2338401637330412E-2</v>
      </c>
      <c r="W599" s="1">
        <f t="shared" si="147"/>
        <v>1.2553866120889861E-2</v>
      </c>
      <c r="X599" s="1">
        <f t="shared" si="148"/>
        <v>0.28711040322680847</v>
      </c>
      <c r="Y599" s="1">
        <f t="shared" si="149"/>
        <v>0.28712226748057146</v>
      </c>
      <c r="Z599" s="1">
        <f t="shared" si="150"/>
        <v>14.356113374028574</v>
      </c>
      <c r="AB599">
        <v>7.29</v>
      </c>
      <c r="AC599">
        <v>5.1286138399136415E-8</v>
      </c>
      <c r="AD599">
        <v>1.9693430457556283E-7</v>
      </c>
      <c r="AE599">
        <v>9.7126430723087881E-2</v>
      </c>
      <c r="AF599">
        <v>9.5785642563737548E-4</v>
      </c>
      <c r="AG599">
        <v>1.9343871510640986E-2</v>
      </c>
      <c r="AH599">
        <v>1.9342400943053086E-2</v>
      </c>
      <c r="AI599">
        <v>0.96712004715265432</v>
      </c>
      <c r="AJ599"/>
      <c r="AK599"/>
      <c r="AL599"/>
      <c r="AM599"/>
      <c r="AN599"/>
      <c r="AO599"/>
      <c r="AP599"/>
      <c r="AQ599"/>
      <c r="AR599"/>
    </row>
    <row r="600" spans="1:44" ht="15" customHeight="1" x14ac:dyDescent="0.3">
      <c r="A600" s="2">
        <v>5.99</v>
      </c>
      <c r="B600" s="1">
        <f t="shared" si="138"/>
        <v>1.0232929922807527E-6</v>
      </c>
      <c r="C600" s="1">
        <f t="shared" si="139"/>
        <v>9.8700959316537015E-9</v>
      </c>
      <c r="D600" s="1">
        <f t="shared" si="140"/>
        <v>1.2272815911437727E-2</v>
      </c>
      <c r="E600" s="1">
        <f t="shared" si="141"/>
        <v>1.2878640147603788E-3</v>
      </c>
      <c r="F600" s="1">
        <f t="shared" si="142"/>
        <v>0.34417949408760518</v>
      </c>
      <c r="G600" s="1">
        <f t="shared" si="143"/>
        <v>0.34412533549784563</v>
      </c>
      <c r="H600" s="1">
        <f t="shared" si="151"/>
        <v>3.4412533549784561</v>
      </c>
      <c r="J600" s="2">
        <v>9.98</v>
      </c>
      <c r="K600" s="1">
        <v>1.0471285480508951E-10</v>
      </c>
      <c r="L600" s="1">
        <v>9.6454251188165423E-5</v>
      </c>
      <c r="M600" s="1">
        <v>-9.3208067431467453E-5</v>
      </c>
      <c r="N600" s="1">
        <v>3.3488680112385783E-3</v>
      </c>
      <c r="O600" s="1">
        <v>0.99980505355155225</v>
      </c>
      <c r="P600" s="1">
        <v>1.0055977015553283</v>
      </c>
      <c r="Q600" s="2">
        <v>10.055977015553283</v>
      </c>
      <c r="S600" s="2">
        <v>5.99</v>
      </c>
      <c r="T600" s="1">
        <f t="shared" si="144"/>
        <v>1.0232929922807527E-6</v>
      </c>
      <c r="U600" s="1">
        <f t="shared" si="145"/>
        <v>9.8700959316537015E-9</v>
      </c>
      <c r="V600" s="1">
        <f t="shared" si="146"/>
        <v>6.2877459957015616E-2</v>
      </c>
      <c r="W600" s="1">
        <f t="shared" si="147"/>
        <v>1.2374180014328131E-2</v>
      </c>
      <c r="X600" s="1">
        <f t="shared" si="148"/>
        <v>0.28242071355002973</v>
      </c>
      <c r="Y600" s="1">
        <f t="shared" si="149"/>
        <v>0.28243227889568379</v>
      </c>
      <c r="Z600" s="1">
        <f t="shared" si="150"/>
        <v>14.12161394478419</v>
      </c>
      <c r="AB600">
        <v>7.3</v>
      </c>
      <c r="AC600">
        <v>5.0118723362727164E-8</v>
      </c>
      <c r="AD600">
        <v>2.0152149381185708E-7</v>
      </c>
      <c r="AE600">
        <v>9.7190016360607978E-2</v>
      </c>
      <c r="AF600">
        <v>9.3666121313067347E-4</v>
      </c>
      <c r="AG600">
        <v>1.891187852109949E-2</v>
      </c>
      <c r="AH600">
        <v>1.8910350177997963E-2</v>
      </c>
      <c r="AI600">
        <v>0.94551750889989816</v>
      </c>
      <c r="AJ600"/>
      <c r="AK600"/>
      <c r="AL600"/>
      <c r="AM600"/>
      <c r="AN600"/>
      <c r="AO600"/>
      <c r="AP600"/>
      <c r="AQ600"/>
      <c r="AR600"/>
    </row>
    <row r="601" spans="1:44" ht="15" customHeight="1" x14ac:dyDescent="0.3">
      <c r="A601" s="2">
        <v>6</v>
      </c>
      <c r="B601" s="1">
        <f t="shared" si="138"/>
        <v>9.9999999999999995E-7</v>
      </c>
      <c r="C601" s="1">
        <f t="shared" si="139"/>
        <v>1.0099999999999999E-8</v>
      </c>
      <c r="D601" s="1">
        <f t="shared" si="140"/>
        <v>1.2163318967439924E-2</v>
      </c>
      <c r="E601" s="1">
        <f t="shared" si="141"/>
        <v>1.3061135054266797E-3</v>
      </c>
      <c r="F601" s="1">
        <f t="shared" si="142"/>
        <v>0.34939537206612731</v>
      </c>
      <c r="G601" s="1">
        <f t="shared" si="143"/>
        <v>0.34934241892552237</v>
      </c>
      <c r="H601" s="1">
        <f t="shared" si="151"/>
        <v>3.4934241892552236</v>
      </c>
      <c r="J601" s="2">
        <v>9.99</v>
      </c>
      <c r="K601" s="1">
        <v>1.0232929922807501E-10</v>
      </c>
      <c r="L601" s="1">
        <v>9.870095931653726E-5</v>
      </c>
      <c r="M601" s="1">
        <v>-9.5528727331434512E-5</v>
      </c>
      <c r="N601" s="1">
        <v>3.3492547878885724E-3</v>
      </c>
      <c r="O601" s="1">
        <v>0.99980949022909227</v>
      </c>
      <c r="P601" s="1">
        <v>1.0057372043181556</v>
      </c>
      <c r="Q601" s="2">
        <v>10.057372043181555</v>
      </c>
      <c r="S601" s="2">
        <v>6</v>
      </c>
      <c r="T601" s="1">
        <f t="shared" si="144"/>
        <v>9.9999999999999995E-7</v>
      </c>
      <c r="U601" s="1">
        <f t="shared" si="145"/>
        <v>1.0099999999999999E-8</v>
      </c>
      <c r="V601" s="1">
        <f t="shared" si="146"/>
        <v>6.3413330375609755E-2</v>
      </c>
      <c r="W601" s="1">
        <f t="shared" si="147"/>
        <v>1.2195556541463414E-2</v>
      </c>
      <c r="X601" s="1">
        <f t="shared" si="148"/>
        <v>0.27777777777777773</v>
      </c>
      <c r="Y601" s="1">
        <f t="shared" si="149"/>
        <v>0.27778905169468909</v>
      </c>
      <c r="Z601" s="1">
        <f t="shared" si="150"/>
        <v>13.889452584734455</v>
      </c>
      <c r="AB601">
        <v>7.31</v>
      </c>
      <c r="AC601">
        <v>4.8977881936844561E-8</v>
      </c>
      <c r="AD601">
        <v>2.062155324116227E-7</v>
      </c>
      <c r="AE601">
        <v>9.725223539375881E-2</v>
      </c>
      <c r="AF601">
        <v>9.159215354137346E-4</v>
      </c>
      <c r="AG601">
        <v>1.8489351032645679E-2</v>
      </c>
      <c r="AH601">
        <v>1.8487764121277967E-2</v>
      </c>
      <c r="AI601">
        <v>0.92438820606389838</v>
      </c>
      <c r="AJ601"/>
      <c r="AK601"/>
      <c r="AL601"/>
      <c r="AM601"/>
      <c r="AN601"/>
      <c r="AO601"/>
      <c r="AP601"/>
      <c r="AQ601"/>
      <c r="AR601"/>
    </row>
    <row r="602" spans="1:44" ht="15" customHeight="1" x14ac:dyDescent="0.3">
      <c r="A602" s="2">
        <v>6.01</v>
      </c>
      <c r="B602" s="1">
        <f t="shared" si="138"/>
        <v>9.7723722095580961E-7</v>
      </c>
      <c r="C602" s="1">
        <f t="shared" si="139"/>
        <v>1.0335259222035628E-8</v>
      </c>
      <c r="D602" s="1">
        <f t="shared" si="140"/>
        <v>1.2053276309661994E-2</v>
      </c>
      <c r="E602" s="1">
        <f t="shared" si="141"/>
        <v>1.3244539483896673E-3</v>
      </c>
      <c r="F602" s="1">
        <f t="shared" si="142"/>
        <v>0.35464754956061767</v>
      </c>
      <c r="G602" s="1">
        <f t="shared" si="143"/>
        <v>0.3545957758690178</v>
      </c>
      <c r="H602" s="1">
        <f t="shared" si="151"/>
        <v>3.5459577586901778</v>
      </c>
      <c r="J602" s="2">
        <v>10</v>
      </c>
      <c r="K602" s="1">
        <v>1E-10</v>
      </c>
      <c r="L602" s="1">
        <v>1.0099999999999999E-4</v>
      </c>
      <c r="M602" s="1">
        <v>-9.7900036967060971E-5</v>
      </c>
      <c r="N602" s="1">
        <v>3.3496500061611766E-3</v>
      </c>
      <c r="O602" s="1">
        <v>0.99981382595356338</v>
      </c>
      <c r="P602" s="1">
        <v>1.0058797585037724</v>
      </c>
      <c r="Q602" s="2">
        <v>10.058797585037723</v>
      </c>
      <c r="S602" s="2">
        <v>6.01</v>
      </c>
      <c r="T602" s="1">
        <f t="shared" si="144"/>
        <v>9.7723722095580961E-7</v>
      </c>
      <c r="U602" s="1">
        <f t="shared" si="145"/>
        <v>1.0335259222035628E-8</v>
      </c>
      <c r="V602" s="1">
        <f t="shared" si="146"/>
        <v>6.3945900327653793E-2</v>
      </c>
      <c r="W602" s="1">
        <f t="shared" si="147"/>
        <v>1.2018033224115404E-2</v>
      </c>
      <c r="X602" s="1">
        <f t="shared" si="148"/>
        <v>0.27318211250600244</v>
      </c>
      <c r="Y602" s="1">
        <f t="shared" si="149"/>
        <v>0.27319310228035243</v>
      </c>
      <c r="Z602" s="1">
        <f t="shared" si="150"/>
        <v>13.659655114017621</v>
      </c>
      <c r="AB602">
        <v>7.32</v>
      </c>
      <c r="AC602">
        <v>4.7863009232263782E-8</v>
      </c>
      <c r="AD602">
        <v>2.1101890921625821E-7</v>
      </c>
      <c r="AE602">
        <v>9.7313115463812036E-2</v>
      </c>
      <c r="AF602">
        <v>8.9562817872932321E-4</v>
      </c>
      <c r="AG602">
        <v>1.8076089686430361E-2</v>
      </c>
      <c r="AH602">
        <v>1.8074443382670134E-2</v>
      </c>
      <c r="AI602">
        <v>0.90372216913350678</v>
      </c>
      <c r="AJ602"/>
      <c r="AK602"/>
      <c r="AL602"/>
      <c r="AM602"/>
      <c r="AN602"/>
      <c r="AO602"/>
      <c r="AP602"/>
      <c r="AQ602"/>
      <c r="AR602"/>
    </row>
    <row r="603" spans="1:44" ht="15" customHeight="1" x14ac:dyDescent="0.3">
      <c r="A603" s="2">
        <v>6.02</v>
      </c>
      <c r="B603" s="1">
        <f t="shared" si="138"/>
        <v>9.5499258602143498E-7</v>
      </c>
      <c r="C603" s="1">
        <f t="shared" si="139"/>
        <v>1.0575998335314095E-8</v>
      </c>
      <c r="D603" s="1">
        <f t="shared" si="140"/>
        <v>1.1942713200339281E-2</v>
      </c>
      <c r="E603" s="1">
        <f t="shared" si="141"/>
        <v>1.3428811332767865E-3</v>
      </c>
      <c r="F603" s="1">
        <f t="shared" si="142"/>
        <v>0.359935000197115</v>
      </c>
      <c r="G603" s="1">
        <f t="shared" si="143"/>
        <v>0.35988438055994421</v>
      </c>
      <c r="H603" s="1">
        <f t="shared" si="151"/>
        <v>3.5988438055994418</v>
      </c>
      <c r="J603" s="2">
        <v>10.01</v>
      </c>
      <c r="K603" s="1">
        <v>9.7723722095581033E-11</v>
      </c>
      <c r="L603" s="1">
        <v>1.0335259222035619E-4</v>
      </c>
      <c r="M603" s="1">
        <v>-1.0032325360202047E-4</v>
      </c>
      <c r="N603" s="1">
        <v>3.3500538756003366E-3</v>
      </c>
      <c r="O603" s="1">
        <v>0.99981806302122667</v>
      </c>
      <c r="P603" s="1">
        <v>1.0060254401337072</v>
      </c>
      <c r="Q603" s="2">
        <v>10.060254401337071</v>
      </c>
      <c r="S603" s="2">
        <v>6.02</v>
      </c>
      <c r="T603" s="1">
        <f t="shared" si="144"/>
        <v>9.5499258602143498E-7</v>
      </c>
      <c r="U603" s="1">
        <f t="shared" si="145"/>
        <v>1.0575998335314095E-8</v>
      </c>
      <c r="V603" s="1">
        <f t="shared" si="146"/>
        <v>6.4475060368040252E-2</v>
      </c>
      <c r="W603" s="1">
        <f t="shared" si="147"/>
        <v>1.1841646543986586E-2</v>
      </c>
      <c r="X603" s="1">
        <f t="shared" si="148"/>
        <v>0.2686341990631867</v>
      </c>
      <c r="Y603" s="1">
        <f t="shared" si="149"/>
        <v>0.26864491179261801</v>
      </c>
      <c r="Z603" s="1">
        <f t="shared" si="150"/>
        <v>13.432245589630902</v>
      </c>
      <c r="AB603">
        <v>7.33</v>
      </c>
      <c r="AC603">
        <v>4.6773514128719769E-8</v>
      </c>
      <c r="AD603">
        <v>2.1593417103972565E-7</v>
      </c>
      <c r="AE603">
        <v>9.7372683729859452E-2</v>
      </c>
      <c r="AF603">
        <v>8.7577209004684577E-4</v>
      </c>
      <c r="AG603">
        <v>1.7671898966435343E-2</v>
      </c>
      <c r="AH603">
        <v>1.7670192414359451E-2</v>
      </c>
      <c r="AI603">
        <v>0.88350962071797245</v>
      </c>
      <c r="AJ603"/>
      <c r="AK603"/>
      <c r="AL603"/>
      <c r="AM603"/>
      <c r="AN603"/>
      <c r="AO603"/>
      <c r="AP603"/>
      <c r="AQ603"/>
      <c r="AR603"/>
    </row>
    <row r="604" spans="1:44" ht="15" customHeight="1" x14ac:dyDescent="0.3">
      <c r="A604" s="2">
        <v>6.03</v>
      </c>
      <c r="B604" s="1">
        <f t="shared" si="138"/>
        <v>9.3325430079699009E-7</v>
      </c>
      <c r="C604" s="1">
        <f t="shared" si="139"/>
        <v>1.0822344982899836E-8</v>
      </c>
      <c r="D604" s="1">
        <f t="shared" si="140"/>
        <v>1.1831655419524193E-2</v>
      </c>
      <c r="E604" s="1">
        <f t="shared" si="141"/>
        <v>1.3613907634126344E-3</v>
      </c>
      <c r="F604" s="1">
        <f t="shared" si="142"/>
        <v>0.36525666494768333</v>
      </c>
      <c r="G604" s="1">
        <f t="shared" si="143"/>
        <v>0.36520717456220952</v>
      </c>
      <c r="H604" s="1">
        <f t="shared" si="151"/>
        <v>3.652071745622095</v>
      </c>
      <c r="J604" s="2">
        <v>10.02</v>
      </c>
      <c r="K604" s="1">
        <v>9.5499258602143585E-11</v>
      </c>
      <c r="L604" s="1">
        <v>1.0575998335314086E-4</v>
      </c>
      <c r="M604" s="1">
        <v>-1.0279966202338617E-4</v>
      </c>
      <c r="N604" s="1">
        <v>3.3504666103372307E-3</v>
      </c>
      <c r="O604" s="1">
        <v>0.99982220367615038</v>
      </c>
      <c r="P604" s="1">
        <v>1.0061743269085974</v>
      </c>
      <c r="Q604" s="2">
        <v>10.061743269085973</v>
      </c>
      <c r="S604" s="2">
        <v>6.03</v>
      </c>
      <c r="T604" s="1">
        <f t="shared" si="144"/>
        <v>9.3325430079699009E-7</v>
      </c>
      <c r="U604" s="1">
        <f t="shared" si="145"/>
        <v>1.0822344982899836E-8</v>
      </c>
      <c r="V604" s="1">
        <f t="shared" si="146"/>
        <v>6.5000704243942026E-2</v>
      </c>
      <c r="W604" s="1">
        <f t="shared" si="147"/>
        <v>1.166643191868599E-2</v>
      </c>
      <c r="X604" s="1">
        <f t="shared" si="148"/>
        <v>0.26413448377788079</v>
      </c>
      <c r="Y604" s="1">
        <f t="shared" si="149"/>
        <v>0.2641449263760442</v>
      </c>
      <c r="Z604" s="1">
        <f t="shared" si="150"/>
        <v>13.207246318802209</v>
      </c>
      <c r="AB604">
        <v>7.34</v>
      </c>
      <c r="AC604">
        <v>4.5708818961487464E-8</v>
      </c>
      <c r="AD604">
        <v>2.2096392401890499E-7</v>
      </c>
      <c r="AE604">
        <v>9.7430966873788646E-2</v>
      </c>
      <c r="AF604">
        <v>8.5634437540378281E-4</v>
      </c>
      <c r="AG604">
        <v>1.7276587141373107E-2</v>
      </c>
      <c r="AH604">
        <v>1.7274819452821045E-2</v>
      </c>
      <c r="AI604">
        <v>0.86374097264105232</v>
      </c>
      <c r="AJ604"/>
      <c r="AK604"/>
      <c r="AL604"/>
      <c r="AM604"/>
      <c r="AN604"/>
      <c r="AO604"/>
      <c r="AP604"/>
      <c r="AQ604"/>
      <c r="AR604"/>
    </row>
    <row r="605" spans="1:44" ht="15" customHeight="1" x14ac:dyDescent="0.3">
      <c r="A605" s="2">
        <v>6.04</v>
      </c>
      <c r="B605" s="1">
        <f t="shared" si="138"/>
        <v>9.12010839355909E-7</v>
      </c>
      <c r="C605" s="1">
        <f t="shared" si="139"/>
        <v>1.1074429781046177E-8</v>
      </c>
      <c r="D605" s="1">
        <f t="shared" si="140"/>
        <v>1.1720129242936842E-2</v>
      </c>
      <c r="E605" s="1">
        <f t="shared" si="141"/>
        <v>1.3799784595105267E-3</v>
      </c>
      <c r="F605" s="1">
        <f t="shared" si="142"/>
        <v>0.3706114527824978</v>
      </c>
      <c r="G605" s="1">
        <f t="shared" si="143"/>
        <v>0.37056306742442424</v>
      </c>
      <c r="H605" s="1">
        <f t="shared" si="151"/>
        <v>3.7056306742442424</v>
      </c>
      <c r="J605" s="2">
        <v>10.029999999999999</v>
      </c>
      <c r="K605" s="1">
        <v>9.3325430079699086E-11</v>
      </c>
      <c r="L605" s="1">
        <v>1.0822344982899827E-4</v>
      </c>
      <c r="M605" s="1">
        <v>-1.0533057522277051E-4</v>
      </c>
      <c r="N605" s="1">
        <v>3.3508884292037951E-3</v>
      </c>
      <c r="O605" s="1">
        <v>0.99982625011139503</v>
      </c>
      <c r="P605" s="1">
        <v>1.0063264982503648</v>
      </c>
      <c r="Q605" s="2">
        <v>10.063264982503647</v>
      </c>
      <c r="S605" s="2">
        <v>6.04</v>
      </c>
      <c r="T605" s="1">
        <f t="shared" si="144"/>
        <v>9.12010839355909E-7</v>
      </c>
      <c r="U605" s="1">
        <f t="shared" si="145"/>
        <v>1.1074429781046177E-8</v>
      </c>
      <c r="V605" s="1">
        <f t="shared" si="146"/>
        <v>6.5522728960704893E-2</v>
      </c>
      <c r="W605" s="1">
        <f t="shared" si="147"/>
        <v>1.1492423679765034E-2</v>
      </c>
      <c r="X605" s="1">
        <f t="shared" si="148"/>
        <v>0.25968337829024712</v>
      </c>
      <c r="Y605" s="1">
        <f t="shared" si="149"/>
        <v>0.25969355749124923</v>
      </c>
      <c r="Z605" s="1">
        <f t="shared" si="150"/>
        <v>12.984677874562461</v>
      </c>
      <c r="AB605">
        <v>7.35</v>
      </c>
      <c r="AC605">
        <v>4.466835921509628E-8</v>
      </c>
      <c r="AD605">
        <v>2.2611083499540245E-7</v>
      </c>
      <c r="AE605">
        <v>9.7487991105377841E-2</v>
      </c>
      <c r="AF605">
        <v>8.3733629820738722E-4</v>
      </c>
      <c r="AG605">
        <v>1.6889966206709288E-2</v>
      </c>
      <c r="AH605">
        <v>1.6888136460825029E-2</v>
      </c>
      <c r="AI605">
        <v>0.84440682304125136</v>
      </c>
      <c r="AJ605"/>
      <c r="AK605"/>
      <c r="AL605"/>
      <c r="AM605"/>
      <c r="AN605"/>
      <c r="AO605"/>
      <c r="AP605"/>
      <c r="AQ605"/>
      <c r="AR605"/>
    </row>
    <row r="606" spans="1:44" ht="15" customHeight="1" x14ac:dyDescent="0.3">
      <c r="A606" s="2">
        <v>6.05</v>
      </c>
      <c r="B606" s="1">
        <f t="shared" si="138"/>
        <v>8.9125093813374487E-7</v>
      </c>
      <c r="C606" s="1">
        <f t="shared" si="139"/>
        <v>1.1332386388449838E-8</v>
      </c>
      <c r="D606" s="1">
        <f t="shared" si="140"/>
        <v>1.1608161418786261E-2</v>
      </c>
      <c r="E606" s="1">
        <f t="shared" si="141"/>
        <v>1.3986397635356233E-3</v>
      </c>
      <c r="F606" s="1">
        <f t="shared" si="142"/>
        <v>0.3759982413823329</v>
      </c>
      <c r="G606" s="1">
        <f t="shared" si="143"/>
        <v>0.37595093739270202</v>
      </c>
      <c r="H606" s="1">
        <f t="shared" si="151"/>
        <v>3.75950937392702</v>
      </c>
      <c r="J606" s="2">
        <v>10.039999999999999</v>
      </c>
      <c r="K606" s="1">
        <v>9.1201083935590972E-11</v>
      </c>
      <c r="L606" s="1">
        <v>1.1074429781046168E-4</v>
      </c>
      <c r="M606" s="1">
        <v>-1.0791733509242344E-4</v>
      </c>
      <c r="N606" s="1">
        <v>3.3513195558487374E-3</v>
      </c>
      <c r="O606" s="1">
        <v>0.99983020447017179</v>
      </c>
      <c r="P606" s="1">
        <v>1.0064820353453499</v>
      </c>
      <c r="Q606" s="2">
        <v>10.064820353453499</v>
      </c>
      <c r="S606" s="2">
        <v>6.05</v>
      </c>
      <c r="T606" s="1">
        <f t="shared" si="144"/>
        <v>8.9125093813374487E-7</v>
      </c>
      <c r="U606" s="1">
        <f t="shared" si="145"/>
        <v>1.1332386388449838E-8</v>
      </c>
      <c r="V606" s="1">
        <f t="shared" si="146"/>
        <v>6.6041034841672924E-2</v>
      </c>
      <c r="W606" s="1">
        <f t="shared" si="147"/>
        <v>1.131965505277569E-2</v>
      </c>
      <c r="X606" s="1">
        <f t="shared" si="148"/>
        <v>0.25528125990570155</v>
      </c>
      <c r="Y606" s="1">
        <f t="shared" si="149"/>
        <v>0.25529118226845587</v>
      </c>
      <c r="Z606" s="1">
        <f t="shared" si="150"/>
        <v>12.764559113422793</v>
      </c>
      <c r="AB606">
        <v>7.36</v>
      </c>
      <c r="AC606">
        <v>4.3651583224016566E-8</v>
      </c>
      <c r="AD606">
        <v>2.3137763292954522E-7</v>
      </c>
      <c r="AE606">
        <v>9.7543782167499191E-2</v>
      </c>
      <c r="AF606">
        <v>8.1873927750027251E-4</v>
      </c>
      <c r="AG606">
        <v>1.6511851826851588E-2</v>
      </c>
      <c r="AH606">
        <v>1.6509959069607547E-2</v>
      </c>
      <c r="AI606">
        <v>0.82549795348037724</v>
      </c>
      <c r="AJ606"/>
      <c r="AK606"/>
      <c r="AL606"/>
      <c r="AM606"/>
      <c r="AN606"/>
      <c r="AO606"/>
      <c r="AP606"/>
      <c r="AQ606"/>
      <c r="AR606"/>
    </row>
    <row r="607" spans="1:44" ht="15" customHeight="1" x14ac:dyDescent="0.3">
      <c r="A607" s="2">
        <v>6.06</v>
      </c>
      <c r="B607" s="1">
        <f t="shared" si="138"/>
        <v>8.7096358995607992E-7</v>
      </c>
      <c r="C607" s="1">
        <f t="shared" si="139"/>
        <v>1.1596351577118525E-8</v>
      </c>
      <c r="D607" s="1">
        <f t="shared" si="140"/>
        <v>1.1495779143601215E-2</v>
      </c>
      <c r="E607" s="1">
        <f t="shared" si="141"/>
        <v>1.4173701427331307E-3</v>
      </c>
      <c r="F607" s="1">
        <f t="shared" si="142"/>
        <v>0.38141587791096926</v>
      </c>
      <c r="G607" s="1">
        <f t="shared" si="143"/>
        <v>0.38136963218337422</v>
      </c>
      <c r="H607" s="1">
        <f t="shared" si="151"/>
        <v>3.8136963218337421</v>
      </c>
      <c r="J607" s="2">
        <v>10.050000000000001</v>
      </c>
      <c r="K607" s="1">
        <v>8.9125093813374255E-11</v>
      </c>
      <c r="L607" s="1">
        <v>1.1332386388449867E-4</v>
      </c>
      <c r="M607" s="1">
        <v>-1.1056131313665121E-4</v>
      </c>
      <c r="N607" s="1">
        <v>3.3517602188561087E-3</v>
      </c>
      <c r="O607" s="1">
        <v>0.99983406884697312</v>
      </c>
      <c r="P607" s="1">
        <v>1.0066410211884307</v>
      </c>
      <c r="Q607" s="2">
        <v>10.066410211884307</v>
      </c>
      <c r="S607" s="2">
        <v>6.06</v>
      </c>
      <c r="T607" s="1">
        <f t="shared" si="144"/>
        <v>8.7096358995607992E-7</v>
      </c>
      <c r="U607" s="1">
        <f t="shared" si="145"/>
        <v>1.1596351577118525E-8</v>
      </c>
      <c r="V607" s="1">
        <f t="shared" si="146"/>
        <v>6.6555525581933228E-2</v>
      </c>
      <c r="W607" s="1">
        <f t="shared" si="147"/>
        <v>1.1148158139355595E-2</v>
      </c>
      <c r="X607" s="1">
        <f t="shared" si="148"/>
        <v>0.25092847198869656</v>
      </c>
      <c r="Y607" s="1">
        <f t="shared" si="149"/>
        <v>0.25093814390117902</v>
      </c>
      <c r="Z607" s="1">
        <f t="shared" si="150"/>
        <v>12.546907195058951</v>
      </c>
      <c r="AB607">
        <v>7.37</v>
      </c>
      <c r="AC607">
        <v>4.2657951880159239E-8</v>
      </c>
      <c r="AD607">
        <v>2.3676711034731227E-7</v>
      </c>
      <c r="AE607">
        <v>9.7598365341419996E-2</v>
      </c>
      <c r="AF607">
        <v>8.0054488619333447E-4</v>
      </c>
      <c r="AG607">
        <v>1.6142063277545846E-2</v>
      </c>
      <c r="AH607">
        <v>1.6140106521248702E-2</v>
      </c>
      <c r="AI607">
        <v>0.80700532606243514</v>
      </c>
      <c r="AJ607"/>
      <c r="AK607"/>
      <c r="AL607"/>
      <c r="AM607"/>
      <c r="AN607"/>
      <c r="AO607"/>
      <c r="AP607"/>
      <c r="AQ607"/>
      <c r="AR607"/>
    </row>
    <row r="608" spans="1:44" ht="15" customHeight="1" x14ac:dyDescent="0.3">
      <c r="A608" s="2">
        <v>6.07</v>
      </c>
      <c r="B608" s="1">
        <f t="shared" si="138"/>
        <v>8.511380382023744E-7</v>
      </c>
      <c r="C608" s="1">
        <f t="shared" si="139"/>
        <v>1.1866465304889276E-8</v>
      </c>
      <c r="D608" s="1">
        <f t="shared" si="140"/>
        <v>1.1383010037113077E-2</v>
      </c>
      <c r="E608" s="1">
        <f t="shared" si="141"/>
        <v>1.4361649938144871E-3</v>
      </c>
      <c r="F608" s="1">
        <f t="shared" si="142"/>
        <v>0.38686317984685742</v>
      </c>
      <c r="G608" s="1">
        <f t="shared" si="143"/>
        <v>0.38681796981495298</v>
      </c>
      <c r="H608" s="1">
        <f t="shared" si="151"/>
        <v>3.8681796981495298</v>
      </c>
      <c r="J608" s="2">
        <v>10.06</v>
      </c>
      <c r="K608" s="1">
        <v>8.7096358995607774E-11</v>
      </c>
      <c r="L608" s="1">
        <v>1.1596351577118554E-4</v>
      </c>
      <c r="M608" s="1">
        <v>-1.1326391119894472E-4</v>
      </c>
      <c r="N608" s="1">
        <v>3.3522106518664905E-3</v>
      </c>
      <c r="O608" s="1">
        <v>0.99983784528867881</v>
      </c>
      <c r="P608" s="1">
        <v>1.0068035406281521</v>
      </c>
      <c r="Q608" s="2">
        <v>10.06803540628152</v>
      </c>
      <c r="S608" s="2">
        <v>6.07</v>
      </c>
      <c r="T608" s="1">
        <f t="shared" si="144"/>
        <v>8.511380382023744E-7</v>
      </c>
      <c r="U608" s="1">
        <f t="shared" si="145"/>
        <v>1.1866465304889276E-8</v>
      </c>
      <c r="V608" s="1">
        <f t="shared" si="146"/>
        <v>6.7066108295983862E-2</v>
      </c>
      <c r="W608" s="1">
        <f t="shared" si="147"/>
        <v>1.0977963901338714E-2</v>
      </c>
      <c r="X608" s="1">
        <f t="shared" si="148"/>
        <v>0.24662532439464938</v>
      </c>
      <c r="Y608" s="1">
        <f t="shared" si="149"/>
        <v>0.2466347520780599</v>
      </c>
      <c r="Z608" s="1">
        <f t="shared" si="150"/>
        <v>12.331737603902996</v>
      </c>
      <c r="AB608">
        <v>7.38</v>
      </c>
      <c r="AC608">
        <v>4.1686938347033516E-8</v>
      </c>
      <c r="AD608">
        <v>2.4228212482096868E-7</v>
      </c>
      <c r="AE608">
        <v>9.7651765452192035E-2</v>
      </c>
      <c r="AF608">
        <v>7.8274484926932754E-4</v>
      </c>
      <c r="AG608">
        <v>1.5780423388517803E-2</v>
      </c>
      <c r="AH608">
        <v>1.5778401611295997E-2</v>
      </c>
      <c r="AI608">
        <v>0.78892008056479979</v>
      </c>
      <c r="AJ608"/>
      <c r="AK608"/>
      <c r="AL608"/>
      <c r="AM608"/>
      <c r="AN608"/>
      <c r="AO608"/>
      <c r="AP608"/>
      <c r="AQ608"/>
      <c r="AR608"/>
    </row>
    <row r="609" spans="1:44" ht="15" customHeight="1" x14ac:dyDescent="0.3">
      <c r="A609" s="2">
        <v>6.08</v>
      </c>
      <c r="B609" s="1">
        <f t="shared" si="138"/>
        <v>8.3176377110266907E-7</v>
      </c>
      <c r="C609" s="1">
        <f t="shared" si="139"/>
        <v>1.2142870789635897E-8</v>
      </c>
      <c r="D609" s="1">
        <f t="shared" si="140"/>
        <v>1.1269882116236665E-2</v>
      </c>
      <c r="E609" s="1">
        <f t="shared" si="141"/>
        <v>1.4550196472938892E-3</v>
      </c>
      <c r="F609" s="1">
        <f t="shared" si="142"/>
        <v>0.39233893587318064</v>
      </c>
      <c r="G609" s="1">
        <f t="shared" si="143"/>
        <v>0.39229473949848925</v>
      </c>
      <c r="H609" s="1">
        <f t="shared" si="151"/>
        <v>3.9229473949848925</v>
      </c>
      <c r="J609" s="2">
        <v>10.07</v>
      </c>
      <c r="K609" s="1">
        <v>8.511380382023737E-11</v>
      </c>
      <c r="L609" s="1">
        <v>1.1866465304889286E-4</v>
      </c>
      <c r="M609" s="1">
        <v>-1.1602656220519701E-4</v>
      </c>
      <c r="N609" s="1">
        <v>3.3526710937008659E-3</v>
      </c>
      <c r="O609" s="1">
        <v>0.99984153579563784</v>
      </c>
      <c r="P609" s="1">
        <v>1.0069696804128916</v>
      </c>
      <c r="Q609" s="2">
        <v>10.069696804128915</v>
      </c>
      <c r="S609" s="2">
        <v>6.08</v>
      </c>
      <c r="T609" s="1">
        <f t="shared" si="144"/>
        <v>8.3176377110266907E-7</v>
      </c>
      <c r="U609" s="1">
        <f t="shared" si="145"/>
        <v>1.2142870789635897E-8</v>
      </c>
      <c r="V609" s="1">
        <f t="shared" si="146"/>
        <v>6.7572693559346725E-2</v>
      </c>
      <c r="W609" s="1">
        <f t="shared" si="147"/>
        <v>1.0809102146884424E-2</v>
      </c>
      <c r="X609" s="1">
        <f t="shared" si="148"/>
        <v>0.24237209393798478</v>
      </c>
      <c r="Y609" s="1">
        <f t="shared" si="149"/>
        <v>0.24238128345081672</v>
      </c>
      <c r="Z609" s="1">
        <f t="shared" si="150"/>
        <v>12.119064172540837</v>
      </c>
      <c r="AB609">
        <v>7.39</v>
      </c>
      <c r="AC609">
        <v>4.0738027780411254E-8</v>
      </c>
      <c r="AD609">
        <v>2.4792560048418817E-7</v>
      </c>
      <c r="AE609">
        <v>9.7704006874119287E-2</v>
      </c>
      <c r="AF609">
        <v>7.6533104196023884E-4</v>
      </c>
      <c r="AG609">
        <v>1.5426758486396439E-2</v>
      </c>
      <c r="AH609">
        <v>1.5424670631669062E-2</v>
      </c>
      <c r="AI609">
        <v>0.77123353158345309</v>
      </c>
      <c r="AJ609"/>
      <c r="AK609"/>
      <c r="AL609"/>
      <c r="AM609"/>
      <c r="AN609"/>
      <c r="AO609"/>
      <c r="AP609"/>
      <c r="AQ609"/>
      <c r="AR609"/>
    </row>
    <row r="610" spans="1:44" ht="15" customHeight="1" x14ac:dyDescent="0.3">
      <c r="A610" s="2">
        <v>6.09</v>
      </c>
      <c r="B610" s="1">
        <f t="shared" si="138"/>
        <v>8.1283051616409889E-7</v>
      </c>
      <c r="C610" s="1">
        <f t="shared" si="139"/>
        <v>1.2425714585205057E-8</v>
      </c>
      <c r="D610" s="1">
        <f t="shared" si="140"/>
        <v>1.1156423768198066E-2</v>
      </c>
      <c r="E610" s="1">
        <f t="shared" si="141"/>
        <v>1.4739293719669888E-3</v>
      </c>
      <c r="F610" s="1">
        <f t="shared" si="142"/>
        <v>0.39784190682528303</v>
      </c>
      <c r="G610" s="1">
        <f t="shared" si="143"/>
        <v>0.39779870258528804</v>
      </c>
      <c r="H610" s="1">
        <f t="shared" si="151"/>
        <v>3.9779870258528804</v>
      </c>
      <c r="J610" s="2">
        <v>10.08</v>
      </c>
      <c r="K610" s="1">
        <v>8.3176377110266833E-11</v>
      </c>
      <c r="L610" s="1">
        <v>1.2142870789635909E-4</v>
      </c>
      <c r="M610" s="1">
        <v>-1.1885073092339009E-4</v>
      </c>
      <c r="N610" s="1">
        <v>3.3531417884872313E-3</v>
      </c>
      <c r="O610" s="1">
        <v>0.99984514232272315</v>
      </c>
      <c r="P610" s="1">
        <v>1.0071395292380874</v>
      </c>
      <c r="Q610" s="2">
        <v>10.071395292380872</v>
      </c>
      <c r="S610" s="2">
        <v>6.09</v>
      </c>
      <c r="T610" s="1">
        <f t="shared" si="144"/>
        <v>8.1283051616409889E-7</v>
      </c>
      <c r="U610" s="1">
        <f t="shared" si="145"/>
        <v>1.2425714585205057E-8</v>
      </c>
      <c r="V610" s="1">
        <f t="shared" si="146"/>
        <v>6.8075195444163433E-2</v>
      </c>
      <c r="W610" s="1">
        <f t="shared" si="147"/>
        <v>1.064160151861219E-2</v>
      </c>
      <c r="X610" s="1">
        <f t="shared" si="148"/>
        <v>0.23816902489423697</v>
      </c>
      <c r="Y610" s="1">
        <f t="shared" si="149"/>
        <v>0.23817798213625541</v>
      </c>
      <c r="Z610" s="1">
        <f t="shared" si="150"/>
        <v>11.90889910681277</v>
      </c>
      <c r="AB610">
        <v>7.4</v>
      </c>
      <c r="AC610">
        <v>3.981071705534957E-8</v>
      </c>
      <c r="AD610">
        <v>2.5370052958246857E-7</v>
      </c>
      <c r="AE610">
        <v>9.7755113536295582E-2</v>
      </c>
      <c r="AF610">
        <v>7.4829548790147275E-4</v>
      </c>
      <c r="AG610">
        <v>1.5080898337952632E-2</v>
      </c>
      <c r="AH610">
        <v>1.5078743313879458E-2</v>
      </c>
      <c r="AI610">
        <v>0.75393716569397284</v>
      </c>
      <c r="AJ610"/>
      <c r="AK610"/>
      <c r="AL610"/>
      <c r="AM610"/>
      <c r="AN610"/>
      <c r="AO610"/>
      <c r="AP610"/>
      <c r="AQ610"/>
      <c r="AR610"/>
    </row>
    <row r="611" spans="1:44" ht="15" customHeight="1" x14ac:dyDescent="0.3">
      <c r="A611" s="2">
        <v>6.1</v>
      </c>
      <c r="B611" s="1">
        <f t="shared" si="138"/>
        <v>7.9432823472428114E-7</v>
      </c>
      <c r="C611" s="1">
        <f t="shared" si="139"/>
        <v>1.2715146659121094E-8</v>
      </c>
      <c r="D611" s="1">
        <f t="shared" si="140"/>
        <v>1.1042663722861744E-2</v>
      </c>
      <c r="E611" s="1">
        <f t="shared" si="141"/>
        <v>1.4928893795230426E-3</v>
      </c>
      <c r="F611" s="1">
        <f t="shared" si="142"/>
        <v>0.40337082669422597</v>
      </c>
      <c r="G611" s="1">
        <f t="shared" si="143"/>
        <v>0.40332859357074741</v>
      </c>
      <c r="H611" s="1">
        <f t="shared" si="151"/>
        <v>4.0332859357074735</v>
      </c>
      <c r="J611" s="2">
        <v>10.09</v>
      </c>
      <c r="K611" s="1">
        <v>8.1283051616409667E-11</v>
      </c>
      <c r="L611" s="1">
        <v>1.2425714585205091E-4</v>
      </c>
      <c r="M611" s="1">
        <v>-1.2173791474019948E-4</v>
      </c>
      <c r="N611" s="1">
        <v>3.3536229857900331E-3</v>
      </c>
      <c r="O611" s="1">
        <v>0.9998486667803661</v>
      </c>
      <c r="P611" s="1">
        <v>1.0073131777945603</v>
      </c>
      <c r="Q611" s="2">
        <v>10.073131777945603</v>
      </c>
      <c r="S611" s="2">
        <v>6.1</v>
      </c>
      <c r="T611" s="1">
        <f t="shared" si="144"/>
        <v>7.9432823472428114E-7</v>
      </c>
      <c r="U611" s="1">
        <f t="shared" si="145"/>
        <v>1.2715146659121094E-8</v>
      </c>
      <c r="V611" s="1">
        <f t="shared" si="146"/>
        <v>6.8573531548828393E-2</v>
      </c>
      <c r="W611" s="1">
        <f t="shared" si="147"/>
        <v>1.0475489483723869E-2</v>
      </c>
      <c r="X611" s="1">
        <f t="shared" si="148"/>
        <v>0.23401632953414236</v>
      </c>
      <c r="Y611" s="1">
        <f t="shared" si="149"/>
        <v>0.23402506025027317</v>
      </c>
      <c r="Z611" s="1">
        <f t="shared" si="150"/>
        <v>11.701253012513659</v>
      </c>
      <c r="AB611">
        <v>7.41</v>
      </c>
      <c r="AC611">
        <v>3.890451449942805E-8</v>
      </c>
      <c r="AD611">
        <v>2.596099740596553E-7</v>
      </c>
      <c r="AE611">
        <v>9.7805108928202808E-2</v>
      </c>
      <c r="AF611">
        <v>7.3163035726573028E-4</v>
      </c>
      <c r="AG611">
        <v>1.4742676093684964E-2</v>
      </c>
      <c r="AH611">
        <v>1.4740452772597345E-2</v>
      </c>
      <c r="AI611">
        <v>0.73702263862986728</v>
      </c>
      <c r="AJ611"/>
      <c r="AK611"/>
      <c r="AL611"/>
      <c r="AM611"/>
      <c r="AN611"/>
      <c r="AO611"/>
      <c r="AP611"/>
      <c r="AQ611"/>
      <c r="AR611"/>
    </row>
    <row r="612" spans="1:44" ht="15" customHeight="1" x14ac:dyDescent="0.3">
      <c r="A612" s="2">
        <v>6.11</v>
      </c>
      <c r="B612" s="1">
        <f t="shared" si="138"/>
        <v>7.7624711662869019E-7</v>
      </c>
      <c r="C612" s="1">
        <f t="shared" si="139"/>
        <v>1.3011320472100678E-8</v>
      </c>
      <c r="D612" s="1">
        <f t="shared" si="140"/>
        <v>1.0928631024312083E-2</v>
      </c>
      <c r="E612" s="1">
        <f t="shared" si="141"/>
        <v>1.5118948292813196E-3</v>
      </c>
      <c r="F612" s="1">
        <f t="shared" si="142"/>
        <v>0.40892440368505695</v>
      </c>
      <c r="G612" s="1">
        <f t="shared" si="143"/>
        <v>0.40888312115290404</v>
      </c>
      <c r="H612" s="1">
        <f t="shared" si="151"/>
        <v>4.0888312115290404</v>
      </c>
      <c r="J612" s="2">
        <v>10.1</v>
      </c>
      <c r="K612" s="1">
        <v>7.943282347242792E-11</v>
      </c>
      <c r="L612" s="1">
        <v>1.2715146659121124E-4</v>
      </c>
      <c r="M612" s="1">
        <v>-1.2468964445485085E-4</v>
      </c>
      <c r="N612" s="1">
        <v>3.3541149407424749E-3</v>
      </c>
      <c r="O612" s="1">
        <v>0.99985211103556393</v>
      </c>
      <c r="P612" s="1">
        <v>1.0074907188179523</v>
      </c>
      <c r="Q612" s="2">
        <v>10.074907188179521</v>
      </c>
      <c r="S612" s="2">
        <v>6.11</v>
      </c>
      <c r="T612" s="1">
        <f t="shared" si="144"/>
        <v>7.7624711662869019E-7</v>
      </c>
      <c r="U612" s="1">
        <f t="shared" si="145"/>
        <v>1.3011320472100678E-8</v>
      </c>
      <c r="V612" s="1">
        <f t="shared" si="146"/>
        <v>6.9067623021728669E-2</v>
      </c>
      <c r="W612" s="1">
        <f t="shared" si="147"/>
        <v>1.0310792326090444E-2</v>
      </c>
      <c r="X612" s="1">
        <f t="shared" si="148"/>
        <v>0.22991418868764624</v>
      </c>
      <c r="Y612" s="1">
        <f t="shared" si="149"/>
        <v>0.2299226984717769</v>
      </c>
      <c r="Z612" s="1">
        <f t="shared" si="150"/>
        <v>11.496134923588844</v>
      </c>
      <c r="AB612">
        <v>7.42</v>
      </c>
      <c r="AC612">
        <v>3.8018939632056113E-8</v>
      </c>
      <c r="AD612">
        <v>2.6565706718143362E-7</v>
      </c>
      <c r="AE612">
        <v>9.7854016105362235E-2</v>
      </c>
      <c r="AF612">
        <v>7.1532796487926067E-4</v>
      </c>
      <c r="AG612">
        <v>1.4411928231780963E-2</v>
      </c>
      <c r="AH612">
        <v>1.4409635449593308E-2</v>
      </c>
      <c r="AI612">
        <v>0.72048177247966538</v>
      </c>
      <c r="AJ612"/>
      <c r="AK612"/>
      <c r="AL612"/>
      <c r="AM612"/>
      <c r="AN612"/>
      <c r="AO612"/>
      <c r="AP612"/>
      <c r="AQ612"/>
      <c r="AR612"/>
    </row>
    <row r="613" spans="1:44" ht="15" customHeight="1" x14ac:dyDescent="0.3">
      <c r="A613" s="2">
        <v>6.12</v>
      </c>
      <c r="B613" s="1">
        <f t="shared" si="138"/>
        <v>7.585775750291823E-7</v>
      </c>
      <c r="C613" s="1">
        <f t="shared" si="139"/>
        <v>1.3314393059419737E-8</v>
      </c>
      <c r="D613" s="1">
        <f t="shared" si="140"/>
        <v>1.0814355001747274E-2</v>
      </c>
      <c r="E613" s="1">
        <f t="shared" si="141"/>
        <v>1.5309408330421213E-3</v>
      </c>
      <c r="F613" s="1">
        <f t="shared" si="142"/>
        <v>0.41450132132819084</v>
      </c>
      <c r="G613" s="1">
        <f t="shared" si="143"/>
        <v>0.41446096934408422</v>
      </c>
      <c r="H613" s="1">
        <f t="shared" si="151"/>
        <v>4.1446096934408416</v>
      </c>
      <c r="J613" s="2">
        <v>10.11</v>
      </c>
      <c r="K613" s="1">
        <v>7.7624711662869221E-11</v>
      </c>
      <c r="L613" s="1">
        <v>1.3011320472100643E-4</v>
      </c>
      <c r="M613" s="1">
        <v>-1.2770748509074832E-4</v>
      </c>
      <c r="N613" s="1">
        <v>3.3546179141817913E-3</v>
      </c>
      <c r="O613" s="1">
        <v>0.99985547691286725</v>
      </c>
      <c r="P613" s="1">
        <v>1.0076722471393165</v>
      </c>
      <c r="Q613" s="2">
        <v>10.076722471393165</v>
      </c>
      <c r="S613" s="2">
        <v>6.12</v>
      </c>
      <c r="T613" s="1">
        <f t="shared" si="144"/>
        <v>7.585775750291823E-7</v>
      </c>
      <c r="U613" s="1">
        <f t="shared" si="145"/>
        <v>1.3314393059419737E-8</v>
      </c>
      <c r="V613" s="1">
        <f t="shared" si="146"/>
        <v>6.9557394579175397E-2</v>
      </c>
      <c r="W613" s="1">
        <f t="shared" si="147"/>
        <v>1.0147535140274867E-2</v>
      </c>
      <c r="X613" s="1">
        <f t="shared" si="148"/>
        <v>0.22586275233573877</v>
      </c>
      <c r="Y613" s="1">
        <f t="shared" si="149"/>
        <v>0.22587104663443311</v>
      </c>
      <c r="Z613" s="1">
        <f t="shared" si="150"/>
        <v>11.293552331721655</v>
      </c>
      <c r="AB613">
        <v>7.43</v>
      </c>
      <c r="AC613">
        <v>3.7153522909717246E-8</v>
      </c>
      <c r="AD613">
        <v>2.7184501519661854E-7</v>
      </c>
      <c r="AE613">
        <v>9.7901857695030473E-2</v>
      </c>
      <c r="AF613">
        <v>6.9938076832317525E-4</v>
      </c>
      <c r="AG613">
        <v>1.4088494502483007E-2</v>
      </c>
      <c r="AH613">
        <v>1.4086131058084546E-2</v>
      </c>
      <c r="AI613">
        <v>0.70430655290422728</v>
      </c>
      <c r="AJ613"/>
      <c r="AK613"/>
      <c r="AL613"/>
      <c r="AM613"/>
      <c r="AN613"/>
      <c r="AO613"/>
      <c r="AP613"/>
      <c r="AQ613"/>
      <c r="AR613"/>
    </row>
    <row r="614" spans="1:44" ht="15" customHeight="1" x14ac:dyDescent="0.3">
      <c r="A614" s="2">
        <v>6.13</v>
      </c>
      <c r="B614" s="1">
        <f t="shared" si="138"/>
        <v>7.4131024130091606E-7</v>
      </c>
      <c r="C614" s="1">
        <f t="shared" si="139"/>
        <v>1.3624525114175727E-8</v>
      </c>
      <c r="D614" s="1">
        <f t="shared" si="140"/>
        <v>1.0699865239745922E-2</v>
      </c>
      <c r="E614" s="1">
        <f t="shared" si="141"/>
        <v>1.5500224600423467E-3</v>
      </c>
      <c r="F614" s="1">
        <f t="shared" si="142"/>
        <v>0.42010023964211884</v>
      </c>
      <c r="G614" s="1">
        <f t="shared" si="143"/>
        <v>0.42006079863387852</v>
      </c>
      <c r="H614" s="1">
        <f t="shared" si="151"/>
        <v>4.2006079863387846</v>
      </c>
      <c r="J614" s="2">
        <v>10.119999999999999</v>
      </c>
      <c r="K614" s="1">
        <v>7.5857757502918434E-11</v>
      </c>
      <c r="L614" s="1">
        <v>1.3314393059419701E-4</v>
      </c>
      <c r="M614" s="1">
        <v>-1.3079303672518876E-4</v>
      </c>
      <c r="N614" s="1">
        <v>3.3551321727875315E-3</v>
      </c>
      <c r="O614" s="1">
        <v>0.99985876619534286</v>
      </c>
      <c r="P614" s="1">
        <v>1.0078578597368828</v>
      </c>
      <c r="Q614" s="2">
        <v>10.078578597368827</v>
      </c>
      <c r="S614" s="2">
        <v>6.13</v>
      </c>
      <c r="T614" s="1">
        <f t="shared" si="144"/>
        <v>7.4131024130091606E-7</v>
      </c>
      <c r="U614" s="1">
        <f t="shared" si="145"/>
        <v>1.3624525114175727E-8</v>
      </c>
      <c r="V614" s="1">
        <f t="shared" si="146"/>
        <v>7.0042774517625458E-2</v>
      </c>
      <c r="W614" s="1">
        <f t="shared" si="147"/>
        <v>9.9857418274581829E-3</v>
      </c>
      <c r="X614" s="1">
        <f t="shared" si="148"/>
        <v>0.22186214022804782</v>
      </c>
      <c r="Y614" s="1">
        <f t="shared" si="149"/>
        <v>0.22187022434417522</v>
      </c>
      <c r="Z614" s="1">
        <f t="shared" si="150"/>
        <v>11.093511217208762</v>
      </c>
      <c r="AB614">
        <v>7.44</v>
      </c>
      <c r="AC614">
        <v>3.630780547701001E-8</v>
      </c>
      <c r="AD614">
        <v>2.7817709903715577E-7</v>
      </c>
      <c r="AE614">
        <v>9.7948655901933385E-2</v>
      </c>
      <c r="AF614">
        <v>6.8378136602220533E-4</v>
      </c>
      <c r="AG614">
        <v>1.3772217872882459E-2</v>
      </c>
      <c r="AH614">
        <v>1.3769782527508994E-2</v>
      </c>
      <c r="AI614">
        <v>0.68848912637544968</v>
      </c>
      <c r="AJ614"/>
      <c r="AK614"/>
      <c r="AL614"/>
      <c r="AM614"/>
      <c r="AN614"/>
      <c r="AO614"/>
      <c r="AP614"/>
      <c r="AQ614"/>
      <c r="AR614"/>
    </row>
    <row r="615" spans="1:44" ht="15" customHeight="1" x14ac:dyDescent="0.3">
      <c r="A615" s="2">
        <v>6.14</v>
      </c>
      <c r="B615" s="1">
        <f t="shared" si="138"/>
        <v>7.2443596007499005E-7</v>
      </c>
      <c r="C615" s="1">
        <f t="shared" si="139"/>
        <v>1.3941881072489136E-8</v>
      </c>
      <c r="D615" s="1">
        <f t="shared" si="140"/>
        <v>1.0585191547969415E-2</v>
      </c>
      <c r="E615" s="1">
        <f t="shared" si="141"/>
        <v>1.5691347420050971E-3</v>
      </c>
      <c r="F615" s="1">
        <f t="shared" si="142"/>
        <v>0.42571979634547541</v>
      </c>
      <c r="G615" s="1">
        <f t="shared" si="143"/>
        <v>0.42568124720146855</v>
      </c>
      <c r="H615" s="1">
        <f t="shared" si="151"/>
        <v>4.2568124720146852</v>
      </c>
      <c r="J615" s="2">
        <v>10.130000000000001</v>
      </c>
      <c r="K615" s="1">
        <v>7.4131024130091551E-11</v>
      </c>
      <c r="L615" s="1">
        <v>1.3624525114175738E-4</v>
      </c>
      <c r="M615" s="1">
        <v>-1.3394793533772666E-4</v>
      </c>
      <c r="N615" s="1">
        <v>3.3556579892229542E-3</v>
      </c>
      <c r="O615" s="1">
        <v>0.99986198062551712</v>
      </c>
      <c r="P615" s="1">
        <v>1.0080476557890361</v>
      </c>
      <c r="Q615" s="2">
        <v>10.080476557890361</v>
      </c>
      <c r="S615" s="2">
        <v>6.14</v>
      </c>
      <c r="T615" s="1">
        <f t="shared" si="144"/>
        <v>7.2443596007499005E-7</v>
      </c>
      <c r="U615" s="1">
        <f t="shared" si="145"/>
        <v>1.3941881072489136E-8</v>
      </c>
      <c r="V615" s="1">
        <f t="shared" si="146"/>
        <v>7.052369472030473E-2</v>
      </c>
      <c r="W615" s="1">
        <f t="shared" si="147"/>
        <v>9.8254350932317561E-3</v>
      </c>
      <c r="X615" s="1">
        <f t="shared" si="148"/>
        <v>0.21791244252412934</v>
      </c>
      <c r="Y615" s="1">
        <f t="shared" si="149"/>
        <v>0.21792032162041039</v>
      </c>
      <c r="Z615" s="1">
        <f t="shared" si="150"/>
        <v>10.89601608102052</v>
      </c>
      <c r="AB615">
        <v>7.45</v>
      </c>
      <c r="AC615">
        <v>3.5481338923357426E-8</v>
      </c>
      <c r="AD615">
        <v>2.8465667605771076E-7</v>
      </c>
      <c r="AE615">
        <v>9.7994432514030047E-2</v>
      </c>
      <c r="AF615">
        <v>6.6852249532331541E-4</v>
      </c>
      <c r="AG615">
        <v>1.3462944472166971E-2</v>
      </c>
      <c r="AH615">
        <v>1.3460435948752302E-2</v>
      </c>
      <c r="AI615">
        <v>0.67302179743761514</v>
      </c>
      <c r="AJ615"/>
      <c r="AK615"/>
      <c r="AL615"/>
      <c r="AM615"/>
      <c r="AN615"/>
      <c r="AO615"/>
      <c r="AP615"/>
      <c r="AQ615"/>
      <c r="AR615"/>
    </row>
    <row r="616" spans="1:44" ht="15" customHeight="1" x14ac:dyDescent="0.3">
      <c r="A616" s="2">
        <v>6.15</v>
      </c>
      <c r="B616" s="1">
        <f t="shared" si="138"/>
        <v>7.0794578438413674E-7</v>
      </c>
      <c r="C616" s="1">
        <f t="shared" si="139"/>
        <v>1.4266629200689841E-8</v>
      </c>
      <c r="D616" s="1">
        <f t="shared" si="140"/>
        <v>1.0470363930364842E-2</v>
      </c>
      <c r="E616" s="1">
        <f t="shared" si="141"/>
        <v>1.5882726782725264E-3</v>
      </c>
      <c r="F616" s="1">
        <f t="shared" si="142"/>
        <v>0.4313586081163327</v>
      </c>
      <c r="G616" s="1">
        <f t="shared" si="143"/>
        <v>0.43132093217517509</v>
      </c>
      <c r="H616" s="1">
        <f t="shared" si="151"/>
        <v>4.3132093217517502</v>
      </c>
      <c r="J616" s="2">
        <v>10.14</v>
      </c>
      <c r="K616" s="1">
        <v>7.2443596007498811E-11</v>
      </c>
      <c r="L616" s="1">
        <v>1.3941881072489175E-4</v>
      </c>
      <c r="M616" s="1">
        <v>-1.3717385367752733E-4</v>
      </c>
      <c r="N616" s="1">
        <v>3.3561956422795878E-3</v>
      </c>
      <c r="O616" s="1">
        <v>0.99986512190629495</v>
      </c>
      <c r="P616" s="1">
        <v>1.0082417367285321</v>
      </c>
      <c r="Q616" s="2">
        <v>10.08241736728532</v>
      </c>
      <c r="S616" s="2">
        <v>6.15</v>
      </c>
      <c r="T616" s="1">
        <f t="shared" si="144"/>
        <v>7.0794578438413674E-7</v>
      </c>
      <c r="U616" s="1">
        <f t="shared" si="145"/>
        <v>1.4266629200689841E-8</v>
      </c>
      <c r="V616" s="1">
        <f t="shared" si="146"/>
        <v>7.1000090658357842E-2</v>
      </c>
      <c r="W616" s="1">
        <f t="shared" si="147"/>
        <v>9.6666364472140515E-3</v>
      </c>
      <c r="X616" s="1">
        <f t="shared" si="148"/>
        <v>0.21401372045640704</v>
      </c>
      <c r="Y616" s="1">
        <f t="shared" si="149"/>
        <v>0.21402139955887706</v>
      </c>
      <c r="Z616" s="1">
        <f t="shared" si="150"/>
        <v>10.701069977943853</v>
      </c>
      <c r="AB616">
        <v>7.46</v>
      </c>
      <c r="AC616">
        <v>3.4673685045253171E-8</v>
      </c>
      <c r="AD616">
        <v>2.9128718181578712E-7</v>
      </c>
      <c r="AE616">
        <v>9.8039208908300937E-2</v>
      </c>
      <c r="AF616">
        <v>6.5359703056635328E-4</v>
      </c>
      <c r="AG616">
        <v>1.3160523537341822E-2</v>
      </c>
      <c r="AH616">
        <v>1.3157940519848482E-2</v>
      </c>
      <c r="AI616">
        <v>0.65789702599242406</v>
      </c>
      <c r="AJ616"/>
      <c r="AK616"/>
      <c r="AL616"/>
      <c r="AM616"/>
      <c r="AN616"/>
      <c r="AO616"/>
      <c r="AP616"/>
      <c r="AQ616"/>
      <c r="AR616"/>
    </row>
    <row r="617" spans="1:44" ht="15" customHeight="1" x14ac:dyDescent="0.3">
      <c r="A617" s="2">
        <v>6.16</v>
      </c>
      <c r="B617" s="1">
        <f t="shared" si="138"/>
        <v>6.9183097091893534E-7</v>
      </c>
      <c r="C617" s="1">
        <f t="shared" si="139"/>
        <v>1.4598941684533892E-8</v>
      </c>
      <c r="D617" s="1">
        <f t="shared" si="140"/>
        <v>1.0355412553935482E-2</v>
      </c>
      <c r="E617" s="1">
        <f t="shared" si="141"/>
        <v>1.6074312410107531E-3</v>
      </c>
      <c r="F617" s="1">
        <f t="shared" si="142"/>
        <v>0.43701527189640449</v>
      </c>
      <c r="G617" s="1">
        <f t="shared" si="143"/>
        <v>0.43697845093691218</v>
      </c>
      <c r="H617" s="1">
        <f t="shared" si="151"/>
        <v>4.3697845093691212</v>
      </c>
      <c r="J617" s="2">
        <v>10.15</v>
      </c>
      <c r="K617" s="1">
        <v>7.079457843841361E-11</v>
      </c>
      <c r="L617" s="1">
        <v>1.4266629200689854E-4</v>
      </c>
      <c r="M617" s="1">
        <v>-1.4047250215026182E-4</v>
      </c>
      <c r="N617" s="1">
        <v>3.3567454170250438E-3</v>
      </c>
      <c r="O617" s="1">
        <v>0.99986819170186203</v>
      </c>
      <c r="P617" s="1">
        <v>1.0084402062979891</v>
      </c>
      <c r="Q617" s="2">
        <v>10.084402062979891</v>
      </c>
      <c r="S617" s="2">
        <v>6.16</v>
      </c>
      <c r="T617" s="1">
        <f t="shared" si="144"/>
        <v>6.9183097091893534E-7</v>
      </c>
      <c r="U617" s="1">
        <f t="shared" si="145"/>
        <v>1.4598941684533892E-8</v>
      </c>
      <c r="V617" s="1">
        <f t="shared" si="146"/>
        <v>7.147190138665957E-2</v>
      </c>
      <c r="W617" s="1">
        <f t="shared" si="147"/>
        <v>9.5093662044468119E-3</v>
      </c>
      <c r="X617" s="1">
        <f t="shared" si="148"/>
        <v>0.21016600701274962</v>
      </c>
      <c r="Y617" s="1">
        <f t="shared" si="149"/>
        <v>0.21017349101414101</v>
      </c>
      <c r="Z617" s="1">
        <f t="shared" si="150"/>
        <v>10.508674550707051</v>
      </c>
      <c r="AB617">
        <v>7.47</v>
      </c>
      <c r="AC617">
        <v>3.3884415613920266E-8</v>
      </c>
      <c r="AD617">
        <v>2.9807213189330484E-7</v>
      </c>
      <c r="AE617">
        <v>9.8083006056553332E-2</v>
      </c>
      <c r="AF617">
        <v>6.3899798114888597E-4</v>
      </c>
      <c r="AG617">
        <v>1.2864807359446067E-2</v>
      </c>
      <c r="AH617">
        <v>1.2862148492175091E-2</v>
      </c>
      <c r="AI617">
        <v>0.64310742460875447</v>
      </c>
      <c r="AJ617"/>
      <c r="AK617"/>
      <c r="AL617"/>
      <c r="AM617"/>
      <c r="AN617"/>
      <c r="AO617"/>
      <c r="AP617"/>
      <c r="AQ617"/>
      <c r="AR617"/>
    </row>
    <row r="618" spans="1:44" ht="15" customHeight="1" x14ac:dyDescent="0.3">
      <c r="A618" s="2">
        <v>6.17</v>
      </c>
      <c r="B618" s="1">
        <f t="shared" si="138"/>
        <v>6.7608297539198085E-7</v>
      </c>
      <c r="C618" s="1">
        <f t="shared" si="139"/>
        <v>1.4938994720498914E-8</v>
      </c>
      <c r="D618" s="1">
        <f t="shared" si="140"/>
        <v>1.0240367717147205E-2</v>
      </c>
      <c r="E618" s="1">
        <f t="shared" si="141"/>
        <v>1.6266053804754657E-3</v>
      </c>
      <c r="F618" s="1">
        <f t="shared" si="142"/>
        <v>0.44268836623770746</v>
      </c>
      <c r="G618" s="1">
        <f t="shared" si="143"/>
        <v>0.44265238246909189</v>
      </c>
      <c r="H618" s="1">
        <f t="shared" si="151"/>
        <v>4.4265238246909187</v>
      </c>
      <c r="J618" s="2">
        <v>10.16</v>
      </c>
      <c r="K618" s="1">
        <v>6.9183097091893483E-11</v>
      </c>
      <c r="L618" s="1">
        <v>1.4598941684533902E-4</v>
      </c>
      <c r="M618" s="1">
        <v>-1.4384562972491889E-4</v>
      </c>
      <c r="N618" s="1">
        <v>3.3573076049541527E-3</v>
      </c>
      <c r="O618" s="1">
        <v>0.99987119163856197</v>
      </c>
      <c r="P618" s="1">
        <v>1.0086431706066825</v>
      </c>
      <c r="Q618" s="2">
        <v>10.086431706066824</v>
      </c>
      <c r="S618" s="2">
        <v>6.17</v>
      </c>
      <c r="T618" s="1">
        <f t="shared" si="144"/>
        <v>6.7608297539198085E-7</v>
      </c>
      <c r="U618" s="1">
        <f t="shared" si="145"/>
        <v>1.4938994720498914E-8</v>
      </c>
      <c r="V618" s="1">
        <f t="shared" si="146"/>
        <v>7.1939069534435782E-2</v>
      </c>
      <c r="W618" s="1">
        <f t="shared" si="147"/>
        <v>9.3536434885214056E-3</v>
      </c>
      <c r="X618" s="1">
        <f t="shared" si="148"/>
        <v>0.20636930763668707</v>
      </c>
      <c r="Y618" s="1">
        <f t="shared" si="149"/>
        <v>0.20637660129973229</v>
      </c>
      <c r="Z618" s="1">
        <f t="shared" si="150"/>
        <v>10.318830064986614</v>
      </c>
      <c r="AB618">
        <v>7.48</v>
      </c>
      <c r="AC618">
        <v>3.3113112148259005E-8</v>
      </c>
      <c r="AD618">
        <v>3.0501512376060457E-7</v>
      </c>
      <c r="AE618">
        <v>9.8125844531238349E-2</v>
      </c>
      <c r="AF618">
        <v>6.2471848958721671E-4</v>
      </c>
      <c r="AG618">
        <v>1.2575651230282031E-2</v>
      </c>
      <c r="AH618">
        <v>1.2572915117161347E-2</v>
      </c>
      <c r="AI618">
        <v>0.62864575585806737</v>
      </c>
      <c r="AJ618"/>
      <c r="AK618"/>
      <c r="AL618"/>
      <c r="AM618"/>
      <c r="AN618"/>
      <c r="AO618"/>
      <c r="AP618"/>
      <c r="AQ618"/>
      <c r="AR618"/>
    </row>
    <row r="619" spans="1:44" ht="15" customHeight="1" x14ac:dyDescent="0.3">
      <c r="A619" s="2">
        <v>6.18</v>
      </c>
      <c r="B619" s="1">
        <f t="shared" si="138"/>
        <v>6.6069344800759506E-7</v>
      </c>
      <c r="C619" s="1">
        <f t="shared" si="139"/>
        <v>1.5286968609205723E-8</v>
      </c>
      <c r="D619" s="1">
        <f t="shared" si="140"/>
        <v>1.0125259818040876E-2</v>
      </c>
      <c r="E619" s="1">
        <f t="shared" si="141"/>
        <v>1.6457900303265204E-3</v>
      </c>
      <c r="F619" s="1">
        <f t="shared" si="142"/>
        <v>0.4483764526890397</v>
      </c>
      <c r="G619" s="1">
        <f t="shared" si="143"/>
        <v>0.44834128874134244</v>
      </c>
      <c r="H619" s="1">
        <f t="shared" si="151"/>
        <v>4.483412887413424</v>
      </c>
      <c r="J619" s="2">
        <v>10.17</v>
      </c>
      <c r="K619" s="1">
        <v>6.7608297539198024E-11</v>
      </c>
      <c r="L619" s="1">
        <v>1.4938994720498926E-4</v>
      </c>
      <c r="M619" s="1">
        <v>-1.4729502486111691E-4</v>
      </c>
      <c r="N619" s="1">
        <v>3.3578825041435194E-3</v>
      </c>
      <c r="O619" s="1">
        <v>0.99987412330575753</v>
      </c>
      <c r="P619" s="1">
        <v>1.0088507381886824</v>
      </c>
      <c r="Q619" s="2">
        <v>10.088507381886824</v>
      </c>
      <c r="S619" s="2">
        <v>6.18</v>
      </c>
      <c r="T619" s="1">
        <f t="shared" si="144"/>
        <v>6.6069344800759506E-7</v>
      </c>
      <c r="U619" s="1">
        <f t="shared" si="145"/>
        <v>1.5286968609205723E-8</v>
      </c>
      <c r="V619" s="1">
        <f t="shared" si="146"/>
        <v>7.2401541290849455E-2</v>
      </c>
      <c r="W619" s="1">
        <f t="shared" si="147"/>
        <v>9.199486236383515E-3</v>
      </c>
      <c r="X619" s="1">
        <f t="shared" si="148"/>
        <v>0.20262360094332182</v>
      </c>
      <c r="Y619" s="1">
        <f t="shared" si="149"/>
        <v>0.20263070890397808</v>
      </c>
      <c r="Z619" s="1">
        <f t="shared" si="150"/>
        <v>10.131535445198905</v>
      </c>
      <c r="AB619">
        <v>7.49</v>
      </c>
      <c r="AC619">
        <v>3.2359365692962729E-8</v>
      </c>
      <c r="AD619">
        <v>3.1211983868387356E-7</v>
      </c>
      <c r="AE619">
        <v>9.8167744511273622E-2</v>
      </c>
      <c r="AF619">
        <v>6.1075182957546321E-4</v>
      </c>
      <c r="AG619">
        <v>1.2292913389674739E-2</v>
      </c>
      <c r="AH619">
        <v>1.2290098593525851E-2</v>
      </c>
      <c r="AI619">
        <v>0.61450492967629256</v>
      </c>
      <c r="AJ619"/>
      <c r="AK619"/>
      <c r="AL619"/>
      <c r="AM619"/>
      <c r="AN619"/>
      <c r="AO619"/>
      <c r="AP619"/>
      <c r="AQ619"/>
      <c r="AR619"/>
    </row>
    <row r="620" spans="1:44" ht="15" customHeight="1" x14ac:dyDescent="0.3">
      <c r="A620" s="2">
        <v>6.19</v>
      </c>
      <c r="B620" s="1">
        <f t="shared" si="138"/>
        <v>6.456542290346535E-7</v>
      </c>
      <c r="C620" s="1">
        <f t="shared" si="139"/>
        <v>1.5643047851016108E-8</v>
      </c>
      <c r="D620" s="1">
        <f t="shared" si="140"/>
        <v>1.0010119322121694E-2</v>
      </c>
      <c r="E620" s="1">
        <f t="shared" si="141"/>
        <v>1.6649801129797177E-3</v>
      </c>
      <c r="F620" s="1">
        <f t="shared" si="142"/>
        <v>0.45407807721951687</v>
      </c>
      <c r="G620" s="1">
        <f t="shared" si="143"/>
        <v>0.45404371613427857</v>
      </c>
      <c r="H620" s="1">
        <f t="shared" si="151"/>
        <v>4.5404371613427852</v>
      </c>
      <c r="J620" s="2">
        <v>10.18</v>
      </c>
      <c r="K620" s="1">
        <v>6.606934480075945E-11</v>
      </c>
      <c r="L620" s="1">
        <v>1.5286968609205736E-4</v>
      </c>
      <c r="M620" s="1">
        <v>-1.5082251645731208E-4</v>
      </c>
      <c r="N620" s="1">
        <v>3.3584704194095519E-3</v>
      </c>
      <c r="O620" s="1">
        <v>0.99987698825666926</v>
      </c>
      <c r="P620" s="1">
        <v>1.0090630200623638</v>
      </c>
      <c r="Q620" s="2">
        <v>10.090630200623638</v>
      </c>
      <c r="S620" s="2">
        <v>6.19</v>
      </c>
      <c r="T620" s="1">
        <f t="shared" si="144"/>
        <v>6.456542290346535E-7</v>
      </c>
      <c r="U620" s="1">
        <f t="shared" si="145"/>
        <v>1.5643047851016108E-8</v>
      </c>
      <c r="V620" s="1">
        <f t="shared" si="146"/>
        <v>7.285926638571788E-2</v>
      </c>
      <c r="W620" s="1">
        <f t="shared" si="147"/>
        <v>9.0469112047607061E-3</v>
      </c>
      <c r="X620" s="1">
        <f t="shared" si="148"/>
        <v>0.19892883944901571</v>
      </c>
      <c r="Y620" s="1">
        <f t="shared" si="149"/>
        <v>0.19893576621961281</v>
      </c>
      <c r="Z620" s="1">
        <f t="shared" si="150"/>
        <v>9.9467883109806419</v>
      </c>
      <c r="AB620">
        <v>7.5</v>
      </c>
      <c r="AC620">
        <v>3.1622776601683699E-8</v>
      </c>
      <c r="AD620">
        <v>3.1939004367700723E-7</v>
      </c>
      <c r="AE620">
        <v>9.8208725787866546E-2</v>
      </c>
      <c r="AF620">
        <v>5.9709140404448473E-4</v>
      </c>
      <c r="AG620">
        <v>1.2016454973276759E-2</v>
      </c>
      <c r="AH620">
        <v>1.2013560015059339E-2</v>
      </c>
      <c r="AI620">
        <v>0.60067800075296696</v>
      </c>
      <c r="AJ620"/>
      <c r="AK620"/>
      <c r="AL620"/>
      <c r="AM620"/>
      <c r="AN620"/>
      <c r="AO620"/>
      <c r="AP620"/>
      <c r="AQ620"/>
      <c r="AR620"/>
    </row>
    <row r="621" spans="1:44" ht="15" customHeight="1" x14ac:dyDescent="0.3">
      <c r="A621" s="2">
        <v>6.2</v>
      </c>
      <c r="B621" s="1">
        <f t="shared" si="138"/>
        <v>6.3095734448019254E-7</v>
      </c>
      <c r="C621" s="1">
        <f t="shared" si="139"/>
        <v>1.6007421243857263E-8</v>
      </c>
      <c r="D621" s="1">
        <f t="shared" si="140"/>
        <v>9.8949767300974302E-3</v>
      </c>
      <c r="E621" s="1">
        <f t="shared" si="141"/>
        <v>1.6841705449837615E-3</v>
      </c>
      <c r="F621" s="1">
        <f t="shared" si="142"/>
        <v>0.45979177167625451</v>
      </c>
      <c r="G621" s="1">
        <f t="shared" si="143"/>
        <v>0.45975819689741382</v>
      </c>
      <c r="H621" s="1">
        <f t="shared" si="151"/>
        <v>4.5975819689741382</v>
      </c>
      <c r="J621" s="2">
        <v>10.19</v>
      </c>
      <c r="K621" s="1">
        <v>6.4565422903465416E-11</v>
      </c>
      <c r="L621" s="1">
        <v>1.5643047851016093E-4</v>
      </c>
      <c r="M621" s="1">
        <v>-1.5442997482049668E-4</v>
      </c>
      <c r="N621" s="1">
        <v>3.3590716624700826E-3</v>
      </c>
      <c r="O621" s="1">
        <v>0.99987978800919841</v>
      </c>
      <c r="P621" s="1">
        <v>1.0092801297913299</v>
      </c>
      <c r="Q621" s="2">
        <v>10.092801297913297</v>
      </c>
      <c r="S621" s="2">
        <v>6.2</v>
      </c>
      <c r="T621" s="1">
        <f t="shared" si="144"/>
        <v>6.3095734448019254E-7</v>
      </c>
      <c r="U621" s="1">
        <f t="shared" si="145"/>
        <v>1.6007421243857263E-8</v>
      </c>
      <c r="V621" s="1">
        <f t="shared" si="146"/>
        <v>7.3312198065534642E-2</v>
      </c>
      <c r="W621" s="1">
        <f t="shared" si="147"/>
        <v>8.8959339781551176E-3</v>
      </c>
      <c r="X621" s="1">
        <f t="shared" si="148"/>
        <v>0.19528495031298629</v>
      </c>
      <c r="Y621" s="1">
        <f t="shared" si="149"/>
        <v>0.19529170028529913</v>
      </c>
      <c r="Z621" s="1">
        <f t="shared" si="150"/>
        <v>9.7645850142649557</v>
      </c>
      <c r="AB621">
        <v>7.51</v>
      </c>
      <c r="AC621">
        <v>3.0902954325135814E-8</v>
      </c>
      <c r="AD621">
        <v>3.2682959349892546E-7</v>
      </c>
      <c r="AE621">
        <v>9.8248807770332847E-2</v>
      </c>
      <c r="AF621">
        <v>5.8373074322238064E-4</v>
      </c>
      <c r="AG621">
        <v>1.1746139960933247E-2</v>
      </c>
      <c r="AH621">
        <v>1.1743163318967237E-2</v>
      </c>
      <c r="AI621">
        <v>0.5871581659483619</v>
      </c>
      <c r="AJ621"/>
      <c r="AK621"/>
      <c r="AL621"/>
      <c r="AM621"/>
      <c r="AN621"/>
      <c r="AO621"/>
      <c r="AP621"/>
      <c r="AQ621"/>
      <c r="AR621"/>
    </row>
    <row r="622" spans="1:44" ht="15" customHeight="1" x14ac:dyDescent="0.3">
      <c r="A622" s="2">
        <v>6.21</v>
      </c>
      <c r="B622" s="1">
        <f t="shared" si="138"/>
        <v>6.1659500186148145E-7</v>
      </c>
      <c r="C622" s="1">
        <f t="shared" si="139"/>
        <v>1.6380281983325209E-8</v>
      </c>
      <c r="D622" s="1">
        <f t="shared" si="140"/>
        <v>9.7798625455379536E-3</v>
      </c>
      <c r="E622" s="1">
        <f t="shared" si="141"/>
        <v>1.7033562424103412E-3</v>
      </c>
      <c r="F622" s="1">
        <f t="shared" si="142"/>
        <v>0.46551605527316869</v>
      </c>
      <c r="G622" s="1">
        <f t="shared" si="143"/>
        <v>0.46548325063818585</v>
      </c>
      <c r="H622" s="1">
        <f t="shared" si="151"/>
        <v>4.6548325063818581</v>
      </c>
      <c r="J622" s="2">
        <v>10.199999999999999</v>
      </c>
      <c r="K622" s="1">
        <v>6.3095734448019192E-11</v>
      </c>
      <c r="L622" s="1">
        <v>1.600742124385728E-4</v>
      </c>
      <c r="M622" s="1">
        <v>-1.5811931265778564E-4</v>
      </c>
      <c r="N622" s="1">
        <v>3.3596865521096303E-3</v>
      </c>
      <c r="O622" s="1">
        <v>0.99988252404672706</v>
      </c>
      <c r="P622" s="1">
        <v>1.0095021835467788</v>
      </c>
      <c r="Q622" s="2">
        <v>10.095021835467787</v>
      </c>
      <c r="S622" s="2">
        <v>6.21</v>
      </c>
      <c r="T622" s="1">
        <f t="shared" si="144"/>
        <v>6.1659500186148145E-7</v>
      </c>
      <c r="U622" s="1">
        <f t="shared" si="145"/>
        <v>1.6380281983325209E-8</v>
      </c>
      <c r="V622" s="1">
        <f t="shared" si="146"/>
        <v>7.3760293064977958E-2</v>
      </c>
      <c r="W622" s="1">
        <f t="shared" si="147"/>
        <v>8.7465689783406773E-3</v>
      </c>
      <c r="X622" s="1">
        <f t="shared" si="148"/>
        <v>0.1916918360889856</v>
      </c>
      <c r="Y622" s="1">
        <f t="shared" si="149"/>
        <v>0.1916984135372323</v>
      </c>
      <c r="Z622" s="1">
        <f t="shared" si="150"/>
        <v>9.584920676861616</v>
      </c>
      <c r="AB622">
        <v>7.52</v>
      </c>
      <c r="AC622">
        <v>3.0199517204020188E-8</v>
      </c>
      <c r="AD622">
        <v>3.344424326974167E-7</v>
      </c>
      <c r="AE622">
        <v>9.8288009491905609E-2</v>
      </c>
      <c r="AF622">
        <v>5.7066350269812706E-4</v>
      </c>
      <c r="AG622">
        <v>1.1481835125619354E-2</v>
      </c>
      <c r="AH622">
        <v>1.1478775234784203E-2</v>
      </c>
      <c r="AI622">
        <v>0.57393876173921021</v>
      </c>
      <c r="AJ622"/>
      <c r="AK622"/>
      <c r="AL622"/>
      <c r="AM622"/>
      <c r="AN622"/>
      <c r="AO622"/>
      <c r="AP622"/>
      <c r="AQ622"/>
      <c r="AR622"/>
    </row>
    <row r="623" spans="1:44" ht="15" customHeight="1" x14ac:dyDescent="0.3">
      <c r="A623" s="2">
        <v>6.22</v>
      </c>
      <c r="B623" s="1">
        <f t="shared" si="138"/>
        <v>6.0255958607435721E-7</v>
      </c>
      <c r="C623" s="1">
        <f t="shared" si="139"/>
        <v>1.6761827765119375E-8</v>
      </c>
      <c r="D623" s="1">
        <f t="shared" si="140"/>
        <v>9.6648072425289996E-3</v>
      </c>
      <c r="E623" s="1">
        <f t="shared" si="141"/>
        <v>1.722532126245167E-3</v>
      </c>
      <c r="F623" s="1">
        <f t="shared" si="142"/>
        <v>0.47124943610773146</v>
      </c>
      <c r="G623" s="1">
        <f t="shared" si="143"/>
        <v>0.47121738583893302</v>
      </c>
      <c r="H623" s="1">
        <f t="shared" si="151"/>
        <v>4.7121738583893302</v>
      </c>
      <c r="J623" s="2">
        <v>10.210000000000001</v>
      </c>
      <c r="K623" s="1">
        <v>6.1659500186147878E-11</v>
      </c>
      <c r="L623" s="1">
        <v>1.6380281983325283E-4</v>
      </c>
      <c r="M623" s="1">
        <v>-1.6189248609057614E-4</v>
      </c>
      <c r="N623" s="1">
        <v>3.3603154143484293E-3</v>
      </c>
      <c r="O623" s="1">
        <v>0.99988519781890428</v>
      </c>
      <c r="P623" s="1">
        <v>1.0097293001713612</v>
      </c>
      <c r="Q623" s="2">
        <v>10.097293001713611</v>
      </c>
      <c r="S623" s="2">
        <v>6.22</v>
      </c>
      <c r="T623" s="1">
        <f t="shared" si="144"/>
        <v>6.0255958607435721E-7</v>
      </c>
      <c r="U623" s="1">
        <f t="shared" si="145"/>
        <v>1.6761827765119375E-8</v>
      </c>
      <c r="V623" s="1">
        <f t="shared" si="146"/>
        <v>7.420351157409151E-2</v>
      </c>
      <c r="W623" s="1">
        <f t="shared" si="147"/>
        <v>8.5988294753028289E-3</v>
      </c>
      <c r="X623" s="1">
        <f t="shared" si="148"/>
        <v>0.18814937548530186</v>
      </c>
      <c r="Y623" s="1">
        <f t="shared" si="149"/>
        <v>0.18815578456906901</v>
      </c>
      <c r="Z623" s="1">
        <f t="shared" si="150"/>
        <v>9.4077892284534492</v>
      </c>
      <c r="AB623">
        <v>7.53</v>
      </c>
      <c r="AC623">
        <v>2.9512092266663779E-8</v>
      </c>
      <c r="AD623">
        <v>3.4223259770059547E-7</v>
      </c>
      <c r="AE623">
        <v>9.832634961553044E-2</v>
      </c>
      <c r="AF623">
        <v>5.5788346148985307E-4</v>
      </c>
      <c r="AG623">
        <v>1.1223409982961546E-2</v>
      </c>
      <c r="AH623">
        <v>1.122026523387213E-2</v>
      </c>
      <c r="AI623">
        <v>0.56101326169360644</v>
      </c>
      <c r="AJ623"/>
      <c r="AK623"/>
      <c r="AL623"/>
      <c r="AM623"/>
      <c r="AN623"/>
      <c r="AO623"/>
      <c r="AP623"/>
      <c r="AQ623"/>
      <c r="AR623"/>
    </row>
    <row r="624" spans="1:44" ht="15" customHeight="1" x14ac:dyDescent="0.3">
      <c r="A624" s="2">
        <v>6.23</v>
      </c>
      <c r="B624" s="1">
        <f t="shared" si="138"/>
        <v>5.8884365535558744E-7</v>
      </c>
      <c r="C624" s="1">
        <f t="shared" si="139"/>
        <v>1.7152260889863662E-8</v>
      </c>
      <c r="D624" s="1">
        <f t="shared" si="140"/>
        <v>9.5498412333928327E-3</v>
      </c>
      <c r="E624" s="1">
        <f t="shared" si="141"/>
        <v>1.7416931277678611E-3</v>
      </c>
      <c r="F624" s="1">
        <f t="shared" si="142"/>
        <v>0.47699041270243819</v>
      </c>
      <c r="G624" s="1">
        <f t="shared" si="143"/>
        <v>0.47695910139857711</v>
      </c>
      <c r="H624" s="1">
        <f t="shared" si="151"/>
        <v>4.7695910139857709</v>
      </c>
      <c r="J624" s="2">
        <v>10.220000000000001</v>
      </c>
      <c r="K624" s="1">
        <v>6.0255958607435443E-11</v>
      </c>
      <c r="L624" s="1">
        <v>1.6761827765119454E-4</v>
      </c>
      <c r="M624" s="1">
        <v>-1.6575149569163531E-4</v>
      </c>
      <c r="N624" s="1">
        <v>3.3609585826152723E-3</v>
      </c>
      <c r="O624" s="1">
        <v>0.99988781074241151</v>
      </c>
      <c r="P624" s="1">
        <v>1.0099616012445558</v>
      </c>
      <c r="Q624" s="2">
        <v>10.099616012445557</v>
      </c>
      <c r="S624" s="2">
        <v>6.23</v>
      </c>
      <c r="T624" s="1">
        <f t="shared" si="144"/>
        <v>5.8884365535558744E-7</v>
      </c>
      <c r="U624" s="1">
        <f t="shared" si="145"/>
        <v>1.7152260889863662E-8</v>
      </c>
      <c r="V624" s="1">
        <f t="shared" si="146"/>
        <v>7.4641817201331673E-2</v>
      </c>
      <c r="W624" s="1">
        <f t="shared" si="147"/>
        <v>8.4527275995561115E-3</v>
      </c>
      <c r="X624" s="1">
        <f t="shared" si="148"/>
        <v>0.18465742413135824</v>
      </c>
      <c r="Y624" s="1">
        <f t="shared" si="149"/>
        <v>0.18466366889845481</v>
      </c>
      <c r="Z624" s="1">
        <f t="shared" si="150"/>
        <v>9.2331834449227408</v>
      </c>
      <c r="AB624">
        <v>7.54</v>
      </c>
      <c r="AC624">
        <v>2.8840315031265985E-8</v>
      </c>
      <c r="AD624">
        <v>3.5020421895705782E-7</v>
      </c>
      <c r="AE624">
        <v>9.8363846439642355E-2</v>
      </c>
      <c r="AF624">
        <v>5.453845201192156E-4</v>
      </c>
      <c r="AG624">
        <v>1.0970736741353944E-2</v>
      </c>
      <c r="AH624">
        <v>1.09675054795128E-2</v>
      </c>
      <c r="AI624">
        <v>0.54837527397564001</v>
      </c>
      <c r="AJ624"/>
      <c r="AK624"/>
      <c r="AL624"/>
      <c r="AM624"/>
      <c r="AN624"/>
      <c r="AO624"/>
      <c r="AP624"/>
      <c r="AQ624"/>
      <c r="AR624"/>
    </row>
    <row r="625" spans="1:44" ht="15" customHeight="1" x14ac:dyDescent="0.3">
      <c r="A625" s="2">
        <v>6.24</v>
      </c>
      <c r="B625" s="1">
        <f t="shared" si="138"/>
        <v>5.7543993733715549E-7</v>
      </c>
      <c r="C625" s="1">
        <f t="shared" si="139"/>
        <v>1.7551788370368735E-8</v>
      </c>
      <c r="D625" s="1">
        <f t="shared" si="140"/>
        <v>9.4349948365484784E-3</v>
      </c>
      <c r="E625" s="1">
        <f t="shared" si="141"/>
        <v>1.7608341939085873E-3</v>
      </c>
      <c r="F625" s="1">
        <f t="shared" si="142"/>
        <v>0.48273747556762431</v>
      </c>
      <c r="G625" s="1">
        <f t="shared" si="143"/>
        <v>0.48270688819565249</v>
      </c>
      <c r="H625" s="1">
        <f t="shared" si="151"/>
        <v>4.8270688819565244</v>
      </c>
      <c r="J625" s="2">
        <v>10.23</v>
      </c>
      <c r="K625" s="1">
        <v>5.8884365535558786E-11</v>
      </c>
      <c r="L625" s="1">
        <v>1.715226088986365E-4</v>
      </c>
      <c r="M625" s="1">
        <v>-1.6969838754583551E-4</v>
      </c>
      <c r="N625" s="1">
        <v>3.3616163979243063E-3</v>
      </c>
      <c r="O625" s="1">
        <v>0.99989036420171196</v>
      </c>
      <c r="P625" s="1">
        <v>1.0101992111496134</v>
      </c>
      <c r="Q625" s="2">
        <v>10.101992111496134</v>
      </c>
      <c r="S625" s="2">
        <v>6.24</v>
      </c>
      <c r="T625" s="1">
        <f t="shared" si="144"/>
        <v>5.7543993733715549E-7</v>
      </c>
      <c r="U625" s="1">
        <f t="shared" si="145"/>
        <v>1.7551788370368735E-8</v>
      </c>
      <c r="V625" s="1">
        <f t="shared" si="146"/>
        <v>7.5075176932677956E-2</v>
      </c>
      <c r="W625" s="1">
        <f t="shared" si="147"/>
        <v>8.3082743557740136E-3</v>
      </c>
      <c r="X625" s="1">
        <f t="shared" si="148"/>
        <v>0.18121581534925993</v>
      </c>
      <c r="Y625" s="1">
        <f t="shared" si="149"/>
        <v>0.18122189973850059</v>
      </c>
      <c r="Z625" s="1">
        <f t="shared" si="150"/>
        <v>9.0610949869250295</v>
      </c>
      <c r="AB625">
        <v>7.55</v>
      </c>
      <c r="AC625">
        <v>2.8183829312644468E-8</v>
      </c>
      <c r="AD625">
        <v>3.5836152312591209E-7</v>
      </c>
      <c r="AE625">
        <v>9.8400517903920626E-2</v>
      </c>
      <c r="AF625">
        <v>5.3316069869312221E-4</v>
      </c>
      <c r="AG625">
        <v>1.0723690252677437E-2</v>
      </c>
      <c r="AH625">
        <v>1.0720370777602805E-2</v>
      </c>
      <c r="AI625">
        <v>0.53601853888014028</v>
      </c>
      <c r="AJ625"/>
      <c r="AK625"/>
      <c r="AL625"/>
      <c r="AM625"/>
      <c r="AN625"/>
      <c r="AO625"/>
      <c r="AP625"/>
      <c r="AQ625"/>
      <c r="AR625"/>
    </row>
    <row r="626" spans="1:44" ht="15" customHeight="1" x14ac:dyDescent="0.3">
      <c r="A626" s="2">
        <v>6.25</v>
      </c>
      <c r="B626" s="1">
        <f t="shared" si="138"/>
        <v>5.6234132519034872E-7</v>
      </c>
      <c r="C626" s="1">
        <f t="shared" si="139"/>
        <v>1.796062204139313E-8</v>
      </c>
      <c r="D626" s="1">
        <f t="shared" si="140"/>
        <v>9.3202982445834259E-3</v>
      </c>
      <c r="E626" s="1">
        <f t="shared" si="141"/>
        <v>1.7799502925694294E-3</v>
      </c>
      <c r="F626" s="1">
        <f t="shared" si="142"/>
        <v>0.4884891087822083</v>
      </c>
      <c r="G626" s="1">
        <f t="shared" si="143"/>
        <v>0.48845923066925639</v>
      </c>
      <c r="H626" s="1">
        <f t="shared" si="151"/>
        <v>4.8845923066925634</v>
      </c>
      <c r="J626" s="2">
        <v>10.24</v>
      </c>
      <c r="K626" s="1">
        <v>5.7543993733715601E-11</v>
      </c>
      <c r="L626" s="1">
        <v>1.7551788370368719E-4</v>
      </c>
      <c r="M626" s="1">
        <v>-1.7373525433495889E-4</v>
      </c>
      <c r="N626" s="1">
        <v>3.3622892090558261E-3</v>
      </c>
      <c r="O626" s="1">
        <v>0.99989285954978235</v>
      </c>
      <c r="P626" s="1">
        <v>1.0104422571421017</v>
      </c>
      <c r="Q626" s="2">
        <v>10.104422571421017</v>
      </c>
      <c r="S626" s="2">
        <v>6.25</v>
      </c>
      <c r="T626" s="1">
        <f t="shared" si="144"/>
        <v>5.6234132519034872E-7</v>
      </c>
      <c r="U626" s="1">
        <f t="shared" si="145"/>
        <v>1.796062204139313E-8</v>
      </c>
      <c r="V626" s="1">
        <f t="shared" si="146"/>
        <v>7.5503561087008036E-2</v>
      </c>
      <c r="W626" s="1">
        <f t="shared" si="147"/>
        <v>8.1654796376639891E-3</v>
      </c>
      <c r="X626" s="1">
        <f t="shared" si="148"/>
        <v>0.17782436092868631</v>
      </c>
      <c r="Y626" s="1">
        <f t="shared" si="149"/>
        <v>0.17783028877260601</v>
      </c>
      <c r="Z626" s="1">
        <f t="shared" si="150"/>
        <v>8.8915144386302991</v>
      </c>
      <c r="AB626">
        <v>7.56</v>
      </c>
      <c r="AC626">
        <v>2.75422870333816E-8</v>
      </c>
      <c r="AD626">
        <v>3.667088353178032E-7</v>
      </c>
      <c r="AE626">
        <v>9.8436381595017594E-2</v>
      </c>
      <c r="AF626">
        <v>5.2120613499413303E-4</v>
      </c>
      <c r="AG626">
        <v>1.0482147963631113E-2</v>
      </c>
      <c r="AH626">
        <v>1.0478738527960385E-2</v>
      </c>
      <c r="AI626">
        <v>0.52393692639801925</v>
      </c>
      <c r="AJ626"/>
      <c r="AK626"/>
      <c r="AL626"/>
      <c r="AM626"/>
      <c r="AN626"/>
      <c r="AO626"/>
      <c r="AP626"/>
      <c r="AQ626"/>
      <c r="AR626"/>
    </row>
    <row r="627" spans="1:44" ht="15" customHeight="1" x14ac:dyDescent="0.3">
      <c r="A627" s="2">
        <v>6.26</v>
      </c>
      <c r="B627" s="1">
        <f t="shared" si="138"/>
        <v>5.4954087385762417E-7</v>
      </c>
      <c r="C627" s="1">
        <f t="shared" si="139"/>
        <v>1.8378978671960844E-8</v>
      </c>
      <c r="D627" s="1">
        <f t="shared" si="140"/>
        <v>9.2057814926080912E-3</v>
      </c>
      <c r="E627" s="1">
        <f t="shared" si="141"/>
        <v>1.7990364178986512E-3</v>
      </c>
      <c r="F627" s="1">
        <f t="shared" si="142"/>
        <v>0.49424379158885517</v>
      </c>
      <c r="G627" s="1">
        <f t="shared" si="143"/>
        <v>0.49421460841441561</v>
      </c>
      <c r="H627" s="1">
        <f t="shared" si="151"/>
        <v>4.9421460841441558</v>
      </c>
      <c r="J627" s="2">
        <v>10.25</v>
      </c>
      <c r="K627" s="1">
        <v>5.6234132519034822E-11</v>
      </c>
      <c r="L627" s="1">
        <v>1.7960622041393145E-4</v>
      </c>
      <c r="M627" s="1">
        <v>-1.7786423644726909E-4</v>
      </c>
      <c r="N627" s="1">
        <v>3.3629773727412121E-3</v>
      </c>
      <c r="O627" s="1">
        <v>0.99989529810882893</v>
      </c>
      <c r="P627" s="1">
        <v>1.0106908694200998</v>
      </c>
      <c r="Q627" s="2">
        <v>10.106908694200998</v>
      </c>
      <c r="S627" s="2">
        <v>6.26</v>
      </c>
      <c r="T627" s="1">
        <f t="shared" si="144"/>
        <v>5.4954087385762417E-7</v>
      </c>
      <c r="U627" s="1">
        <f t="shared" si="145"/>
        <v>1.8378978671960844E-8</v>
      </c>
      <c r="V627" s="1">
        <f t="shared" si="146"/>
        <v>7.5926943267941069E-2</v>
      </c>
      <c r="W627" s="1">
        <f t="shared" si="147"/>
        <v>8.0243522440196398E-3</v>
      </c>
      <c r="X627" s="1">
        <f t="shared" si="148"/>
        <v>0.17448285190359664</v>
      </c>
      <c r="Y627" s="1">
        <f t="shared" si="149"/>
        <v>0.17448862693109735</v>
      </c>
      <c r="Z627" s="1">
        <f t="shared" si="150"/>
        <v>8.7244313465548675</v>
      </c>
      <c r="AB627">
        <v>7.57</v>
      </c>
      <c r="AC627">
        <v>2.6915348039269097E-8</v>
      </c>
      <c r="AD627">
        <v>3.7525058138814508E-7</v>
      </c>
      <c r="AE627">
        <v>9.847145475225802E-2</v>
      </c>
      <c r="AF627">
        <v>5.0951508258065693E-4</v>
      </c>
      <c r="AG627">
        <v>1.0245989867682156E-2</v>
      </c>
      <c r="AH627">
        <v>1.0242488676250249E-2</v>
      </c>
      <c r="AI627">
        <v>0.51212443381251249</v>
      </c>
      <c r="AJ627"/>
      <c r="AK627"/>
      <c r="AL627"/>
      <c r="AM627"/>
      <c r="AN627"/>
      <c r="AO627"/>
      <c r="AP627"/>
      <c r="AQ627"/>
      <c r="AR627"/>
    </row>
    <row r="628" spans="1:44" ht="15" customHeight="1" x14ac:dyDescent="0.3">
      <c r="A628" s="2">
        <v>6.27</v>
      </c>
      <c r="B628" s="1">
        <f t="shared" si="138"/>
        <v>5.3703179637025244E-7</v>
      </c>
      <c r="C628" s="1">
        <f t="shared" si="139"/>
        <v>1.8807080080294971E-8</v>
      </c>
      <c r="D628" s="1">
        <f t="shared" si="140"/>
        <v>9.0914744269632291E-3</v>
      </c>
      <c r="E628" s="1">
        <f t="shared" si="141"/>
        <v>1.8180875955061289E-3</v>
      </c>
      <c r="F628" s="1">
        <f t="shared" si="142"/>
        <v>0.5</v>
      </c>
      <c r="G628" s="1">
        <f t="shared" si="143"/>
        <v>0.49997149778830952</v>
      </c>
      <c r="H628" s="1">
        <f t="shared" si="151"/>
        <v>4.9997149778830945</v>
      </c>
      <c r="J628" s="2">
        <v>10.26</v>
      </c>
      <c r="K628" s="1">
        <v>5.4954087385762376E-11</v>
      </c>
      <c r="L628" s="1">
        <v>1.8378978671960858E-4</v>
      </c>
      <c r="M628" s="1">
        <v>-1.820875231123116E-4</v>
      </c>
      <c r="N628" s="1">
        <v>3.3636812538520517E-3</v>
      </c>
      <c r="O628" s="1">
        <v>0.9998976811709861</v>
      </c>
      <c r="P628" s="1">
        <v>1.0109451811960788</v>
      </c>
      <c r="Q628" s="2">
        <v>10.109451811960787</v>
      </c>
      <c r="S628" s="2">
        <v>6.27</v>
      </c>
      <c r="T628" s="1">
        <f t="shared" si="144"/>
        <v>5.3703179637025244E-7</v>
      </c>
      <c r="U628" s="1">
        <f t="shared" si="145"/>
        <v>1.8807080080294971E-8</v>
      </c>
      <c r="V628" s="1">
        <f t="shared" si="146"/>
        <v>7.6345300312355702E-2</v>
      </c>
      <c r="W628" s="1">
        <f t="shared" si="147"/>
        <v>7.8848998958814323E-3</v>
      </c>
      <c r="X628" s="1">
        <f t="shared" si="148"/>
        <v>0.17119105932927833</v>
      </c>
      <c r="Y628" s="1">
        <f t="shared" si="149"/>
        <v>0.17119668516820924</v>
      </c>
      <c r="Z628" s="1">
        <f t="shared" si="150"/>
        <v>8.5598342584104614</v>
      </c>
      <c r="AB628">
        <v>7.58</v>
      </c>
      <c r="AC628">
        <v>2.6302679918953758E-8</v>
      </c>
      <c r="AD628">
        <v>3.8399129028376769E-7</v>
      </c>
      <c r="AE628">
        <v>9.8505754273305823E-2</v>
      </c>
      <c r="AF628">
        <v>4.9808190889805701E-4</v>
      </c>
      <c r="AG628">
        <v>1.0015098457640627E-2</v>
      </c>
      <c r="AH628">
        <v>1.0011503666532806E-2</v>
      </c>
      <c r="AI628">
        <v>0.50057518332664031</v>
      </c>
      <c r="AJ628"/>
      <c r="AK628"/>
      <c r="AL628"/>
      <c r="AM628"/>
      <c r="AN628"/>
      <c r="AO628"/>
      <c r="AP628"/>
      <c r="AQ628"/>
      <c r="AR628"/>
    </row>
    <row r="629" spans="1:44" ht="15" customHeight="1" x14ac:dyDescent="0.3">
      <c r="A629" s="2">
        <v>6.28</v>
      </c>
      <c r="B629" s="1">
        <f t="shared" si="138"/>
        <v>5.2480746024977148E-7</v>
      </c>
      <c r="C629" s="1">
        <f t="shared" si="139"/>
        <v>1.9245153251428837E-8</v>
      </c>
      <c r="D629" s="1">
        <f t="shared" si="140"/>
        <v>8.9774066743487802E-3</v>
      </c>
      <c r="E629" s="1">
        <f t="shared" si="141"/>
        <v>1.8370988876085365E-3</v>
      </c>
      <c r="F629" s="1">
        <f t="shared" si="142"/>
        <v>0.50575620841114532</v>
      </c>
      <c r="G629" s="1">
        <f t="shared" si="143"/>
        <v>0.5057283735237631</v>
      </c>
      <c r="H629" s="1">
        <f t="shared" si="151"/>
        <v>5.0572837352376308</v>
      </c>
      <c r="J629" s="2">
        <v>10.27</v>
      </c>
      <c r="K629" s="1">
        <v>5.3703179637025198E-11</v>
      </c>
      <c r="L629" s="1">
        <v>1.8807080080294986E-4</v>
      </c>
      <c r="M629" s="1">
        <v>-1.8640735356168398E-4</v>
      </c>
      <c r="N629" s="1">
        <v>3.3644012255936136E-3</v>
      </c>
      <c r="O629" s="1">
        <v>0.99990000999900008</v>
      </c>
      <c r="P629" s="1">
        <v>1.0112053287705201</v>
      </c>
      <c r="Q629" s="2">
        <v>10.1120532877052</v>
      </c>
      <c r="S629" s="2">
        <v>6.28</v>
      </c>
      <c r="T629" s="1">
        <f t="shared" si="144"/>
        <v>5.2480746024977148E-7</v>
      </c>
      <c r="U629" s="1">
        <f t="shared" si="145"/>
        <v>1.9245153251428837E-8</v>
      </c>
      <c r="V629" s="1">
        <f t="shared" si="146"/>
        <v>7.6758612235790072E-2</v>
      </c>
      <c r="W629" s="1">
        <f t="shared" si="147"/>
        <v>7.7471292547366443E-3</v>
      </c>
      <c r="X629" s="1">
        <f t="shared" si="148"/>
        <v>0.16794873505832666</v>
      </c>
      <c r="Y629" s="1">
        <f t="shared" si="149"/>
        <v>0.16795421523799928</v>
      </c>
      <c r="Z629" s="1">
        <f t="shared" si="150"/>
        <v>8.3977107618999636</v>
      </c>
      <c r="AB629">
        <v>7.59</v>
      </c>
      <c r="AC629">
        <v>2.5703957827688587E-8</v>
      </c>
      <c r="AD629">
        <v>3.9293559644422414E-7</v>
      </c>
      <c r="AE629">
        <v>9.8539296719794958E-2</v>
      </c>
      <c r="AF629">
        <v>4.8690109340168209E-4</v>
      </c>
      <c r="AG629">
        <v>9.7893586788642076E-3</v>
      </c>
      <c r="AH629">
        <v>9.7856683944428455E-3</v>
      </c>
      <c r="AI629">
        <v>0.48928341972214229</v>
      </c>
      <c r="AJ629"/>
      <c r="AK629"/>
      <c r="AL629"/>
      <c r="AM629"/>
      <c r="AN629"/>
      <c r="AO629"/>
      <c r="AP629"/>
      <c r="AQ629"/>
      <c r="AR629"/>
    </row>
    <row r="630" spans="1:44" ht="15" customHeight="1" x14ac:dyDescent="0.3">
      <c r="A630" s="2">
        <v>6.29</v>
      </c>
      <c r="B630" s="1">
        <f t="shared" si="138"/>
        <v>5.1286138399136375E-7</v>
      </c>
      <c r="C630" s="1">
        <f t="shared" si="139"/>
        <v>1.96934304575563E-8</v>
      </c>
      <c r="D630" s="1">
        <f t="shared" si="140"/>
        <v>8.8636076114417279E-3</v>
      </c>
      <c r="E630" s="1">
        <f t="shared" si="141"/>
        <v>1.8560653980930449E-3</v>
      </c>
      <c r="F630" s="1">
        <f t="shared" si="142"/>
        <v>0.51151089121779203</v>
      </c>
      <c r="G630" s="1">
        <f t="shared" si="143"/>
        <v>0.5114837103463683</v>
      </c>
      <c r="H630" s="1">
        <f t="shared" si="151"/>
        <v>5.1148371034636826</v>
      </c>
      <c r="J630" s="2">
        <v>10.28</v>
      </c>
      <c r="K630" s="1">
        <v>5.2480746024977191E-11</v>
      </c>
      <c r="L630" s="1">
        <v>1.924515325142882E-4</v>
      </c>
      <c r="M630" s="1">
        <v>-1.9082601821625468E-4</v>
      </c>
      <c r="N630" s="1">
        <v>3.3651376697027089E-3</v>
      </c>
      <c r="O630" s="1">
        <v>0.99990228582689711</v>
      </c>
      <c r="P630" s="1">
        <v>1.0114714516073091</v>
      </c>
      <c r="Q630" s="2">
        <v>10.114714516073091</v>
      </c>
      <c r="S630" s="2">
        <v>6.29</v>
      </c>
      <c r="T630" s="1">
        <f t="shared" si="144"/>
        <v>5.1286138399136375E-7</v>
      </c>
      <c r="U630" s="1">
        <f t="shared" si="145"/>
        <v>1.96934304575563E-8</v>
      </c>
      <c r="V630" s="1">
        <f t="shared" si="146"/>
        <v>7.7166862174931863E-2</v>
      </c>
      <c r="W630" s="1">
        <f t="shared" si="147"/>
        <v>7.611045941689377E-3</v>
      </c>
      <c r="X630" s="1">
        <f t="shared" si="148"/>
        <v>0.1647556125142213</v>
      </c>
      <c r="Y630" s="1">
        <f t="shared" si="149"/>
        <v>0.16476095046786046</v>
      </c>
      <c r="Z630" s="1">
        <f t="shared" si="150"/>
        <v>8.238047523393023</v>
      </c>
      <c r="AB630">
        <v>7.6</v>
      </c>
      <c r="AC630">
        <v>2.5118864315095751E-8</v>
      </c>
      <c r="AD630">
        <v>4.02088242259033E-7</v>
      </c>
      <c r="AE630">
        <v>9.8572098322921659E-2</v>
      </c>
      <c r="AF630">
        <v>4.7596722569277653E-4</v>
      </c>
      <c r="AG630">
        <v>9.5686578830971782E-3</v>
      </c>
      <c r="AH630">
        <v>9.5648701610019666E-3</v>
      </c>
      <c r="AI630">
        <v>0.47824350805009835</v>
      </c>
      <c r="AJ630"/>
      <c r="AK630"/>
      <c r="AL630"/>
      <c r="AM630"/>
      <c r="AN630"/>
      <c r="AO630"/>
      <c r="AP630"/>
      <c r="AQ630"/>
      <c r="AR630"/>
    </row>
    <row r="631" spans="1:44" ht="15" customHeight="1" x14ac:dyDescent="0.3">
      <c r="A631" s="2">
        <v>6.3</v>
      </c>
      <c r="B631" s="1">
        <f t="shared" si="138"/>
        <v>5.0118723362727218E-7</v>
      </c>
      <c r="C631" s="1">
        <f t="shared" si="139"/>
        <v>2.0152149381185686E-8</v>
      </c>
      <c r="D631" s="1">
        <f t="shared" si="140"/>
        <v>8.7501063350677918E-3</v>
      </c>
      <c r="E631" s="1">
        <f t="shared" si="141"/>
        <v>1.8749822774887014E-3</v>
      </c>
      <c r="F631" s="1">
        <f t="shared" si="142"/>
        <v>0.51726252443237619</v>
      </c>
      <c r="G631" s="1">
        <f t="shared" si="143"/>
        <v>0.51723598459160969</v>
      </c>
      <c r="H631" s="1">
        <f t="shared" si="151"/>
        <v>5.1723598459160964</v>
      </c>
      <c r="J631" s="2">
        <v>10.29</v>
      </c>
      <c r="K631" s="1">
        <v>5.1286138399136428E-11</v>
      </c>
      <c r="L631" s="1">
        <v>1.9693430457556278E-4</v>
      </c>
      <c r="M631" s="1">
        <v>-1.953458599005764E-4</v>
      </c>
      <c r="N631" s="1">
        <v>3.3658909766500962E-3</v>
      </c>
      <c r="O631" s="1">
        <v>0.99990450986063528</v>
      </c>
      <c r="P631" s="1">
        <v>1.0117436924109589</v>
      </c>
      <c r="Q631" s="2">
        <v>10.117436924109589</v>
      </c>
      <c r="S631" s="2">
        <v>6.3</v>
      </c>
      <c r="T631" s="1">
        <f t="shared" si="144"/>
        <v>5.0118723362727218E-7</v>
      </c>
      <c r="U631" s="1">
        <f t="shared" si="145"/>
        <v>2.0152149381185686E-8</v>
      </c>
      <c r="V631" s="1">
        <f t="shared" si="146"/>
        <v>7.7570036327406514E-2</v>
      </c>
      <c r="W631" s="1">
        <f t="shared" si="147"/>
        <v>7.4766545575311672E-3</v>
      </c>
      <c r="X631" s="1">
        <f t="shared" si="148"/>
        <v>0.16161140746122046</v>
      </c>
      <c r="Y631" s="1">
        <f t="shared" si="149"/>
        <v>0.16161660652835261</v>
      </c>
      <c r="Z631" s="1">
        <f t="shared" si="150"/>
        <v>8.0808303264176313</v>
      </c>
      <c r="AB631">
        <v>7.61</v>
      </c>
      <c r="AC631">
        <v>2.4547089156850259E-8</v>
      </c>
      <c r="AD631">
        <v>4.114540805821546E-7</v>
      </c>
      <c r="AE631">
        <v>9.8604174988995527E-2</v>
      </c>
      <c r="AF631">
        <v>4.6527500366815727E-4</v>
      </c>
      <c r="AG631">
        <v>9.3528857829470839E-3</v>
      </c>
      <c r="AH631">
        <v>9.3489986270681724E-3</v>
      </c>
      <c r="AI631">
        <v>0.46744993135340868</v>
      </c>
      <c r="AJ631"/>
      <c r="AK631"/>
      <c r="AL631"/>
      <c r="AM631"/>
      <c r="AN631"/>
      <c r="AO631"/>
      <c r="AP631"/>
      <c r="AQ631"/>
      <c r="AR631"/>
    </row>
    <row r="632" spans="1:44" ht="15" customHeight="1" x14ac:dyDescent="0.3">
      <c r="A632" s="2">
        <v>6.31</v>
      </c>
      <c r="B632" s="1">
        <f t="shared" si="138"/>
        <v>4.8977881936844619E-7</v>
      </c>
      <c r="C632" s="1">
        <f t="shared" si="139"/>
        <v>2.0621553241162245E-8</v>
      </c>
      <c r="D632" s="1">
        <f t="shared" si="140"/>
        <v>8.6369316329905771E-3</v>
      </c>
      <c r="E632" s="1">
        <f t="shared" si="141"/>
        <v>1.8938447278349037E-3</v>
      </c>
      <c r="F632" s="1">
        <f t="shared" si="142"/>
        <v>0.5230095872975622</v>
      </c>
      <c r="G632" s="1">
        <f t="shared" si="143"/>
        <v>0.52298367581834004</v>
      </c>
      <c r="H632" s="1">
        <f t="shared" si="151"/>
        <v>5.2298367581834002</v>
      </c>
      <c r="J632" s="2">
        <v>10.3</v>
      </c>
      <c r="K632" s="1">
        <v>5.0118723362726993E-11</v>
      </c>
      <c r="L632" s="1">
        <v>2.0152149381185778E-4</v>
      </c>
      <c r="M632" s="1">
        <v>-1.9996927508504414E-4</v>
      </c>
      <c r="N632" s="1">
        <v>3.3666615458475073E-3</v>
      </c>
      <c r="O632" s="1">
        <v>0.99990668327874344</v>
      </c>
      <c r="P632" s="1">
        <v>1.0120221972057042</v>
      </c>
      <c r="Q632" s="2">
        <v>10.120221972057042</v>
      </c>
      <c r="S632" s="2">
        <v>6.31</v>
      </c>
      <c r="T632" s="1">
        <f t="shared" si="144"/>
        <v>4.8977881936844619E-7</v>
      </c>
      <c r="U632" s="1">
        <f t="shared" si="145"/>
        <v>2.0621553241162245E-8</v>
      </c>
      <c r="V632" s="1">
        <f t="shared" si="146"/>
        <v>7.7968123889070026E-2</v>
      </c>
      <c r="W632" s="1">
        <f t="shared" si="147"/>
        <v>7.343958703643327E-3</v>
      </c>
      <c r="X632" s="1">
        <f t="shared" si="148"/>
        <v>0.15851581876936985</v>
      </c>
      <c r="Y632" s="1">
        <f t="shared" si="149"/>
        <v>0.15852088219814972</v>
      </c>
      <c r="Z632" s="1">
        <f t="shared" si="150"/>
        <v>7.9260441099074859</v>
      </c>
      <c r="AB632">
        <v>7.62</v>
      </c>
      <c r="AC632">
        <v>2.3988329190194864E-8</v>
      </c>
      <c r="AD632">
        <v>4.2103807730503941E-7</v>
      </c>
      <c r="AE632">
        <v>9.8635542304946561E-2</v>
      </c>
      <c r="AF632">
        <v>4.5481923168447859E-4</v>
      </c>
      <c r="AG632">
        <v>9.1419344070017439E-3</v>
      </c>
      <c r="AH632">
        <v>9.1379457684252676E-3</v>
      </c>
      <c r="AI632">
        <v>0.45689728842126337</v>
      </c>
      <c r="AJ632"/>
      <c r="AK632"/>
      <c r="AL632"/>
      <c r="AM632"/>
      <c r="AN632"/>
      <c r="AO632"/>
      <c r="AP632"/>
      <c r="AQ632"/>
      <c r="AR632"/>
    </row>
    <row r="633" spans="1:44" ht="15" customHeight="1" x14ac:dyDescent="0.3">
      <c r="A633" s="2">
        <v>6.32</v>
      </c>
      <c r="B633" s="1">
        <f t="shared" si="138"/>
        <v>4.7863009232263745E-7</v>
      </c>
      <c r="C633" s="1">
        <f t="shared" si="139"/>
        <v>2.1101890921625836E-8</v>
      </c>
      <c r="D633" s="1">
        <f t="shared" si="140"/>
        <v>8.5241119553788255E-3</v>
      </c>
      <c r="E633" s="1">
        <f t="shared" si="141"/>
        <v>1.9126480074368626E-3</v>
      </c>
      <c r="F633" s="1">
        <f t="shared" si="142"/>
        <v>0.52875056389226893</v>
      </c>
      <c r="G633" s="1">
        <f t="shared" si="143"/>
        <v>0.52872526841498801</v>
      </c>
      <c r="H633" s="1">
        <f t="shared" si="151"/>
        <v>5.2872526841498795</v>
      </c>
      <c r="J633" s="2">
        <v>10.31</v>
      </c>
      <c r="K633" s="1">
        <v>4.8977881936844399E-11</v>
      </c>
      <c r="L633" s="1">
        <v>2.0621553241162338E-4</v>
      </c>
      <c r="M633" s="1">
        <v>-2.0469871515650678E-4</v>
      </c>
      <c r="N633" s="1">
        <v>3.3674497858594177E-3</v>
      </c>
      <c r="O633" s="1">
        <v>0.99990880723294362</v>
      </c>
      <c r="P633" s="1">
        <v>1.0123071154165209</v>
      </c>
      <c r="Q633" s="2">
        <v>10.123071154165208</v>
      </c>
      <c r="S633" s="2">
        <v>6.32</v>
      </c>
      <c r="T633" s="1">
        <f t="shared" si="144"/>
        <v>4.7863009232263745E-7</v>
      </c>
      <c r="U633" s="1">
        <f t="shared" si="145"/>
        <v>2.1101890921625836E-8</v>
      </c>
      <c r="V633" s="1">
        <f t="shared" si="146"/>
        <v>7.8361116989012519E-2</v>
      </c>
      <c r="W633" s="1">
        <f t="shared" si="147"/>
        <v>7.2129610036624943E-3</v>
      </c>
      <c r="X633" s="1">
        <f t="shared" si="148"/>
        <v>0.15546852917348716</v>
      </c>
      <c r="Y633" s="1">
        <f t="shared" si="149"/>
        <v>0.15547346012296404</v>
      </c>
      <c r="Z633" s="1">
        <f t="shared" si="150"/>
        <v>7.7736730061482016</v>
      </c>
      <c r="AB633">
        <v>7.63</v>
      </c>
      <c r="AC633">
        <v>2.3442288153199181E-8</v>
      </c>
      <c r="AD633">
        <v>4.3084531398960931E-7</v>
      </c>
      <c r="AE633">
        <v>9.8666215543786448E-2</v>
      </c>
      <c r="AF633">
        <v>4.4459481873784649E-4</v>
      </c>
      <c r="AG633">
        <v>8.9356980555884979E-3</v>
      </c>
      <c r="AH633">
        <v>8.9316058315139276E-3</v>
      </c>
      <c r="AI633">
        <v>0.4465802915756964</v>
      </c>
      <c r="AJ633"/>
      <c r="AK633"/>
      <c r="AL633"/>
      <c r="AM633"/>
      <c r="AN633"/>
      <c r="AO633"/>
      <c r="AP633"/>
      <c r="AQ633"/>
      <c r="AR633"/>
    </row>
    <row r="634" spans="1:44" ht="15" customHeight="1" x14ac:dyDescent="0.3">
      <c r="A634" s="2">
        <v>6.33</v>
      </c>
      <c r="B634" s="1">
        <f t="shared" si="138"/>
        <v>4.6773514128719735E-7</v>
      </c>
      <c r="C634" s="1">
        <f t="shared" si="139"/>
        <v>2.159341710397258E-8</v>
      </c>
      <c r="D634" s="1">
        <f t="shared" si="140"/>
        <v>8.4116753870102211E-3</v>
      </c>
      <c r="E634" s="1">
        <f t="shared" si="141"/>
        <v>1.9313874354982964E-3</v>
      </c>
      <c r="F634" s="1">
        <f t="shared" si="142"/>
        <v>0.53448394472683181</v>
      </c>
      <c r="G634" s="1">
        <f t="shared" si="143"/>
        <v>0.53445925319489529</v>
      </c>
      <c r="H634" s="1">
        <f t="shared" si="151"/>
        <v>5.3445925319489529</v>
      </c>
      <c r="J634" s="2">
        <v>10.32</v>
      </c>
      <c r="K634" s="1">
        <v>4.786300923226362E-11</v>
      </c>
      <c r="L634" s="1">
        <v>2.1101890921625891E-4</v>
      </c>
      <c r="M634" s="1">
        <v>-2.0953668771805204E-4</v>
      </c>
      <c r="N634" s="1">
        <v>3.3682561146196749E-3</v>
      </c>
      <c r="O634" s="1">
        <v>0.99991088284876117</v>
      </c>
      <c r="P634" s="1">
        <v>1.0125985999521216</v>
      </c>
      <c r="Q634" s="2">
        <v>10.125985999521216</v>
      </c>
      <c r="S634" s="2">
        <v>6.33</v>
      </c>
      <c r="T634" s="1">
        <f t="shared" si="144"/>
        <v>4.6773514128719735E-7</v>
      </c>
      <c r="U634" s="1">
        <f t="shared" si="145"/>
        <v>2.159341710397258E-8</v>
      </c>
      <c r="V634" s="1">
        <f t="shared" si="146"/>
        <v>7.8749010622475468E-2</v>
      </c>
      <c r="W634" s="1">
        <f t="shared" si="147"/>
        <v>7.0836631258415095E-3</v>
      </c>
      <c r="X634" s="1">
        <f t="shared" si="148"/>
        <v>0.15246920602504799</v>
      </c>
      <c r="Y634" s="1">
        <f t="shared" si="149"/>
        <v>0.15247400756737298</v>
      </c>
      <c r="Z634" s="1">
        <f t="shared" si="150"/>
        <v>7.6237003783686497</v>
      </c>
      <c r="AB634">
        <v>7.64</v>
      </c>
      <c r="AC634">
        <v>2.2908676527677693E-8</v>
      </c>
      <c r="AD634">
        <v>4.4088099056256832E-7</v>
      </c>
      <c r="AE634">
        <v>9.8696209670021531E-2</v>
      </c>
      <c r="AF634">
        <v>4.3459677665948985E-4</v>
      </c>
      <c r="AG634">
        <v>8.7340732571769171E-3</v>
      </c>
      <c r="AH634">
        <v>8.7298752898056862E-3</v>
      </c>
      <c r="AI634">
        <v>0.43649376449028426</v>
      </c>
      <c r="AJ634"/>
      <c r="AK634"/>
      <c r="AL634"/>
      <c r="AM634"/>
      <c r="AN634"/>
      <c r="AO634"/>
      <c r="AP634"/>
      <c r="AQ634"/>
      <c r="AR634"/>
    </row>
    <row r="635" spans="1:44" ht="15" customHeight="1" x14ac:dyDescent="0.3">
      <c r="A635" s="2">
        <v>6.34</v>
      </c>
      <c r="B635" s="1">
        <f t="shared" si="138"/>
        <v>4.5708818961487426E-7</v>
      </c>
      <c r="C635" s="1">
        <f t="shared" si="139"/>
        <v>2.2096392401890515E-8</v>
      </c>
      <c r="D635" s="1">
        <f t="shared" si="140"/>
        <v>8.2996496202672517E-3</v>
      </c>
      <c r="E635" s="1">
        <f t="shared" si="141"/>
        <v>1.9500583966221246E-3</v>
      </c>
      <c r="F635" s="1">
        <f t="shared" si="142"/>
        <v>0.54020822832374593</v>
      </c>
      <c r="G635" s="1">
        <f t="shared" si="143"/>
        <v>0.54018412897723445</v>
      </c>
      <c r="H635" s="1">
        <f t="shared" si="151"/>
        <v>5.401841289772344</v>
      </c>
      <c r="J635" s="2">
        <v>10.33</v>
      </c>
      <c r="K635" s="1">
        <v>4.6773514128719782E-11</v>
      </c>
      <c r="L635" s="1">
        <v>2.1593417103972561E-4</v>
      </c>
      <c r="M635" s="1">
        <v>-2.1448575791848399E-4</v>
      </c>
      <c r="N635" s="1">
        <v>3.369080959653081E-3</v>
      </c>
      <c r="O635" s="1">
        <v>0.99991291122611947</v>
      </c>
      <c r="P635" s="1">
        <v>1.0128968072899722</v>
      </c>
      <c r="Q635" s="2">
        <v>10.128968072899722</v>
      </c>
      <c r="S635" s="2">
        <v>6.34</v>
      </c>
      <c r="T635" s="1">
        <f t="shared" si="144"/>
        <v>4.5708818961487426E-7</v>
      </c>
      <c r="U635" s="1">
        <f t="shared" si="145"/>
        <v>2.2096392401890515E-8</v>
      </c>
      <c r="V635" s="1">
        <f t="shared" si="146"/>
        <v>7.9131802581884098E-2</v>
      </c>
      <c r="W635" s="1">
        <f t="shared" si="147"/>
        <v>6.9560658060386308E-3</v>
      </c>
      <c r="X635" s="1">
        <f t="shared" si="148"/>
        <v>0.14951750203596753</v>
      </c>
      <c r="Y635" s="1">
        <f t="shared" si="149"/>
        <v>0.14952217715854249</v>
      </c>
      <c r="Z635" s="1">
        <f t="shared" si="150"/>
        <v>7.4761088579271249</v>
      </c>
      <c r="AB635">
        <v>7.65</v>
      </c>
      <c r="AC635">
        <v>2.2387211385683365E-8</v>
      </c>
      <c r="AD635">
        <v>4.5115042807247333E-7</v>
      </c>
      <c r="AE635">
        <v>9.8725539345015573E-2</v>
      </c>
      <c r="AF635">
        <v>4.2482021832813694E-4</v>
      </c>
      <c r="AG635">
        <v>8.5369587254255416E-3</v>
      </c>
      <c r="AH635">
        <v>8.5326528008203648E-3</v>
      </c>
      <c r="AI635">
        <v>0.42663264004101825</v>
      </c>
      <c r="AJ635"/>
      <c r="AK635"/>
      <c r="AL635"/>
      <c r="AM635"/>
      <c r="AN635"/>
      <c r="AO635"/>
      <c r="AP635"/>
      <c r="AQ635"/>
      <c r="AR635"/>
    </row>
    <row r="636" spans="1:44" ht="15" customHeight="1" x14ac:dyDescent="0.3">
      <c r="A636" s="2">
        <v>6.35</v>
      </c>
      <c r="B636" s="1">
        <f t="shared" si="138"/>
        <v>4.4668359215096327E-7</v>
      </c>
      <c r="C636" s="1">
        <f t="shared" si="139"/>
        <v>2.2611083499540222E-8</v>
      </c>
      <c r="D636" s="1">
        <f t="shared" si="140"/>
        <v>8.1880619289780385E-3</v>
      </c>
      <c r="E636" s="1">
        <f t="shared" si="141"/>
        <v>1.9686563451703268E-3</v>
      </c>
      <c r="F636" s="1">
        <f t="shared" si="142"/>
        <v>0.54592192278048346</v>
      </c>
      <c r="G636" s="1">
        <f t="shared" si="143"/>
        <v>0.5458984041499938</v>
      </c>
      <c r="H636" s="1">
        <f t="shared" si="151"/>
        <v>5.4589840414999378</v>
      </c>
      <c r="J636" s="2">
        <v>10.34</v>
      </c>
      <c r="K636" s="1">
        <v>4.5708818961487472E-11</v>
      </c>
      <c r="L636" s="1">
        <v>2.2096392401890495E-4</v>
      </c>
      <c r="M636" s="1">
        <v>-2.1954854981243933E-4</v>
      </c>
      <c r="N636" s="1">
        <v>3.3699247583020733E-3</v>
      </c>
      <c r="O636" s="1">
        <v>0.99991489343992268</v>
      </c>
      <c r="P636" s="1">
        <v>1.0132018975633945</v>
      </c>
      <c r="Q636" s="2">
        <v>10.132018975633944</v>
      </c>
      <c r="S636" s="2">
        <v>6.35</v>
      </c>
      <c r="T636" s="1">
        <f t="shared" si="144"/>
        <v>4.4668359215096327E-7</v>
      </c>
      <c r="U636" s="1">
        <f t="shared" si="145"/>
        <v>2.2611083499540222E-8</v>
      </c>
      <c r="V636" s="1">
        <f t="shared" si="146"/>
        <v>7.9509493386191565E-2</v>
      </c>
      <c r="W636" s="1">
        <f t="shared" si="147"/>
        <v>6.8301688712694786E-3</v>
      </c>
      <c r="X636" s="1">
        <f t="shared" si="148"/>
        <v>0.14661305601334332</v>
      </c>
      <c r="Y636" s="1">
        <f t="shared" si="149"/>
        <v>0.14661760762091319</v>
      </c>
      <c r="Z636" s="1">
        <f t="shared" si="150"/>
        <v>7.3308803810456595</v>
      </c>
      <c r="AB636">
        <v>7.66</v>
      </c>
      <c r="AC636">
        <v>2.1877616239495494E-8</v>
      </c>
      <c r="AD636">
        <v>4.6165907151102438E-7</v>
      </c>
      <c r="AE636">
        <v>9.8754218932300936E-2</v>
      </c>
      <c r="AF636">
        <v>4.1526035589968985E-4</v>
      </c>
      <c r="AG636">
        <v>8.3442553168725335E-3</v>
      </c>
      <c r="AH636">
        <v>8.3398391637867983E-3</v>
      </c>
      <c r="AI636">
        <v>0.41699195818933998</v>
      </c>
      <c r="AJ636"/>
      <c r="AK636"/>
      <c r="AL636"/>
      <c r="AM636"/>
      <c r="AN636"/>
      <c r="AO636"/>
      <c r="AP636"/>
      <c r="AQ636"/>
      <c r="AR636"/>
    </row>
    <row r="637" spans="1:44" ht="15" customHeight="1" x14ac:dyDescent="0.3">
      <c r="A637" s="2">
        <v>6.36</v>
      </c>
      <c r="B637" s="1">
        <f t="shared" si="138"/>
        <v>4.365158322401653E-7</v>
      </c>
      <c r="C637" s="1">
        <f t="shared" si="139"/>
        <v>2.3137763292954543E-8</v>
      </c>
      <c r="D637" s="1">
        <f t="shared" si="140"/>
        <v>8.0769391431515219E-3</v>
      </c>
      <c r="E637" s="1">
        <f t="shared" si="141"/>
        <v>1.9871768094747461E-3</v>
      </c>
      <c r="F637" s="1">
        <f t="shared" si="142"/>
        <v>0.55162354731096075</v>
      </c>
      <c r="G637" s="1">
        <f t="shared" si="143"/>
        <v>0.55160059821161223</v>
      </c>
      <c r="H637" s="1">
        <f t="shared" si="151"/>
        <v>5.5160059821161216</v>
      </c>
      <c r="J637" s="2">
        <v>10.35</v>
      </c>
      <c r="K637" s="1">
        <v>4.4668359215096281E-11</v>
      </c>
      <c r="L637" s="1">
        <v>2.2611083499540245E-4</v>
      </c>
      <c r="M637" s="1">
        <v>-2.2472774775165959E-4</v>
      </c>
      <c r="N637" s="1">
        <v>3.3707879579586097E-3</v>
      </c>
      <c r="O637" s="1">
        <v>0.99991683054062408</v>
      </c>
      <c r="P637" s="1">
        <v>1.0135140346508007</v>
      </c>
      <c r="Q637" s="2">
        <v>10.135140346508006</v>
      </c>
      <c r="S637" s="2">
        <v>6.36</v>
      </c>
      <c r="T637" s="1">
        <f t="shared" si="144"/>
        <v>4.365158322401653E-7</v>
      </c>
      <c r="U637" s="1">
        <f t="shared" si="145"/>
        <v>2.3137763292954543E-8</v>
      </c>
      <c r="V637" s="1">
        <f t="shared" si="146"/>
        <v>7.9882086208729622E-2</v>
      </c>
      <c r="W637" s="1">
        <f t="shared" si="147"/>
        <v>6.7059712637567905E-3</v>
      </c>
      <c r="X637" s="1">
        <f t="shared" si="148"/>
        <v>0.14375549358427986</v>
      </c>
      <c r="Y637" s="1">
        <f t="shared" si="149"/>
        <v>0.14375992450096925</v>
      </c>
      <c r="Z637" s="1">
        <f t="shared" si="150"/>
        <v>7.1879962250484626</v>
      </c>
      <c r="AB637">
        <v>7.67</v>
      </c>
      <c r="AC637">
        <v>2.1379620895022292E-8</v>
      </c>
      <c r="AD637">
        <v>4.7241249270007079E-7</v>
      </c>
      <c r="AE637">
        <v>9.8782262502835741E-2</v>
      </c>
      <c r="AF637">
        <v>4.0591249905475019E-4</v>
      </c>
      <c r="AG637">
        <v>8.155865989269654E-3</v>
      </c>
      <c r="AH637">
        <v>8.151337277946296E-3</v>
      </c>
      <c r="AI637">
        <v>0.40756686389731483</v>
      </c>
      <c r="AJ637"/>
      <c r="AK637"/>
      <c r="AL637"/>
      <c r="AM637"/>
      <c r="AN637"/>
      <c r="AO637"/>
      <c r="AP637"/>
      <c r="AQ637"/>
      <c r="AR637"/>
    </row>
    <row r="638" spans="1:44" ht="15" customHeight="1" x14ac:dyDescent="0.3">
      <c r="A638" s="2">
        <v>6.37</v>
      </c>
      <c r="B638" s="1">
        <f t="shared" si="138"/>
        <v>4.2657951880159212E-7</v>
      </c>
      <c r="C638" s="1">
        <f t="shared" si="139"/>
        <v>2.3676711034731241E-8</v>
      </c>
      <c r="D638" s="1">
        <f t="shared" si="140"/>
        <v>7.9663076246537096E-3</v>
      </c>
      <c r="E638" s="1">
        <f t="shared" si="141"/>
        <v>2.0056153958910479E-3</v>
      </c>
      <c r="F638" s="1">
        <f t="shared" si="142"/>
        <v>0.55731163376229287</v>
      </c>
      <c r="G638" s="1">
        <f t="shared" si="143"/>
        <v>0.55728924328789586</v>
      </c>
      <c r="H638" s="1">
        <f t="shared" si="151"/>
        <v>5.572892432878958</v>
      </c>
      <c r="J638" s="2">
        <v>10.36</v>
      </c>
      <c r="K638" s="1">
        <v>4.3651583224016577E-11</v>
      </c>
      <c r="L638" s="1">
        <v>2.3137763292954518E-4</v>
      </c>
      <c r="M638" s="1">
        <v>-2.3002609780823247E-4</v>
      </c>
      <c r="N638" s="1">
        <v>3.3716710163013723E-3</v>
      </c>
      <c r="O638" s="1">
        <v>0.99991872355478095</v>
      </c>
      <c r="P638" s="1">
        <v>1.0138333862671189</v>
      </c>
      <c r="Q638" s="2">
        <v>10.138333862671189</v>
      </c>
      <c r="S638" s="2">
        <v>6.37</v>
      </c>
      <c r="T638" s="1">
        <f t="shared" si="144"/>
        <v>4.2657951880159212E-7</v>
      </c>
      <c r="U638" s="1">
        <f t="shared" si="145"/>
        <v>2.3676711034731241E-8</v>
      </c>
      <c r="V638" s="1">
        <f t="shared" si="146"/>
        <v>8.0249586803754783E-2</v>
      </c>
      <c r="W638" s="1">
        <f t="shared" si="147"/>
        <v>6.5834710654150697E-3</v>
      </c>
      <c r="X638" s="1">
        <f t="shared" si="148"/>
        <v>0.14094442790999293</v>
      </c>
      <c r="Y638" s="1">
        <f t="shared" si="149"/>
        <v>0.14094874088128784</v>
      </c>
      <c r="Z638" s="1">
        <f t="shared" si="150"/>
        <v>7.0474370440643916</v>
      </c>
      <c r="AB638">
        <v>7.68</v>
      </c>
      <c r="AC638">
        <v>2.0892961308540368E-8</v>
      </c>
      <c r="AD638">
        <v>4.8341639324586536E-7</v>
      </c>
      <c r="AE638">
        <v>9.8809683840206539E-2</v>
      </c>
      <c r="AF638">
        <v>3.9677205326448775E-4</v>
      </c>
      <c r="AG638">
        <v>7.9716957605582943E-3</v>
      </c>
      <c r="AH638">
        <v>7.9670521014975175E-3</v>
      </c>
      <c r="AI638">
        <v>0.39835260507487591</v>
      </c>
      <c r="AJ638"/>
      <c r="AK638"/>
      <c r="AL638"/>
      <c r="AM638"/>
      <c r="AN638"/>
      <c r="AO638"/>
      <c r="AP638"/>
      <c r="AQ638"/>
      <c r="AR638"/>
    </row>
    <row r="639" spans="1:44" ht="15" customHeight="1" x14ac:dyDescent="0.3">
      <c r="A639" s="2">
        <v>6.38</v>
      </c>
      <c r="B639" s="1">
        <f t="shared" si="138"/>
        <v>4.1686938347033493E-7</v>
      </c>
      <c r="C639" s="1">
        <f t="shared" si="139"/>
        <v>2.422821248209688E-8</v>
      </c>
      <c r="D639" s="1">
        <f t="shared" si="140"/>
        <v>7.8561932438676423E-3</v>
      </c>
      <c r="E639" s="1">
        <f t="shared" si="141"/>
        <v>2.0239677926887265E-3</v>
      </c>
      <c r="F639" s="1">
        <f t="shared" si="142"/>
        <v>0.5629847281035959</v>
      </c>
      <c r="G639" s="1">
        <f t="shared" si="143"/>
        <v>0.56296288562098018</v>
      </c>
      <c r="H639" s="1">
        <f t="shared" si="151"/>
        <v>5.6296288562098011</v>
      </c>
      <c r="J639" s="2">
        <v>10.37</v>
      </c>
      <c r="K639" s="1">
        <v>4.2657951880159247E-11</v>
      </c>
      <c r="L639" s="1">
        <v>2.3676711034731221E-4</v>
      </c>
      <c r="M639" s="1">
        <v>-2.3544640923062757E-4</v>
      </c>
      <c r="N639" s="1">
        <v>3.3725744015384376E-3</v>
      </c>
      <c r="O639" s="1">
        <v>0.99992057348559993</v>
      </c>
      <c r="P639" s="1">
        <v>1.0141601240574736</v>
      </c>
      <c r="Q639" s="2">
        <v>10.141601240574735</v>
      </c>
      <c r="S639" s="2">
        <v>6.38</v>
      </c>
      <c r="T639" s="1">
        <f t="shared" si="144"/>
        <v>4.1686938347033493E-7</v>
      </c>
      <c r="U639" s="1">
        <f t="shared" si="145"/>
        <v>2.422821248209688E-8</v>
      </c>
      <c r="V639" s="1">
        <f t="shared" si="146"/>
        <v>8.0612003431875759E-2</v>
      </c>
      <c r="W639" s="1">
        <f t="shared" si="147"/>
        <v>6.4626655227080811E-3</v>
      </c>
      <c r="X639" s="1">
        <f t="shared" si="148"/>
        <v>0.13817946038843948</v>
      </c>
      <c r="Y639" s="1">
        <f t="shared" si="149"/>
        <v>0.13818365808311597</v>
      </c>
      <c r="Z639" s="1">
        <f t="shared" si="150"/>
        <v>6.9091829041557977</v>
      </c>
      <c r="AB639">
        <v>7.69</v>
      </c>
      <c r="AC639">
        <v>2.0417379446695271E-8</v>
      </c>
      <c r="AD639">
        <v>4.9467660756213115E-7</v>
      </c>
      <c r="AE639">
        <v>9.883649644577408E-2</v>
      </c>
      <c r="AF639">
        <v>3.878345180753079E-4</v>
      </c>
      <c r="AG639">
        <v>7.7916516684858909E-3</v>
      </c>
      <c r="AH639">
        <v>7.7868906111810835E-3</v>
      </c>
      <c r="AI639">
        <v>0.38934453055905416</v>
      </c>
      <c r="AJ639"/>
      <c r="AK639"/>
      <c r="AL639"/>
      <c r="AM639"/>
      <c r="AN639"/>
      <c r="AO639"/>
      <c r="AP639"/>
      <c r="AQ639"/>
      <c r="AR639"/>
    </row>
    <row r="640" spans="1:44" ht="15" customHeight="1" x14ac:dyDescent="0.3">
      <c r="A640" s="2">
        <v>6.39</v>
      </c>
      <c r="B640" s="1">
        <f t="shared" si="138"/>
        <v>4.0738027780411229E-7</v>
      </c>
      <c r="C640" s="1">
        <f t="shared" si="139"/>
        <v>2.4792560048418833E-8</v>
      </c>
      <c r="D640" s="1">
        <f t="shared" si="140"/>
        <v>7.7466213573770268E-3</v>
      </c>
      <c r="E640" s="1">
        <f t="shared" si="141"/>
        <v>2.0422297737704956E-3</v>
      </c>
      <c r="F640" s="1">
        <f t="shared" si="142"/>
        <v>0.5686413918836678</v>
      </c>
      <c r="G640" s="1">
        <f t="shared" si="143"/>
        <v>0.56862008702716638</v>
      </c>
      <c r="H640" s="1">
        <f t="shared" si="151"/>
        <v>5.6862008702716631</v>
      </c>
      <c r="J640" s="2">
        <v>10.38</v>
      </c>
      <c r="K640" s="1">
        <v>4.168693834703338E-11</v>
      </c>
      <c r="L640" s="1">
        <v>2.4228212482096945E-4</v>
      </c>
      <c r="M640" s="1">
        <v>-2.4099155593312524E-4</v>
      </c>
      <c r="N640" s="1">
        <v>3.3734985926555205E-3</v>
      </c>
      <c r="O640" s="1">
        <v>0.99992238131346534</v>
      </c>
      <c r="P640" s="1">
        <v>1.0144944236931692</v>
      </c>
      <c r="Q640" s="2">
        <v>10.144944236931691</v>
      </c>
      <c r="S640" s="2">
        <v>6.39</v>
      </c>
      <c r="T640" s="1">
        <f t="shared" si="144"/>
        <v>4.0738027780411229E-7</v>
      </c>
      <c r="U640" s="1">
        <f t="shared" si="145"/>
        <v>2.4792560048418833E-8</v>
      </c>
      <c r="V640" s="1">
        <f t="shared" si="146"/>
        <v>8.0969346784541707E-2</v>
      </c>
      <c r="W640" s="1">
        <f t="shared" si="147"/>
        <v>6.3435510718194282E-3</v>
      </c>
      <c r="X640" s="1">
        <f t="shared" si="148"/>
        <v>0.13546018134479743</v>
      </c>
      <c r="Y640" s="1">
        <f t="shared" si="149"/>
        <v>0.13546426635679751</v>
      </c>
      <c r="Z640" s="1">
        <f t="shared" si="150"/>
        <v>6.7732133178398755</v>
      </c>
      <c r="AB640">
        <v>7.7</v>
      </c>
      <c r="AC640">
        <v>1.9952623149688773E-8</v>
      </c>
      <c r="AD640">
        <v>5.0619910596354556E-7</v>
      </c>
      <c r="AE640">
        <v>9.8862713543761832E-2</v>
      </c>
      <c r="AF640">
        <v>3.7909548541272437E-4</v>
      </c>
      <c r="AG640">
        <v>7.6156427308604786E-3</v>
      </c>
      <c r="AH640">
        <v>7.6107617625016475E-3</v>
      </c>
      <c r="AI640">
        <v>0.38053808812508239</v>
      </c>
      <c r="AJ640"/>
      <c r="AK640"/>
      <c r="AL640"/>
      <c r="AM640"/>
      <c r="AN640"/>
      <c r="AO640"/>
      <c r="AP640"/>
      <c r="AQ640"/>
      <c r="AR640"/>
    </row>
    <row r="641" spans="1:44" ht="15" customHeight="1" x14ac:dyDescent="0.3">
      <c r="A641" s="2">
        <v>6.4</v>
      </c>
      <c r="B641" s="1">
        <f t="shared" si="138"/>
        <v>3.9810717055349618E-7</v>
      </c>
      <c r="C641" s="1">
        <f t="shared" si="139"/>
        <v>2.5370052958246826E-8</v>
      </c>
      <c r="D641" s="1">
        <f t="shared" si="140"/>
        <v>7.637616786709287E-3</v>
      </c>
      <c r="E641" s="1">
        <f t="shared" si="141"/>
        <v>2.0603972022151186E-3</v>
      </c>
      <c r="F641" s="1">
        <f t="shared" si="142"/>
        <v>0.57428020365452503</v>
      </c>
      <c r="G641" s="1">
        <f t="shared" si="143"/>
        <v>0.57425942632061211</v>
      </c>
      <c r="H641" s="1">
        <f t="shared" si="151"/>
        <v>5.7425942632061204</v>
      </c>
      <c r="J641" s="2">
        <v>10.39</v>
      </c>
      <c r="K641" s="1">
        <v>4.0738027780411121E-11</v>
      </c>
      <c r="L641" s="1">
        <v>2.4792560048418898E-4</v>
      </c>
      <c r="M641" s="1">
        <v>-2.466644780196375E-4</v>
      </c>
      <c r="N641" s="1">
        <v>3.3744440796699394E-3</v>
      </c>
      <c r="O641" s="1">
        <v>0.9999241479964599</v>
      </c>
      <c r="P641" s="1">
        <v>1.0148364649700532</v>
      </c>
      <c r="Q641" s="2">
        <v>10.148364649700531</v>
      </c>
      <c r="S641" s="2">
        <v>6.4</v>
      </c>
      <c r="T641" s="1">
        <f t="shared" si="144"/>
        <v>3.9810717055349618E-7</v>
      </c>
      <c r="U641" s="1">
        <f t="shared" si="145"/>
        <v>2.5370052958246826E-8</v>
      </c>
      <c r="V641" s="1">
        <f t="shared" si="146"/>
        <v>8.1321629907766618E-2</v>
      </c>
      <c r="W641" s="1">
        <f t="shared" si="147"/>
        <v>6.2261233640777949E-3</v>
      </c>
      <c r="X641" s="1">
        <f t="shared" si="148"/>
        <v>0.13278617070916765</v>
      </c>
      <c r="Y641" s="1">
        <f t="shared" si="149"/>
        <v>0.13279014555942412</v>
      </c>
      <c r="Z641" s="1">
        <f t="shared" si="150"/>
        <v>6.6395072779712061</v>
      </c>
      <c r="AB641">
        <v>7.71</v>
      </c>
      <c r="AC641">
        <v>1.9498445997580434E-8</v>
      </c>
      <c r="AD641">
        <v>5.1798999783127897E-7</v>
      </c>
      <c r="AE641">
        <v>9.8888348086285577E-2</v>
      </c>
      <c r="AF641">
        <v>3.705506379048086E-4</v>
      </c>
      <c r="AG641">
        <v>7.443579906440778E-3</v>
      </c>
      <c r="AH641">
        <v>7.4385764505848504E-3</v>
      </c>
      <c r="AI641">
        <v>0.37192882252924253</v>
      </c>
      <c r="AJ641"/>
      <c r="AK641"/>
      <c r="AL641"/>
      <c r="AM641"/>
      <c r="AN641"/>
      <c r="AO641"/>
      <c r="AP641"/>
      <c r="AQ641"/>
      <c r="AR641"/>
    </row>
    <row r="642" spans="1:44" ht="15" customHeight="1" x14ac:dyDescent="0.3">
      <c r="A642" s="2">
        <v>6.41</v>
      </c>
      <c r="B642" s="1">
        <f t="shared" si="138"/>
        <v>3.8904514499428027E-7</v>
      </c>
      <c r="C642" s="1">
        <f t="shared" si="139"/>
        <v>2.5960997405965543E-8</v>
      </c>
      <c r="D642" s="1">
        <f t="shared" si="140"/>
        <v>7.529203798170527E-3</v>
      </c>
      <c r="E642" s="1">
        <f t="shared" si="141"/>
        <v>2.0784660336382456E-3</v>
      </c>
      <c r="F642" s="1">
        <f t="shared" si="142"/>
        <v>0.57989976035788149</v>
      </c>
      <c r="G642" s="1">
        <f t="shared" si="143"/>
        <v>0.57987950069995997</v>
      </c>
      <c r="H642" s="1">
        <f t="shared" si="151"/>
        <v>5.7987950069995993</v>
      </c>
      <c r="J642" s="2">
        <v>10.4</v>
      </c>
      <c r="K642" s="1">
        <v>3.9810717055349579E-11</v>
      </c>
      <c r="L642" s="1">
        <v>2.5370052958246852E-4</v>
      </c>
      <c r="M642" s="1">
        <v>-2.5246818334255234E-4</v>
      </c>
      <c r="N642" s="1">
        <v>3.3754113638904252E-3</v>
      </c>
      <c r="O642" s="1">
        <v>0.99992587447087133</v>
      </c>
      <c r="P642" s="1">
        <v>1.0151864319093091</v>
      </c>
      <c r="Q642" s="2">
        <v>10.151864319093091</v>
      </c>
      <c r="S642" s="2">
        <v>6.41</v>
      </c>
      <c r="T642" s="1">
        <f t="shared" si="144"/>
        <v>3.8904514499428027E-7</v>
      </c>
      <c r="U642" s="1">
        <f t="shared" si="145"/>
        <v>2.5960997405965543E-8</v>
      </c>
      <c r="V642" s="1">
        <f t="shared" si="146"/>
        <v>8.1668868125258545E-2</v>
      </c>
      <c r="W642" s="1">
        <f t="shared" si="147"/>
        <v>6.1103772915804882E-3</v>
      </c>
      <c r="X642" s="1">
        <f t="shared" si="148"/>
        <v>0.13015699868093653</v>
      </c>
      <c r="Y642" s="1">
        <f t="shared" si="149"/>
        <v>0.13016086581914749</v>
      </c>
      <c r="Z642" s="1">
        <f t="shared" si="150"/>
        <v>6.5080432909573744</v>
      </c>
      <c r="AB642">
        <v>7.72</v>
      </c>
      <c r="AC642">
        <v>1.9054607179632456E-8</v>
      </c>
      <c r="AD642">
        <v>5.3005553485227076E-7</v>
      </c>
      <c r="AE642">
        <v>9.8913412758323396E-2</v>
      </c>
      <c r="AF642">
        <v>3.6219574722553915E-4</v>
      </c>
      <c r="AG642">
        <v>7.2753760564586659E-3</v>
      </c>
      <c r="AH642">
        <v>7.2702474716659282E-3</v>
      </c>
      <c r="AI642">
        <v>0.36351237358329641</v>
      </c>
      <c r="AJ642"/>
      <c r="AK642"/>
      <c r="AL642"/>
      <c r="AM642"/>
      <c r="AN642"/>
      <c r="AO642"/>
      <c r="AP642"/>
      <c r="AQ642"/>
      <c r="AR642"/>
    </row>
    <row r="643" spans="1:44" ht="15" customHeight="1" x14ac:dyDescent="0.3">
      <c r="A643" s="2">
        <v>6.42</v>
      </c>
      <c r="B643" s="1">
        <f t="shared" ref="B643:B706" si="152">10^(-A643)</f>
        <v>3.8018939632056089E-7</v>
      </c>
      <c r="C643" s="1">
        <f t="shared" ref="C643:C706" si="153">Kw/B643</f>
        <v>2.6565706718143378E-8</v>
      </c>
      <c r="D643" s="1">
        <f t="shared" ref="D643:D706" si="154">((WASB_Ca*WASB_Va)-(WASB_Cb*H643))/(WASB_Va+H643)</f>
        <v>7.4214060838008623E-3</v>
      </c>
      <c r="E643" s="1">
        <f t="shared" ref="E643:E706" si="155">(WASB_Ca*H643)/(WASB_Va+H643)</f>
        <v>2.0964323193665229E-3</v>
      </c>
      <c r="F643" s="1">
        <f t="shared" ref="F643:F706" si="156">WASB_Ka/(B643+WASB_Ka)</f>
        <v>0.5854986786718096</v>
      </c>
      <c r="G643" s="1">
        <f t="shared" ref="G643:G706" si="157">(F643-((B643-C643)/WASB_Ca)) / (1 + ((B643-C643)/WASB_Cb))</f>
        <v>0.58547892709514571</v>
      </c>
      <c r="H643" s="1">
        <f t="shared" si="151"/>
        <v>5.8547892709514571</v>
      </c>
      <c r="J643" s="2">
        <v>10.41</v>
      </c>
      <c r="K643" s="1">
        <v>3.8904514499427922E-11</v>
      </c>
      <c r="L643" s="1">
        <v>2.5960997405965612E-4</v>
      </c>
      <c r="M643" s="1">
        <v>-2.5840574909753386E-4</v>
      </c>
      <c r="N643" s="1">
        <v>3.3764009581829222E-3</v>
      </c>
      <c r="O643" s="1">
        <v>0.99992756165168695</v>
      </c>
      <c r="P643" s="1">
        <v>1.0155445128607534</v>
      </c>
      <c r="Q643" s="2">
        <v>10.155445128607534</v>
      </c>
      <c r="S643" s="2">
        <v>6.42</v>
      </c>
      <c r="T643" s="1">
        <f t="shared" ref="T643:T706" si="158">10^-S643</f>
        <v>3.8018939632056089E-7</v>
      </c>
      <c r="U643" s="1">
        <f t="shared" ref="U643:U706" si="159">Kw/T643</f>
        <v>2.6565706718143378E-8</v>
      </c>
      <c r="V643" s="1">
        <f t="shared" ref="V643:V706" si="160">((SAWB_Cb*SAWB_Vb)-(SAWB_Ca*Z643))/(Z643+SAWB_Vb)</f>
        <v>8.2011078961118061E-2</v>
      </c>
      <c r="W643" s="1">
        <f t="shared" ref="W643:W706" si="161">(SAWB_Cb*Z643)/(Z643+SAWB_Vb)</f>
        <v>5.9963070129606475E-3</v>
      </c>
      <c r="X643" s="1">
        <f t="shared" ref="X643:X706" si="162">T643/(T643+SAWB_Ka)</f>
        <v>0.12757222637928822</v>
      </c>
      <c r="Y643" s="1">
        <f t="shared" ref="Y643:Y706" si="163">(X643+((T643-U643)/SAWB_Cb))/(1-((T643-U643)/SAWB_Ca))</f>
        <v>0.12757598818564247</v>
      </c>
      <c r="Z643" s="1">
        <f t="shared" ref="Z643:Z706" si="164">(Y643*SAWB_Cb*SAWB_Vb)/SAWB_Ca</f>
        <v>6.3787994092821236</v>
      </c>
      <c r="AB643">
        <v>7.73</v>
      </c>
      <c r="AC643">
        <v>1.8620871366628593E-8</v>
      </c>
      <c r="AD643">
        <v>5.4240211433395759E-7</v>
      </c>
      <c r="AE643">
        <v>9.8937919982624981E-2</v>
      </c>
      <c r="AF643">
        <v>3.5402667245834374E-4</v>
      </c>
      <c r="AG643">
        <v>7.1109459067706009E-3</v>
      </c>
      <c r="AH643">
        <v>7.1056894852065747E-3</v>
      </c>
      <c r="AI643">
        <v>0.35528447426032872</v>
      </c>
      <c r="AJ643"/>
      <c r="AK643"/>
      <c r="AL643"/>
      <c r="AM643"/>
      <c r="AN643"/>
      <c r="AO643"/>
      <c r="AP643"/>
      <c r="AQ643"/>
      <c r="AR643"/>
    </row>
    <row r="644" spans="1:44" ht="15" customHeight="1" x14ac:dyDescent="0.3">
      <c r="A644" s="2">
        <v>6.43</v>
      </c>
      <c r="B644" s="1">
        <f t="shared" si="152"/>
        <v>3.7153522909717226E-7</v>
      </c>
      <c r="C644" s="1">
        <f t="shared" si="153"/>
        <v>2.7184501519661868E-8</v>
      </c>
      <c r="D644" s="1">
        <f t="shared" si="154"/>
        <v>7.3142467434753585E-3</v>
      </c>
      <c r="E644" s="1">
        <f t="shared" si="155"/>
        <v>2.1142922094207735E-3</v>
      </c>
      <c r="F644" s="1">
        <f t="shared" si="156"/>
        <v>0.59107559631494333</v>
      </c>
      <c r="G644" s="1">
        <f t="shared" si="157"/>
        <v>0.5910563434717454</v>
      </c>
      <c r="H644" s="1">
        <f t="shared" ref="H644:H707" si="165">G644*(WASB_Va * WASB_Ca)/WASB_Cb</f>
        <v>5.9105634347174538</v>
      </c>
      <c r="J644" s="2">
        <v>10.42</v>
      </c>
      <c r="K644" s="1">
        <v>3.8018939632055986E-11</v>
      </c>
      <c r="L644" s="1">
        <v>2.656570671814345E-4</v>
      </c>
      <c r="M644" s="1">
        <v>-2.6448032345507196E-4</v>
      </c>
      <c r="N644" s="1">
        <v>3.377413387242512E-3</v>
      </c>
      <c r="O644" s="1">
        <v>0.99992921043307925</v>
      </c>
      <c r="P644" s="1">
        <v>1.0159109006086988</v>
      </c>
      <c r="Q644" s="2">
        <v>10.159109006086988</v>
      </c>
      <c r="S644" s="2">
        <v>6.43</v>
      </c>
      <c r="T644" s="1">
        <f t="shared" si="158"/>
        <v>3.7153522909717226E-7</v>
      </c>
      <c r="U644" s="1">
        <f t="shared" si="159"/>
        <v>2.7184501519661868E-8</v>
      </c>
      <c r="V644" s="1">
        <f t="shared" si="160"/>
        <v>8.2348282062261982E-2</v>
      </c>
      <c r="W644" s="1">
        <f t="shared" si="161"/>
        <v>5.8839059792460055E-3</v>
      </c>
      <c r="X644" s="1">
        <f t="shared" si="162"/>
        <v>0.12503140647942243</v>
      </c>
      <c r="Y644" s="1">
        <f t="shared" si="163"/>
        <v>0.1250350652662767</v>
      </c>
      <c r="Z644" s="1">
        <f t="shared" si="164"/>
        <v>6.2517532633138346</v>
      </c>
      <c r="AB644">
        <v>7.74</v>
      </c>
      <c r="AC644">
        <v>1.8197008586099822E-8</v>
      </c>
      <c r="AD644">
        <v>5.5503628259620117E-7</v>
      </c>
      <c r="AE644">
        <v>9.8961881924559722E-2</v>
      </c>
      <c r="AF644">
        <v>3.4603935848009719E-4</v>
      </c>
      <c r="AG644">
        <v>6.9502060106342882E-3</v>
      </c>
      <c r="AH644">
        <v>6.9448189766362989E-3</v>
      </c>
      <c r="AI644">
        <v>0.34724094883181494</v>
      </c>
      <c r="AJ644"/>
      <c r="AK644"/>
      <c r="AL644"/>
      <c r="AM644"/>
      <c r="AN644"/>
      <c r="AO644"/>
      <c r="AP644"/>
      <c r="AQ644"/>
      <c r="AR644"/>
    </row>
    <row r="645" spans="1:44" ht="15" customHeight="1" x14ac:dyDescent="0.3">
      <c r="A645" s="2">
        <v>6.44</v>
      </c>
      <c r="B645" s="1">
        <f t="shared" si="152"/>
        <v>3.6307805477010047E-7</v>
      </c>
      <c r="C645" s="1">
        <f t="shared" si="153"/>
        <v>2.7817709903715546E-8</v>
      </c>
      <c r="D645" s="1">
        <f t="shared" si="154"/>
        <v>7.2077482681713141E-3</v>
      </c>
      <c r="E645" s="1">
        <f t="shared" si="155"/>
        <v>2.1320419553047813E-3</v>
      </c>
      <c r="F645" s="1">
        <f t="shared" si="156"/>
        <v>0.59662917330577447</v>
      </c>
      <c r="G645" s="1">
        <f t="shared" si="157"/>
        <v>0.59661041009041282</v>
      </c>
      <c r="H645" s="1">
        <f t="shared" si="165"/>
        <v>5.9661041009041282</v>
      </c>
      <c r="J645" s="2">
        <v>10.43</v>
      </c>
      <c r="K645" s="1">
        <v>3.7153522909717256E-11</v>
      </c>
      <c r="L645" s="1">
        <v>2.7184501519661843E-4</v>
      </c>
      <c r="M645" s="1">
        <v>-2.7069512722968566E-4</v>
      </c>
      <c r="N645" s="1">
        <v>3.3784491878716145E-3</v>
      </c>
      <c r="O645" s="1">
        <v>0.99993082168887792</v>
      </c>
      <c r="P645" s="1">
        <v>1.0162857924804565</v>
      </c>
      <c r="Q645" s="2">
        <v>10.162857924804564</v>
      </c>
      <c r="S645" s="2">
        <v>6.44</v>
      </c>
      <c r="T645" s="1">
        <f t="shared" si="158"/>
        <v>3.6307805477010047E-7</v>
      </c>
      <c r="U645" s="1">
        <f t="shared" si="159"/>
        <v>2.7817709903715546E-8</v>
      </c>
      <c r="V645" s="1">
        <f t="shared" si="160"/>
        <v>8.2680499120724518E-2</v>
      </c>
      <c r="W645" s="1">
        <f t="shared" si="161"/>
        <v>5.7731669597584937E-3</v>
      </c>
      <c r="X645" s="1">
        <f t="shared" si="162"/>
        <v>0.12253408383407266</v>
      </c>
      <c r="Y645" s="1">
        <f t="shared" si="163"/>
        <v>0.12253764184758165</v>
      </c>
      <c r="Z645" s="1">
        <f t="shared" si="164"/>
        <v>6.1268820923790823</v>
      </c>
      <c r="AB645">
        <v>7.75</v>
      </c>
      <c r="AC645">
        <v>1.7782794100389218E-8</v>
      </c>
      <c r="AD645">
        <v>5.6796473844225284E-7</v>
      </c>
      <c r="AE645">
        <v>9.8985310496902693E-2</v>
      </c>
      <c r="AF645">
        <v>3.3822983436576794E-4</v>
      </c>
      <c r="AG645">
        <v>6.7930747121058765E-3</v>
      </c>
      <c r="AH645">
        <v>6.7875542207135649E-3</v>
      </c>
      <c r="AI645">
        <v>0.33937771103567826</v>
      </c>
      <c r="AJ645"/>
      <c r="AK645"/>
      <c r="AL645"/>
      <c r="AM645"/>
      <c r="AN645"/>
      <c r="AO645"/>
      <c r="AP645"/>
      <c r="AQ645"/>
      <c r="AR645"/>
    </row>
    <row r="646" spans="1:44" ht="15" customHeight="1" x14ac:dyDescent="0.3">
      <c r="A646" s="2">
        <v>6.45</v>
      </c>
      <c r="B646" s="1">
        <f t="shared" si="152"/>
        <v>3.5481338923357463E-7</v>
      </c>
      <c r="C646" s="1">
        <f t="shared" si="153"/>
        <v>2.8465667605771049E-8</v>
      </c>
      <c r="D646" s="1">
        <f t="shared" si="154"/>
        <v>7.1019325244196041E-3</v>
      </c>
      <c r="E646" s="1">
        <f t="shared" si="155"/>
        <v>2.1496779125967326E-3</v>
      </c>
      <c r="F646" s="1">
        <f t="shared" si="156"/>
        <v>0.60215809317471736</v>
      </c>
      <c r="G646" s="1">
        <f t="shared" si="157"/>
        <v>0.60213981071908262</v>
      </c>
      <c r="H646" s="1">
        <f t="shared" si="165"/>
        <v>6.0213981071908256</v>
      </c>
      <c r="J646" s="2">
        <v>10.44</v>
      </c>
      <c r="K646" s="1">
        <v>3.6307805477010142E-11</v>
      </c>
      <c r="L646" s="1">
        <v>2.7817709903715473E-4</v>
      </c>
      <c r="M646" s="1">
        <v>-2.7705345558760543E-4</v>
      </c>
      <c r="N646" s="1">
        <v>3.3795089092646009E-3</v>
      </c>
      <c r="O646" s="1">
        <v>0.99993239627303376</v>
      </c>
      <c r="P646" s="1">
        <v>1.0166693904575443</v>
      </c>
      <c r="Q646" s="2">
        <v>10.166693904575443</v>
      </c>
      <c r="S646" s="2">
        <v>6.45</v>
      </c>
      <c r="T646" s="1">
        <f t="shared" si="158"/>
        <v>3.5481338923357463E-7</v>
      </c>
      <c r="U646" s="1">
        <f t="shared" si="159"/>
        <v>2.8465667605771049E-8</v>
      </c>
      <c r="V646" s="1">
        <f t="shared" si="160"/>
        <v>8.3007753795979744E-2</v>
      </c>
      <c r="W646" s="1">
        <f t="shared" si="161"/>
        <v>5.6640820680067512E-3</v>
      </c>
      <c r="X646" s="1">
        <f t="shared" si="162"/>
        <v>0.1200797960799842</v>
      </c>
      <c r="Y646" s="1">
        <f t="shared" si="163"/>
        <v>0.12008325550168468</v>
      </c>
      <c r="Z646" s="1">
        <f t="shared" si="164"/>
        <v>6.0041627750842341</v>
      </c>
      <c r="AB646">
        <v>7.76</v>
      </c>
      <c r="AC646">
        <v>1.7378008287493747E-8</v>
      </c>
      <c r="AD646">
        <v>5.8119433671052875E-7</v>
      </c>
      <c r="AE646">
        <v>9.9008217364558129E-2</v>
      </c>
      <c r="AF646">
        <v>3.3059421181395117E-4</v>
      </c>
      <c r="AG646">
        <v>6.639472110054093E-3</v>
      </c>
      <c r="AH646">
        <v>6.633815245503087E-3</v>
      </c>
      <c r="AI646">
        <v>0.33169076227515443</v>
      </c>
      <c r="AJ646"/>
      <c r="AK646"/>
      <c r="AL646"/>
      <c r="AM646"/>
      <c r="AN646"/>
      <c r="AO646"/>
      <c r="AP646"/>
      <c r="AQ646"/>
      <c r="AR646"/>
    </row>
    <row r="647" spans="1:44" ht="15" customHeight="1" x14ac:dyDescent="0.3">
      <c r="A647" s="2">
        <v>6.46</v>
      </c>
      <c r="B647" s="1">
        <f t="shared" si="152"/>
        <v>3.4673685045253148E-7</v>
      </c>
      <c r="C647" s="1">
        <f t="shared" si="153"/>
        <v>2.9128718181578733E-8</v>
      </c>
      <c r="D647" s="1">
        <f t="shared" si="154"/>
        <v>6.9968207399533936E-3</v>
      </c>
      <c r="E647" s="1">
        <f t="shared" si="155"/>
        <v>2.167196543341101E-3</v>
      </c>
      <c r="F647" s="1">
        <f t="shared" si="156"/>
        <v>0.60766106412681975</v>
      </c>
      <c r="G647" s="1">
        <f t="shared" si="157"/>
        <v>0.60764325379581696</v>
      </c>
      <c r="H647" s="1">
        <f t="shared" si="165"/>
        <v>6.0764325379581692</v>
      </c>
      <c r="J647" s="2">
        <v>10.45</v>
      </c>
      <c r="K647" s="1">
        <v>3.5481338923357562E-11</v>
      </c>
      <c r="L647" s="1">
        <v>2.846566760577097E-4</v>
      </c>
      <c r="M647" s="1">
        <v>-2.8355867979394265E-4</v>
      </c>
      <c r="N647" s="1">
        <v>3.3805931132989903E-3</v>
      </c>
      <c r="O647" s="1">
        <v>0.99993393502006922</v>
      </c>
      <c r="P647" s="1">
        <v>1.0170619012896813</v>
      </c>
      <c r="Q647" s="2">
        <v>10.170619012896813</v>
      </c>
      <c r="S647" s="2">
        <v>6.46</v>
      </c>
      <c r="T647" s="1">
        <f t="shared" si="158"/>
        <v>3.4673685045253148E-7</v>
      </c>
      <c r="U647" s="1">
        <f t="shared" si="159"/>
        <v>2.9128718181578733E-8</v>
      </c>
      <c r="V647" s="1">
        <f t="shared" si="160"/>
        <v>8.3330071637424077E-2</v>
      </c>
      <c r="W647" s="1">
        <f t="shared" si="161"/>
        <v>5.5566427875253094E-3</v>
      </c>
      <c r="X647" s="1">
        <f t="shared" si="162"/>
        <v>0.11766807422905202</v>
      </c>
      <c r="Y647" s="1">
        <f t="shared" si="163"/>
        <v>0.11767143717740164</v>
      </c>
      <c r="Z647" s="1">
        <f t="shared" si="164"/>
        <v>5.8835718588700825</v>
      </c>
      <c r="AB647">
        <v>7.77</v>
      </c>
      <c r="AC647">
        <v>1.6982436524617439E-8</v>
      </c>
      <c r="AD647">
        <v>5.9473209190914497E-7</v>
      </c>
      <c r="AE647">
        <v>9.9030613949219803E-2</v>
      </c>
      <c r="AF647">
        <v>3.2312868359339814E-4</v>
      </c>
      <c r="AG647">
        <v>6.4893200227855979E-3</v>
      </c>
      <c r="AH647">
        <v>6.4835237969635548E-3</v>
      </c>
      <c r="AI647">
        <v>0.32417618984817775</v>
      </c>
      <c r="AJ647"/>
      <c r="AK647"/>
      <c r="AL647"/>
      <c r="AM647"/>
      <c r="AN647"/>
      <c r="AO647"/>
      <c r="AP647"/>
      <c r="AQ647"/>
      <c r="AR647"/>
    </row>
    <row r="648" spans="1:44" ht="15" customHeight="1" x14ac:dyDescent="0.3">
      <c r="A648" s="2">
        <v>6.47</v>
      </c>
      <c r="B648" s="1">
        <f t="shared" si="152"/>
        <v>3.3884415613920242E-7</v>
      </c>
      <c r="C648" s="1">
        <f t="shared" si="153"/>
        <v>2.9807213189330507E-8</v>
      </c>
      <c r="D648" s="1">
        <f t="shared" si="154"/>
        <v>6.8924334905643503E-3</v>
      </c>
      <c r="E648" s="1">
        <f t="shared" si="155"/>
        <v>2.184594418239275E-3</v>
      </c>
      <c r="F648" s="1">
        <f t="shared" si="156"/>
        <v>0.61313682015314297</v>
      </c>
      <c r="G648" s="1">
        <f t="shared" si="157"/>
        <v>0.61311947354031782</v>
      </c>
      <c r="H648" s="1">
        <f t="shared" si="165"/>
        <v>6.1311947354031782</v>
      </c>
      <c r="J648" s="2">
        <v>10.46</v>
      </c>
      <c r="K648" s="1">
        <v>3.4673685045253057E-11</v>
      </c>
      <c r="L648" s="1">
        <v>2.9128718181578806E-4</v>
      </c>
      <c r="M648" s="1">
        <v>-2.902142490001211E-4</v>
      </c>
      <c r="N648" s="1">
        <v>3.3817023748333535E-3</v>
      </c>
      <c r="O648" s="1">
        <v>0.99993543874552115</v>
      </c>
      <c r="P648" s="1">
        <v>1.0174635366116336</v>
      </c>
      <c r="Q648" s="2">
        <v>10.174635366116336</v>
      </c>
      <c r="S648" s="2">
        <v>6.47</v>
      </c>
      <c r="T648" s="1">
        <f t="shared" si="158"/>
        <v>3.3884415613920242E-7</v>
      </c>
      <c r="U648" s="1">
        <f t="shared" si="159"/>
        <v>2.9807213189330507E-8</v>
      </c>
      <c r="V648" s="1">
        <f t="shared" si="160"/>
        <v>8.3647480007149666E-2</v>
      </c>
      <c r="W648" s="1">
        <f t="shared" si="161"/>
        <v>5.450839997616779E-3</v>
      </c>
      <c r="X648" s="1">
        <f t="shared" si="162"/>
        <v>0.11529844324387258</v>
      </c>
      <c r="Y648" s="1">
        <f t="shared" si="163"/>
        <v>0.11530171177574469</v>
      </c>
      <c r="Z648" s="1">
        <f t="shared" si="164"/>
        <v>5.7650855887872341</v>
      </c>
      <c r="AB648">
        <v>7.78</v>
      </c>
      <c r="AC648">
        <v>1.6595869074375541E-8</v>
      </c>
      <c r="AD648">
        <v>6.0858518193510364E-7</v>
      </c>
      <c r="AE648">
        <v>9.9052511433967899E-2</v>
      </c>
      <c r="AF648">
        <v>3.1582952201070186E-4</v>
      </c>
      <c r="AG648">
        <v>6.3425419532770078E-3</v>
      </c>
      <c r="AH648">
        <v>6.3366033041412206E-3</v>
      </c>
      <c r="AI648">
        <v>0.31683016520706103</v>
      </c>
      <c r="AJ648"/>
      <c r="AK648"/>
      <c r="AL648"/>
      <c r="AM648"/>
      <c r="AN648"/>
      <c r="AO648"/>
      <c r="AP648"/>
      <c r="AQ648"/>
      <c r="AR648"/>
    </row>
    <row r="649" spans="1:44" ht="15" customHeight="1" x14ac:dyDescent="0.3">
      <c r="A649" s="2">
        <v>6.48</v>
      </c>
      <c r="B649" s="1">
        <f t="shared" si="152"/>
        <v>3.3113112148259042E-7</v>
      </c>
      <c r="C649" s="1">
        <f t="shared" si="153"/>
        <v>3.0501512376060421E-8</v>
      </c>
      <c r="D649" s="1">
        <f t="shared" si="154"/>
        <v>6.788790688172436E-3</v>
      </c>
      <c r="E649" s="1">
        <f t="shared" si="155"/>
        <v>2.2018682186379273E-3</v>
      </c>
      <c r="F649" s="1">
        <f t="shared" si="156"/>
        <v>0.61858412208903113</v>
      </c>
      <c r="G649" s="1">
        <f t="shared" si="157"/>
        <v>0.61856723101232725</v>
      </c>
      <c r="H649" s="1">
        <f t="shared" si="165"/>
        <v>6.1856723101232722</v>
      </c>
      <c r="J649" s="2">
        <v>10.47</v>
      </c>
      <c r="K649" s="1">
        <v>3.3884415613920157E-11</v>
      </c>
      <c r="L649" s="1">
        <v>2.9807213189330577E-4</v>
      </c>
      <c r="M649" s="1">
        <v>-2.9702369207269737E-4</v>
      </c>
      <c r="N649" s="1">
        <v>3.382837282012116E-3</v>
      </c>
      <c r="O649" s="1">
        <v>0.99993690824637238</v>
      </c>
      <c r="P649" s="1">
        <v>1.0178745130630016</v>
      </c>
      <c r="Q649" s="2">
        <v>10.178745130630015</v>
      </c>
      <c r="S649" s="2">
        <v>6.48</v>
      </c>
      <c r="T649" s="1">
        <f t="shared" si="158"/>
        <v>3.3113112148259042E-7</v>
      </c>
      <c r="U649" s="1">
        <f t="shared" si="159"/>
        <v>3.0501512376060421E-8</v>
      </c>
      <c r="V649" s="1">
        <f t="shared" si="160"/>
        <v>8.3960008003133718E-2</v>
      </c>
      <c r="W649" s="1">
        <f t="shared" si="161"/>
        <v>5.3466639989554277E-3</v>
      </c>
      <c r="X649" s="1">
        <f t="shared" si="162"/>
        <v>0.11297042259750616</v>
      </c>
      <c r="Y649" s="1">
        <f t="shared" si="163"/>
        <v>0.11297359870964131</v>
      </c>
      <c r="Z649" s="1">
        <f t="shared" si="164"/>
        <v>5.6486799354820656</v>
      </c>
      <c r="AB649">
        <v>7.79</v>
      </c>
      <c r="AC649">
        <v>1.6218100973589297E-8</v>
      </c>
      <c r="AD649">
        <v>6.227609518800971E-7</v>
      </c>
      <c r="AE649">
        <v>9.907392076780229E-2</v>
      </c>
      <c r="AF649">
        <v>3.0869307739923938E-4</v>
      </c>
      <c r="AG649">
        <v>6.1990630550082786E-3</v>
      </c>
      <c r="AH649">
        <v>6.1929788449639912E-3</v>
      </c>
      <c r="AI649">
        <v>0.30964894224819955</v>
      </c>
      <c r="AJ649"/>
      <c r="AK649"/>
      <c r="AL649"/>
      <c r="AM649"/>
      <c r="AN649"/>
      <c r="AO649"/>
      <c r="AP649"/>
      <c r="AQ649"/>
      <c r="AR649"/>
    </row>
    <row r="650" spans="1:44" ht="15" customHeight="1" x14ac:dyDescent="0.3">
      <c r="A650" s="2">
        <v>6.49</v>
      </c>
      <c r="B650" s="1">
        <f t="shared" si="152"/>
        <v>3.2359365692962763E-7</v>
      </c>
      <c r="C650" s="1">
        <f t="shared" si="153"/>
        <v>3.1211983868387323E-8</v>
      </c>
      <c r="D650" s="1">
        <f t="shared" si="154"/>
        <v>6.6859115701119127E-3</v>
      </c>
      <c r="E650" s="1">
        <f t="shared" si="155"/>
        <v>2.2190147383146811E-3</v>
      </c>
      <c r="F650" s="1">
        <f t="shared" si="156"/>
        <v>0.62400175861766749</v>
      </c>
      <c r="G650" s="1">
        <f t="shared" si="157"/>
        <v>0.62398531511531052</v>
      </c>
      <c r="H650" s="1">
        <f t="shared" si="165"/>
        <v>6.2398531511531052</v>
      </c>
      <c r="J650" s="2">
        <v>10.48</v>
      </c>
      <c r="K650" s="1">
        <v>3.3113112148259015E-11</v>
      </c>
      <c r="L650" s="1">
        <v>3.0501512376060447E-4</v>
      </c>
      <c r="M650" s="1">
        <v>-3.0399061946437961E-4</v>
      </c>
      <c r="N650" s="1">
        <v>3.3839984365773967E-3</v>
      </c>
      <c r="O650" s="1">
        <v>0.99993834430147344</v>
      </c>
      <c r="P650" s="1">
        <v>1.0182950524110184</v>
      </c>
      <c r="Q650" s="2">
        <v>10.182950524110183</v>
      </c>
      <c r="S650" s="2">
        <v>6.49</v>
      </c>
      <c r="T650" s="1">
        <f t="shared" si="158"/>
        <v>3.2359365692962763E-7</v>
      </c>
      <c r="U650" s="1">
        <f t="shared" si="159"/>
        <v>3.1211983868387323E-8</v>
      </c>
      <c r="V650" s="1">
        <f t="shared" si="160"/>
        <v>8.4267686382961726E-2</v>
      </c>
      <c r="W650" s="1">
        <f t="shared" si="161"/>
        <v>5.2441045390127575E-3</v>
      </c>
      <c r="X650" s="1">
        <f t="shared" si="162"/>
        <v>0.11068352681728941</v>
      </c>
      <c r="Y650" s="1">
        <f t="shared" si="163"/>
        <v>0.11068661244770468</v>
      </c>
      <c r="Z650" s="1">
        <f t="shared" si="164"/>
        <v>5.5343306223852338</v>
      </c>
      <c r="AB650">
        <v>7.8</v>
      </c>
      <c r="AC650">
        <v>1.5848931924611133E-8</v>
      </c>
      <c r="AD650">
        <v>6.3726691792499521E-7</v>
      </c>
      <c r="AE650">
        <v>9.9094852670111727E-2</v>
      </c>
      <c r="AF650">
        <v>3.0171577662942552E-4</v>
      </c>
      <c r="AG650">
        <v>6.0588100983913771E-3</v>
      </c>
      <c r="AH650">
        <v>6.0525771126299765E-3</v>
      </c>
      <c r="AI650">
        <v>0.30262885563149883</v>
      </c>
      <c r="AJ650"/>
      <c r="AK650"/>
      <c r="AL650"/>
      <c r="AM650"/>
      <c r="AN650"/>
      <c r="AO650"/>
      <c r="AP650"/>
      <c r="AQ650"/>
      <c r="AR650"/>
    </row>
    <row r="651" spans="1:44" ht="15" customHeight="1" x14ac:dyDescent="0.3">
      <c r="A651" s="2">
        <v>6.5</v>
      </c>
      <c r="B651" s="1">
        <f t="shared" si="152"/>
        <v>3.1622776601683734E-7</v>
      </c>
      <c r="C651" s="1">
        <f t="shared" si="153"/>
        <v>3.1939004367700689E-8</v>
      </c>
      <c r="D651" s="1">
        <f t="shared" si="154"/>
        <v>6.5838146896325146E-3</v>
      </c>
      <c r="E651" s="1">
        <f t="shared" si="155"/>
        <v>2.2360308850612473E-3</v>
      </c>
      <c r="F651" s="1">
        <f t="shared" si="156"/>
        <v>0.62938854721750259</v>
      </c>
      <c r="G651" s="1">
        <f t="shared" si="157"/>
        <v>0.62937254354400995</v>
      </c>
      <c r="H651" s="1">
        <f t="shared" si="165"/>
        <v>6.2937254354400993</v>
      </c>
      <c r="J651" s="2">
        <v>10.49</v>
      </c>
      <c r="K651" s="1">
        <v>3.2359365692962733E-11</v>
      </c>
      <c r="L651" s="1">
        <v>3.1211983868387351E-4</v>
      </c>
      <c r="M651" s="1">
        <v>-3.1111872512832662E-4</v>
      </c>
      <c r="N651" s="1">
        <v>3.3851864541880545E-3</v>
      </c>
      <c r="O651" s="1">
        <v>0.99993974767195426</v>
      </c>
      <c r="P651" s="1">
        <v>1.0187253816764468</v>
      </c>
      <c r="Q651" s="2">
        <v>10.187253816764468</v>
      </c>
      <c r="S651" s="2">
        <v>6.5</v>
      </c>
      <c r="T651" s="1">
        <f t="shared" si="158"/>
        <v>3.1622776601683734E-7</v>
      </c>
      <c r="U651" s="1">
        <f t="shared" si="159"/>
        <v>3.1939004367700689E-8</v>
      </c>
      <c r="V651" s="1">
        <f t="shared" si="160"/>
        <v>8.4570547488196104E-2</v>
      </c>
      <c r="W651" s="1">
        <f t="shared" si="161"/>
        <v>5.1431508372679615E-3</v>
      </c>
      <c r="X651" s="1">
        <f t="shared" si="162"/>
        <v>0.10843726601257918</v>
      </c>
      <c r="Y651" s="1">
        <f t="shared" si="163"/>
        <v>0.10844026304193614</v>
      </c>
      <c r="Z651" s="1">
        <f t="shared" si="164"/>
        <v>5.4220131520968069</v>
      </c>
      <c r="AB651">
        <v>7.81</v>
      </c>
      <c r="AC651">
        <v>1.5488166189124814E-8</v>
      </c>
      <c r="AD651">
        <v>6.5211077132500196E-7</v>
      </c>
      <c r="AE651">
        <v>9.9115317635078887E-2</v>
      </c>
      <c r="AF651">
        <v>2.948941216403719E-4</v>
      </c>
      <c r="AG651">
        <v>5.9217114377893426E-3</v>
      </c>
      <c r="AH651">
        <v>5.9153263825855243E-3</v>
      </c>
      <c r="AI651">
        <v>0.2957663191292762</v>
      </c>
      <c r="AJ651"/>
      <c r="AK651"/>
      <c r="AL651"/>
      <c r="AM651"/>
      <c r="AN651"/>
      <c r="AO651"/>
      <c r="AP651"/>
      <c r="AQ651"/>
      <c r="AR651"/>
    </row>
    <row r="652" spans="1:44" ht="15" customHeight="1" x14ac:dyDescent="0.3">
      <c r="A652" s="2">
        <v>6.51</v>
      </c>
      <c r="B652" s="1">
        <f t="shared" si="152"/>
        <v>3.090295432513585E-7</v>
      </c>
      <c r="C652" s="1">
        <f t="shared" si="153"/>
        <v>3.2682959349892508E-8</v>
      </c>
      <c r="D652" s="1">
        <f t="shared" si="154"/>
        <v>6.4825179076115885E-3</v>
      </c>
      <c r="E652" s="1">
        <f t="shared" si="155"/>
        <v>2.2529136820647355E-3</v>
      </c>
      <c r="F652" s="1">
        <f t="shared" si="156"/>
        <v>0.63474333505231717</v>
      </c>
      <c r="G652" s="1">
        <f t="shared" si="157"/>
        <v>0.63472776367463013</v>
      </c>
      <c r="H652" s="1">
        <f t="shared" si="165"/>
        <v>6.3472776367463011</v>
      </c>
      <c r="J652" s="2">
        <v>10.5</v>
      </c>
      <c r="K652" s="1">
        <v>3.162277660168371E-11</v>
      </c>
      <c r="L652" s="1">
        <v>3.1939004367700712E-4</v>
      </c>
      <c r="M652" s="1">
        <v>-3.1841178847673952E-4</v>
      </c>
      <c r="N652" s="1">
        <v>3.3864019647461231E-3</v>
      </c>
      <c r="O652" s="1">
        <v>0.99994111910162886</v>
      </c>
      <c r="P652" s="1">
        <v>1.0191657332626607</v>
      </c>
      <c r="Q652" s="2">
        <v>10.191657332626606</v>
      </c>
      <c r="S652" s="2">
        <v>6.51</v>
      </c>
      <c r="T652" s="1">
        <f t="shared" si="158"/>
        <v>3.090295432513585E-7</v>
      </c>
      <c r="U652" s="1">
        <f t="shared" si="159"/>
        <v>3.2682959349892508E-8</v>
      </c>
      <c r="V652" s="1">
        <f t="shared" si="160"/>
        <v>8.4868625169494422E-2</v>
      </c>
      <c r="W652" s="1">
        <f t="shared" si="161"/>
        <v>5.0437916101685291E-3</v>
      </c>
      <c r="X652" s="1">
        <f t="shared" si="162"/>
        <v>0.10623114638635225</v>
      </c>
      <c r="Y652" s="1">
        <f t="shared" si="163"/>
        <v>0.10623405663928449</v>
      </c>
      <c r="Z652" s="1">
        <f t="shared" si="164"/>
        <v>5.3117028319642241</v>
      </c>
      <c r="AB652">
        <v>7.82</v>
      </c>
      <c r="AC652">
        <v>1.5135612484362029E-8</v>
      </c>
      <c r="AD652">
        <v>6.673003824876742E-7</v>
      </c>
      <c r="AE652">
        <v>9.9135325936021174E-2</v>
      </c>
      <c r="AF652">
        <v>2.8822468799294182E-4</v>
      </c>
      <c r="AG652">
        <v>5.7876969791189128E-3</v>
      </c>
      <c r="AH652">
        <v>5.7811564800859484E-3</v>
      </c>
      <c r="AI652">
        <v>0.28905782400429741</v>
      </c>
      <c r="AJ652"/>
      <c r="AK652"/>
      <c r="AL652"/>
      <c r="AM652"/>
      <c r="AN652"/>
      <c r="AO652"/>
      <c r="AP652"/>
      <c r="AQ652"/>
      <c r="AR652"/>
    </row>
    <row r="653" spans="1:44" ht="15" customHeight="1" x14ac:dyDescent="0.3">
      <c r="A653" s="2">
        <v>6.52</v>
      </c>
      <c r="B653" s="1">
        <f t="shared" si="152"/>
        <v>3.0199517204020165E-7</v>
      </c>
      <c r="C653" s="1">
        <f t="shared" si="153"/>
        <v>3.3444243269741692E-8</v>
      </c>
      <c r="D653" s="1">
        <f t="shared" si="154"/>
        <v>6.3820383854693375E-3</v>
      </c>
      <c r="E653" s="1">
        <f t="shared" si="155"/>
        <v>2.2696602690884435E-3</v>
      </c>
      <c r="F653" s="1">
        <f t="shared" si="156"/>
        <v>0.64006499980288489</v>
      </c>
      <c r="G653" s="1">
        <f t="shared" si="157"/>
        <v>0.64004985339662057</v>
      </c>
      <c r="H653" s="1">
        <f t="shared" si="165"/>
        <v>6.4004985339662053</v>
      </c>
      <c r="J653" s="2">
        <v>10.51</v>
      </c>
      <c r="K653" s="1">
        <v>3.0902954325135829E-11</v>
      </c>
      <c r="L653" s="1">
        <v>3.2682959349892535E-4</v>
      </c>
      <c r="M653" s="1">
        <v>-3.2587367638471724E-4</v>
      </c>
      <c r="N653" s="1">
        <v>3.3876456127307857E-3</v>
      </c>
      <c r="O653" s="1">
        <v>0.99994245931738701</v>
      </c>
      <c r="P653" s="1">
        <v>1.0196163450879936</v>
      </c>
      <c r="Q653" s="2">
        <v>10.196163450879935</v>
      </c>
      <c r="S653" s="2">
        <v>6.52</v>
      </c>
      <c r="T653" s="1">
        <f t="shared" si="158"/>
        <v>3.0199517204020165E-7</v>
      </c>
      <c r="U653" s="1">
        <f t="shared" si="159"/>
        <v>3.3444243269741692E-8</v>
      </c>
      <c r="V653" s="1">
        <f t="shared" si="160"/>
        <v>8.5161954712575302E-2</v>
      </c>
      <c r="W653" s="1">
        <f t="shared" si="161"/>
        <v>4.9460150958082283E-3</v>
      </c>
      <c r="X653" s="1">
        <f t="shared" si="162"/>
        <v>0.10406467073061626</v>
      </c>
      <c r="Y653" s="1">
        <f t="shared" si="163"/>
        <v>0.10406749597701746</v>
      </c>
      <c r="Z653" s="1">
        <f t="shared" si="164"/>
        <v>5.2033747988508736</v>
      </c>
      <c r="AB653">
        <v>7.83</v>
      </c>
      <c r="AC653">
        <v>1.4791083881682026E-8</v>
      </c>
      <c r="AD653">
        <v>6.8284380514590378E-7</v>
      </c>
      <c r="AE653">
        <v>9.9154887629667288E-2</v>
      </c>
      <c r="AF653">
        <v>2.8170412344423842E-4</v>
      </c>
      <c r="AG653">
        <v>5.6566981480312079E-3</v>
      </c>
      <c r="AH653">
        <v>5.6499987483333708E-3</v>
      </c>
      <c r="AI653">
        <v>0.28249993741666857</v>
      </c>
      <c r="AJ653"/>
      <c r="AK653"/>
      <c r="AL653"/>
      <c r="AM653"/>
      <c r="AN653"/>
      <c r="AO653"/>
      <c r="AP653"/>
      <c r="AQ653"/>
      <c r="AR653"/>
    </row>
    <row r="654" spans="1:44" ht="15" customHeight="1" x14ac:dyDescent="0.3">
      <c r="A654" s="2">
        <v>6.53</v>
      </c>
      <c r="B654" s="1">
        <f t="shared" si="152"/>
        <v>2.9512092266663814E-7</v>
      </c>
      <c r="C654" s="1">
        <f t="shared" si="153"/>
        <v>3.4223259770059504E-8</v>
      </c>
      <c r="D654" s="1">
        <f t="shared" si="154"/>
        <v>6.2823925792762038E-3</v>
      </c>
      <c r="E654" s="1">
        <f t="shared" si="155"/>
        <v>2.286267903453966E-3</v>
      </c>
      <c r="F654" s="1">
        <f t="shared" si="156"/>
        <v>0.64535245043938261</v>
      </c>
      <c r="G654" s="1">
        <f t="shared" si="157"/>
        <v>0.64533772188520366</v>
      </c>
      <c r="H654" s="1">
        <f t="shared" si="165"/>
        <v>6.4533772188520366</v>
      </c>
      <c r="J654" s="2">
        <v>10.52</v>
      </c>
      <c r="K654" s="1">
        <v>3.0199517204020087E-11</v>
      </c>
      <c r="L654" s="1">
        <v>3.3444243269741783E-4</v>
      </c>
      <c r="M654" s="1">
        <v>-3.3350834524056307E-4</v>
      </c>
      <c r="N654" s="1">
        <v>3.3889180575400937E-3</v>
      </c>
      <c r="O654" s="1">
        <v>0.99994376902958082</v>
      </c>
      <c r="P654" s="1">
        <v>1.0200774607214522</v>
      </c>
      <c r="Q654" s="2">
        <v>10.200774607214521</v>
      </c>
      <c r="S654" s="2">
        <v>6.53</v>
      </c>
      <c r="T654" s="1">
        <f t="shared" si="158"/>
        <v>2.9512092266663814E-7</v>
      </c>
      <c r="U654" s="1">
        <f t="shared" si="159"/>
        <v>3.4223259770059504E-8</v>
      </c>
      <c r="V654" s="1">
        <f t="shared" si="160"/>
        <v>8.5450572765123897E-2</v>
      </c>
      <c r="W654" s="1">
        <f t="shared" si="161"/>
        <v>4.849809078292037E-3</v>
      </c>
      <c r="X654" s="1">
        <f t="shared" si="162"/>
        <v>0.10193733890562615</v>
      </c>
      <c r="Y654" s="1">
        <f t="shared" si="163"/>
        <v>0.10194008086189937</v>
      </c>
      <c r="Z654" s="1">
        <f t="shared" si="164"/>
        <v>5.0970040430949686</v>
      </c>
      <c r="AB654">
        <v>7.84</v>
      </c>
      <c r="AC654">
        <v>1.4454397707459279E-8</v>
      </c>
      <c r="AD654">
        <v>6.9874928062812556E-7</v>
      </c>
      <c r="AE654">
        <v>9.9174012560369534E-2</v>
      </c>
      <c r="AF654">
        <v>2.7532914654349267E-4</v>
      </c>
      <c r="AG654">
        <v>5.528647858663715E-3</v>
      </c>
      <c r="AH654">
        <v>5.521786017184927E-3</v>
      </c>
      <c r="AI654">
        <v>0.27608930085924632</v>
      </c>
      <c r="AJ654"/>
      <c r="AK654"/>
      <c r="AL654"/>
      <c r="AM654"/>
      <c r="AN654"/>
      <c r="AO654"/>
      <c r="AP654"/>
      <c r="AQ654"/>
      <c r="AR654"/>
    </row>
    <row r="655" spans="1:44" ht="15" customHeight="1" x14ac:dyDescent="0.3">
      <c r="A655" s="2">
        <v>6.54</v>
      </c>
      <c r="B655" s="1">
        <f t="shared" si="152"/>
        <v>2.8840315031266014E-7</v>
      </c>
      <c r="C655" s="1">
        <f t="shared" si="153"/>
        <v>3.5020421895705747E-8</v>
      </c>
      <c r="D655" s="1">
        <f t="shared" si="154"/>
        <v>6.1835962350385376E-3</v>
      </c>
      <c r="E655" s="1">
        <f t="shared" si="155"/>
        <v>2.3027339608269102E-3</v>
      </c>
      <c r="F655" s="1">
        <f t="shared" si="156"/>
        <v>0.65060462793387275</v>
      </c>
      <c r="G655" s="1">
        <f t="shared" si="157"/>
        <v>0.65059031031397274</v>
      </c>
      <c r="H655" s="1">
        <f t="shared" si="165"/>
        <v>6.505903103139727</v>
      </c>
      <c r="J655" s="2">
        <v>10.53</v>
      </c>
      <c r="K655" s="1">
        <v>2.9512092266663787E-11</v>
      </c>
      <c r="L655" s="1">
        <v>3.4223259770059538E-4</v>
      </c>
      <c r="M655" s="1">
        <v>-3.4131984304346731E-4</v>
      </c>
      <c r="N655" s="1">
        <v>3.3902199738405779E-3</v>
      </c>
      <c r="O655" s="1">
        <v>0.99994504893239999</v>
      </c>
      <c r="P655" s="1">
        <v>1.0205493295218786</v>
      </c>
      <c r="Q655" s="2">
        <v>10.205493295218785</v>
      </c>
      <c r="S655" s="2">
        <v>6.54</v>
      </c>
      <c r="T655" s="1">
        <f t="shared" si="158"/>
        <v>2.8840315031266014E-7</v>
      </c>
      <c r="U655" s="1">
        <f t="shared" si="159"/>
        <v>3.5020421895705747E-8</v>
      </c>
      <c r="V655" s="1">
        <f t="shared" si="160"/>
        <v>8.5734517264720311E-2</v>
      </c>
      <c r="W655" s="1">
        <f t="shared" si="161"/>
        <v>4.7551609117598998E-3</v>
      </c>
      <c r="X655" s="1">
        <f t="shared" si="162"/>
        <v>9.9848648302935633E-2</v>
      </c>
      <c r="Y655" s="1">
        <f t="shared" si="163"/>
        <v>9.9851308633204891E-2</v>
      </c>
      <c r="Z655" s="1">
        <f t="shared" si="164"/>
        <v>4.9925654316602444</v>
      </c>
      <c r="AB655">
        <v>7.85</v>
      </c>
      <c r="AC655">
        <v>1.4125375446227547E-8</v>
      </c>
      <c r="AD655">
        <v>7.1502524222797904E-7</v>
      </c>
      <c r="AE655">
        <v>9.9192710364251979E-2</v>
      </c>
      <c r="AF655">
        <v>2.690965452493393E-4</v>
      </c>
      <c r="AG655">
        <v>5.4034804829574653E-3</v>
      </c>
      <c r="AH655">
        <v>5.3964525724252022E-3</v>
      </c>
      <c r="AI655">
        <v>0.26982262862126005</v>
      </c>
      <c r="AJ655"/>
      <c r="AK655"/>
      <c r="AL655"/>
      <c r="AM655"/>
      <c r="AN655"/>
      <c r="AO655"/>
      <c r="AP655"/>
      <c r="AQ655"/>
      <c r="AR655"/>
    </row>
    <row r="656" spans="1:44" ht="15" customHeight="1" x14ac:dyDescent="0.3">
      <c r="A656" s="2">
        <v>6.55</v>
      </c>
      <c r="B656" s="1">
        <f t="shared" si="152"/>
        <v>2.8183829312644502E-7</v>
      </c>
      <c r="C656" s="1">
        <f t="shared" si="153"/>
        <v>3.5836152312591163E-8</v>
      </c>
      <c r="D656" s="1">
        <f t="shared" si="154"/>
        <v>6.0856643851452709E-3</v>
      </c>
      <c r="E656" s="1">
        <f t="shared" si="155"/>
        <v>2.3190559358091216E-3</v>
      </c>
      <c r="F656" s="1">
        <f t="shared" si="156"/>
        <v>0.65582050591239516</v>
      </c>
      <c r="G656" s="1">
        <f t="shared" si="157"/>
        <v>0.65580659250709727</v>
      </c>
      <c r="H656" s="1">
        <f t="shared" si="165"/>
        <v>6.5580659250709727</v>
      </c>
      <c r="J656" s="2">
        <v>10.54</v>
      </c>
      <c r="K656" s="1">
        <v>2.8840315031266094E-11</v>
      </c>
      <c r="L656" s="1">
        <v>3.5020421895705649E-4</v>
      </c>
      <c r="M656" s="1">
        <v>-3.4931231154981021E-4</v>
      </c>
      <c r="N656" s="1">
        <v>3.3915520519249682E-3</v>
      </c>
      <c r="O656" s="1">
        <v>0.99994629970423965</v>
      </c>
      <c r="P656" s="1">
        <v>1.0210322067806641</v>
      </c>
      <c r="Q656" s="2">
        <v>10.21032206780664</v>
      </c>
      <c r="S656" s="2">
        <v>6.55</v>
      </c>
      <c r="T656" s="1">
        <f t="shared" si="158"/>
        <v>2.8183829312644502E-7</v>
      </c>
      <c r="U656" s="1">
        <f t="shared" si="159"/>
        <v>3.5836152312591163E-8</v>
      </c>
      <c r="V656" s="1">
        <f t="shared" si="160"/>
        <v>8.6013827367871276E-2</v>
      </c>
      <c r="W656" s="1">
        <f t="shared" si="161"/>
        <v>4.6620575440429095E-3</v>
      </c>
      <c r="X656" s="1">
        <f t="shared" si="162"/>
        <v>9.7798094292336102E-2</v>
      </c>
      <c r="Y656" s="1">
        <f t="shared" si="163"/>
        <v>9.7800674609620872E-2</v>
      </c>
      <c r="Z656" s="1">
        <f t="shared" si="164"/>
        <v>4.8900337304810435</v>
      </c>
      <c r="AB656">
        <v>7.86</v>
      </c>
      <c r="AC656">
        <v>1.3803842646028805E-8</v>
      </c>
      <c r="AD656">
        <v>7.3168031967574223E-7</v>
      </c>
      <c r="AE656">
        <v>9.9210990473294708E-2</v>
      </c>
      <c r="AF656">
        <v>2.6300317556842643E-4</v>
      </c>
      <c r="AG656">
        <v>5.281131820532782E-3</v>
      </c>
      <c r="AH656">
        <v>5.273934125596234E-3</v>
      </c>
      <c r="AI656">
        <v>0.26369670627981168</v>
      </c>
      <c r="AJ656"/>
      <c r="AK656"/>
      <c r="AL656"/>
      <c r="AM656"/>
      <c r="AN656"/>
      <c r="AO656"/>
      <c r="AP656"/>
      <c r="AQ656"/>
      <c r="AR656"/>
    </row>
    <row r="657" spans="1:44" ht="15" customHeight="1" x14ac:dyDescent="0.3">
      <c r="A657" s="2">
        <v>6.56</v>
      </c>
      <c r="B657" s="1">
        <f t="shared" si="152"/>
        <v>2.7542287033381632E-7</v>
      </c>
      <c r="C657" s="1">
        <f t="shared" si="153"/>
        <v>3.6670883531780278E-8</v>
      </c>
      <c r="D657" s="1">
        <f t="shared" si="154"/>
        <v>5.9886113459560767E-3</v>
      </c>
      <c r="E657" s="1">
        <f t="shared" si="155"/>
        <v>2.3352314423406538E-3</v>
      </c>
      <c r="F657" s="1">
        <f t="shared" si="156"/>
        <v>0.66099909124635836</v>
      </c>
      <c r="G657" s="1">
        <f t="shared" si="157"/>
        <v>0.66098557553082415</v>
      </c>
      <c r="H657" s="1">
        <f t="shared" si="165"/>
        <v>6.6098557553082413</v>
      </c>
      <c r="J657" s="2">
        <v>10.55</v>
      </c>
      <c r="K657" s="1">
        <v>2.8183829312644474E-11</v>
      </c>
      <c r="L657" s="1">
        <v>3.5836152312591202E-4</v>
      </c>
      <c r="M657" s="1">
        <v>-3.5748998846919284E-4</v>
      </c>
      <c r="N657" s="1">
        <v>3.3929149980781986E-3</v>
      </c>
      <c r="O657" s="1">
        <v>0.99994752200805914</v>
      </c>
      <c r="P657" s="1">
        <v>1.0215263538681125</v>
      </c>
      <c r="Q657" s="2">
        <v>10.215263538681125</v>
      </c>
      <c r="S657" s="2">
        <v>6.56</v>
      </c>
      <c r="T657" s="1">
        <f t="shared" si="158"/>
        <v>2.7542287033381632E-7</v>
      </c>
      <c r="U657" s="1">
        <f t="shared" si="159"/>
        <v>3.6670883531780278E-8</v>
      </c>
      <c r="V657" s="1">
        <f t="shared" si="160"/>
        <v>8.628854338021566E-2</v>
      </c>
      <c r="W657" s="1">
        <f t="shared" si="161"/>
        <v>4.570485539928117E-3</v>
      </c>
      <c r="X657" s="1">
        <f t="shared" si="162"/>
        <v>9.5785170652774865E-2</v>
      </c>
      <c r="Y657" s="1">
        <f t="shared" si="163"/>
        <v>9.5787672520128514E-2</v>
      </c>
      <c r="Z657" s="1">
        <f t="shared" si="164"/>
        <v>4.7893836260064253</v>
      </c>
      <c r="AB657">
        <v>7.87</v>
      </c>
      <c r="AC657">
        <v>1.3489628825916498E-8</v>
      </c>
      <c r="AD657">
        <v>7.4872334371392871E-7</v>
      </c>
      <c r="AE657">
        <v>9.9228862119354125E-2</v>
      </c>
      <c r="AF657">
        <v>2.5704596021529038E-4</v>
      </c>
      <c r="AG657">
        <v>5.1615390691167867E-3</v>
      </c>
      <c r="AH657">
        <v>5.1541677843782701E-3</v>
      </c>
      <c r="AI657">
        <v>0.25770838921891348</v>
      </c>
      <c r="AJ657"/>
      <c r="AK657"/>
      <c r="AL657"/>
      <c r="AM657"/>
      <c r="AN657"/>
      <c r="AO657"/>
      <c r="AP657"/>
      <c r="AQ657"/>
      <c r="AR657"/>
    </row>
    <row r="658" spans="1:44" ht="15" customHeight="1" x14ac:dyDescent="0.3">
      <c r="A658" s="2">
        <v>6.57</v>
      </c>
      <c r="B658" s="1">
        <f t="shared" si="152"/>
        <v>2.691534803926908E-7</v>
      </c>
      <c r="C658" s="1">
        <f t="shared" si="153"/>
        <v>3.7525058138814531E-8</v>
      </c>
      <c r="D658" s="1">
        <f t="shared" si="154"/>
        <v>5.8924507165083921E-3</v>
      </c>
      <c r="E658" s="1">
        <f t="shared" si="155"/>
        <v>2.3512582139152676E-3</v>
      </c>
      <c r="F658" s="1">
        <f t="shared" si="156"/>
        <v>0.66613942458312259</v>
      </c>
      <c r="G658" s="1">
        <f t="shared" si="157"/>
        <v>0.66612630022417041</v>
      </c>
      <c r="H658" s="1">
        <f t="shared" si="165"/>
        <v>6.6612630022417036</v>
      </c>
      <c r="J658" s="2">
        <v>10.56</v>
      </c>
      <c r="K658" s="1">
        <v>2.7542287033381602E-11</v>
      </c>
      <c r="L658" s="1">
        <v>3.6670883531780314E-4</v>
      </c>
      <c r="M658" s="1">
        <v>-3.6585720971128949E-4</v>
      </c>
      <c r="N658" s="1">
        <v>3.3943095349518817E-3</v>
      </c>
      <c r="O658" s="1">
        <v>0.999948716491734</v>
      </c>
      <c r="P658" s="1">
        <v>1.0220320383835499</v>
      </c>
      <c r="Q658" s="2">
        <v>10.220320383835499</v>
      </c>
      <c r="S658" s="2">
        <v>6.57</v>
      </c>
      <c r="T658" s="1">
        <f t="shared" si="158"/>
        <v>2.691534803926908E-7</v>
      </c>
      <c r="U658" s="1">
        <f t="shared" si="159"/>
        <v>3.7525058138814531E-8</v>
      </c>
      <c r="V658" s="1">
        <f t="shared" si="160"/>
        <v>8.6558706687970458E-2</v>
      </c>
      <c r="W658" s="1">
        <f t="shared" si="161"/>
        <v>4.4804311040098459E-3</v>
      </c>
      <c r="X658" s="1">
        <f t="shared" si="162"/>
        <v>9.3809369987363903E-2</v>
      </c>
      <c r="Y658" s="1">
        <f t="shared" si="163"/>
        <v>9.3811794918976676E-2</v>
      </c>
      <c r="Z658" s="1">
        <f t="shared" si="164"/>
        <v>4.6905897459488344</v>
      </c>
      <c r="AB658">
        <v>7.88</v>
      </c>
      <c r="AC658">
        <v>1.3182567385564031E-8</v>
      </c>
      <c r="AD658">
        <v>7.6616335077947784E-7</v>
      </c>
      <c r="AE658">
        <v>9.924633433811976E-2</v>
      </c>
      <c r="AF658">
        <v>2.5122188729341147E-4</v>
      </c>
      <c r="AG658">
        <v>5.0446407955158376E-3</v>
      </c>
      <c r="AH658">
        <v>5.0370920235144083E-3</v>
      </c>
      <c r="AI658">
        <v>0.25185460117572039</v>
      </c>
      <c r="AJ658"/>
      <c r="AK658"/>
      <c r="AL658"/>
      <c r="AM658"/>
      <c r="AN658"/>
      <c r="AO658"/>
      <c r="AP658"/>
      <c r="AQ658"/>
      <c r="AR658"/>
    </row>
    <row r="659" spans="1:44" ht="15" customHeight="1" x14ac:dyDescent="0.3">
      <c r="A659" s="2">
        <v>6.58</v>
      </c>
      <c r="B659" s="1">
        <f t="shared" si="152"/>
        <v>2.6302679918953789E-7</v>
      </c>
      <c r="C659" s="1">
        <f t="shared" si="153"/>
        <v>3.8399129028376719E-8</v>
      </c>
      <c r="D659" s="1">
        <f t="shared" si="154"/>
        <v>5.7971953783184822E-3</v>
      </c>
      <c r="E659" s="1">
        <f t="shared" si="155"/>
        <v>2.3671341036135864E-3</v>
      </c>
      <c r="F659" s="1">
        <f t="shared" si="156"/>
        <v>0.67124058081583193</v>
      </c>
      <c r="G659" s="1">
        <f t="shared" si="157"/>
        <v>0.67122784166886174</v>
      </c>
      <c r="H659" s="1">
        <f t="shared" si="165"/>
        <v>6.7122784166886174</v>
      </c>
      <c r="J659" s="2">
        <v>10.57</v>
      </c>
      <c r="K659" s="1">
        <v>2.6915348039269103E-11</v>
      </c>
      <c r="L659" s="1">
        <v>3.7525058138814497E-4</v>
      </c>
      <c r="M659" s="1">
        <v>-3.7441841168481867E-4</v>
      </c>
      <c r="N659" s="1">
        <v>3.3957364019474696E-3</v>
      </c>
      <c r="O659" s="1">
        <v>0.99994988378839778</v>
      </c>
      <c r="P659" s="1">
        <v>1.0225495343092923</v>
      </c>
      <c r="Q659" s="2">
        <v>10.225495343092922</v>
      </c>
      <c r="S659" s="2">
        <v>6.58</v>
      </c>
      <c r="T659" s="1">
        <f t="shared" si="158"/>
        <v>2.6302679918953789E-7</v>
      </c>
      <c r="U659" s="1">
        <f t="shared" si="159"/>
        <v>3.8399129028376719E-8</v>
      </c>
      <c r="V659" s="1">
        <f t="shared" si="160"/>
        <v>8.6824359690677214E-2</v>
      </c>
      <c r="W659" s="1">
        <f t="shared" si="161"/>
        <v>4.3918801031075927E-3</v>
      </c>
      <c r="X659" s="1">
        <f t="shared" si="162"/>
        <v>9.187018412261988E-2</v>
      </c>
      <c r="Y659" s="1">
        <f t="shared" si="163"/>
        <v>9.1872533584887353E-2</v>
      </c>
      <c r="Z659" s="1">
        <f t="shared" si="164"/>
        <v>4.5936266792443678</v>
      </c>
      <c r="AB659">
        <v>7.89</v>
      </c>
      <c r="AC659">
        <v>1.288249551693135E-8</v>
      </c>
      <c r="AD659">
        <v>7.8400958779497798E-7</v>
      </c>
      <c r="AE659">
        <v>9.926341597300789E-2</v>
      </c>
      <c r="AF659">
        <v>2.4552800899737192E-4</v>
      </c>
      <c r="AG659">
        <v>4.9303769071263508E-3</v>
      </c>
      <c r="AH659">
        <v>4.922646656272559E-3</v>
      </c>
      <c r="AI659">
        <v>0.24613233281362798</v>
      </c>
      <c r="AJ659"/>
      <c r="AK659"/>
      <c r="AL659"/>
      <c r="AM659"/>
      <c r="AN659"/>
      <c r="AO659"/>
      <c r="AP659"/>
      <c r="AQ659"/>
      <c r="AR659"/>
    </row>
    <row r="660" spans="1:44" ht="15" customHeight="1" x14ac:dyDescent="0.3">
      <c r="A660" s="2">
        <v>6.59</v>
      </c>
      <c r="B660" s="1">
        <f t="shared" si="152"/>
        <v>2.5703957827688611E-7</v>
      </c>
      <c r="C660" s="1">
        <f t="shared" si="153"/>
        <v>3.9293559644422378E-8</v>
      </c>
      <c r="D660" s="1">
        <f t="shared" si="154"/>
        <v>5.702857496249129E-3</v>
      </c>
      <c r="E660" s="1">
        <f t="shared" si="155"/>
        <v>2.3828570839584781E-3</v>
      </c>
      <c r="F660" s="1">
        <f t="shared" si="156"/>
        <v>0.67630166949273696</v>
      </c>
      <c r="G660" s="1">
        <f t="shared" si="157"/>
        <v>0.67628930959875921</v>
      </c>
      <c r="H660" s="1">
        <f t="shared" si="165"/>
        <v>6.7628930959875921</v>
      </c>
      <c r="J660" s="2">
        <v>10.58</v>
      </c>
      <c r="K660" s="1">
        <v>2.6302679918953769E-11</v>
      </c>
      <c r="L660" s="1">
        <v>3.8399129028376749E-4</v>
      </c>
      <c r="M660" s="1">
        <v>-3.8317813364977275E-4</v>
      </c>
      <c r="N660" s="1">
        <v>3.3971963556082949E-3</v>
      </c>
      <c r="O660" s="1">
        <v>0.99995102451677853</v>
      </c>
      <c r="P660" s="1">
        <v>1.0230791221685747</v>
      </c>
      <c r="Q660" s="2">
        <v>10.230791221685745</v>
      </c>
      <c r="S660" s="2">
        <v>6.59</v>
      </c>
      <c r="T660" s="1">
        <f t="shared" si="158"/>
        <v>2.5703957827688611E-7</v>
      </c>
      <c r="U660" s="1">
        <f t="shared" si="159"/>
        <v>3.9293559644422378E-8</v>
      </c>
      <c r="V660" s="1">
        <f t="shared" si="160"/>
        <v>8.7085545735303069E-2</v>
      </c>
      <c r="W660" s="1">
        <f t="shared" si="161"/>
        <v>4.3048180882323114E-3</v>
      </c>
      <c r="X660" s="1">
        <f t="shared" si="162"/>
        <v>8.9967104492094455E-2</v>
      </c>
      <c r="Y660" s="1">
        <f t="shared" si="163"/>
        <v>8.9969379904652147E-2</v>
      </c>
      <c r="Z660" s="1">
        <f t="shared" si="164"/>
        <v>4.4984689952326073</v>
      </c>
      <c r="AB660">
        <v>7.9</v>
      </c>
      <c r="AC660">
        <v>1.2589254117941638E-8</v>
      </c>
      <c r="AD660">
        <v>8.0227151707152647E-7</v>
      </c>
      <c r="AE660">
        <v>9.9280115678992059E-2</v>
      </c>
      <c r="AF660">
        <v>2.3996144033598321E-4</v>
      </c>
      <c r="AG660">
        <v>4.8186886239766011E-3</v>
      </c>
      <c r="AH660">
        <v>4.8107728064372829E-3</v>
      </c>
      <c r="AI660">
        <v>0.24053864032186414</v>
      </c>
      <c r="AJ660"/>
      <c r="AK660"/>
      <c r="AL660"/>
      <c r="AM660"/>
      <c r="AN660"/>
      <c r="AO660"/>
      <c r="AP660"/>
      <c r="AQ660"/>
      <c r="AR660"/>
    </row>
    <row r="661" spans="1:44" ht="15" customHeight="1" x14ac:dyDescent="0.3">
      <c r="A661" s="2">
        <v>6.6</v>
      </c>
      <c r="B661" s="1">
        <f t="shared" si="152"/>
        <v>2.511886431509578E-7</v>
      </c>
      <c r="C661" s="1">
        <f t="shared" si="153"/>
        <v>4.0208824225903253E-8</v>
      </c>
      <c r="D661" s="1">
        <f t="shared" si="154"/>
        <v>5.6094485204147551E-3</v>
      </c>
      <c r="E661" s="1">
        <f t="shared" si="155"/>
        <v>2.3984252465975406E-3</v>
      </c>
      <c r="F661" s="1">
        <f t="shared" si="156"/>
        <v>0.68132183516639377</v>
      </c>
      <c r="G661" s="1">
        <f t="shared" si="157"/>
        <v>0.68130984874916234</v>
      </c>
      <c r="H661" s="1">
        <f t="shared" si="165"/>
        <v>6.8130984874916232</v>
      </c>
      <c r="J661" s="2">
        <v>10.59</v>
      </c>
      <c r="K661" s="1">
        <v>2.5703957827688591E-11</v>
      </c>
      <c r="L661" s="1">
        <v>3.9293559644422411E-4</v>
      </c>
      <c r="M661" s="1">
        <v>-3.9214102012419326E-4</v>
      </c>
      <c r="N661" s="1">
        <v>3.3986901700206987E-3</v>
      </c>
      <c r="O661" s="1">
        <v>0.99995213928152582</v>
      </c>
      <c r="P661" s="1">
        <v>1.0236210891875561</v>
      </c>
      <c r="Q661" s="2">
        <v>10.23621089187556</v>
      </c>
      <c r="S661" s="2">
        <v>6.6</v>
      </c>
      <c r="T661" s="1">
        <f t="shared" si="158"/>
        <v>2.511886431509578E-7</v>
      </c>
      <c r="U661" s="1">
        <f t="shared" si="159"/>
        <v>4.0208824225903253E-8</v>
      </c>
      <c r="V661" s="1">
        <f t="shared" si="160"/>
        <v>8.7342309051744449E-2</v>
      </c>
      <c r="W661" s="1">
        <f t="shared" si="161"/>
        <v>4.2192303160851858E-3</v>
      </c>
      <c r="X661" s="1">
        <f t="shared" si="162"/>
        <v>8.8099622504584488E-2</v>
      </c>
      <c r="Y661" s="1">
        <f t="shared" si="163"/>
        <v>8.8101825241309425E-2</v>
      </c>
      <c r="Z661" s="1">
        <f t="shared" si="164"/>
        <v>4.4050912620654712</v>
      </c>
      <c r="AB661">
        <v>7.91</v>
      </c>
      <c r="AC661">
        <v>1.2302687708123783E-8</v>
      </c>
      <c r="AD661">
        <v>8.2095882132574237E-7</v>
      </c>
      <c r="AE661">
        <v>9.9296441926371118E-2</v>
      </c>
      <c r="AF661">
        <v>2.3451935787629079E-4</v>
      </c>
      <c r="AG661">
        <v>4.7095184512930301E-3</v>
      </c>
      <c r="AH661">
        <v>4.7014128808250399E-3</v>
      </c>
      <c r="AI661">
        <v>0.235070644041252</v>
      </c>
      <c r="AJ661"/>
      <c r="AK661"/>
      <c r="AL661"/>
      <c r="AM661"/>
      <c r="AN661"/>
      <c r="AO661"/>
      <c r="AP661"/>
      <c r="AQ661"/>
      <c r="AR661"/>
    </row>
    <row r="662" spans="1:44" ht="15" customHeight="1" x14ac:dyDescent="0.3">
      <c r="A662" s="2">
        <v>6.61</v>
      </c>
      <c r="B662" s="1">
        <f t="shared" si="152"/>
        <v>2.454708915685024E-7</v>
      </c>
      <c r="C662" s="1">
        <f t="shared" si="153"/>
        <v>4.1145408058215489E-8</v>
      </c>
      <c r="D662" s="1">
        <f t="shared" si="154"/>
        <v>5.5169791890924309E-3</v>
      </c>
      <c r="E662" s="1">
        <f t="shared" si="155"/>
        <v>2.4138368018179284E-3</v>
      </c>
      <c r="F662" s="1">
        <f t="shared" si="156"/>
        <v>0.68630025768331293</v>
      </c>
      <c r="G662" s="1">
        <f t="shared" si="157"/>
        <v>0.68628863914655724</v>
      </c>
      <c r="H662" s="1">
        <f t="shared" si="165"/>
        <v>6.8628863914655724</v>
      </c>
      <c r="J662" s="2">
        <v>10.6</v>
      </c>
      <c r="K662" s="1">
        <v>2.5118864315095759E-11</v>
      </c>
      <c r="L662" s="1">
        <v>4.0208824225903287E-4</v>
      </c>
      <c r="M662" s="1">
        <v>-4.0131182334672766E-4</v>
      </c>
      <c r="N662" s="1">
        <v>3.4002186372244551E-3</v>
      </c>
      <c r="O662" s="1">
        <v>0.99995322867353054</v>
      </c>
      <c r="P662" s="1">
        <v>1.024175729461513</v>
      </c>
      <c r="Q662" s="2">
        <v>10.24175729461513</v>
      </c>
      <c r="S662" s="2">
        <v>6.61</v>
      </c>
      <c r="T662" s="1">
        <f t="shared" si="158"/>
        <v>2.454708915685024E-7</v>
      </c>
      <c r="U662" s="1">
        <f t="shared" si="159"/>
        <v>4.1145408058215489E-8</v>
      </c>
      <c r="V662" s="1">
        <f t="shared" si="160"/>
        <v>8.759469468977725E-2</v>
      </c>
      <c r="W662" s="1">
        <f t="shared" si="161"/>
        <v>4.135101770074253E-3</v>
      </c>
      <c r="X662" s="1">
        <f t="shared" si="162"/>
        <v>8.6267229897119782E-2</v>
      </c>
      <c r="Y662" s="1">
        <f t="shared" si="163"/>
        <v>8.6269361287099666E-2</v>
      </c>
      <c r="Z662" s="1">
        <f t="shared" si="164"/>
        <v>4.313468064354983</v>
      </c>
      <c r="AB662">
        <v>7.92</v>
      </c>
      <c r="AC662">
        <v>1.2022644346174099E-8</v>
      </c>
      <c r="AD662">
        <v>8.4008140881369978E-7</v>
      </c>
      <c r="AE662">
        <v>9.931240300447515E-2</v>
      </c>
      <c r="AF662">
        <v>2.2919899850828434E-4</v>
      </c>
      <c r="AG662">
        <v>4.6028101525833198E-3</v>
      </c>
      <c r="AH662">
        <v>4.5945105423150301E-3</v>
      </c>
      <c r="AI662">
        <v>0.22972552711575148</v>
      </c>
      <c r="AJ662"/>
      <c r="AK662"/>
      <c r="AL662"/>
      <c r="AM662"/>
      <c r="AN662"/>
      <c r="AO662"/>
      <c r="AP662"/>
      <c r="AQ662"/>
      <c r="AR662"/>
    </row>
    <row r="663" spans="1:44" ht="15" customHeight="1" x14ac:dyDescent="0.3">
      <c r="A663" s="2">
        <v>6.62</v>
      </c>
      <c r="B663" s="1">
        <f t="shared" si="152"/>
        <v>2.3988329190194845E-7</v>
      </c>
      <c r="C663" s="1">
        <f t="shared" si="153"/>
        <v>4.2103807730503977E-8</v>
      </c>
      <c r="D663" s="1">
        <f t="shared" si="154"/>
        <v>5.4254595326056676E-3</v>
      </c>
      <c r="E663" s="1">
        <f t="shared" si="155"/>
        <v>2.4290900778990553E-3</v>
      </c>
      <c r="F663" s="1">
        <f t="shared" si="156"/>
        <v>0.69123615241476344</v>
      </c>
      <c r="G663" s="1">
        <f t="shared" si="157"/>
        <v>0.69122489633952044</v>
      </c>
      <c r="H663" s="1">
        <f t="shared" si="165"/>
        <v>6.9122489633952044</v>
      </c>
      <c r="J663" s="2">
        <v>10.61</v>
      </c>
      <c r="K663" s="1">
        <v>2.4547089156850264E-11</v>
      </c>
      <c r="L663" s="1">
        <v>4.1145408058215451E-4</v>
      </c>
      <c r="M663" s="1">
        <v>-4.1069540579636855E-4</v>
      </c>
      <c r="N663" s="1">
        <v>3.401782567632728E-3</v>
      </c>
      <c r="O663" s="1">
        <v>0.9999542932702391</v>
      </c>
      <c r="P663" s="1">
        <v>1.0247433441253453</v>
      </c>
      <c r="Q663" s="2">
        <v>10.247433441253452</v>
      </c>
      <c r="S663" s="2">
        <v>6.62</v>
      </c>
      <c r="T663" s="1">
        <f t="shared" si="158"/>
        <v>2.3988329190194845E-7</v>
      </c>
      <c r="U663" s="1">
        <f t="shared" si="159"/>
        <v>4.2103807730503977E-8</v>
      </c>
      <c r="V663" s="1">
        <f t="shared" si="160"/>
        <v>8.7842748457490294E-2</v>
      </c>
      <c r="W663" s="1">
        <f t="shared" si="161"/>
        <v>4.0524171808365688E-3</v>
      </c>
      <c r="X663" s="1">
        <f t="shared" si="162"/>
        <v>8.4469419072954924E-2</v>
      </c>
      <c r="Y663" s="1">
        <f t="shared" si="163"/>
        <v>8.4471480401425741E-2</v>
      </c>
      <c r="Z663" s="1">
        <f t="shared" si="164"/>
        <v>4.223574020071287</v>
      </c>
      <c r="AB663">
        <v>7.93</v>
      </c>
      <c r="AC663">
        <v>1.1748975549395268E-8</v>
      </c>
      <c r="AD663">
        <v>8.5964941858440223E-7</v>
      </c>
      <c r="AE663">
        <v>9.9328007025309403E-2</v>
      </c>
      <c r="AF663">
        <v>2.2399765823020328E-4</v>
      </c>
      <c r="AG663">
        <v>4.4985087232297305E-3</v>
      </c>
      <c r="AH663">
        <v>4.490010683389143E-3</v>
      </c>
      <c r="AI663">
        <v>0.22450053416945714</v>
      </c>
      <c r="AJ663"/>
      <c r="AK663"/>
      <c r="AL663"/>
      <c r="AM663"/>
      <c r="AN663"/>
      <c r="AO663"/>
      <c r="AP663"/>
      <c r="AQ663"/>
      <c r="AR663"/>
    </row>
    <row r="664" spans="1:44" ht="15" customHeight="1" x14ac:dyDescent="0.3">
      <c r="A664" s="2">
        <v>6.63</v>
      </c>
      <c r="B664" s="1">
        <f t="shared" si="152"/>
        <v>2.3442288153199206E-7</v>
      </c>
      <c r="C664" s="1">
        <f t="shared" si="153"/>
        <v>4.308453139896088E-8</v>
      </c>
      <c r="D664" s="1">
        <f t="shared" si="154"/>
        <v>5.3348988781461402E-3</v>
      </c>
      <c r="E664" s="1">
        <f t="shared" si="155"/>
        <v>2.4441835203089764E-3</v>
      </c>
      <c r="F664" s="1">
        <f t="shared" si="156"/>
        <v>0.69612877042959975</v>
      </c>
      <c r="G664" s="1">
        <f t="shared" si="157"/>
        <v>0.69611787157164262</v>
      </c>
      <c r="H664" s="1">
        <f t="shared" si="165"/>
        <v>6.961178715716426</v>
      </c>
      <c r="J664" s="2">
        <v>10.62</v>
      </c>
      <c r="K664" s="1">
        <v>2.3988329190194867E-11</v>
      </c>
      <c r="L664" s="1">
        <v>4.2103807730503937E-4</v>
      </c>
      <c r="M664" s="1">
        <v>-4.2029674277056442E-4</v>
      </c>
      <c r="N664" s="1">
        <v>3.4033827904617607E-3</v>
      </c>
      <c r="O664" s="1">
        <v>0.99995533363595801</v>
      </c>
      <c r="P664" s="1">
        <v>1.0253242415285095</v>
      </c>
      <c r="Q664" s="2">
        <v>10.253242415285095</v>
      </c>
      <c r="S664" s="2">
        <v>6.63</v>
      </c>
      <c r="T664" s="1">
        <f t="shared" si="158"/>
        <v>2.3442288153199206E-7</v>
      </c>
      <c r="U664" s="1">
        <f t="shared" si="159"/>
        <v>4.308453139896088E-8</v>
      </c>
      <c r="V664" s="1">
        <f t="shared" si="160"/>
        <v>8.8086516861235586E-2</v>
      </c>
      <c r="W664" s="1">
        <f t="shared" si="161"/>
        <v>3.9711610462548046E-3</v>
      </c>
      <c r="X664" s="1">
        <f t="shared" si="162"/>
        <v>8.2705683424799198E-2</v>
      </c>
      <c r="Y664" s="1">
        <f t="shared" si="163"/>
        <v>8.2707675934051816E-2</v>
      </c>
      <c r="Z664" s="1">
        <f t="shared" si="164"/>
        <v>4.135383796702591</v>
      </c>
      <c r="AB664">
        <v>7.94</v>
      </c>
      <c r="AC664">
        <v>1.14815362149688E-8</v>
      </c>
      <c r="AD664">
        <v>8.7967322585564345E-7</v>
      </c>
      <c r="AE664">
        <v>9.9343261927137216E-2</v>
      </c>
      <c r="AF664">
        <v>2.1891269095426254E-4</v>
      </c>
      <c r="AG664">
        <v>4.3965603645851996E-3</v>
      </c>
      <c r="AH664">
        <v>4.3878594001734595E-3</v>
      </c>
      <c r="AI664">
        <v>0.21939297000867297</v>
      </c>
      <c r="AJ664"/>
      <c r="AK664"/>
      <c r="AL664"/>
      <c r="AM664"/>
      <c r="AN664"/>
      <c r="AO664"/>
      <c r="AP664"/>
      <c r="AQ664"/>
      <c r="AR664"/>
    </row>
    <row r="665" spans="1:44" ht="15" customHeight="1" x14ac:dyDescent="0.3">
      <c r="A665" s="2">
        <v>6.64</v>
      </c>
      <c r="B665" s="1">
        <f t="shared" si="152"/>
        <v>2.2908676527677716E-7</v>
      </c>
      <c r="C665" s="1">
        <f t="shared" si="153"/>
        <v>4.4088099056256784E-8</v>
      </c>
      <c r="D665" s="1">
        <f t="shared" si="154"/>
        <v>5.2453058554971519E-3</v>
      </c>
      <c r="E665" s="1">
        <f t="shared" si="155"/>
        <v>2.4591156907504742E-3</v>
      </c>
      <c r="F665" s="1">
        <f t="shared" si="156"/>
        <v>0.70097739861010799</v>
      </c>
      <c r="G665" s="1">
        <f t="shared" si="157"/>
        <v>0.70096685189747032</v>
      </c>
      <c r="H665" s="1">
        <f t="shared" si="165"/>
        <v>7.0096685189747028</v>
      </c>
      <c r="J665" s="2">
        <v>10.63</v>
      </c>
      <c r="K665" s="1">
        <v>2.3442288153199104E-11</v>
      </c>
      <c r="L665" s="1">
        <v>4.3084531398961069E-4</v>
      </c>
      <c r="M665" s="1">
        <v>-4.3012092502318032E-4</v>
      </c>
      <c r="N665" s="1">
        <v>3.40502015417053E-3</v>
      </c>
      <c r="O665" s="1">
        <v>0.99995635032215346</v>
      </c>
      <c r="P665" s="1">
        <v>1.0259187374145124</v>
      </c>
      <c r="Q665" s="2">
        <v>10.259187374145124</v>
      </c>
      <c r="S665" s="2">
        <v>6.64</v>
      </c>
      <c r="T665" s="1">
        <f t="shared" si="158"/>
        <v>2.2908676527677716E-7</v>
      </c>
      <c r="U665" s="1">
        <f t="shared" si="159"/>
        <v>4.4088099056256784E-8</v>
      </c>
      <c r="V665" s="1">
        <f t="shared" si="160"/>
        <v>8.8326047047122366E-2</v>
      </c>
      <c r="W665" s="1">
        <f t="shared" si="161"/>
        <v>3.8913176509592106E-3</v>
      </c>
      <c r="X665" s="1">
        <f t="shared" si="162"/>
        <v>8.0975517643540704E-2</v>
      </c>
      <c r="Y665" s="1">
        <f t="shared" si="163"/>
        <v>8.0977442533797225E-2</v>
      </c>
      <c r="Z665" s="1">
        <f t="shared" si="164"/>
        <v>4.0488721266898606</v>
      </c>
      <c r="AB665">
        <v>7.95</v>
      </c>
      <c r="AC665">
        <v>1.1220184543019609E-8</v>
      </c>
      <c r="AD665">
        <v>9.0016344751508502E-7</v>
      </c>
      <c r="AE665">
        <v>9.9358175478002089E-2</v>
      </c>
      <c r="AF665">
        <v>2.1394150733263902E-4</v>
      </c>
      <c r="AG665">
        <v>4.2969124585651181E-3</v>
      </c>
      <c r="AH665">
        <v>4.2880039669742076E-3</v>
      </c>
      <c r="AI665">
        <v>0.21440019834871041</v>
      </c>
      <c r="AJ665"/>
      <c r="AK665"/>
      <c r="AL665"/>
      <c r="AM665"/>
      <c r="AN665"/>
      <c r="AO665"/>
      <c r="AP665"/>
      <c r="AQ665"/>
      <c r="AR665"/>
    </row>
    <row r="666" spans="1:44" ht="15" customHeight="1" x14ac:dyDescent="0.3">
      <c r="A666" s="2">
        <v>6.65</v>
      </c>
      <c r="B666" s="1">
        <f t="shared" si="152"/>
        <v>2.2387211385683346E-7</v>
      </c>
      <c r="C666" s="1">
        <f t="shared" si="153"/>
        <v>4.511504280724737E-8</v>
      </c>
      <c r="D666" s="1">
        <f t="shared" si="154"/>
        <v>5.1566884036213989E-3</v>
      </c>
      <c r="E666" s="1">
        <f t="shared" si="155"/>
        <v>2.4738852660631003E-3</v>
      </c>
      <c r="F666" s="1">
        <f t="shared" si="156"/>
        <v>0.70578135971200284</v>
      </c>
      <c r="G666" s="1">
        <f t="shared" si="157"/>
        <v>0.7057711602425959</v>
      </c>
      <c r="H666" s="1">
        <f t="shared" si="165"/>
        <v>7.0577116024259583</v>
      </c>
      <c r="J666" s="2">
        <v>10.64</v>
      </c>
      <c r="K666" s="1">
        <v>2.2908676527677615E-11</v>
      </c>
      <c r="L666" s="1">
        <v>4.4088099056256979E-4</v>
      </c>
      <c r="M666" s="1">
        <v>-4.4017316146371168E-4</v>
      </c>
      <c r="N666" s="1">
        <v>3.4066955269106184E-3</v>
      </c>
      <c r="O666" s="1">
        <v>0.99995734386774315</v>
      </c>
      <c r="P666" s="1">
        <v>1.0265271551050952</v>
      </c>
      <c r="Q666" s="2">
        <v>10.265271551050951</v>
      </c>
      <c r="S666" s="2">
        <v>6.65</v>
      </c>
      <c r="T666" s="1">
        <f t="shared" si="158"/>
        <v>2.2387211385683346E-7</v>
      </c>
      <c r="U666" s="1">
        <f t="shared" si="159"/>
        <v>4.511504280724737E-8</v>
      </c>
      <c r="V666" s="1">
        <f t="shared" si="160"/>
        <v>8.8561386744078374E-2</v>
      </c>
      <c r="W666" s="1">
        <f t="shared" si="161"/>
        <v>3.812871085307206E-3</v>
      </c>
      <c r="X666" s="1">
        <f t="shared" si="162"/>
        <v>7.9278418012729973E-2</v>
      </c>
      <c r="Y666" s="1">
        <f t="shared" si="163"/>
        <v>7.9280276442990516E-2</v>
      </c>
      <c r="Z666" s="1">
        <f t="shared" si="164"/>
        <v>3.9640138221495262</v>
      </c>
      <c r="AB666">
        <v>7.96</v>
      </c>
      <c r="AC666">
        <v>1.0964781961431828E-8</v>
      </c>
      <c r="AD666">
        <v>9.2113094774947062E-7</v>
      </c>
      <c r="AE666">
        <v>9.9372755279189359E-2</v>
      </c>
      <c r="AF666">
        <v>2.0908157360354415E-4</v>
      </c>
      <c r="AG666">
        <v>4.1995135427275922E-3</v>
      </c>
      <c r="AH666">
        <v>4.1903928113009208E-3</v>
      </c>
      <c r="AI666">
        <v>0.20951964056504602</v>
      </c>
      <c r="AJ666"/>
      <c r="AK666"/>
      <c r="AL666"/>
      <c r="AM666"/>
      <c r="AN666"/>
      <c r="AO666"/>
      <c r="AP666"/>
      <c r="AQ666"/>
      <c r="AR666"/>
    </row>
    <row r="667" spans="1:44" ht="15" customHeight="1" x14ac:dyDescent="0.3">
      <c r="A667" s="2">
        <v>6.66</v>
      </c>
      <c r="B667" s="1">
        <f t="shared" si="152"/>
        <v>2.1877616239495479E-7</v>
      </c>
      <c r="C667" s="1">
        <f t="shared" si="153"/>
        <v>4.616590715110247E-8</v>
      </c>
      <c r="D667" s="1">
        <f t="shared" si="154"/>
        <v>5.0690537780742782E-3</v>
      </c>
      <c r="E667" s="1">
        <f t="shared" si="155"/>
        <v>2.4884910369876202E-3</v>
      </c>
      <c r="F667" s="1">
        <f t="shared" si="156"/>
        <v>0.7105400123698381</v>
      </c>
      <c r="G667" s="1">
        <f t="shared" si="157"/>
        <v>0.71053015540916098</v>
      </c>
      <c r="H667" s="1">
        <f t="shared" si="165"/>
        <v>7.1053015540916098</v>
      </c>
      <c r="J667" s="2">
        <v>10.65</v>
      </c>
      <c r="K667" s="1">
        <v>2.238721138568329E-11</v>
      </c>
      <c r="L667" s="1">
        <v>4.5115042807247486E-4</v>
      </c>
      <c r="M667" s="1">
        <v>-4.5045878191907342E-4</v>
      </c>
      <c r="N667" s="1">
        <v>3.4084097969865122E-3</v>
      </c>
      <c r="O667" s="1">
        <v>0.99995831479938146</v>
      </c>
      <c r="P667" s="1">
        <v>1.0271498256892373</v>
      </c>
      <c r="Q667" s="2">
        <v>10.271498256892372</v>
      </c>
      <c r="S667" s="2">
        <v>6.66</v>
      </c>
      <c r="T667" s="1">
        <f t="shared" si="158"/>
        <v>2.1877616239495479E-7</v>
      </c>
      <c r="U667" s="1">
        <f t="shared" si="159"/>
        <v>4.616590715110247E-8</v>
      </c>
      <c r="V667" s="1">
        <f t="shared" si="160"/>
        <v>8.8792584208496908E-2</v>
      </c>
      <c r="W667" s="1">
        <f t="shared" si="161"/>
        <v>3.7358052638343619E-3</v>
      </c>
      <c r="X667" s="1">
        <f t="shared" si="162"/>
        <v>7.7613882689100452E-2</v>
      </c>
      <c r="Y667" s="1">
        <f t="shared" si="163"/>
        <v>7.7615675777960913E-2</v>
      </c>
      <c r="Z667" s="1">
        <f t="shared" si="164"/>
        <v>3.8807837888980456</v>
      </c>
      <c r="AB667">
        <v>7.97</v>
      </c>
      <c r="AC667">
        <v>1.0715193052376043E-8</v>
      </c>
      <c r="AD667">
        <v>9.4258684380496273E-7</v>
      </c>
      <c r="AE667">
        <v>9.9387008768628396E-2</v>
      </c>
      <c r="AF667">
        <v>2.0433041045720183E-4</v>
      </c>
      <c r="AG667">
        <v>4.1043132858349573E-3</v>
      </c>
      <c r="AH667">
        <v>4.0949754893695872E-3</v>
      </c>
      <c r="AI667">
        <v>0.20474877446847936</v>
      </c>
      <c r="AJ667"/>
      <c r="AK667"/>
      <c r="AL667"/>
      <c r="AM667"/>
      <c r="AN667"/>
      <c r="AO667"/>
      <c r="AP667"/>
      <c r="AQ667"/>
      <c r="AR667"/>
    </row>
    <row r="668" spans="1:44" ht="15" customHeight="1" x14ac:dyDescent="0.3">
      <c r="A668" s="2">
        <v>6.67</v>
      </c>
      <c r="B668" s="1">
        <f t="shared" si="152"/>
        <v>2.1379620895022279E-7</v>
      </c>
      <c r="C668" s="1">
        <f t="shared" si="153"/>
        <v>4.7241249270007107E-8</v>
      </c>
      <c r="D668" s="1">
        <f t="shared" si="154"/>
        <v>4.9824085592033831E-3</v>
      </c>
      <c r="E668" s="1">
        <f t="shared" si="155"/>
        <v>2.5029319067994362E-3</v>
      </c>
      <c r="F668" s="1">
        <f t="shared" si="156"/>
        <v>0.71525275104919883</v>
      </c>
      <c r="G668" s="1">
        <f t="shared" si="157"/>
        <v>0.715243232028138</v>
      </c>
      <c r="H668" s="1">
        <f t="shared" si="165"/>
        <v>7.1524323202813793</v>
      </c>
      <c r="J668" s="2">
        <v>10.66</v>
      </c>
      <c r="K668" s="1">
        <v>2.1877616239495499E-11</v>
      </c>
      <c r="L668" s="1">
        <v>4.6165907151102432E-4</v>
      </c>
      <c r="M668" s="1">
        <v>-4.6098323995956458E-4</v>
      </c>
      <c r="N668" s="1">
        <v>3.4101638733265941E-3</v>
      </c>
      <c r="O668" s="1">
        <v>0.99995926363173893</v>
      </c>
      <c r="P668" s="1">
        <v>1.0277870882171276</v>
      </c>
      <c r="Q668" s="2">
        <v>10.277870882171275</v>
      </c>
      <c r="S668" s="2">
        <v>6.67</v>
      </c>
      <c r="T668" s="1">
        <f t="shared" si="158"/>
        <v>2.1379620895022279E-7</v>
      </c>
      <c r="U668" s="1">
        <f t="shared" si="159"/>
        <v>4.7241249270007107E-8</v>
      </c>
      <c r="V668" s="1">
        <f t="shared" si="160"/>
        <v>8.901968817048389E-2</v>
      </c>
      <c r="W668" s="1">
        <f t="shared" si="161"/>
        <v>3.6601039431720345E-3</v>
      </c>
      <c r="X668" s="1">
        <f t="shared" si="162"/>
        <v>7.59814119694142E-2</v>
      </c>
      <c r="Y668" s="1">
        <f t="shared" si="163"/>
        <v>7.5983140795855761E-2</v>
      </c>
      <c r="Z668" s="1">
        <f t="shared" si="164"/>
        <v>3.7991570397927878</v>
      </c>
      <c r="AB668">
        <v>7.98</v>
      </c>
      <c r="AC668">
        <v>1.0471285480508974E-8</v>
      </c>
      <c r="AD668">
        <v>9.6454251188165223E-7</v>
      </c>
      <c r="AE668">
        <v>9.9400943224235386E-2</v>
      </c>
      <c r="AF668">
        <v>1.9968559192154025E-4</v>
      </c>
      <c r="AG668">
        <v>4.0112624638893608E-3</v>
      </c>
      <c r="AH668">
        <v>4.0017026620785164E-3</v>
      </c>
      <c r="AI668">
        <v>0.20008513310392581</v>
      </c>
      <c r="AJ668"/>
      <c r="AK668"/>
      <c r="AL668"/>
      <c r="AM668"/>
      <c r="AN668"/>
      <c r="AO668"/>
      <c r="AP668"/>
      <c r="AQ668"/>
      <c r="AR668"/>
    </row>
    <row r="669" spans="1:44" ht="15" customHeight="1" x14ac:dyDescent="0.3">
      <c r="A669" s="2">
        <v>6.68</v>
      </c>
      <c r="B669" s="1">
        <f t="shared" si="152"/>
        <v>2.089296130854039E-7</v>
      </c>
      <c r="C669" s="1">
        <f t="shared" si="153"/>
        <v>4.8341639324586477E-8</v>
      </c>
      <c r="D669" s="1">
        <f t="shared" si="154"/>
        <v>4.8967586610939107E-3</v>
      </c>
      <c r="E669" s="1">
        <f t="shared" si="155"/>
        <v>2.5172068898176815E-3</v>
      </c>
      <c r="F669" s="1">
        <f t="shared" si="156"/>
        <v>0.71991900594715186</v>
      </c>
      <c r="G669" s="1">
        <f t="shared" si="157"/>
        <v>0.71990982045987018</v>
      </c>
      <c r="H669" s="1">
        <f t="shared" si="165"/>
        <v>7.1990982045987018</v>
      </c>
      <c r="J669" s="2">
        <v>10.67</v>
      </c>
      <c r="K669" s="1">
        <v>2.1379620895022298E-11</v>
      </c>
      <c r="L669" s="1">
        <v>4.7241249270007065E-4</v>
      </c>
      <c r="M669" s="1">
        <v>-4.7175211579042128E-4</v>
      </c>
      <c r="N669" s="1">
        <v>3.41195868596507E-3</v>
      </c>
      <c r="O669" s="1">
        <v>0.99996019086777477</v>
      </c>
      <c r="P669" s="1">
        <v>1.0284392898992407</v>
      </c>
      <c r="Q669" s="2">
        <v>10.284392898992406</v>
      </c>
      <c r="S669" s="2">
        <v>6.68</v>
      </c>
      <c r="T669" s="1">
        <f t="shared" si="158"/>
        <v>2.089296130854039E-7</v>
      </c>
      <c r="U669" s="1">
        <f t="shared" si="159"/>
        <v>4.8341639324586477E-8</v>
      </c>
      <c r="V669" s="1">
        <f t="shared" si="160"/>
        <v>8.9242747781715176E-2</v>
      </c>
      <c r="W669" s="1">
        <f t="shared" si="161"/>
        <v>3.5857507394282772E-3</v>
      </c>
      <c r="X669" s="1">
        <f t="shared" si="162"/>
        <v>7.4380508543932508E-2</v>
      </c>
      <c r="Y669" s="1">
        <f t="shared" si="163"/>
        <v>7.4382174148083263E-2</v>
      </c>
      <c r="Z669" s="1">
        <f t="shared" si="164"/>
        <v>3.7191087074041631</v>
      </c>
      <c r="AB669">
        <v>7.99</v>
      </c>
      <c r="AC669">
        <v>1.0232929922807522E-8</v>
      </c>
      <c r="AD669">
        <v>9.8700959316537048E-7</v>
      </c>
      <c r="AE669">
        <v>9.9414565767197788E-2</v>
      </c>
      <c r="AF669">
        <v>1.9514474426740358E-4</v>
      </c>
      <c r="AG669">
        <v>3.9203129366351761E-3</v>
      </c>
      <c r="AH669">
        <v>3.9105260714497126E-3</v>
      </c>
      <c r="AI669">
        <v>0.1955263035724856</v>
      </c>
      <c r="AJ669"/>
      <c r="AK669"/>
      <c r="AL669"/>
      <c r="AM669"/>
      <c r="AN669"/>
      <c r="AO669"/>
      <c r="AP669"/>
      <c r="AQ669"/>
      <c r="AR669"/>
    </row>
    <row r="670" spans="1:44" ht="15" customHeight="1" x14ac:dyDescent="0.3">
      <c r="A670" s="2">
        <v>6.69</v>
      </c>
      <c r="B670" s="1">
        <f t="shared" si="152"/>
        <v>2.0417379446695257E-7</v>
      </c>
      <c r="C670" s="1">
        <f t="shared" si="153"/>
        <v>4.9467660756213149E-8</v>
      </c>
      <c r="D670" s="1">
        <f t="shared" si="154"/>
        <v>4.8121093412191139E-3</v>
      </c>
      <c r="E670" s="1">
        <f t="shared" si="155"/>
        <v>2.5313151097968141E-3</v>
      </c>
      <c r="F670" s="1">
        <f t="shared" si="156"/>
        <v>0.72453824284253632</v>
      </c>
      <c r="G670" s="1">
        <f t="shared" si="157"/>
        <v>0.72452938664444921</v>
      </c>
      <c r="H670" s="1">
        <f t="shared" si="165"/>
        <v>7.2452938664444915</v>
      </c>
      <c r="J670" s="2">
        <v>10.68</v>
      </c>
      <c r="K670" s="1">
        <v>2.0892961308540373E-11</v>
      </c>
      <c r="L670" s="1">
        <v>4.834163932458652E-4</v>
      </c>
      <c r="M670" s="1">
        <v>-4.8277111921051077E-4</v>
      </c>
      <c r="N670" s="1">
        <v>3.413795186535085E-3</v>
      </c>
      <c r="O670" s="1">
        <v>0.99996109699900293</v>
      </c>
      <c r="P670" s="1">
        <v>1.0291067863106689</v>
      </c>
      <c r="Q670" s="2">
        <v>10.291067863106688</v>
      </c>
      <c r="S670" s="2">
        <v>6.69</v>
      </c>
      <c r="T670" s="1">
        <f t="shared" si="158"/>
        <v>2.0417379446695257E-7</v>
      </c>
      <c r="U670" s="1">
        <f t="shared" si="159"/>
        <v>4.9467660756213149E-8</v>
      </c>
      <c r="V670" s="1">
        <f t="shared" si="160"/>
        <v>8.9461812564910537E-2</v>
      </c>
      <c r="W670" s="1">
        <f t="shared" si="161"/>
        <v>3.5127291450298215E-3</v>
      </c>
      <c r="X670" s="1">
        <f t="shared" si="162"/>
        <v>7.2810677736814142E-2</v>
      </c>
      <c r="Y670" s="1">
        <f t="shared" si="163"/>
        <v>7.2812281120683733E-2</v>
      </c>
      <c r="Z670" s="1">
        <f t="shared" si="164"/>
        <v>3.6406140560341864</v>
      </c>
      <c r="AB670">
        <v>8</v>
      </c>
      <c r="AC670">
        <v>1E-8</v>
      </c>
      <c r="AD670">
        <v>1.0099999999999999E-6</v>
      </c>
      <c r="AE670">
        <v>9.9427883365200781E-2</v>
      </c>
      <c r="AF670">
        <v>1.9070554493307842E-4</v>
      </c>
      <c r="AG670">
        <v>3.831417624521073E-3</v>
      </c>
      <c r="AH670">
        <v>3.8213985175284851E-3</v>
      </c>
      <c r="AI670">
        <v>0.19106992587642427</v>
      </c>
      <c r="AJ670"/>
      <c r="AK670"/>
      <c r="AL670"/>
      <c r="AM670"/>
      <c r="AN670"/>
      <c r="AO670"/>
      <c r="AP670"/>
      <c r="AQ670"/>
      <c r="AR670"/>
    </row>
    <row r="671" spans="1:44" ht="15" customHeight="1" x14ac:dyDescent="0.3">
      <c r="A671" s="2">
        <v>6.7</v>
      </c>
      <c r="B671" s="1">
        <f t="shared" si="152"/>
        <v>1.9952623149688761E-7</v>
      </c>
      <c r="C671" s="1">
        <f t="shared" si="153"/>
        <v>5.0619910596354589E-8</v>
      </c>
      <c r="D671" s="1">
        <f t="shared" si="154"/>
        <v>4.7284652107546891E-3</v>
      </c>
      <c r="E671" s="1">
        <f t="shared" si="155"/>
        <v>2.5452557982075519E-3</v>
      </c>
      <c r="F671" s="1">
        <f t="shared" si="156"/>
        <v>0.72910996289775287</v>
      </c>
      <c r="G671" s="1">
        <f t="shared" si="157"/>
        <v>0.72910143190359</v>
      </c>
      <c r="H671" s="1">
        <f t="shared" si="165"/>
        <v>7.2910143190358996</v>
      </c>
      <c r="J671" s="2">
        <v>10.69</v>
      </c>
      <c r="K671" s="1">
        <v>2.0417379446695275E-11</v>
      </c>
      <c r="L671" s="1">
        <v>4.9467660756213102E-4</v>
      </c>
      <c r="M671" s="1">
        <v>-4.9404609263971431E-4</v>
      </c>
      <c r="N671" s="1">
        <v>3.4156743487732855E-3</v>
      </c>
      <c r="O671" s="1">
        <v>0.99996198250575286</v>
      </c>
      <c r="P671" s="1">
        <v>1.0297899416008616</v>
      </c>
      <c r="Q671" s="2">
        <v>10.297899416008615</v>
      </c>
      <c r="S671" s="2">
        <v>6.7</v>
      </c>
      <c r="T671" s="1">
        <f t="shared" si="158"/>
        <v>1.9952623149688761E-7</v>
      </c>
      <c r="U671" s="1">
        <f t="shared" si="159"/>
        <v>5.0619910596354589E-8</v>
      </c>
      <c r="V671" s="1">
        <f t="shared" si="160"/>
        <v>8.9676932364926992E-2</v>
      </c>
      <c r="W671" s="1">
        <f t="shared" si="161"/>
        <v>3.4410225450243366E-3</v>
      </c>
      <c r="X671" s="1">
        <f t="shared" si="162"/>
        <v>7.127142773375704E-2</v>
      </c>
      <c r="Y671" s="1">
        <f t="shared" si="163"/>
        <v>7.1272969861944646E-2</v>
      </c>
      <c r="Z671" s="1">
        <f t="shared" si="164"/>
        <v>3.5636484930972321</v>
      </c>
      <c r="AB671">
        <v>8.01</v>
      </c>
      <c r="AC671">
        <v>9.7723722095580911E-9</v>
      </c>
      <c r="AD671">
        <v>1.0335259222035633E-6</v>
      </c>
      <c r="AE671">
        <v>9.9440902835596229E-2</v>
      </c>
      <c r="AF671">
        <v>1.8636572146792712E-4</v>
      </c>
      <c r="AG671">
        <v>3.7445304861145161E-3</v>
      </c>
      <c r="AH671">
        <v>3.7342738357340963E-3</v>
      </c>
      <c r="AI671">
        <v>0.1867136917867048</v>
      </c>
      <c r="AJ671"/>
      <c r="AK671"/>
      <c r="AL671"/>
      <c r="AM671"/>
      <c r="AN671"/>
      <c r="AO671"/>
      <c r="AP671"/>
      <c r="AQ671"/>
      <c r="AR671"/>
    </row>
    <row r="672" spans="1:44" ht="15" customHeight="1" x14ac:dyDescent="0.3">
      <c r="A672" s="2">
        <v>6.71</v>
      </c>
      <c r="B672" s="1">
        <f t="shared" si="152"/>
        <v>1.9498445997580421E-7</v>
      </c>
      <c r="C672" s="1">
        <f t="shared" si="153"/>
        <v>5.1798999783127934E-8</v>
      </c>
      <c r="D672" s="1">
        <f t="shared" si="154"/>
        <v>4.6458302455153798E-3</v>
      </c>
      <c r="E672" s="1">
        <f t="shared" si="155"/>
        <v>2.5590282924141034E-3</v>
      </c>
      <c r="F672" s="1">
        <f t="shared" si="156"/>
        <v>0.73363370241380765</v>
      </c>
      <c r="G672" s="1">
        <f t="shared" si="157"/>
        <v>0.73362549269576016</v>
      </c>
      <c r="H672" s="1">
        <f t="shared" si="165"/>
        <v>7.3362549269576016</v>
      </c>
      <c r="J672" s="2">
        <v>10.7</v>
      </c>
      <c r="K672" s="1">
        <v>1.995262314968878E-11</v>
      </c>
      <c r="L672" s="1">
        <v>5.0619910596354538E-4</v>
      </c>
      <c r="M672" s="1">
        <v>-5.0558301421668164E-4</v>
      </c>
      <c r="N672" s="1">
        <v>3.4175971690361133E-3</v>
      </c>
      <c r="O672" s="1">
        <v>0.99996284785742318</v>
      </c>
      <c r="P672" s="1">
        <v>1.0304891287089359</v>
      </c>
      <c r="Q672" s="2">
        <v>10.304891287089358</v>
      </c>
      <c r="S672" s="2">
        <v>6.71</v>
      </c>
      <c r="T672" s="1">
        <f t="shared" si="158"/>
        <v>1.9498445997580421E-7</v>
      </c>
      <c r="U672" s="1">
        <f t="shared" si="159"/>
        <v>5.1798999783127934E-8</v>
      </c>
      <c r="V672" s="1">
        <f t="shared" si="160"/>
        <v>8.9888157301470997E-2</v>
      </c>
      <c r="W672" s="1">
        <f t="shared" si="161"/>
        <v>3.3706142328429997E-3</v>
      </c>
      <c r="X672" s="1">
        <f t="shared" si="162"/>
        <v>6.9762269797196713E-2</v>
      </c>
      <c r="Y672" s="1">
        <f t="shared" si="163"/>
        <v>6.9763751597573032E-2</v>
      </c>
      <c r="Z672" s="1">
        <f t="shared" si="164"/>
        <v>3.4881875798786512</v>
      </c>
      <c r="AB672">
        <v>8.02</v>
      </c>
      <c r="AC672">
        <v>9.5499258602143453E-9</v>
      </c>
      <c r="AD672">
        <v>1.05759983353141E-6</v>
      </c>
      <c r="AE672">
        <v>9.9453630848515231E-2</v>
      </c>
      <c r="AF672">
        <v>1.8212305049492036E-4</v>
      </c>
      <c r="AG672">
        <v>3.6596064959616742E-3</v>
      </c>
      <c r="AH672">
        <v>3.6491068746543473E-3</v>
      </c>
      <c r="AI672">
        <v>0.18245534373271735</v>
      </c>
      <c r="AJ672"/>
      <c r="AK672"/>
      <c r="AL672"/>
      <c r="AM672"/>
      <c r="AN672"/>
      <c r="AO672"/>
      <c r="AP672"/>
      <c r="AQ672"/>
      <c r="AR672"/>
    </row>
    <row r="673" spans="1:44" ht="15" customHeight="1" x14ac:dyDescent="0.3">
      <c r="A673" s="2">
        <v>6.72</v>
      </c>
      <c r="B673" s="1">
        <f t="shared" si="152"/>
        <v>1.9054607179632443E-7</v>
      </c>
      <c r="C673" s="1">
        <f t="shared" si="153"/>
        <v>5.300555348522711E-8</v>
      </c>
      <c r="D673" s="1">
        <f t="shared" si="154"/>
        <v>4.5642077974724325E-3</v>
      </c>
      <c r="E673" s="1">
        <f t="shared" si="155"/>
        <v>2.5726320337545946E-3</v>
      </c>
      <c r="F673" s="1">
        <f t="shared" si="156"/>
        <v>0.73810903254041882</v>
      </c>
      <c r="G673" s="1">
        <f t="shared" si="157"/>
        <v>0.73810114032636931</v>
      </c>
      <c r="H673" s="1">
        <f t="shared" si="165"/>
        <v>7.3810114032636926</v>
      </c>
      <c r="J673" s="2">
        <v>10.71</v>
      </c>
      <c r="K673" s="1">
        <v>1.9498445997580369E-11</v>
      </c>
      <c r="L673" s="1">
        <v>5.1798999783128066E-4</v>
      </c>
      <c r="M673" s="1">
        <v>-5.1738800096851089E-4</v>
      </c>
      <c r="N673" s="1">
        <v>3.4195646668280849E-3</v>
      </c>
      <c r="O673" s="1">
        <v>0.99996369351273184</v>
      </c>
      <c r="P673" s="1">
        <v>1.0312047295847167</v>
      </c>
      <c r="Q673" s="2">
        <v>10.312047295847165</v>
      </c>
      <c r="S673" s="2">
        <v>6.72</v>
      </c>
      <c r="T673" s="1">
        <f t="shared" si="158"/>
        <v>1.9054607179632443E-7</v>
      </c>
      <c r="U673" s="1">
        <f t="shared" si="159"/>
        <v>5.300555348522711E-8</v>
      </c>
      <c r="V673" s="1">
        <f t="shared" si="160"/>
        <v>9.0095537723425378E-2</v>
      </c>
      <c r="W673" s="1">
        <f t="shared" si="161"/>
        <v>3.301487425524875E-3</v>
      </c>
      <c r="X673" s="1">
        <f t="shared" si="162"/>
        <v>6.8282718469387785E-2</v>
      </c>
      <c r="Y673" s="1">
        <f t="shared" si="163"/>
        <v>6.8284140833751505E-2</v>
      </c>
      <c r="Z673" s="1">
        <f t="shared" si="164"/>
        <v>3.4142070416875749</v>
      </c>
      <c r="AB673">
        <v>8.0299999999999994</v>
      </c>
      <c r="AC673">
        <v>9.3325430079698966E-9</v>
      </c>
      <c r="AD673">
        <v>1.082234498289984E-6</v>
      </c>
      <c r="AE673">
        <v>9.9466073929924487E-2</v>
      </c>
      <c r="AF673">
        <v>1.7797535669183831E-4</v>
      </c>
      <c r="AG673">
        <v>3.5766016228853631E-3</v>
      </c>
      <c r="AH673">
        <v>3.5658534742767189E-3</v>
      </c>
      <c r="AI673">
        <v>0.17829267371383592</v>
      </c>
      <c r="AJ673"/>
      <c r="AK673"/>
      <c r="AL673"/>
      <c r="AM673"/>
      <c r="AN673"/>
      <c r="AO673"/>
      <c r="AP673"/>
      <c r="AQ673"/>
      <c r="AR673"/>
    </row>
    <row r="674" spans="1:44" ht="15" customHeight="1" x14ac:dyDescent="0.3">
      <c r="A674" s="2">
        <v>6.73</v>
      </c>
      <c r="B674" s="1">
        <f t="shared" si="152"/>
        <v>1.8620871366628614E-7</v>
      </c>
      <c r="C674" s="1">
        <f t="shared" si="153"/>
        <v>5.4240211433395696E-8</v>
      </c>
      <c r="D674" s="1">
        <f t="shared" si="154"/>
        <v>4.4836006068102114E-3</v>
      </c>
      <c r="E674" s="1">
        <f t="shared" si="155"/>
        <v>2.5860665655316317E-3</v>
      </c>
      <c r="F674" s="1">
        <f t="shared" si="156"/>
        <v>0.74253555894307033</v>
      </c>
      <c r="G674" s="1">
        <f t="shared" si="157"/>
        <v>0.74252798061490399</v>
      </c>
      <c r="H674" s="1">
        <f t="shared" si="165"/>
        <v>7.4252798061490397</v>
      </c>
      <c r="J674" s="2">
        <v>10.72</v>
      </c>
      <c r="K674" s="1">
        <v>1.9054607179632392E-11</v>
      </c>
      <c r="L674" s="1">
        <v>5.3005553485227248E-4</v>
      </c>
      <c r="M674" s="1">
        <v>-5.2946731205405744E-4</v>
      </c>
      <c r="N674" s="1">
        <v>3.4215778853423427E-3</v>
      </c>
      <c r="O674" s="1">
        <v>0.99996451991995727</v>
      </c>
      <c r="P674" s="1">
        <v>1.0319371354156759</v>
      </c>
      <c r="Q674" s="2">
        <v>10.319371354156758</v>
      </c>
      <c r="S674" s="2">
        <v>6.73</v>
      </c>
      <c r="T674" s="1">
        <f t="shared" si="158"/>
        <v>1.8620871366628614E-7</v>
      </c>
      <c r="U674" s="1">
        <f t="shared" si="159"/>
        <v>5.4240211433395696E-8</v>
      </c>
      <c r="V674" s="1">
        <f t="shared" si="160"/>
        <v>9.0299124164784098E-2</v>
      </c>
      <c r="W674" s="1">
        <f t="shared" si="161"/>
        <v>3.2336252784052988E-3</v>
      </c>
      <c r="X674" s="1">
        <f t="shared" si="162"/>
        <v>6.6832291763691973E-2</v>
      </c>
      <c r="Y674" s="1">
        <f t="shared" si="163"/>
        <v>6.6833655548401413E-2</v>
      </c>
      <c r="Z674" s="1">
        <f t="shared" si="164"/>
        <v>3.3416827774200706</v>
      </c>
      <c r="AB674">
        <v>8.0399999999999991</v>
      </c>
      <c r="AC674">
        <v>9.1201083935590851E-9</v>
      </c>
      <c r="AD674">
        <v>1.1074429781046183E-6</v>
      </c>
      <c r="AE674">
        <v>9.9478238464627208E-2</v>
      </c>
      <c r="AF674">
        <v>1.7392051179093216E-4</v>
      </c>
      <c r="AG674">
        <v>3.4954728087141819E-3</v>
      </c>
      <c r="AH674">
        <v>3.4844704446491803E-3</v>
      </c>
      <c r="AI674">
        <v>0.17422352223245902</v>
      </c>
      <c r="AJ674"/>
      <c r="AK674"/>
      <c r="AL674"/>
      <c r="AM674"/>
      <c r="AN674"/>
      <c r="AO674"/>
      <c r="AP674"/>
      <c r="AQ674"/>
      <c r="AR674"/>
    </row>
    <row r="675" spans="1:44" ht="15" customHeight="1" x14ac:dyDescent="0.3">
      <c r="A675" s="2">
        <v>6.74</v>
      </c>
      <c r="B675" s="1">
        <f t="shared" si="152"/>
        <v>1.8197008586099811E-7</v>
      </c>
      <c r="C675" s="1">
        <f t="shared" si="153"/>
        <v>5.550362825962015E-8</v>
      </c>
      <c r="D675" s="1">
        <f t="shared" si="154"/>
        <v>4.4040108144805827E-3</v>
      </c>
      <c r="E675" s="1">
        <f t="shared" si="155"/>
        <v>2.599331530919903E-3</v>
      </c>
      <c r="F675" s="1">
        <f t="shared" si="156"/>
        <v>0.74691292142894339</v>
      </c>
      <c r="G675" s="1">
        <f t="shared" si="157"/>
        <v>0.74690565352094174</v>
      </c>
      <c r="H675" s="1">
        <f t="shared" si="165"/>
        <v>7.4690565352094174</v>
      </c>
      <c r="J675" s="2">
        <v>10.73</v>
      </c>
      <c r="K675" s="1">
        <v>1.8620871366628599E-11</v>
      </c>
      <c r="L675" s="1">
        <v>5.4240211433395744E-4</v>
      </c>
      <c r="M675" s="1">
        <v>-5.4182735208263674E-4</v>
      </c>
      <c r="N675" s="1">
        <v>3.4236378920137721E-3</v>
      </c>
      <c r="O675" s="1">
        <v>0.99996532751717748</v>
      </c>
      <c r="P675" s="1">
        <v>1.0326867468599514</v>
      </c>
      <c r="Q675" s="2">
        <v>10.326867468599513</v>
      </c>
      <c r="S675" s="2">
        <v>6.74</v>
      </c>
      <c r="T675" s="1">
        <f t="shared" si="158"/>
        <v>1.8197008586099811E-7</v>
      </c>
      <c r="U675" s="1">
        <f t="shared" si="159"/>
        <v>5.550362825962015E-8</v>
      </c>
      <c r="V675" s="1">
        <f t="shared" si="160"/>
        <v>9.0498967302185263E-2</v>
      </c>
      <c r="W675" s="1">
        <f t="shared" si="161"/>
        <v>3.1670108992715817E-3</v>
      </c>
      <c r="X675" s="1">
        <f t="shared" si="162"/>
        <v>6.5410511344402095E-2</v>
      </c>
      <c r="Y675" s="1">
        <f t="shared" si="163"/>
        <v>6.5411817370982256E-2</v>
      </c>
      <c r="Z675" s="1">
        <f t="shared" si="164"/>
        <v>3.270590868549113</v>
      </c>
      <c r="AB675">
        <v>8.0500000000000007</v>
      </c>
      <c r="AC675">
        <v>8.9125093813374133E-9</v>
      </c>
      <c r="AD675">
        <v>1.1332386388449884E-6</v>
      </c>
      <c r="AE675">
        <v>9.9490130699209575E-2</v>
      </c>
      <c r="AF675">
        <v>1.6995643359680936E-4</v>
      </c>
      <c r="AG675">
        <v>3.4161779474356055E-3</v>
      </c>
      <c r="AH675">
        <v>3.4049155449633901E-3</v>
      </c>
      <c r="AI675">
        <v>0.1702457772481695</v>
      </c>
      <c r="AJ675"/>
      <c r="AK675"/>
      <c r="AL675"/>
      <c r="AM675"/>
      <c r="AN675"/>
      <c r="AO675"/>
      <c r="AP675"/>
      <c r="AQ675"/>
      <c r="AR675"/>
    </row>
    <row r="676" spans="1:44" ht="15" customHeight="1" x14ac:dyDescent="0.3">
      <c r="A676" s="2">
        <v>6.75</v>
      </c>
      <c r="B676" s="1">
        <f t="shared" si="152"/>
        <v>1.7782794100389206E-7</v>
      </c>
      <c r="C676" s="1">
        <f t="shared" si="153"/>
        <v>5.6796473844225327E-8</v>
      </c>
      <c r="D676" s="1">
        <f t="shared" si="154"/>
        <v>4.3254399752139438E-3</v>
      </c>
      <c r="E676" s="1">
        <f t="shared" si="155"/>
        <v>2.6124266707976762E-3</v>
      </c>
      <c r="F676" s="1">
        <f t="shared" si="156"/>
        <v>0.75124079353371087</v>
      </c>
      <c r="G676" s="1">
        <f t="shared" si="157"/>
        <v>0.75123383273102329</v>
      </c>
      <c r="H676" s="1">
        <f t="shared" si="165"/>
        <v>7.5123383273102329</v>
      </c>
      <c r="J676" s="2">
        <v>10.74</v>
      </c>
      <c r="K676" s="1">
        <v>1.8197008586099764E-11</v>
      </c>
      <c r="L676" s="1">
        <v>5.5503628259620291E-4</v>
      </c>
      <c r="M676" s="1">
        <v>-5.5447467450982604E-4</v>
      </c>
      <c r="N676" s="1">
        <v>3.4257457790849706E-3</v>
      </c>
      <c r="O676" s="1">
        <v>0.9999661167325008</v>
      </c>
      <c r="P676" s="1">
        <v>1.0334539742856204</v>
      </c>
      <c r="Q676" s="2">
        <v>10.334539742856203</v>
      </c>
      <c r="S676" s="2">
        <v>6.75</v>
      </c>
      <c r="T676" s="1">
        <f t="shared" si="158"/>
        <v>1.7782794100389206E-7</v>
      </c>
      <c r="U676" s="1">
        <f t="shared" si="159"/>
        <v>5.6796473844225327E-8</v>
      </c>
      <c r="V676" s="1">
        <f t="shared" si="160"/>
        <v>9.0695117914029788E-2</v>
      </c>
      <c r="W676" s="1">
        <f t="shared" si="161"/>
        <v>3.101627361990066E-3</v>
      </c>
      <c r="X676" s="1">
        <f t="shared" si="162"/>
        <v>6.4016902695429728E-2</v>
      </c>
      <c r="Y676" s="1">
        <f t="shared" si="163"/>
        <v>6.401815175115548E-2</v>
      </c>
      <c r="Z676" s="1">
        <f t="shared" si="164"/>
        <v>3.2009075875577739</v>
      </c>
      <c r="AB676">
        <v>8.06</v>
      </c>
      <c r="AC676">
        <v>8.7096358995607965E-9</v>
      </c>
      <c r="AD676">
        <v>1.1596351577118529E-6</v>
      </c>
      <c r="AE676">
        <v>9.9501756744933043E-2</v>
      </c>
      <c r="AF676">
        <v>1.6608108502232306E-4</v>
      </c>
      <c r="AG676">
        <v>3.3386758647661659E-3</v>
      </c>
      <c r="AH676">
        <v>3.3271474630533924E-3</v>
      </c>
      <c r="AI676">
        <v>0.16635737315266963</v>
      </c>
      <c r="AJ676"/>
      <c r="AK676"/>
      <c r="AL676"/>
      <c r="AM676"/>
      <c r="AN676"/>
      <c r="AO676"/>
      <c r="AP676"/>
      <c r="AQ676"/>
      <c r="AR676"/>
    </row>
    <row r="677" spans="1:44" ht="15" customHeight="1" x14ac:dyDescent="0.3">
      <c r="A677" s="2">
        <v>6.76</v>
      </c>
      <c r="B677" s="1">
        <f t="shared" si="152"/>
        <v>1.7378008287493735E-7</v>
      </c>
      <c r="C677" s="1">
        <f t="shared" si="153"/>
        <v>5.8119433671052907E-8</v>
      </c>
      <c r="D677" s="1">
        <f t="shared" si="154"/>
        <v>4.247889070946342E-3</v>
      </c>
      <c r="E677" s="1">
        <f t="shared" si="155"/>
        <v>2.6253518215089431E-3</v>
      </c>
      <c r="F677" s="1">
        <f t="shared" si="156"/>
        <v>0.75551888207119688</v>
      </c>
      <c r="G677" s="1">
        <f t="shared" si="157"/>
        <v>0.75551222520839212</v>
      </c>
      <c r="H677" s="1">
        <f t="shared" si="165"/>
        <v>7.5551222520839207</v>
      </c>
      <c r="J677" s="2">
        <v>10.75</v>
      </c>
      <c r="K677" s="1">
        <v>1.7782794100389159E-11</v>
      </c>
      <c r="L677" s="1">
        <v>5.6796473844225473E-4</v>
      </c>
      <c r="M677" s="1">
        <v>-5.6741598511218989E-4</v>
      </c>
      <c r="N677" s="1">
        <v>3.4279026641853647E-3</v>
      </c>
      <c r="O677" s="1">
        <v>0.99996688798429356</v>
      </c>
      <c r="P677" s="1">
        <v>1.0342392380164172</v>
      </c>
      <c r="Q677" s="2">
        <v>10.342392380164171</v>
      </c>
      <c r="S677" s="2">
        <v>6.76</v>
      </c>
      <c r="T677" s="1">
        <f t="shared" si="158"/>
        <v>1.7378008287493735E-7</v>
      </c>
      <c r="U677" s="1">
        <f t="shared" si="159"/>
        <v>5.8119433671052907E-8</v>
      </c>
      <c r="V677" s="1">
        <f t="shared" si="160"/>
        <v>9.0887626841171021E-2</v>
      </c>
      <c r="W677" s="1">
        <f t="shared" si="161"/>
        <v>3.0374577196096574E-3</v>
      </c>
      <c r="X677" s="1">
        <f t="shared" si="162"/>
        <v>6.2650995278190777E-2</v>
      </c>
      <c r="Y677" s="1">
        <f t="shared" si="163"/>
        <v>6.2652188116646579E-2</v>
      </c>
      <c r="Z677" s="1">
        <f t="shared" si="164"/>
        <v>3.1326094058323295</v>
      </c>
      <c r="AB677">
        <v>8.07</v>
      </c>
      <c r="AC677">
        <v>8.5113803820237553E-9</v>
      </c>
      <c r="AD677">
        <v>1.1866465304889261E-6</v>
      </c>
      <c r="AE677">
        <v>9.9513122580573349E-2</v>
      </c>
      <c r="AF677">
        <v>1.622924731422183E-4</v>
      </c>
      <c r="AG677">
        <v>3.2629262981314802E-3</v>
      </c>
      <c r="AH677">
        <v>3.2511257953025271E-3</v>
      </c>
      <c r="AI677">
        <v>0.16255628976512634</v>
      </c>
      <c r="AJ677"/>
      <c r="AK677"/>
      <c r="AL677"/>
      <c r="AM677"/>
      <c r="AN677"/>
      <c r="AO677"/>
      <c r="AP677"/>
      <c r="AQ677"/>
      <c r="AR677"/>
    </row>
    <row r="678" spans="1:44" ht="15" customHeight="1" x14ac:dyDescent="0.3">
      <c r="A678" s="2">
        <v>6.77</v>
      </c>
      <c r="B678" s="1">
        <f t="shared" si="152"/>
        <v>1.6982436524617427E-7</v>
      </c>
      <c r="C678" s="1">
        <f t="shared" si="153"/>
        <v>5.9473209190914539E-8</v>
      </c>
      <c r="D678" s="1">
        <f t="shared" si="154"/>
        <v>4.1713585246223846E-3</v>
      </c>
      <c r="E678" s="1">
        <f t="shared" si="155"/>
        <v>2.6381069125629352E-3</v>
      </c>
      <c r="F678" s="1">
        <f t="shared" si="156"/>
        <v>0.75974692664795795</v>
      </c>
      <c r="G678" s="1">
        <f t="shared" si="157"/>
        <v>0.75974057070765233</v>
      </c>
      <c r="H678" s="1">
        <f t="shared" si="165"/>
        <v>7.5974057070765229</v>
      </c>
      <c r="J678" s="2">
        <v>10.76</v>
      </c>
      <c r="K678" s="1">
        <v>1.7378008287493749E-11</v>
      </c>
      <c r="L678" s="1">
        <v>5.8119433671052865E-4</v>
      </c>
      <c r="M678" s="1">
        <v>-5.8065814554275749E-4</v>
      </c>
      <c r="N678" s="1">
        <v>3.4301096909237928E-3</v>
      </c>
      <c r="O678" s="1">
        <v>0.99996764168140162</v>
      </c>
      <c r="P678" s="1">
        <v>1.035042968584089</v>
      </c>
      <c r="Q678" s="2">
        <v>10.350429685840888</v>
      </c>
      <c r="S678" s="2">
        <v>6.77</v>
      </c>
      <c r="T678" s="1">
        <f t="shared" si="158"/>
        <v>1.6982436524617427E-7</v>
      </c>
      <c r="U678" s="1">
        <f t="shared" si="159"/>
        <v>5.9473209190914539E-8</v>
      </c>
      <c r="V678" s="1">
        <f t="shared" si="160"/>
        <v>9.107654494915797E-2</v>
      </c>
      <c r="W678" s="1">
        <f t="shared" si="161"/>
        <v>2.9744850169473435E-3</v>
      </c>
      <c r="X678" s="1">
        <f t="shared" si="162"/>
        <v>6.1312322679016054E-2</v>
      </c>
      <c r="Y678" s="1">
        <f t="shared" si="163"/>
        <v>6.1313460020632586E-2</v>
      </c>
      <c r="Z678" s="1">
        <f t="shared" si="164"/>
        <v>3.0656730010316289</v>
      </c>
      <c r="AB678">
        <v>8.08</v>
      </c>
      <c r="AC678">
        <v>8.3176377110267021E-9</v>
      </c>
      <c r="AD678">
        <v>1.2142870789635882E-6</v>
      </c>
      <c r="AE678">
        <v>9.952423405520705E-2</v>
      </c>
      <c r="AF678">
        <v>1.5858864826432279E-4</v>
      </c>
      <c r="AG678">
        <v>3.1888898770496316E-3</v>
      </c>
      <c r="AH678">
        <v>3.1768110269520104E-3</v>
      </c>
      <c r="AI678">
        <v>0.15884055134760053</v>
      </c>
      <c r="AJ678"/>
      <c r="AK678"/>
      <c r="AL678"/>
      <c r="AM678"/>
      <c r="AN678"/>
      <c r="AO678"/>
      <c r="AP678"/>
      <c r="AQ678"/>
      <c r="AR678"/>
    </row>
    <row r="679" spans="1:44" ht="15" customHeight="1" x14ac:dyDescent="0.3">
      <c r="A679" s="2">
        <v>6.78</v>
      </c>
      <c r="B679" s="1">
        <f t="shared" si="152"/>
        <v>1.6595869074375559E-7</v>
      </c>
      <c r="C679" s="1">
        <f t="shared" si="153"/>
        <v>6.0858518193510303E-8</v>
      </c>
      <c r="D679" s="1">
        <f t="shared" si="154"/>
        <v>4.0958482143345848E-3</v>
      </c>
      <c r="E679" s="1">
        <f t="shared" si="155"/>
        <v>2.650691964277569E-3</v>
      </c>
      <c r="F679" s="1">
        <f t="shared" si="156"/>
        <v>0.76392469914483896</v>
      </c>
      <c r="G679" s="1">
        <f t="shared" si="157"/>
        <v>0.76391864125640141</v>
      </c>
      <c r="H679" s="1">
        <f t="shared" si="165"/>
        <v>7.6391864125640137</v>
      </c>
      <c r="J679" s="2">
        <v>10.77</v>
      </c>
      <c r="K679" s="1">
        <v>1.6982436524617441E-11</v>
      </c>
      <c r="L679" s="1">
        <v>5.9473209190914484E-4</v>
      </c>
      <c r="M679" s="1">
        <v>-5.9420817696919064E-4</v>
      </c>
      <c r="N679" s="1">
        <v>3.4323680294948648E-3</v>
      </c>
      <c r="O679" s="1">
        <v>0.99996837822336659</v>
      </c>
      <c r="P679" s="1">
        <v>1.0358656069875913</v>
      </c>
      <c r="Q679" s="2">
        <v>10.358656069875913</v>
      </c>
      <c r="S679" s="2">
        <v>6.78</v>
      </c>
      <c r="T679" s="1">
        <f t="shared" si="158"/>
        <v>1.6595869074375559E-7</v>
      </c>
      <c r="U679" s="1">
        <f t="shared" si="159"/>
        <v>6.0858518193510303E-8</v>
      </c>
      <c r="V679" s="1">
        <f t="shared" si="160"/>
        <v>9.1261923092013364E-2</v>
      </c>
      <c r="W679" s="1">
        <f t="shared" si="161"/>
        <v>2.9126923026622149E-3</v>
      </c>
      <c r="X679" s="1">
        <f t="shared" si="162"/>
        <v>6.0000422746418508E-2</v>
      </c>
      <c r="Y679" s="1">
        <f t="shared" si="163"/>
        <v>6.0001505278986803E-2</v>
      </c>
      <c r="Z679" s="1">
        <f t="shared" si="164"/>
        <v>3.0000752639493404</v>
      </c>
      <c r="AB679">
        <v>8.09</v>
      </c>
      <c r="AC679">
        <v>8.1283051616409861E-9</v>
      </c>
      <c r="AD679">
        <v>1.2425714585205062E-6</v>
      </c>
      <c r="AE679">
        <v>9.9535096890945932E-2</v>
      </c>
      <c r="AF679">
        <v>1.5496770301802376E-4</v>
      </c>
      <c r="AG679">
        <v>3.116528103910604E-3</v>
      </c>
      <c r="AH679">
        <v>3.104164512803867E-3</v>
      </c>
      <c r="AI679">
        <v>0.15520822564019338</v>
      </c>
      <c r="AJ679"/>
      <c r="AK679"/>
      <c r="AL679"/>
      <c r="AM679"/>
      <c r="AN679"/>
      <c r="AO679"/>
      <c r="AP679"/>
      <c r="AQ679"/>
      <c r="AR679"/>
    </row>
    <row r="680" spans="1:44" ht="15" customHeight="1" x14ac:dyDescent="0.3">
      <c r="A680" s="2">
        <v>6.79</v>
      </c>
      <c r="B680" s="1">
        <f t="shared" si="152"/>
        <v>1.6218100973589288E-7</v>
      </c>
      <c r="C680" s="1">
        <f t="shared" si="153"/>
        <v>6.2276095188009744E-8</v>
      </c>
      <c r="D680" s="1">
        <f t="shared" si="154"/>
        <v>4.0213574877603206E-3</v>
      </c>
      <c r="E680" s="1">
        <f t="shared" si="155"/>
        <v>2.6631070853732797E-3</v>
      </c>
      <c r="F680" s="1">
        <f t="shared" si="156"/>
        <v>0.76805200316758404</v>
      </c>
      <c r="G680" s="1">
        <f t="shared" si="157"/>
        <v>0.76804624060591631</v>
      </c>
      <c r="H680" s="1">
        <f t="shared" si="165"/>
        <v>7.6804624060591626</v>
      </c>
      <c r="J680" s="2">
        <v>10.78</v>
      </c>
      <c r="K680" s="1">
        <v>1.6595869074375605E-11</v>
      </c>
      <c r="L680" s="1">
        <v>6.0858518193510134E-4</v>
      </c>
      <c r="M680" s="1">
        <v>-6.0807326379646838E-4</v>
      </c>
      <c r="N680" s="1">
        <v>3.4346788772994111E-3</v>
      </c>
      <c r="O680" s="1">
        <v>0.99996909800063793</v>
      </c>
      <c r="P680" s="1">
        <v>1.0367076049593258</v>
      </c>
      <c r="Q680" s="2">
        <v>10.367076049593257</v>
      </c>
      <c r="S680" s="2">
        <v>6.79</v>
      </c>
      <c r="T680" s="1">
        <f t="shared" si="158"/>
        <v>1.6218100973589288E-7</v>
      </c>
      <c r="U680" s="1">
        <f t="shared" si="159"/>
        <v>6.2276095188009744E-8</v>
      </c>
      <c r="V680" s="1">
        <f t="shared" si="160"/>
        <v>9.1443812077525E-2</v>
      </c>
      <c r="W680" s="1">
        <f t="shared" si="161"/>
        <v>2.8520626408249971E-3</v>
      </c>
      <c r="X680" s="1">
        <f t="shared" si="162"/>
        <v>5.8714837718546145E-2</v>
      </c>
      <c r="Y680" s="1">
        <f t="shared" si="163"/>
        <v>5.8715866097709547E-2</v>
      </c>
      <c r="Z680" s="1">
        <f t="shared" si="164"/>
        <v>2.9357933048854772</v>
      </c>
      <c r="AB680">
        <v>8.1</v>
      </c>
      <c r="AC680">
        <v>7.9432823472428087E-9</v>
      </c>
      <c r="AD680">
        <v>1.2715146659121098E-6</v>
      </c>
      <c r="AE680">
        <v>9.9545716685620594E-2</v>
      </c>
      <c r="AF680">
        <v>1.5142777145980574E-4</v>
      </c>
      <c r="AG680">
        <v>3.0458033351452216E-3</v>
      </c>
      <c r="AH680">
        <v>3.0331484583116029E-3</v>
      </c>
      <c r="AI680">
        <v>0.15165742291558015</v>
      </c>
      <c r="AJ680"/>
      <c r="AK680"/>
      <c r="AL680"/>
      <c r="AM680"/>
      <c r="AN680"/>
      <c r="AO680"/>
      <c r="AP680"/>
      <c r="AQ680"/>
      <c r="AR680"/>
    </row>
    <row r="681" spans="1:44" ht="15" customHeight="1" x14ac:dyDescent="0.3">
      <c r="A681" s="2">
        <v>6.8</v>
      </c>
      <c r="B681" s="1">
        <f t="shared" si="152"/>
        <v>1.5848931924611122E-7</v>
      </c>
      <c r="C681" s="1">
        <f t="shared" si="153"/>
        <v>6.3726691792499566E-8</v>
      </c>
      <c r="D681" s="1">
        <f t="shared" si="154"/>
        <v>3.9478851768584636E-3</v>
      </c>
      <c r="E681" s="1">
        <f t="shared" si="155"/>
        <v>2.6753524705235895E-3</v>
      </c>
      <c r="F681" s="1">
        <f t="shared" si="156"/>
        <v>0.77212867346858394</v>
      </c>
      <c r="G681" s="1">
        <f t="shared" si="157"/>
        <v>0.77212320365297626</v>
      </c>
      <c r="H681" s="1">
        <f t="shared" si="165"/>
        <v>7.721232036529762</v>
      </c>
      <c r="J681" s="2">
        <v>10.79</v>
      </c>
      <c r="K681" s="1">
        <v>1.6218100973589298E-11</v>
      </c>
      <c r="L681" s="1">
        <v>6.2276095188009697E-4</v>
      </c>
      <c r="M681" s="1">
        <v>-6.2226075747614433E-4</v>
      </c>
      <c r="N681" s="1">
        <v>3.4370434595793575E-3</v>
      </c>
      <c r="O681" s="1">
        <v>0.99996980139477931</v>
      </c>
      <c r="P681" s="1">
        <v>1.037569425238638</v>
      </c>
      <c r="Q681" s="2">
        <v>10.37569425238638</v>
      </c>
      <c r="S681" s="2">
        <v>6.8</v>
      </c>
      <c r="T681" s="1">
        <f t="shared" si="158"/>
        <v>1.5848931924611122E-7</v>
      </c>
      <c r="U681" s="1">
        <f t="shared" si="159"/>
        <v>6.3726691792499566E-8</v>
      </c>
      <c r="V681" s="1">
        <f t="shared" si="160"/>
        <v>9.1622262634028145E-2</v>
      </c>
      <c r="W681" s="1">
        <f t="shared" si="161"/>
        <v>2.7925791219906206E-3</v>
      </c>
      <c r="X681" s="1">
        <f t="shared" si="162"/>
        <v>5.7455114341144517E-2</v>
      </c>
      <c r="Y681" s="1">
        <f t="shared" si="163"/>
        <v>5.7456089190868927E-2</v>
      </c>
      <c r="Z681" s="1">
        <f t="shared" si="164"/>
        <v>2.8728044595434463</v>
      </c>
      <c r="AB681">
        <v>8.11</v>
      </c>
      <c r="AC681">
        <v>7.7624711662869124E-9</v>
      </c>
      <c r="AD681">
        <v>1.3011320472100661E-6</v>
      </c>
      <c r="AE681">
        <v>9.9556098915413199E-2</v>
      </c>
      <c r="AF681">
        <v>1.4796702819560526E-4</v>
      </c>
      <c r="AG681">
        <v>2.9766787627767532E-3</v>
      </c>
      <c r="AH681">
        <v>2.9637259010517544E-3</v>
      </c>
      <c r="AI681">
        <v>0.14818629505258774</v>
      </c>
      <c r="AJ681"/>
      <c r="AK681"/>
      <c r="AL681"/>
      <c r="AM681"/>
      <c r="AN681"/>
      <c r="AO681"/>
      <c r="AP681"/>
      <c r="AQ681"/>
      <c r="AR681"/>
    </row>
    <row r="682" spans="1:44" ht="15" customHeight="1" x14ac:dyDescent="0.3">
      <c r="A682" s="2">
        <v>6.81</v>
      </c>
      <c r="B682" s="1">
        <f t="shared" si="152"/>
        <v>1.5488166189124805E-7</v>
      </c>
      <c r="C682" s="1">
        <f t="shared" si="153"/>
        <v>6.5211077132500241E-8</v>
      </c>
      <c r="D682" s="1">
        <f t="shared" si="154"/>
        <v>3.8754296127888402E-3</v>
      </c>
      <c r="E682" s="1">
        <f t="shared" si="155"/>
        <v>2.6874283978685267E-3</v>
      </c>
      <c r="F682" s="1">
        <f t="shared" si="156"/>
        <v>0.77615457534183074</v>
      </c>
      <c r="G682" s="1">
        <f t="shared" si="157"/>
        <v>0.77614939583489095</v>
      </c>
      <c r="H682" s="1">
        <f t="shared" si="165"/>
        <v>7.7614939583489093</v>
      </c>
      <c r="J682" s="2">
        <v>10.8</v>
      </c>
      <c r="K682" s="1">
        <v>1.5848931924611082E-11</v>
      </c>
      <c r="L682" s="1">
        <v>6.3726691792499724E-4</v>
      </c>
      <c r="M682" s="1">
        <v>-6.3677818040422049E-4</v>
      </c>
      <c r="N682" s="1">
        <v>3.4394630300673698E-3</v>
      </c>
      <c r="O682" s="1">
        <v>0.99997048877867123</v>
      </c>
      <c r="P682" s="1">
        <v>1.0384515418528009</v>
      </c>
      <c r="Q682" s="2">
        <v>10.384515418528007</v>
      </c>
      <c r="S682" s="2">
        <v>6.81</v>
      </c>
      <c r="T682" s="1">
        <f t="shared" si="158"/>
        <v>1.5488166189124805E-7</v>
      </c>
      <c r="U682" s="1">
        <f t="shared" si="159"/>
        <v>6.5211077132500241E-8</v>
      </c>
      <c r="V682" s="1">
        <f t="shared" si="160"/>
        <v>9.1797325378653621E-2</v>
      </c>
      <c r="W682" s="1">
        <f t="shared" si="161"/>
        <v>2.7342248737821299E-3</v>
      </c>
      <c r="X682" s="1">
        <f t="shared" si="162"/>
        <v>5.6220803976356856E-2</v>
      </c>
      <c r="Y682" s="1">
        <f t="shared" si="163"/>
        <v>5.6221725889379626E-2</v>
      </c>
      <c r="Z682" s="1">
        <f t="shared" si="164"/>
        <v>2.8110862944689812</v>
      </c>
      <c r="AB682">
        <v>8.1199999999999992</v>
      </c>
      <c r="AC682">
        <v>7.585775750291834E-9</v>
      </c>
      <c r="AD682">
        <v>1.3314393059419718E-6</v>
      </c>
      <c r="AE682">
        <v>9.9566248937440788E-2</v>
      </c>
      <c r="AF682">
        <v>1.4458368751974111E-4</v>
      </c>
      <c r="AG682">
        <v>2.9091183963484944E-3</v>
      </c>
      <c r="AH682">
        <v>2.8958606925695738E-3</v>
      </c>
      <c r="AI682">
        <v>0.1447930346284787</v>
      </c>
      <c r="AJ682"/>
      <c r="AK682"/>
      <c r="AL682"/>
      <c r="AM682"/>
      <c r="AN682"/>
      <c r="AO682"/>
      <c r="AP682"/>
      <c r="AQ682"/>
      <c r="AR682"/>
    </row>
    <row r="683" spans="1:44" ht="15" customHeight="1" x14ac:dyDescent="0.3">
      <c r="A683" s="2">
        <v>6.82</v>
      </c>
      <c r="B683" s="1">
        <f t="shared" si="152"/>
        <v>1.5135612484362046E-7</v>
      </c>
      <c r="C683" s="1">
        <f t="shared" si="153"/>
        <v>6.6730038248767351E-8</v>
      </c>
      <c r="D683" s="1">
        <f t="shared" si="154"/>
        <v>3.8039886410183191E-3</v>
      </c>
      <c r="E683" s="1">
        <f t="shared" si="155"/>
        <v>2.6993352264969468E-3</v>
      </c>
      <c r="F683" s="1">
        <f t="shared" si="156"/>
        <v>0.78012960399315878</v>
      </c>
      <c r="G683" s="1">
        <f t="shared" si="157"/>
        <v>0.7801247124998143</v>
      </c>
      <c r="H683" s="1">
        <f t="shared" si="165"/>
        <v>7.8012471249981425</v>
      </c>
      <c r="J683" s="2">
        <v>10.81</v>
      </c>
      <c r="K683" s="1">
        <v>1.5488166189124763E-11</v>
      </c>
      <c r="L683" s="1">
        <v>6.521107713250041E-4</v>
      </c>
      <c r="M683" s="1">
        <v>-6.5163322990959135E-4</v>
      </c>
      <c r="N683" s="1">
        <v>3.4419388716515984E-3</v>
      </c>
      <c r="O683" s="1">
        <v>0.99997116051670853</v>
      </c>
      <c r="P683" s="1">
        <v>1.039354440405704</v>
      </c>
      <c r="Q683" s="2">
        <v>10.393544404057039</v>
      </c>
      <c r="S683" s="2">
        <v>6.82</v>
      </c>
      <c r="T683" s="1">
        <f t="shared" si="158"/>
        <v>1.5135612484362046E-7</v>
      </c>
      <c r="U683" s="1">
        <f t="shared" si="159"/>
        <v>6.6730038248767351E-8</v>
      </c>
      <c r="V683" s="1">
        <f t="shared" si="160"/>
        <v>9.196905078701692E-2</v>
      </c>
      <c r="W683" s="1">
        <f t="shared" si="161"/>
        <v>2.6769830709943614E-3</v>
      </c>
      <c r="X683" s="1">
        <f t="shared" si="162"/>
        <v>5.501146270267835E-2</v>
      </c>
      <c r="Y683" s="1">
        <f t="shared" si="163"/>
        <v>5.5012332240936261E-2</v>
      </c>
      <c r="Z683" s="1">
        <f t="shared" si="164"/>
        <v>2.7506166120468132</v>
      </c>
      <c r="AB683">
        <v>8.1300000000000008</v>
      </c>
      <c r="AC683">
        <v>7.4131024130091451E-9</v>
      </c>
      <c r="AD683">
        <v>1.3624525114175755E-6</v>
      </c>
      <c r="AE683">
        <v>9.957617199228945E-2</v>
      </c>
      <c r="AF683">
        <v>1.4127600257017887E-4</v>
      </c>
      <c r="AG683">
        <v>2.8430870452207015E-3</v>
      </c>
      <c r="AH683">
        <v>2.8295174805921829E-3</v>
      </c>
      <c r="AI683">
        <v>0.14147587402960912</v>
      </c>
      <c r="AJ683"/>
      <c r="AK683"/>
      <c r="AL683"/>
      <c r="AM683"/>
      <c r="AN683"/>
      <c r="AO683"/>
      <c r="AP683"/>
      <c r="AQ683"/>
      <c r="AR683"/>
    </row>
    <row r="684" spans="1:44" ht="15" customHeight="1" x14ac:dyDescent="0.3">
      <c r="A684" s="2">
        <v>6.83</v>
      </c>
      <c r="B684" s="1">
        <f t="shared" si="152"/>
        <v>1.479108388168204E-7</v>
      </c>
      <c r="C684" s="1">
        <f t="shared" si="153"/>
        <v>6.828438051459031E-8</v>
      </c>
      <c r="D684" s="1">
        <f t="shared" si="154"/>
        <v>3.7335596365787667E-3</v>
      </c>
      <c r="E684" s="1">
        <f t="shared" si="155"/>
        <v>2.7110733939035387E-3</v>
      </c>
      <c r="F684" s="1">
        <f t="shared" si="156"/>
        <v>0.78405368388781538</v>
      </c>
      <c r="G684" s="1">
        <f t="shared" si="157"/>
        <v>0.78404907825438797</v>
      </c>
      <c r="H684" s="1">
        <f t="shared" si="165"/>
        <v>7.8404907825438794</v>
      </c>
      <c r="J684" s="2">
        <v>10.82</v>
      </c>
      <c r="K684" s="1">
        <v>1.5135612484362034E-11</v>
      </c>
      <c r="L684" s="1">
        <v>6.6730038248767403E-4</v>
      </c>
      <c r="M684" s="1">
        <v>-6.6683378233525477E-4</v>
      </c>
      <c r="N684" s="1">
        <v>3.4444722970558752E-3</v>
      </c>
      <c r="O684" s="1">
        <v>0.99997181696499315</v>
      </c>
      <c r="P684" s="1">
        <v>1.0402786183744943</v>
      </c>
      <c r="Q684" s="2">
        <v>10.402786183744942</v>
      </c>
      <c r="S684" s="2">
        <v>6.83</v>
      </c>
      <c r="T684" s="1">
        <f t="shared" si="158"/>
        <v>1.479108388168204E-7</v>
      </c>
      <c r="U684" s="1">
        <f t="shared" si="159"/>
        <v>6.828438051459031E-8</v>
      </c>
      <c r="V684" s="1">
        <f t="shared" si="160"/>
        <v>9.213748916432031E-2</v>
      </c>
      <c r="W684" s="1">
        <f t="shared" si="161"/>
        <v>2.6208369452265655E-3</v>
      </c>
      <c r="X684" s="1">
        <f t="shared" si="162"/>
        <v>5.3826651406385144E-2</v>
      </c>
      <c r="Y684" s="1">
        <f t="shared" si="163"/>
        <v>5.3827469101421783E-2</v>
      </c>
      <c r="Z684" s="1">
        <f t="shared" si="164"/>
        <v>2.6913734550710893</v>
      </c>
      <c r="AB684">
        <v>8.14</v>
      </c>
      <c r="AC684">
        <v>7.2443596007498722E-9</v>
      </c>
      <c r="AD684">
        <v>1.3941881072489191E-6</v>
      </c>
      <c r="AE684">
        <v>9.9585873206500322E-2</v>
      </c>
      <c r="AF684">
        <v>1.3804226449989061E-4</v>
      </c>
      <c r="AG684">
        <v>2.7785503012303799E-3</v>
      </c>
      <c r="AH684">
        <v>2.7646616916026608E-3</v>
      </c>
      <c r="AI684">
        <v>0.13823308458013306</v>
      </c>
      <c r="AJ684"/>
      <c r="AK684"/>
      <c r="AL684"/>
      <c r="AM684"/>
      <c r="AN684"/>
      <c r="AO684"/>
      <c r="AP684"/>
      <c r="AQ684"/>
      <c r="AR684"/>
    </row>
    <row r="685" spans="1:44" ht="15" customHeight="1" x14ac:dyDescent="0.3">
      <c r="A685" s="2">
        <v>6.84</v>
      </c>
      <c r="B685" s="1">
        <f t="shared" si="152"/>
        <v>1.4454397707459271E-7</v>
      </c>
      <c r="C685" s="1">
        <f t="shared" si="153"/>
        <v>6.9874928062812601E-8</v>
      </c>
      <c r="D685" s="1">
        <f t="shared" si="154"/>
        <v>3.6641395194429074E-3</v>
      </c>
      <c r="E685" s="1">
        <f t="shared" si="155"/>
        <v>2.7226434134261825E-3</v>
      </c>
      <c r="F685" s="1">
        <f t="shared" si="156"/>
        <v>0.78792676807740203</v>
      </c>
      <c r="G685" s="1">
        <f t="shared" si="157"/>
        <v>0.78792244629075381</v>
      </c>
      <c r="H685" s="1">
        <f t="shared" si="165"/>
        <v>7.8792244629075379</v>
      </c>
      <c r="J685" s="2">
        <v>10.83</v>
      </c>
      <c r="K685" s="1">
        <v>1.4791083881682027E-11</v>
      </c>
      <c r="L685" s="1">
        <v>6.8284380514590365E-4</v>
      </c>
      <c r="M685" s="1">
        <v>-6.8238789721449347E-4</v>
      </c>
      <c r="N685" s="1">
        <v>3.4470646495357491E-3</v>
      </c>
      <c r="O685" s="1">
        <v>0.99997245847152338</v>
      </c>
      <c r="P685" s="1">
        <v>1.0412245854144144</v>
      </c>
      <c r="Q685" s="2">
        <v>10.412245854144144</v>
      </c>
      <c r="S685" s="2">
        <v>6.84</v>
      </c>
      <c r="T685" s="1">
        <f t="shared" si="158"/>
        <v>1.4454397707459271E-7</v>
      </c>
      <c r="U685" s="1">
        <f t="shared" si="159"/>
        <v>6.9874928062812601E-8</v>
      </c>
      <c r="V685" s="1">
        <f t="shared" si="160"/>
        <v>9.2302690617840161E-2</v>
      </c>
      <c r="W685" s="1">
        <f t="shared" si="161"/>
        <v>2.5657697940532792E-3</v>
      </c>
      <c r="X685" s="1">
        <f t="shared" si="162"/>
        <v>5.2665935864748659E-2</v>
      </c>
      <c r="Y685" s="1">
        <f t="shared" si="163"/>
        <v>5.2666702218101623E-2</v>
      </c>
      <c r="Z685" s="1">
        <f t="shared" si="164"/>
        <v>2.6333351109050809</v>
      </c>
      <c r="AB685">
        <v>8.15</v>
      </c>
      <c r="AC685">
        <v>7.0794578438413513E-9</v>
      </c>
      <c r="AD685">
        <v>1.4266629200689874E-6</v>
      </c>
      <c r="AE685">
        <v>9.959535759500783E-2</v>
      </c>
      <c r="AF685">
        <v>1.3488080166405776E-4</v>
      </c>
      <c r="AG685">
        <v>2.7154745217072688E-3</v>
      </c>
      <c r="AH685">
        <v>2.7012595137683531E-3</v>
      </c>
      <c r="AI685">
        <v>0.13506297568841763</v>
      </c>
      <c r="AJ685"/>
      <c r="AK685"/>
      <c r="AL685"/>
      <c r="AM685"/>
      <c r="AN685"/>
      <c r="AO685"/>
      <c r="AP685"/>
      <c r="AQ685"/>
      <c r="AR685"/>
    </row>
    <row r="686" spans="1:44" ht="15" customHeight="1" x14ac:dyDescent="0.3">
      <c r="A686" s="2">
        <v>6.85</v>
      </c>
      <c r="B686" s="1">
        <f t="shared" si="152"/>
        <v>1.4125375446227539E-7</v>
      </c>
      <c r="C686" s="1">
        <f t="shared" si="153"/>
        <v>7.1502524222797944E-8</v>
      </c>
      <c r="D686" s="1">
        <f t="shared" si="154"/>
        <v>3.5957247699855165E-3</v>
      </c>
      <c r="E686" s="1">
        <f t="shared" si="155"/>
        <v>2.7340458716690803E-3</v>
      </c>
      <c r="F686" s="1">
        <f t="shared" si="156"/>
        <v>0.79174883750818437</v>
      </c>
      <c r="G686" s="1">
        <f t="shared" si="157"/>
        <v>0.79174479769493566</v>
      </c>
      <c r="H686" s="1">
        <f t="shared" si="165"/>
        <v>7.9174479769493562</v>
      </c>
      <c r="J686" s="2">
        <v>10.84</v>
      </c>
      <c r="K686" s="1">
        <v>1.4454397707459232E-11</v>
      </c>
      <c r="L686" s="1">
        <v>6.9874928062812786E-4</v>
      </c>
      <c r="M686" s="1">
        <v>-6.983038215441019E-4</v>
      </c>
      <c r="N686" s="1">
        <v>3.4497173035906836E-3</v>
      </c>
      <c r="O686" s="1">
        <v>0.99997308537637708</v>
      </c>
      <c r="P686" s="1">
        <v>1.0421928636720872</v>
      </c>
      <c r="Q686" s="2">
        <v>10.421928636720871</v>
      </c>
      <c r="S686" s="2">
        <v>6.85</v>
      </c>
      <c r="T686" s="1">
        <f t="shared" si="158"/>
        <v>1.4125375446227539E-7</v>
      </c>
      <c r="U686" s="1">
        <f t="shared" si="159"/>
        <v>7.1502524222797944E-8</v>
      </c>
      <c r="V686" s="1">
        <f t="shared" si="160"/>
        <v>9.2464705030770242E-2</v>
      </c>
      <c r="W686" s="1">
        <f t="shared" si="161"/>
        <v>2.5117649897432527E-3</v>
      </c>
      <c r="X686" s="1">
        <f t="shared" si="162"/>
        <v>5.1528886821345633E-2</v>
      </c>
      <c r="Y686" s="1">
        <f t="shared" si="163"/>
        <v>5.1529602304913803E-2</v>
      </c>
      <c r="Z686" s="1">
        <f t="shared" si="164"/>
        <v>2.5764801152456904</v>
      </c>
      <c r="AB686">
        <v>8.16</v>
      </c>
      <c r="AC686">
        <v>6.9183097091893386E-9</v>
      </c>
      <c r="AD686">
        <v>1.4598941684533922E-6</v>
      </c>
      <c r="AE686">
        <v>9.9604630063531333E-2</v>
      </c>
      <c r="AF686">
        <v>1.3178997882288759E-4</v>
      </c>
      <c r="AG686">
        <v>2.6538268128398312E-3</v>
      </c>
      <c r="AH686">
        <v>2.6392778802171667E-3</v>
      </c>
      <c r="AI686">
        <v>0.13196389401085834</v>
      </c>
      <c r="AJ686"/>
      <c r="AK686"/>
      <c r="AL686"/>
      <c r="AM686"/>
      <c r="AN686"/>
      <c r="AO686"/>
      <c r="AP686"/>
      <c r="AQ686"/>
      <c r="AR686"/>
    </row>
    <row r="687" spans="1:44" ht="15" customHeight="1" x14ac:dyDescent="0.3">
      <c r="A687" s="2">
        <v>6.86</v>
      </c>
      <c r="B687" s="1">
        <f t="shared" si="152"/>
        <v>1.3803842646028823E-7</v>
      </c>
      <c r="C687" s="1">
        <f t="shared" si="153"/>
        <v>7.316803196757413E-8</v>
      </c>
      <c r="D687" s="1">
        <f t="shared" si="154"/>
        <v>3.5283114444985813E-3</v>
      </c>
      <c r="E687" s="1">
        <f t="shared" si="155"/>
        <v>2.7452814259169029E-3</v>
      </c>
      <c r="F687" s="1">
        <f t="shared" si="156"/>
        <v>0.79551990031274233</v>
      </c>
      <c r="G687" s="1">
        <f t="shared" si="157"/>
        <v>0.79551614073855892</v>
      </c>
      <c r="H687" s="1">
        <f t="shared" si="165"/>
        <v>7.9551614073855887</v>
      </c>
      <c r="J687" s="2">
        <v>10.85</v>
      </c>
      <c r="K687" s="1">
        <v>1.4125375446227501E-11</v>
      </c>
      <c r="L687" s="1">
        <v>7.1502524222798137E-4</v>
      </c>
      <c r="M687" s="1">
        <v>-7.1458999415709092E-4</v>
      </c>
      <c r="N687" s="1">
        <v>3.4524316656928482E-3</v>
      </c>
      <c r="O687" s="1">
        <v>0.99997369801189395</v>
      </c>
      <c r="P687" s="1">
        <v>1.0431839881075198</v>
      </c>
      <c r="Q687" s="2">
        <v>10.431839881075197</v>
      </c>
      <c r="S687" s="2">
        <v>6.86</v>
      </c>
      <c r="T687" s="1">
        <f t="shared" si="158"/>
        <v>1.3803842646028823E-7</v>
      </c>
      <c r="U687" s="1">
        <f t="shared" si="159"/>
        <v>7.316803196757413E-8</v>
      </c>
      <c r="V687" s="1">
        <f t="shared" si="160"/>
        <v>9.2623582037390559E-2</v>
      </c>
      <c r="W687" s="1">
        <f t="shared" si="161"/>
        <v>2.4588059875364754E-3</v>
      </c>
      <c r="X687" s="1">
        <f t="shared" si="162"/>
        <v>5.0415080053767936E-2</v>
      </c>
      <c r="Y687" s="1">
        <f t="shared" si="163"/>
        <v>5.0415745110159234E-2</v>
      </c>
      <c r="Z687" s="1">
        <f t="shared" si="164"/>
        <v>2.5207872555079618</v>
      </c>
      <c r="AB687">
        <v>8.17</v>
      </c>
      <c r="AC687">
        <v>6.7608297539198166E-9</v>
      </c>
      <c r="AD687">
        <v>1.4938994720498896E-6</v>
      </c>
      <c r="AE687">
        <v>9.9613695410920619E-2</v>
      </c>
      <c r="AF687">
        <v>1.2876819635978994E-4</v>
      </c>
      <c r="AG687">
        <v>2.5935750133847316E-3</v>
      </c>
      <c r="AH687">
        <v>2.5786844526552929E-3</v>
      </c>
      <c r="AI687">
        <v>0.12893422263276466</v>
      </c>
      <c r="AJ687"/>
      <c r="AK687"/>
      <c r="AL687"/>
      <c r="AM687"/>
      <c r="AN687"/>
      <c r="AO687"/>
      <c r="AP687"/>
      <c r="AQ687"/>
      <c r="AR687"/>
    </row>
    <row r="688" spans="1:44" ht="15" customHeight="1" x14ac:dyDescent="0.3">
      <c r="A688" s="2">
        <v>6.87</v>
      </c>
      <c r="B688" s="1">
        <f t="shared" si="152"/>
        <v>1.3489628825916511E-7</v>
      </c>
      <c r="C688" s="1">
        <f t="shared" si="153"/>
        <v>7.4872334371392797E-8</v>
      </c>
      <c r="D688" s="1">
        <f t="shared" si="154"/>
        <v>3.461895190730114E-3</v>
      </c>
      <c r="E688" s="1">
        <f t="shared" si="155"/>
        <v>2.7563508015449809E-3</v>
      </c>
      <c r="F688" s="1">
        <f t="shared" si="156"/>
        <v>0.79923999108689847</v>
      </c>
      <c r="G688" s="1">
        <f t="shared" si="157"/>
        <v>0.79923651015584973</v>
      </c>
      <c r="H688" s="1">
        <f t="shared" si="165"/>
        <v>7.9923651015584971</v>
      </c>
      <c r="J688" s="2">
        <v>10.86</v>
      </c>
      <c r="K688" s="1">
        <v>1.380384264602886E-11</v>
      </c>
      <c r="L688" s="1">
        <v>7.3168031967573929E-4</v>
      </c>
      <c r="M688" s="1">
        <v>-7.3125505019701722E-4</v>
      </c>
      <c r="N688" s="1">
        <v>3.4552091750328358E-3</v>
      </c>
      <c r="O688" s="1">
        <v>0.99997429670284876</v>
      </c>
      <c r="P688" s="1">
        <v>1.0441985068250912</v>
      </c>
      <c r="Q688" s="2">
        <v>10.441985068250911</v>
      </c>
      <c r="S688" s="2">
        <v>6.87</v>
      </c>
      <c r="T688" s="1">
        <f t="shared" si="158"/>
        <v>1.3489628825916511E-7</v>
      </c>
      <c r="U688" s="1">
        <f t="shared" si="159"/>
        <v>7.4872334371392797E-8</v>
      </c>
      <c r="V688" s="1">
        <f t="shared" si="160"/>
        <v>9.277937099953143E-2</v>
      </c>
      <c r="W688" s="1">
        <f t="shared" si="161"/>
        <v>2.4068763334895212E-3</v>
      </c>
      <c r="X688" s="1">
        <f t="shared" si="162"/>
        <v>4.9324096434029754E-2</v>
      </c>
      <c r="Y688" s="1">
        <f t="shared" si="163"/>
        <v>4.9324711476889674E-2</v>
      </c>
      <c r="Z688" s="1">
        <f t="shared" si="164"/>
        <v>2.4662355738444837</v>
      </c>
      <c r="AB688">
        <v>8.18</v>
      </c>
      <c r="AC688">
        <v>6.6069344800759602E-9</v>
      </c>
      <c r="AD688">
        <v>1.5286968609205701E-6</v>
      </c>
      <c r="AE688">
        <v>9.962255833145596E-2</v>
      </c>
      <c r="AF688">
        <v>1.2581388951467558E-4</v>
      </c>
      <c r="AG688">
        <v>2.5346876787135553E-3</v>
      </c>
      <c r="AH688">
        <v>2.519447605320049E-3</v>
      </c>
      <c r="AI688">
        <v>0.12597238026600246</v>
      </c>
      <c r="AJ688"/>
      <c r="AK688"/>
      <c r="AL688"/>
      <c r="AM688"/>
      <c r="AN688"/>
      <c r="AO688"/>
      <c r="AP688"/>
      <c r="AQ688"/>
      <c r="AR688"/>
    </row>
    <row r="689" spans="1:44" ht="15" customHeight="1" x14ac:dyDescent="0.3">
      <c r="A689" s="2">
        <v>6.88</v>
      </c>
      <c r="B689" s="1">
        <f t="shared" si="152"/>
        <v>1.3182567385564048E-7</v>
      </c>
      <c r="C689" s="1">
        <f t="shared" si="153"/>
        <v>7.6616335077947691E-8</v>
      </c>
      <c r="D689" s="1">
        <f t="shared" si="154"/>
        <v>3.396471263417797E-3</v>
      </c>
      <c r="E689" s="1">
        <f t="shared" si="155"/>
        <v>2.7672547894303672E-3</v>
      </c>
      <c r="F689" s="1">
        <f t="shared" si="156"/>
        <v>0.80290917015381602</v>
      </c>
      <c r="G689" s="1">
        <f t="shared" si="157"/>
        <v>0.8029059664078021</v>
      </c>
      <c r="H689" s="1">
        <f t="shared" si="165"/>
        <v>8.0290596640780212</v>
      </c>
      <c r="J689" s="2">
        <v>10.87</v>
      </c>
      <c r="K689" s="1">
        <v>1.3489628825916547E-11</v>
      </c>
      <c r="L689" s="1">
        <v>7.4872334371392599E-4</v>
      </c>
      <c r="M689" s="1">
        <v>-7.4830782569650393E-4</v>
      </c>
      <c r="N689" s="1">
        <v>3.4580513042827507E-3</v>
      </c>
      <c r="O689" s="1">
        <v>0.9999748817666263</v>
      </c>
      <c r="P689" s="1">
        <v>1.0452369814138187</v>
      </c>
      <c r="Q689" s="2">
        <v>10.452369814138187</v>
      </c>
      <c r="S689" s="2">
        <v>6.88</v>
      </c>
      <c r="T689" s="1">
        <f t="shared" si="158"/>
        <v>1.3182567385564048E-7</v>
      </c>
      <c r="U689" s="1">
        <f t="shared" si="159"/>
        <v>7.6616335077947691E-8</v>
      </c>
      <c r="V689" s="1">
        <f t="shared" si="160"/>
        <v>9.2932120984300884E-2</v>
      </c>
      <c r="W689" s="1">
        <f t="shared" si="161"/>
        <v>2.3559596718997077E-3</v>
      </c>
      <c r="X689" s="1">
        <f t="shared" si="162"/>
        <v>4.8255521981966198E-2</v>
      </c>
      <c r="Y689" s="1">
        <f t="shared" si="163"/>
        <v>4.825608739628736E-2</v>
      </c>
      <c r="Z689" s="1">
        <f t="shared" si="164"/>
        <v>2.412804369814368</v>
      </c>
      <c r="AB689">
        <v>8.19</v>
      </c>
      <c r="AC689">
        <v>6.456542290346555E-9</v>
      </c>
      <c r="AD689">
        <v>1.5643047851016061E-6</v>
      </c>
      <c r="AE689">
        <v>9.9631223417103579E-2</v>
      </c>
      <c r="AF689">
        <v>1.2292552763213933E-4</v>
      </c>
      <c r="AG689">
        <v>2.4771340651906898E-3</v>
      </c>
      <c r="AH689">
        <v>2.4615364092617285E-3</v>
      </c>
      <c r="AI689">
        <v>0.12307682046308642</v>
      </c>
      <c r="AJ689"/>
      <c r="AK689"/>
      <c r="AL689"/>
      <c r="AM689"/>
      <c r="AN689"/>
      <c r="AO689"/>
      <c r="AP689"/>
      <c r="AQ689"/>
      <c r="AR689"/>
    </row>
    <row r="690" spans="1:44" ht="15" customHeight="1" x14ac:dyDescent="0.3">
      <c r="A690" s="2">
        <v>6.89</v>
      </c>
      <c r="B690" s="1">
        <f t="shared" si="152"/>
        <v>1.288249551693134E-7</v>
      </c>
      <c r="C690" s="1">
        <f t="shared" si="153"/>
        <v>7.8400958779497854E-8</v>
      </c>
      <c r="D690" s="1">
        <f t="shared" si="154"/>
        <v>3.3320345397899486E-3</v>
      </c>
      <c r="E690" s="1">
        <f t="shared" si="155"/>
        <v>2.7779942433683422E-3</v>
      </c>
      <c r="F690" s="1">
        <f t="shared" si="156"/>
        <v>0.80652752281710771</v>
      </c>
      <c r="G690" s="1">
        <f t="shared" si="157"/>
        <v>0.80652459493535555</v>
      </c>
      <c r="H690" s="1">
        <f t="shared" si="165"/>
        <v>8.0652459493535549</v>
      </c>
      <c r="J690" s="2">
        <v>10.88</v>
      </c>
      <c r="K690" s="1">
        <v>1.3182567385564036E-11</v>
      </c>
      <c r="L690" s="1">
        <v>7.6616335077947756E-4</v>
      </c>
      <c r="M690" s="1">
        <v>-7.657573622621833E-4</v>
      </c>
      <c r="N690" s="1">
        <v>3.4609595603770304E-3</v>
      </c>
      <c r="O690" s="1">
        <v>0.9999754535133879</v>
      </c>
      <c r="P690" s="1">
        <v>1.0462999872971857</v>
      </c>
      <c r="Q690" s="2">
        <v>10.462999872971857</v>
      </c>
      <c r="S690" s="2">
        <v>6.89</v>
      </c>
      <c r="T690" s="1">
        <f t="shared" si="158"/>
        <v>1.288249551693134E-7</v>
      </c>
      <c r="U690" s="1">
        <f t="shared" si="159"/>
        <v>7.8400958779497854E-8</v>
      </c>
      <c r="V690" s="1">
        <f t="shared" si="160"/>
        <v>9.3081880743043646E-2</v>
      </c>
      <c r="W690" s="1">
        <f t="shared" si="161"/>
        <v>2.3060397523187817E-3</v>
      </c>
      <c r="X690" s="1">
        <f t="shared" si="162"/>
        <v>4.7208947911911887E-2</v>
      </c>
      <c r="Y690" s="1">
        <f t="shared" si="163"/>
        <v>4.7209464054325016E-2</v>
      </c>
      <c r="Z690" s="1">
        <f t="shared" si="164"/>
        <v>2.3604732027162507</v>
      </c>
      <c r="AB690">
        <v>8.1999999999999993</v>
      </c>
      <c r="AC690">
        <v>6.3095734448019329E-9</v>
      </c>
      <c r="AD690">
        <v>1.6007421243857243E-6</v>
      </c>
      <c r="AE690">
        <v>9.9639695159727162E-2</v>
      </c>
      <c r="AF690">
        <v>1.2010161342427785E-4</v>
      </c>
      <c r="AG690">
        <v>2.4208841148760643E-3</v>
      </c>
      <c r="AH690">
        <v>2.4049206169480847E-3</v>
      </c>
      <c r="AI690">
        <v>0.12024603084740422</v>
      </c>
      <c r="AJ690"/>
      <c r="AK690"/>
      <c r="AL690"/>
      <c r="AM690"/>
      <c r="AN690"/>
      <c r="AO690"/>
      <c r="AP690"/>
      <c r="AQ690"/>
      <c r="AR690"/>
    </row>
    <row r="691" spans="1:44" ht="15" customHeight="1" x14ac:dyDescent="0.3">
      <c r="A691" s="2">
        <v>6.9</v>
      </c>
      <c r="B691" s="1">
        <f t="shared" si="152"/>
        <v>1.2589254117941651E-7</v>
      </c>
      <c r="C691" s="1">
        <f t="shared" si="153"/>
        <v>8.0227151707152563E-8</v>
      </c>
      <c r="D691" s="1">
        <f t="shared" si="154"/>
        <v>3.2685795350074127E-3</v>
      </c>
      <c r="E691" s="1">
        <f t="shared" si="155"/>
        <v>2.788570077498765E-3</v>
      </c>
      <c r="F691" s="1">
        <f t="shared" si="156"/>
        <v>0.81009515860475689</v>
      </c>
      <c r="G691" s="1">
        <f t="shared" si="157"/>
        <v>0.81009250540338562</v>
      </c>
      <c r="H691" s="1">
        <f t="shared" si="165"/>
        <v>8.1009250540338549</v>
      </c>
      <c r="J691" s="2">
        <v>10.89</v>
      </c>
      <c r="K691" s="1">
        <v>1.2882495516931307E-11</v>
      </c>
      <c r="L691" s="1">
        <v>7.8400958779498056E-4</v>
      </c>
      <c r="M691" s="1">
        <v>-7.8361291186868E-4</v>
      </c>
      <c r="N691" s="1">
        <v>3.4639354853114469E-3</v>
      </c>
      <c r="O691" s="1">
        <v>0.99997601224623589</v>
      </c>
      <c r="P691" s="1">
        <v>1.0473881140928434</v>
      </c>
      <c r="Q691" s="2">
        <v>10.473881140928434</v>
      </c>
      <c r="S691" s="2">
        <v>6.9</v>
      </c>
      <c r="T691" s="1">
        <f t="shared" si="158"/>
        <v>1.2589254117941651E-7</v>
      </c>
      <c r="U691" s="1">
        <f t="shared" si="159"/>
        <v>8.0227151707152563E-8</v>
      </c>
      <c r="V691" s="1">
        <f t="shared" si="160"/>
        <v>9.3228698691499495E-2</v>
      </c>
      <c r="W691" s="1">
        <f t="shared" si="161"/>
        <v>2.2571004361668398E-3</v>
      </c>
      <c r="X691" s="1">
        <f t="shared" si="162"/>
        <v>4.618397067294016E-2</v>
      </c>
      <c r="Y691" s="1">
        <f t="shared" si="163"/>
        <v>4.6184437871986603E-2</v>
      </c>
      <c r="Z691" s="1">
        <f t="shared" si="164"/>
        <v>2.3092218935993301</v>
      </c>
      <c r="AB691">
        <v>8.2100000000000009</v>
      </c>
      <c r="AC691">
        <v>6.1659500186148016E-9</v>
      </c>
      <c r="AD691">
        <v>1.6380281983325244E-6</v>
      </c>
      <c r="AE691">
        <v>9.9647977953256264E-2</v>
      </c>
      <c r="AF691">
        <v>1.1734068224790987E-4</v>
      </c>
      <c r="AG691">
        <v>2.365908440546835E-3</v>
      </c>
      <c r="AH691">
        <v>2.3495706471855014E-3</v>
      </c>
      <c r="AI691">
        <v>0.11747853235927506</v>
      </c>
      <c r="AJ691"/>
      <c r="AK691"/>
      <c r="AL691"/>
      <c r="AM691"/>
      <c r="AN691"/>
      <c r="AO691"/>
      <c r="AP691"/>
      <c r="AQ691"/>
      <c r="AR691"/>
    </row>
    <row r="692" spans="1:44" ht="15" customHeight="1" x14ac:dyDescent="0.3">
      <c r="A692" s="2">
        <v>6.91</v>
      </c>
      <c r="B692" s="1">
        <f t="shared" si="152"/>
        <v>1.2302687708123796E-7</v>
      </c>
      <c r="C692" s="1">
        <f t="shared" si="153"/>
        <v>8.2095882132574147E-8</v>
      </c>
      <c r="D692" s="1">
        <f t="shared" si="154"/>
        <v>3.2061004175216643E-3</v>
      </c>
      <c r="E692" s="1">
        <f t="shared" si="155"/>
        <v>2.798983263746389E-3</v>
      </c>
      <c r="F692" s="1">
        <f t="shared" si="156"/>
        <v>0.81361221050558685</v>
      </c>
      <c r="G692" s="1">
        <f t="shared" si="157"/>
        <v>0.8136098309372406</v>
      </c>
      <c r="H692" s="1">
        <f t="shared" si="165"/>
        <v>8.1360983093724055</v>
      </c>
      <c r="J692" s="2">
        <v>10.9</v>
      </c>
      <c r="K692" s="1">
        <v>1.2589254117941641E-11</v>
      </c>
      <c r="L692" s="1">
        <v>8.0227151707152624E-4</v>
      </c>
      <c r="M692" s="1">
        <v>-8.0188394176414928E-4</v>
      </c>
      <c r="N692" s="1">
        <v>3.4669806569606913E-3</v>
      </c>
      <c r="O692" s="1">
        <v>0.99997655826137477</v>
      </c>
      <c r="P692" s="1">
        <v>1.0485019659825026</v>
      </c>
      <c r="Q692" s="2">
        <v>10.485019659825024</v>
      </c>
      <c r="S692" s="2">
        <v>6.91</v>
      </c>
      <c r="T692" s="1">
        <f t="shared" si="158"/>
        <v>1.2302687708123796E-7</v>
      </c>
      <c r="U692" s="1">
        <f t="shared" si="159"/>
        <v>8.2095882132574147E-8</v>
      </c>
      <c r="V692" s="1">
        <f t="shared" si="160"/>
        <v>9.3372622891127577E-2</v>
      </c>
      <c r="W692" s="1">
        <f t="shared" si="161"/>
        <v>2.2091257029574784E-3</v>
      </c>
      <c r="X692" s="1">
        <f t="shared" si="162"/>
        <v>4.5180191982940758E-2</v>
      </c>
      <c r="Y692" s="1">
        <f t="shared" si="163"/>
        <v>4.5180610539326954E-2</v>
      </c>
      <c r="Z692" s="1">
        <f t="shared" si="164"/>
        <v>2.2590305269663475</v>
      </c>
      <c r="AB692">
        <v>8.2200000000000006</v>
      </c>
      <c r="AC692">
        <v>6.0255958607435582E-9</v>
      </c>
      <c r="AD692">
        <v>1.6761827765119416E-6</v>
      </c>
      <c r="AE692">
        <v>9.9656076095812118E-2</v>
      </c>
      <c r="AF692">
        <v>1.1464130139595828E-4</v>
      </c>
      <c r="AG692">
        <v>2.3121783110320393E-3</v>
      </c>
      <c r="AH692">
        <v>2.2954575703508077E-3</v>
      </c>
      <c r="AI692">
        <v>0.11477287851754039</v>
      </c>
      <c r="AJ692"/>
      <c r="AK692"/>
      <c r="AL692"/>
      <c r="AM692"/>
      <c r="AN692"/>
      <c r="AO692"/>
      <c r="AP692"/>
      <c r="AQ692"/>
      <c r="AR692"/>
    </row>
    <row r="693" spans="1:44" ht="15" customHeight="1" x14ac:dyDescent="0.3">
      <c r="A693" s="2">
        <v>6.92</v>
      </c>
      <c r="B693" s="1">
        <f t="shared" si="152"/>
        <v>1.2022644346174111E-7</v>
      </c>
      <c r="C693" s="1">
        <f t="shared" si="153"/>
        <v>8.4008140881369888E-8</v>
      </c>
      <c r="D693" s="1">
        <f t="shared" si="154"/>
        <v>3.1445910243253225E-3</v>
      </c>
      <c r="E693" s="1">
        <f t="shared" si="155"/>
        <v>2.8092348292791127E-3</v>
      </c>
      <c r="F693" s="1">
        <f t="shared" si="156"/>
        <v>0.8170788341999744</v>
      </c>
      <c r="G693" s="1">
        <f t="shared" si="157"/>
        <v>0.81707672735352399</v>
      </c>
      <c r="H693" s="1">
        <f t="shared" si="165"/>
        <v>8.1707672735352386</v>
      </c>
      <c r="J693" s="2">
        <v>10.91</v>
      </c>
      <c r="K693" s="1">
        <v>1.2302687708123787E-11</v>
      </c>
      <c r="L693" s="1">
        <v>8.2095882132574211E-4</v>
      </c>
      <c r="M693" s="1">
        <v>-8.2058013948991041E-4</v>
      </c>
      <c r="N693" s="1">
        <v>3.4700966899149847E-3</v>
      </c>
      <c r="O693" s="1">
        <v>0.99997709184826777</v>
      </c>
      <c r="P693" s="1">
        <v>1.0496421620923377</v>
      </c>
      <c r="Q693" s="2">
        <v>10.496421620923376</v>
      </c>
      <c r="S693" s="2">
        <v>6.92</v>
      </c>
      <c r="T693" s="1">
        <f t="shared" si="158"/>
        <v>1.2022644346174111E-7</v>
      </c>
      <c r="U693" s="1">
        <f t="shared" si="159"/>
        <v>8.4008140881369888E-8</v>
      </c>
      <c r="V693" s="1">
        <f t="shared" si="160"/>
        <v>9.3513701031564977E-2</v>
      </c>
      <c r="W693" s="1">
        <f t="shared" si="161"/>
        <v>2.1620996561450057E-3</v>
      </c>
      <c r="X693" s="1">
        <f t="shared" si="162"/>
        <v>4.4197218856802889E-2</v>
      </c>
      <c r="Y693" s="1">
        <f t="shared" si="163"/>
        <v>4.4197589043636965E-2</v>
      </c>
      <c r="Z693" s="1">
        <f t="shared" si="164"/>
        <v>2.2098794521818483</v>
      </c>
      <c r="AB693">
        <v>8.23</v>
      </c>
      <c r="AC693">
        <v>5.8884365535558713E-9</v>
      </c>
      <c r="AD693">
        <v>1.715226088986367E-6</v>
      </c>
      <c r="AE693">
        <v>9.966399379179175E-2</v>
      </c>
      <c r="AF693">
        <v>1.1200206940275227E-4</v>
      </c>
      <c r="AG693">
        <v>2.2596656368542327E-3</v>
      </c>
      <c r="AH693">
        <v>2.2425530939276994E-3</v>
      </c>
      <c r="AI693">
        <v>0.11212765469638497</v>
      </c>
      <c r="AJ693"/>
      <c r="AK693"/>
      <c r="AL693"/>
      <c r="AM693"/>
      <c r="AN693"/>
      <c r="AO693"/>
      <c r="AP693"/>
      <c r="AQ693"/>
      <c r="AR693"/>
    </row>
    <row r="694" spans="1:44" ht="15" customHeight="1" x14ac:dyDescent="0.3">
      <c r="A694" s="2">
        <v>6.93</v>
      </c>
      <c r="B694" s="1">
        <f t="shared" si="152"/>
        <v>1.174897554939528E-7</v>
      </c>
      <c r="C694" s="1">
        <f t="shared" si="153"/>
        <v>8.5964941858440139E-8</v>
      </c>
      <c r="D694" s="1">
        <f t="shared" si="154"/>
        <v>3.0840448760730589E-3</v>
      </c>
      <c r="E694" s="1">
        <f t="shared" si="155"/>
        <v>2.8193258539878233E-3</v>
      </c>
      <c r="F694" s="1">
        <f t="shared" si="156"/>
        <v>0.82049520728642311</v>
      </c>
      <c r="G694" s="1">
        <f t="shared" si="157"/>
        <v>0.82049337238673492</v>
      </c>
      <c r="H694" s="1">
        <f t="shared" si="165"/>
        <v>8.2049337238673488</v>
      </c>
      <c r="J694" s="2">
        <v>10.92</v>
      </c>
      <c r="K694" s="1">
        <v>1.2022644346174101E-11</v>
      </c>
      <c r="L694" s="1">
        <v>8.4008140881369959E-4</v>
      </c>
      <c r="M694" s="1">
        <v>-8.3971141801692547E-4</v>
      </c>
      <c r="N694" s="1">
        <v>3.4732852363361542E-3</v>
      </c>
      <c r="O694" s="1">
        <v>0.99997761328979029</v>
      </c>
      <c r="P694" s="1">
        <v>1.0508093368842513</v>
      </c>
      <c r="Q694" s="2">
        <v>10.508093368842513</v>
      </c>
      <c r="S694" s="2">
        <v>6.93</v>
      </c>
      <c r="T694" s="1">
        <f t="shared" si="158"/>
        <v>1.174897554939528E-7</v>
      </c>
      <c r="U694" s="1">
        <f t="shared" si="159"/>
        <v>8.5964941858440139E-8</v>
      </c>
      <c r="V694" s="1">
        <f t="shared" si="160"/>
        <v>9.3651980414185459E-2</v>
      </c>
      <c r="W694" s="1">
        <f t="shared" si="161"/>
        <v>2.1160065286048467E-3</v>
      </c>
      <c r="X694" s="1">
        <f t="shared" si="162"/>
        <v>4.3234663628969931E-2</v>
      </c>
      <c r="Y694" s="1">
        <f t="shared" si="163"/>
        <v>4.3234985691980615E-2</v>
      </c>
      <c r="Z694" s="1">
        <f t="shared" si="164"/>
        <v>2.1617492845990305</v>
      </c>
      <c r="AB694">
        <v>8.24</v>
      </c>
      <c r="AC694">
        <v>5.754399373371552E-9</v>
      </c>
      <c r="AD694">
        <v>1.7551788370368745E-6</v>
      </c>
      <c r="AE694">
        <v>9.9671735153910951E-2</v>
      </c>
      <c r="AF694">
        <v>1.0942161536302068E-4</v>
      </c>
      <c r="AG694">
        <v>2.2083429561724475E-3</v>
      </c>
      <c r="AH694">
        <v>2.1908295483420593E-3</v>
      </c>
      <c r="AI694">
        <v>0.10954147741710298</v>
      </c>
      <c r="AJ694"/>
      <c r="AK694"/>
      <c r="AL694"/>
      <c r="AM694"/>
      <c r="AN694"/>
      <c r="AO694"/>
      <c r="AP694"/>
      <c r="AQ694"/>
      <c r="AR694"/>
    </row>
    <row r="695" spans="1:44" ht="15" customHeight="1" x14ac:dyDescent="0.3">
      <c r="A695" s="2">
        <v>6.94</v>
      </c>
      <c r="B695" s="1">
        <f t="shared" si="152"/>
        <v>1.1481536214968794E-7</v>
      </c>
      <c r="C695" s="1">
        <f t="shared" si="153"/>
        <v>8.7967322585564398E-8</v>
      </c>
      <c r="D695" s="1">
        <f t="shared" si="154"/>
        <v>3.0244551920519235E-3</v>
      </c>
      <c r="E695" s="1">
        <f t="shared" si="155"/>
        <v>2.8292574679913461E-3</v>
      </c>
      <c r="F695" s="1">
        <f t="shared" si="156"/>
        <v>0.8238615285055727</v>
      </c>
      <c r="G695" s="1">
        <f t="shared" si="157"/>
        <v>0.82385996491334512</v>
      </c>
      <c r="H695" s="1">
        <f t="shared" si="165"/>
        <v>8.2385996491334499</v>
      </c>
      <c r="J695" s="2">
        <v>10.93</v>
      </c>
      <c r="K695" s="1">
        <v>1.1748975549395269E-11</v>
      </c>
      <c r="L695" s="1">
        <v>8.5964941858440204E-4</v>
      </c>
      <c r="M695" s="1">
        <v>-8.5928792100177823E-4</v>
      </c>
      <c r="N695" s="1">
        <v>3.4765479868336291E-3</v>
      </c>
      <c r="O695" s="1">
        <v>0.99997812286238008</v>
      </c>
      <c r="P695" s="1">
        <v>1.0520041405583453</v>
      </c>
      <c r="Q695" s="2">
        <v>10.520041405583452</v>
      </c>
      <c r="S695" s="2">
        <v>6.94</v>
      </c>
      <c r="T695" s="1">
        <f t="shared" si="158"/>
        <v>1.1481536214968794E-7</v>
      </c>
      <c r="U695" s="1">
        <f t="shared" si="159"/>
        <v>8.7967322585564398E-8</v>
      </c>
      <c r="V695" s="1">
        <f t="shared" si="160"/>
        <v>9.3787507936725689E-2</v>
      </c>
      <c r="W695" s="1">
        <f t="shared" si="161"/>
        <v>2.0708306877581049E-3</v>
      </c>
      <c r="X695" s="1">
        <f t="shared" si="162"/>
        <v>4.2292143970620907E-2</v>
      </c>
      <c r="Y695" s="1">
        <f t="shared" si="163"/>
        <v>4.2292418128359127E-2</v>
      </c>
      <c r="Z695" s="1">
        <f t="shared" si="164"/>
        <v>2.1146209064179566</v>
      </c>
      <c r="AB695">
        <v>8.25</v>
      </c>
      <c r="AC695">
        <v>5.6234132519034744E-9</v>
      </c>
      <c r="AD695">
        <v>1.7960622041393172E-6</v>
      </c>
      <c r="AE695">
        <v>9.9679304205206987E-2</v>
      </c>
      <c r="AF695">
        <v>1.0689859826433619E-4</v>
      </c>
      <c r="AG695">
        <v>2.1581834210206417E-3</v>
      </c>
      <c r="AH695">
        <v>2.1402598730902709E-3</v>
      </c>
      <c r="AI695">
        <v>0.10701299365451356</v>
      </c>
      <c r="AJ695"/>
      <c r="AK695"/>
      <c r="AL695"/>
      <c r="AM695"/>
      <c r="AN695"/>
      <c r="AO695"/>
      <c r="AP695"/>
      <c r="AQ695"/>
      <c r="AR695"/>
    </row>
    <row r="696" spans="1:44" ht="15" customHeight="1" x14ac:dyDescent="0.3">
      <c r="A696" s="2">
        <v>6.95</v>
      </c>
      <c r="B696" s="1">
        <f t="shared" si="152"/>
        <v>1.1220184543019621E-7</v>
      </c>
      <c r="C696" s="1">
        <f t="shared" si="153"/>
        <v>9.0016344751508404E-8</v>
      </c>
      <c r="D696" s="1">
        <f t="shared" si="154"/>
        <v>2.9658149049815517E-3</v>
      </c>
      <c r="E696" s="1">
        <f t="shared" si="155"/>
        <v>2.8390308491697412E-3</v>
      </c>
      <c r="F696" s="1">
        <f t="shared" si="156"/>
        <v>0.82717801696313953</v>
      </c>
      <c r="G696" s="1">
        <f t="shared" si="157"/>
        <v>0.82717672417480781</v>
      </c>
      <c r="H696" s="1">
        <f t="shared" si="165"/>
        <v>8.2717672417480781</v>
      </c>
      <c r="J696" s="2">
        <v>10.94</v>
      </c>
      <c r="K696" s="1">
        <v>1.1481536214968803E-11</v>
      </c>
      <c r="L696" s="1">
        <v>8.796732258556433E-4</v>
      </c>
      <c r="M696" s="1">
        <v>-8.793200281649883E-4</v>
      </c>
      <c r="N696" s="1">
        <v>3.4798866713608313E-3</v>
      </c>
      <c r="O696" s="1">
        <v>0.99997862083618339</v>
      </c>
      <c r="P696" s="1">
        <v>1.0532272394669717</v>
      </c>
      <c r="Q696" s="2">
        <v>10.532272394669716</v>
      </c>
      <c r="S696" s="2">
        <v>6.95</v>
      </c>
      <c r="T696" s="1">
        <f t="shared" si="158"/>
        <v>1.1220184543019621E-7</v>
      </c>
      <c r="U696" s="1">
        <f t="shared" si="159"/>
        <v>9.0016344751508404E-8</v>
      </c>
      <c r="V696" s="1">
        <f t="shared" si="160"/>
        <v>9.3920330078946082E-2</v>
      </c>
      <c r="W696" s="1">
        <f t="shared" si="161"/>
        <v>2.0265566403513072E-3</v>
      </c>
      <c r="X696" s="1">
        <f t="shared" si="162"/>
        <v>4.1369282901730087E-2</v>
      </c>
      <c r="Y696" s="1">
        <f t="shared" si="163"/>
        <v>4.1369509345753265E-2</v>
      </c>
      <c r="Z696" s="1">
        <f t="shared" si="164"/>
        <v>2.0684754672876631</v>
      </c>
      <c r="AB696">
        <v>8.26</v>
      </c>
      <c r="AC696">
        <v>5.4954087385762298E-9</v>
      </c>
      <c r="AD696">
        <v>1.8378978671960883E-6</v>
      </c>
      <c r="AE696">
        <v>9.9686704881001661E-2</v>
      </c>
      <c r="AF696">
        <v>1.044317063327796E-4</v>
      </c>
      <c r="AG696">
        <v>2.1091607838360288E-3</v>
      </c>
      <c r="AH696">
        <v>2.0908176031548724E-3</v>
      </c>
      <c r="AI696">
        <v>0.10454088015774363</v>
      </c>
      <c r="AJ696"/>
      <c r="AK696"/>
      <c r="AL696"/>
      <c r="AM696"/>
      <c r="AN696"/>
      <c r="AO696"/>
      <c r="AP696"/>
      <c r="AQ696"/>
      <c r="AR696"/>
    </row>
    <row r="697" spans="1:44" ht="15" customHeight="1" x14ac:dyDescent="0.3">
      <c r="A697" s="2">
        <v>6.96</v>
      </c>
      <c r="B697" s="1">
        <f t="shared" si="152"/>
        <v>1.0964781961431838E-7</v>
      </c>
      <c r="C697" s="1">
        <f t="shared" si="153"/>
        <v>9.2113094774946972E-8</v>
      </c>
      <c r="D697" s="1">
        <f t="shared" si="154"/>
        <v>2.9081166756260365E-3</v>
      </c>
      <c r="E697" s="1">
        <f t="shared" si="155"/>
        <v>2.8486472207289943E-3</v>
      </c>
      <c r="F697" s="1">
        <f t="shared" si="156"/>
        <v>0.83044491135323728</v>
      </c>
      <c r="G697" s="1">
        <f t="shared" si="157"/>
        <v>0.83044388900094435</v>
      </c>
      <c r="H697" s="1">
        <f t="shared" si="165"/>
        <v>8.3044388900094432</v>
      </c>
      <c r="J697" s="2">
        <v>10.95</v>
      </c>
      <c r="K697" s="1">
        <v>1.1220184543019613E-11</v>
      </c>
      <c r="L697" s="1">
        <v>9.0016344751508461E-4</v>
      </c>
      <c r="M697" s="1">
        <v>-8.9981836079444134E-4</v>
      </c>
      <c r="N697" s="1">
        <v>3.4833030601324065E-3</v>
      </c>
      <c r="O697" s="1">
        <v>0.99997910747519825</v>
      </c>
      <c r="P697" s="1">
        <v>1.0544793165407353</v>
      </c>
      <c r="Q697" s="2">
        <v>10.544793165407352</v>
      </c>
      <c r="S697" s="2">
        <v>6.96</v>
      </c>
      <c r="T697" s="1">
        <f t="shared" si="158"/>
        <v>1.0964781961431838E-7</v>
      </c>
      <c r="U697" s="1">
        <f t="shared" si="159"/>
        <v>9.2113094774946972E-8</v>
      </c>
      <c r="V697" s="1">
        <f t="shared" si="160"/>
        <v>9.4050492889293152E-2</v>
      </c>
      <c r="W697" s="1">
        <f t="shared" si="161"/>
        <v>1.9831690369022837E-3</v>
      </c>
      <c r="X697" s="1">
        <f t="shared" si="162"/>
        <v>4.0465708798247166E-2</v>
      </c>
      <c r="Y697" s="1">
        <f t="shared" si="163"/>
        <v>4.0465887693286594E-2</v>
      </c>
      <c r="Z697" s="1">
        <f t="shared" si="164"/>
        <v>2.0232943846643292</v>
      </c>
      <c r="AB697">
        <v>8.27</v>
      </c>
      <c r="AC697">
        <v>5.3703179637025321E-9</v>
      </c>
      <c r="AD697">
        <v>1.8807080080294942E-6</v>
      </c>
      <c r="AE697">
        <v>9.9693941030825226E-2</v>
      </c>
      <c r="AF697">
        <v>1.0201965639159337E-4</v>
      </c>
      <c r="AG697">
        <v>2.0612493842717332E-3</v>
      </c>
      <c r="AH697">
        <v>2.0424768557019322E-3</v>
      </c>
      <c r="AI697">
        <v>0.10212384278509661</v>
      </c>
      <c r="AJ697"/>
      <c r="AK697"/>
      <c r="AL697"/>
      <c r="AM697"/>
      <c r="AN697"/>
      <c r="AO697"/>
      <c r="AP697"/>
      <c r="AQ697"/>
      <c r="AR697"/>
    </row>
    <row r="698" spans="1:44" ht="15" customHeight="1" x14ac:dyDescent="0.3">
      <c r="A698" s="2">
        <v>6.97</v>
      </c>
      <c r="B698" s="1">
        <f t="shared" si="152"/>
        <v>1.0715193052376054E-7</v>
      </c>
      <c r="C698" s="1">
        <f t="shared" si="153"/>
        <v>9.4258684380496176E-8</v>
      </c>
      <c r="D698" s="1">
        <f t="shared" si="154"/>
        <v>2.8513529072005678E-3</v>
      </c>
      <c r="E698" s="1">
        <f t="shared" si="155"/>
        <v>2.8581078487999053E-3</v>
      </c>
      <c r="F698" s="1">
        <f t="shared" si="156"/>
        <v>0.83366246918343823</v>
      </c>
      <c r="G698" s="1">
        <f t="shared" si="157"/>
        <v>0.83366171703507386</v>
      </c>
      <c r="H698" s="1">
        <f t="shared" si="165"/>
        <v>8.3366171703507383</v>
      </c>
      <c r="J698" s="2">
        <v>10.96</v>
      </c>
      <c r="K698" s="1">
        <v>1.0964781961431789E-11</v>
      </c>
      <c r="L698" s="1">
        <v>9.2113094774947388E-4</v>
      </c>
      <c r="M698" s="1">
        <v>-9.2079378737697844E-4</v>
      </c>
      <c r="N698" s="1">
        <v>3.4867989645628295E-3</v>
      </c>
      <c r="O698" s="1">
        <v>0.99997958303741419</v>
      </c>
      <c r="P698" s="1">
        <v>1.0557610717268544</v>
      </c>
      <c r="Q698" s="2">
        <v>10.557610717268544</v>
      </c>
      <c r="S698" s="2">
        <v>6.97</v>
      </c>
      <c r="T698" s="1">
        <f t="shared" si="158"/>
        <v>1.0715193052376054E-7</v>
      </c>
      <c r="U698" s="1">
        <f t="shared" si="159"/>
        <v>9.4258684380496176E-8</v>
      </c>
      <c r="V698" s="1">
        <f t="shared" si="160"/>
        <v>9.4178041972530435E-2</v>
      </c>
      <c r="W698" s="1">
        <f t="shared" si="161"/>
        <v>1.9406526758231871E-3</v>
      </c>
      <c r="X698" s="1">
        <f t="shared" si="162"/>
        <v>3.9581055394637396E-2</v>
      </c>
      <c r="Y698" s="1">
        <f t="shared" si="163"/>
        <v>3.9581186878748752E-2</v>
      </c>
      <c r="Z698" s="1">
        <f t="shared" si="164"/>
        <v>1.9790593439374375</v>
      </c>
      <c r="AB698">
        <v>8.2799999999999994</v>
      </c>
      <c r="AC698">
        <v>5.2480746024977305E-9</v>
      </c>
      <c r="AD698">
        <v>1.9245153251428779E-6</v>
      </c>
      <c r="AE698">
        <v>9.9701016420302213E-2</v>
      </c>
      <c r="AF698">
        <v>9.9661193232592179E-5</v>
      </c>
      <c r="AG698">
        <v>2.0144241362882375E-3</v>
      </c>
      <c r="AH698">
        <v>1.9952123170545438E-3</v>
      </c>
      <c r="AI698">
        <v>9.9760615852727177E-2</v>
      </c>
      <c r="AJ698"/>
      <c r="AK698"/>
      <c r="AL698"/>
      <c r="AM698"/>
      <c r="AN698"/>
      <c r="AO698"/>
      <c r="AP698"/>
      <c r="AQ698"/>
      <c r="AR698"/>
    </row>
    <row r="699" spans="1:44" ht="15" customHeight="1" x14ac:dyDescent="0.3">
      <c r="A699" s="2">
        <v>6.98</v>
      </c>
      <c r="B699" s="1">
        <f t="shared" si="152"/>
        <v>1.0471285480508987E-7</v>
      </c>
      <c r="C699" s="1">
        <f t="shared" si="153"/>
        <v>9.6454251188165109E-8</v>
      </c>
      <c r="D699" s="1">
        <f t="shared" si="154"/>
        <v>2.79551575955714E-3</v>
      </c>
      <c r="E699" s="1">
        <f t="shared" si="155"/>
        <v>2.8674140400738101E-3</v>
      </c>
      <c r="F699" s="1">
        <f t="shared" si="156"/>
        <v>0.83683096600289475</v>
      </c>
      <c r="G699" s="1">
        <f t="shared" si="157"/>
        <v>0.83683048396220128</v>
      </c>
      <c r="H699" s="1">
        <f t="shared" si="165"/>
        <v>8.368304839622013</v>
      </c>
      <c r="J699" s="2">
        <v>10.97</v>
      </c>
      <c r="K699" s="1">
        <v>1.0715193052376007E-11</v>
      </c>
      <c r="L699" s="1">
        <v>9.4258684380496593E-4</v>
      </c>
      <c r="M699" s="1">
        <v>-9.4225742936097793E-4</v>
      </c>
      <c r="N699" s="1">
        <v>3.4903762382268297E-3</v>
      </c>
      <c r="O699" s="1">
        <v>0.99998004777494953</v>
      </c>
      <c r="P699" s="1">
        <v>1.0570732224402779</v>
      </c>
      <c r="Q699" s="2">
        <v>10.570732224402779</v>
      </c>
      <c r="S699" s="2">
        <v>6.98</v>
      </c>
      <c r="T699" s="1">
        <f t="shared" si="158"/>
        <v>1.0471285480508987E-7</v>
      </c>
      <c r="U699" s="1">
        <f t="shared" si="159"/>
        <v>9.6454251188165109E-8</v>
      </c>
      <c r="V699" s="1">
        <f t="shared" si="160"/>
        <v>9.4303022478305784E-2</v>
      </c>
      <c r="W699" s="1">
        <f t="shared" si="161"/>
        <v>1.8989925072314085E-3</v>
      </c>
      <c r="X699" s="1">
        <f t="shared" si="162"/>
        <v>3.8714961782009873E-2</v>
      </c>
      <c r="Y699" s="1">
        <f t="shared" si="163"/>
        <v>3.8715045966707134E-2</v>
      </c>
      <c r="Z699" s="1">
        <f t="shared" si="164"/>
        <v>1.9357522983353566</v>
      </c>
      <c r="AB699">
        <v>8.2899999999999991</v>
      </c>
      <c r="AC699">
        <v>5.1286138399136542E-9</v>
      </c>
      <c r="AD699">
        <v>1.9693430457556234E-6</v>
      </c>
      <c r="AE699">
        <v>9.9707934732999673E-2</v>
      </c>
      <c r="AF699">
        <v>9.7355089000109331E-5</v>
      </c>
      <c r="AG699">
        <v>1.9686605155183365E-3</v>
      </c>
      <c r="AH699">
        <v>1.9489992299371033E-3</v>
      </c>
      <c r="AI699">
        <v>9.7449961496855156E-2</v>
      </c>
      <c r="AJ699"/>
      <c r="AK699"/>
      <c r="AL699"/>
      <c r="AM699"/>
      <c r="AN699"/>
      <c r="AO699"/>
      <c r="AP699"/>
      <c r="AQ699"/>
      <c r="AR699"/>
    </row>
    <row r="700" spans="1:44" ht="15" customHeight="1" x14ac:dyDescent="0.3">
      <c r="A700" s="2">
        <v>6.99</v>
      </c>
      <c r="B700" s="1">
        <f t="shared" si="152"/>
        <v>1.0232929922807534E-7</v>
      </c>
      <c r="C700" s="1">
        <f t="shared" si="153"/>
        <v>9.8700959316536942E-8</v>
      </c>
      <c r="D700" s="1">
        <f t="shared" si="154"/>
        <v>2.7405971631349751E-3</v>
      </c>
      <c r="E700" s="1">
        <f t="shared" si="155"/>
        <v>2.8765671394775042E-3</v>
      </c>
      <c r="F700" s="1">
        <f t="shared" si="156"/>
        <v>0.83995069463475347</v>
      </c>
      <c r="G700" s="1">
        <f t="shared" si="157"/>
        <v>0.8399504827414993</v>
      </c>
      <c r="H700" s="1">
        <f t="shared" si="165"/>
        <v>8.3995048274149919</v>
      </c>
      <c r="J700" s="2">
        <v>10.98</v>
      </c>
      <c r="K700" s="1">
        <v>1.0471285480508978E-11</v>
      </c>
      <c r="L700" s="1">
        <v>9.6454251188165185E-4</v>
      </c>
      <c r="M700" s="1">
        <v>-9.6422066705311425E-4</v>
      </c>
      <c r="N700" s="1">
        <v>3.4940367778421855E-3</v>
      </c>
      <c r="O700" s="1">
        <v>0.99998050193418453</v>
      </c>
      <c r="P700" s="1">
        <v>1.0584165040279947</v>
      </c>
      <c r="Q700" s="2">
        <v>10.584165040279947</v>
      </c>
      <c r="S700" s="2">
        <v>6.99</v>
      </c>
      <c r="T700" s="1">
        <f t="shared" si="158"/>
        <v>1.0232929922807534E-7</v>
      </c>
      <c r="U700" s="1">
        <f t="shared" si="159"/>
        <v>9.8700959316536942E-8</v>
      </c>
      <c r="V700" s="1">
        <f t="shared" si="160"/>
        <v>9.442547909062235E-2</v>
      </c>
      <c r="W700" s="1">
        <f t="shared" si="161"/>
        <v>1.8581736364592148E-3</v>
      </c>
      <c r="X700" s="1">
        <f t="shared" si="162"/>
        <v>3.7867072402059165E-2</v>
      </c>
      <c r="Y700" s="1">
        <f t="shared" si="163"/>
        <v>3.7867109372432005E-2</v>
      </c>
      <c r="Z700" s="1">
        <f t="shared" si="164"/>
        <v>1.8933554686216003</v>
      </c>
      <c r="AB700">
        <v>8.3000000000000007</v>
      </c>
      <c r="AC700">
        <v>5.0118723362727114E-9</v>
      </c>
      <c r="AD700">
        <v>2.0152149381185727E-6</v>
      </c>
      <c r="AE700">
        <v>9.9714699572238261E-2</v>
      </c>
      <c r="AF700">
        <v>9.5100142587245323E-5</v>
      </c>
      <c r="AG700">
        <v>1.9239345469001165E-3</v>
      </c>
      <c r="AH700">
        <v>1.9038133809848178E-3</v>
      </c>
      <c r="AI700">
        <v>9.5190669049240895E-2</v>
      </c>
      <c r="AJ700"/>
      <c r="AK700"/>
      <c r="AL700"/>
      <c r="AM700"/>
      <c r="AN700"/>
      <c r="AO700"/>
      <c r="AP700"/>
      <c r="AQ700"/>
      <c r="AR700"/>
    </row>
    <row r="701" spans="1:44" ht="15" customHeight="1" x14ac:dyDescent="0.3">
      <c r="A701" s="2">
        <v>7</v>
      </c>
      <c r="B701" s="1">
        <f t="shared" si="152"/>
        <v>9.9999999999999995E-8</v>
      </c>
      <c r="C701" s="1">
        <f t="shared" si="153"/>
        <v>1.0099999999999999E-7</v>
      </c>
      <c r="D701" s="1">
        <f t="shared" si="154"/>
        <v>2.6865888326624895E-3</v>
      </c>
      <c r="E701" s="1">
        <f t="shared" si="155"/>
        <v>2.8855685278895847E-3</v>
      </c>
      <c r="F701" s="1">
        <f t="shared" si="156"/>
        <v>0.8430219644140361</v>
      </c>
      <c r="G701" s="1">
        <f t="shared" si="157"/>
        <v>0.84302202284425642</v>
      </c>
      <c r="H701" s="1">
        <f t="shared" si="165"/>
        <v>8.4302202284425629</v>
      </c>
      <c r="J701" s="2">
        <v>10.99</v>
      </c>
      <c r="K701" s="1">
        <v>1.0232929922807526E-11</v>
      </c>
      <c r="L701" s="1">
        <v>9.8700959316537018E-4</v>
      </c>
      <c r="M701" s="1">
        <v>-9.8669514565232408E-4</v>
      </c>
      <c r="N701" s="1">
        <v>3.4977825242753875E-3</v>
      </c>
      <c r="O701" s="1">
        <v>0.99998094575589147</v>
      </c>
      <c r="P701" s="1">
        <v>1.0597916702469707</v>
      </c>
      <c r="Q701" s="2">
        <v>10.597916702469707</v>
      </c>
      <c r="S701" s="2">
        <v>7</v>
      </c>
      <c r="T701" s="1">
        <f t="shared" si="158"/>
        <v>9.9999999999999995E-8</v>
      </c>
      <c r="U701" s="1">
        <f t="shared" si="159"/>
        <v>1.0099999999999999E-7</v>
      </c>
      <c r="V701" s="1">
        <f t="shared" si="160"/>
        <v>9.4545456018181817E-2</v>
      </c>
      <c r="W701" s="1">
        <f t="shared" si="161"/>
        <v>1.8181813272727275E-3</v>
      </c>
      <c r="X701" s="1">
        <f t="shared" si="162"/>
        <v>3.7037037037037035E-2</v>
      </c>
      <c r="Y701" s="1">
        <f t="shared" si="163"/>
        <v>3.7037026851851902E-2</v>
      </c>
      <c r="Z701" s="1">
        <f t="shared" si="164"/>
        <v>1.8518513425925953</v>
      </c>
      <c r="AB701">
        <v>8.31</v>
      </c>
      <c r="AC701">
        <v>4.8977881936844509E-9</v>
      </c>
      <c r="AD701">
        <v>2.0621553241162291E-6</v>
      </c>
      <c r="AE701">
        <v>9.9721314462867389E-2</v>
      </c>
      <c r="AF701">
        <v>9.2895179044203262E-5</v>
      </c>
      <c r="AG701">
        <v>1.8802227925728812E-3</v>
      </c>
      <c r="AH701">
        <v>1.8596310885133013E-3</v>
      </c>
      <c r="AI701">
        <v>9.2981554425665067E-2</v>
      </c>
      <c r="AJ701"/>
      <c r="AK701"/>
      <c r="AL701"/>
      <c r="AM701"/>
      <c r="AN701"/>
      <c r="AO701"/>
      <c r="AP701"/>
      <c r="AQ701"/>
      <c r="AR701"/>
    </row>
    <row r="702" spans="1:44" ht="15" customHeight="1" x14ac:dyDescent="0.3">
      <c r="A702" s="2">
        <v>7.01</v>
      </c>
      <c r="B702" s="1">
        <f t="shared" si="152"/>
        <v>9.7723722095581017E-8</v>
      </c>
      <c r="C702" s="1">
        <f t="shared" si="153"/>
        <v>1.0335259222035622E-7</v>
      </c>
      <c r="D702" s="1">
        <f t="shared" si="154"/>
        <v>2.6334822805988696E-3</v>
      </c>
      <c r="E702" s="1">
        <f t="shared" si="155"/>
        <v>2.8944196199001881E-3</v>
      </c>
      <c r="F702" s="1">
        <f t="shared" si="156"/>
        <v>0.8460451004320948</v>
      </c>
      <c r="G702" s="1">
        <f t="shared" si="157"/>
        <v>0.84604542949839956</v>
      </c>
      <c r="H702" s="1">
        <f t="shared" si="165"/>
        <v>8.4604542949839949</v>
      </c>
      <c r="J702" s="2">
        <v>11</v>
      </c>
      <c r="K702" s="1">
        <v>9.9999999999999994E-12</v>
      </c>
      <c r="L702" s="1">
        <v>1.01E-3</v>
      </c>
      <c r="M702" s="1">
        <v>-1.0096927814242818E-3</v>
      </c>
      <c r="N702" s="1">
        <v>3.5016154635707135E-3</v>
      </c>
      <c r="O702" s="1">
        <v>0.99998137947536381</v>
      </c>
      <c r="P702" s="1">
        <v>1.0611994937561813</v>
      </c>
      <c r="Q702" s="2">
        <v>10.611994937561812</v>
      </c>
      <c r="S702" s="2">
        <v>7.01</v>
      </c>
      <c r="T702" s="1">
        <f t="shared" si="158"/>
        <v>9.7723722095581017E-8</v>
      </c>
      <c r="U702" s="1">
        <f t="shared" si="159"/>
        <v>1.0335259222035622E-7</v>
      </c>
      <c r="V702" s="1">
        <f t="shared" si="160"/>
        <v>9.466299698556771E-2</v>
      </c>
      <c r="W702" s="1">
        <f t="shared" si="161"/>
        <v>1.7790010048107647E-3</v>
      </c>
      <c r="X702" s="1">
        <f t="shared" si="162"/>
        <v>3.6224510795964539E-2</v>
      </c>
      <c r="Y702" s="1">
        <f t="shared" si="163"/>
        <v>3.6224453487749567E-2</v>
      </c>
      <c r="Z702" s="1">
        <f t="shared" si="164"/>
        <v>1.8112226743874784</v>
      </c>
      <c r="AB702">
        <v>8.32</v>
      </c>
      <c r="AC702">
        <v>4.7863009232263728E-9</v>
      </c>
      <c r="AD702">
        <v>2.1101890921625845E-6</v>
      </c>
      <c r="AE702">
        <v>9.9727782853004557E-2</v>
      </c>
      <c r="AF702">
        <v>9.0739048998482544E-5</v>
      </c>
      <c r="AG702">
        <v>1.8375023400307128E-3</v>
      </c>
      <c r="AH702">
        <v>1.8164291905428801E-3</v>
      </c>
      <c r="AI702">
        <v>9.0821459527144016E-2</v>
      </c>
      <c r="AJ702"/>
      <c r="AK702"/>
      <c r="AL702"/>
      <c r="AM702"/>
      <c r="AN702"/>
      <c r="AO702"/>
      <c r="AP702"/>
      <c r="AQ702"/>
      <c r="AR702"/>
    </row>
    <row r="703" spans="1:44" ht="15" customHeight="1" x14ac:dyDescent="0.3">
      <c r="A703" s="2">
        <v>7.02</v>
      </c>
      <c r="B703" s="1">
        <f t="shared" si="152"/>
        <v>9.5499258602143556E-8</v>
      </c>
      <c r="C703" s="1">
        <f t="shared" si="153"/>
        <v>1.0575998335314089E-7</v>
      </c>
      <c r="D703" s="1">
        <f t="shared" si="154"/>
        <v>2.5812688303044301E-3</v>
      </c>
      <c r="E703" s="1">
        <f t="shared" si="155"/>
        <v>2.9031218616159282E-3</v>
      </c>
      <c r="F703" s="1">
        <f t="shared" si="156"/>
        <v>0.84902044278867661</v>
      </c>
      <c r="G703" s="1">
        <f t="shared" si="157"/>
        <v>0.84902104294062652</v>
      </c>
      <c r="H703" s="1">
        <f t="shared" si="165"/>
        <v>8.4902104294062646</v>
      </c>
      <c r="J703" s="2">
        <v>11.01</v>
      </c>
      <c r="K703" s="1">
        <v>9.7723722095580929E-12</v>
      </c>
      <c r="L703" s="1">
        <v>1.0335259222035631E-3</v>
      </c>
      <c r="M703" s="1">
        <v>-1.0332257680195167E-3</v>
      </c>
      <c r="N703" s="1">
        <v>3.5055376280032531E-3</v>
      </c>
      <c r="O703" s="1">
        <v>0.99998180332253905</v>
      </c>
      <c r="P703" s="1">
        <v>1.0626407666232069</v>
      </c>
      <c r="Q703" s="2">
        <v>10.626407666232069</v>
      </c>
      <c r="S703" s="2">
        <v>7.02</v>
      </c>
      <c r="T703" s="1">
        <f t="shared" si="158"/>
        <v>9.5499258602143556E-8</v>
      </c>
      <c r="U703" s="1">
        <f t="shared" si="159"/>
        <v>1.0575998335314089E-7</v>
      </c>
      <c r="V703" s="1">
        <f t="shared" si="160"/>
        <v>9.4778145225238142E-2</v>
      </c>
      <c r="W703" s="1">
        <f t="shared" si="161"/>
        <v>1.7406182582539564E-3</v>
      </c>
      <c r="X703" s="1">
        <f t="shared" si="162"/>
        <v>3.542915409728898E-2</v>
      </c>
      <c r="Y703" s="1">
        <f t="shared" si="163"/>
        <v>3.5429049672402832E-2</v>
      </c>
      <c r="Z703" s="1">
        <f t="shared" si="164"/>
        <v>1.7714524836201417</v>
      </c>
      <c r="AB703">
        <v>8.33</v>
      </c>
      <c r="AC703">
        <v>4.6773514128719724E-9</v>
      </c>
      <c r="AD703">
        <v>2.1593417103972586E-6</v>
      </c>
      <c r="AE703">
        <v>9.973410811573985E-2</v>
      </c>
      <c r="AF703">
        <v>8.8630628086718984E-5</v>
      </c>
      <c r="AG703">
        <v>1.795750790528741E-3</v>
      </c>
      <c r="AH703">
        <v>1.7741850330726123E-3</v>
      </c>
      <c r="AI703">
        <v>8.8709251653630611E-2</v>
      </c>
      <c r="AJ703"/>
      <c r="AK703"/>
      <c r="AL703"/>
      <c r="AM703"/>
      <c r="AN703"/>
      <c r="AO703"/>
      <c r="AP703"/>
      <c r="AQ703"/>
      <c r="AR703"/>
    </row>
    <row r="704" spans="1:44" ht="15" customHeight="1" x14ac:dyDescent="0.3">
      <c r="A704" s="2">
        <v>7.03</v>
      </c>
      <c r="B704" s="1">
        <f t="shared" si="152"/>
        <v>9.3325430079699072E-8</v>
      </c>
      <c r="C704" s="1">
        <f t="shared" si="153"/>
        <v>1.0822344982899828E-7</v>
      </c>
      <c r="D704" s="1">
        <f t="shared" si="154"/>
        <v>2.5299396289300579E-3</v>
      </c>
      <c r="E704" s="1">
        <f t="shared" si="155"/>
        <v>2.911676728511657E-3</v>
      </c>
      <c r="F704" s="1">
        <f t="shared" si="156"/>
        <v>0.85194834585257373</v>
      </c>
      <c r="G704" s="1">
        <f t="shared" si="157"/>
        <v>0.85194921767712395</v>
      </c>
      <c r="H704" s="1">
        <f t="shared" si="165"/>
        <v>8.519492176771239</v>
      </c>
      <c r="J704" s="2">
        <v>11.02</v>
      </c>
      <c r="K704" s="1">
        <v>9.5499258602143472E-12</v>
      </c>
      <c r="L704" s="1">
        <v>1.0575998335314099E-3</v>
      </c>
      <c r="M704" s="1">
        <v>-1.0573065829386668E-3</v>
      </c>
      <c r="N704" s="1">
        <v>3.5095510971564449E-3</v>
      </c>
      <c r="O704" s="1">
        <v>0.9999822175221218</v>
      </c>
      <c r="P704" s="1">
        <v>1.0641163008459005</v>
      </c>
      <c r="Q704" s="2">
        <v>10.641163008459005</v>
      </c>
      <c r="S704" s="2">
        <v>7.03</v>
      </c>
      <c r="T704" s="1">
        <f t="shared" si="158"/>
        <v>9.3325430079699072E-8</v>
      </c>
      <c r="U704" s="1">
        <f t="shared" si="159"/>
        <v>1.0822344982899828E-7</v>
      </c>
      <c r="V704" s="1">
        <f t="shared" si="160"/>
        <v>9.4890943470297071E-2</v>
      </c>
      <c r="W704" s="1">
        <f t="shared" si="161"/>
        <v>1.703018843234315E-3</v>
      </c>
      <c r="X704" s="1">
        <f t="shared" si="162"/>
        <v>3.4650632648182231E-2</v>
      </c>
      <c r="Y704" s="1">
        <f t="shared" si="163"/>
        <v>3.4650481086866983E-2</v>
      </c>
      <c r="Z704" s="1">
        <f t="shared" si="164"/>
        <v>1.7325240543433491</v>
      </c>
      <c r="AB704">
        <v>8.34</v>
      </c>
      <c r="AC704">
        <v>4.570881896148741E-9</v>
      </c>
      <c r="AD704">
        <v>2.2096392401890523E-6</v>
      </c>
      <c r="AE704">
        <v>9.9740293550806144E-2</v>
      </c>
      <c r="AF704">
        <v>8.6568816397950113E-5</v>
      </c>
      <c r="AG704">
        <v>1.7549462477370176E-3</v>
      </c>
      <c r="AH704">
        <v>1.73287645859885E-3</v>
      </c>
      <c r="AI704">
        <v>8.6643822929942493E-2</v>
      </c>
      <c r="AJ704"/>
      <c r="AK704"/>
      <c r="AL704"/>
      <c r="AM704"/>
      <c r="AN704"/>
      <c r="AO704"/>
      <c r="AP704"/>
      <c r="AQ704"/>
      <c r="AR704"/>
    </row>
    <row r="705" spans="1:44" ht="15" customHeight="1" x14ac:dyDescent="0.3">
      <c r="A705" s="2">
        <v>7.04</v>
      </c>
      <c r="B705" s="1">
        <f t="shared" si="152"/>
        <v>9.120108393559095E-8</v>
      </c>
      <c r="C705" s="1">
        <f t="shared" si="153"/>
        <v>1.1074429781046171E-7</v>
      </c>
      <c r="D705" s="1">
        <f t="shared" si="154"/>
        <v>2.4794856600172887E-3</v>
      </c>
      <c r="E705" s="1">
        <f t="shared" si="155"/>
        <v>2.9200857233304522E-3</v>
      </c>
      <c r="F705" s="1">
        <f t="shared" si="156"/>
        <v>0.85482917753175947</v>
      </c>
      <c r="G705" s="1">
        <f t="shared" si="157"/>
        <v>0.85483032175377116</v>
      </c>
      <c r="H705" s="1">
        <f t="shared" si="165"/>
        <v>8.5483032175377112</v>
      </c>
      <c r="J705" s="2">
        <v>11.03</v>
      </c>
      <c r="K705" s="1">
        <v>9.3325430079698992E-12</v>
      </c>
      <c r="L705" s="1">
        <v>1.0822344982899838E-3</v>
      </c>
      <c r="M705" s="1">
        <v>-1.081947994148226E-3</v>
      </c>
      <c r="N705" s="1">
        <v>3.513657999024704E-3</v>
      </c>
      <c r="O705" s="1">
        <v>0.99998262229370238</v>
      </c>
      <c r="P705" s="1">
        <v>1.0656269288896361</v>
      </c>
      <c r="Q705" s="2">
        <v>10.656269288896359</v>
      </c>
      <c r="S705" s="2">
        <v>7.04</v>
      </c>
      <c r="T705" s="1">
        <f t="shared" si="158"/>
        <v>9.120108393559095E-8</v>
      </c>
      <c r="U705" s="1">
        <f t="shared" si="159"/>
        <v>1.1074429781046171E-7</v>
      </c>
      <c r="V705" s="1">
        <f t="shared" si="160"/>
        <v>9.5001433948013886E-2</v>
      </c>
      <c r="W705" s="1">
        <f t="shared" si="161"/>
        <v>1.6661886839953747E-3</v>
      </c>
      <c r="X705" s="1">
        <f t="shared" si="162"/>
        <v>3.3888617420671965E-2</v>
      </c>
      <c r="Y705" s="1">
        <f t="shared" si="163"/>
        <v>3.3888418677090144E-2</v>
      </c>
      <c r="Z705" s="1">
        <f t="shared" si="164"/>
        <v>1.6944209338545071</v>
      </c>
      <c r="AB705">
        <v>8.35</v>
      </c>
      <c r="AC705">
        <v>4.4668359215096219E-9</v>
      </c>
      <c r="AD705">
        <v>2.2611083499540276E-6</v>
      </c>
      <c r="AE705">
        <v>9.9746342386215714E-2</v>
      </c>
      <c r="AF705">
        <v>8.4552537928093209E-5</v>
      </c>
      <c r="AG705">
        <v>1.7150673066371261E-3</v>
      </c>
      <c r="AH705">
        <v>1.6924817948734004E-3</v>
      </c>
      <c r="AI705">
        <v>8.4624089743670028E-2</v>
      </c>
      <c r="AJ705"/>
      <c r="AK705"/>
      <c r="AL705"/>
      <c r="AM705"/>
      <c r="AN705"/>
      <c r="AO705"/>
      <c r="AP705"/>
      <c r="AQ705"/>
      <c r="AR705"/>
    </row>
    <row r="706" spans="1:44" ht="15" customHeight="1" x14ac:dyDescent="0.3">
      <c r="A706" s="2">
        <v>7.05</v>
      </c>
      <c r="B706" s="1">
        <f t="shared" si="152"/>
        <v>8.9125093813374537E-8</v>
      </c>
      <c r="C706" s="1">
        <f t="shared" si="153"/>
        <v>1.1332386388449832E-7</v>
      </c>
      <c r="D706" s="1">
        <f t="shared" si="154"/>
        <v>2.4298977558013441E-3</v>
      </c>
      <c r="E706" s="1">
        <f t="shared" si="155"/>
        <v>2.9283503740331089E-3</v>
      </c>
      <c r="F706" s="1">
        <f t="shared" si="156"/>
        <v>0.85766331855385691</v>
      </c>
      <c r="G706" s="1">
        <f t="shared" si="157"/>
        <v>0.85766473603667803</v>
      </c>
      <c r="H706" s="1">
        <f t="shared" si="165"/>
        <v>8.5766473603667794</v>
      </c>
      <c r="J706" s="2">
        <v>11.04</v>
      </c>
      <c r="K706" s="1">
        <v>9.1201083935590882E-12</v>
      </c>
      <c r="L706" s="1">
        <v>1.1074429781046178E-3</v>
      </c>
      <c r="M706" s="1">
        <v>-1.107163066850269E-3</v>
      </c>
      <c r="N706" s="1">
        <v>3.5178605111417117E-3</v>
      </c>
      <c r="O706" s="1">
        <v>0.9999830178518736</v>
      </c>
      <c r="P706" s="1">
        <v>1.067173504240678</v>
      </c>
      <c r="Q706" s="2">
        <v>10.67173504240678</v>
      </c>
      <c r="S706" s="2">
        <v>7.05</v>
      </c>
      <c r="T706" s="1">
        <f t="shared" si="158"/>
        <v>8.9125093813374537E-8</v>
      </c>
      <c r="U706" s="1">
        <f t="shared" si="159"/>
        <v>1.1332386388449832E-7</v>
      </c>
      <c r="V706" s="1">
        <f t="shared" si="160"/>
        <v>9.510965837406167E-2</v>
      </c>
      <c r="W706" s="1">
        <f t="shared" si="161"/>
        <v>1.630113875312772E-3</v>
      </c>
      <c r="X706" s="1">
        <f t="shared" si="162"/>
        <v>3.3142784624789874E-2</v>
      </c>
      <c r="Y706" s="1">
        <f t="shared" si="163"/>
        <v>3.314253862704581E-2</v>
      </c>
      <c r="Z706" s="1">
        <f t="shared" si="164"/>
        <v>1.6571269313522903</v>
      </c>
      <c r="AB706">
        <v>8.36</v>
      </c>
      <c r="AC706">
        <v>4.3651583224016521E-9</v>
      </c>
      <c r="AD706">
        <v>2.3137763292954546E-6</v>
      </c>
      <c r="AE706">
        <v>9.9752257779863726E-2</v>
      </c>
      <c r="AF706">
        <v>8.258074004542392E-5</v>
      </c>
      <c r="AG706">
        <v>1.6760930426566844E-3</v>
      </c>
      <c r="AH706">
        <v>1.6529798438963696E-3</v>
      </c>
      <c r="AI706">
        <v>8.2648992194818485E-2</v>
      </c>
      <c r="AJ706"/>
      <c r="AK706"/>
      <c r="AL706"/>
      <c r="AM706"/>
      <c r="AN706"/>
      <c r="AO706"/>
      <c r="AP706"/>
      <c r="AQ706"/>
      <c r="AR706"/>
    </row>
    <row r="707" spans="1:44" ht="15" customHeight="1" x14ac:dyDescent="0.3">
      <c r="A707" s="2">
        <v>7.06</v>
      </c>
      <c r="B707" s="1">
        <f t="shared" ref="B707:B770" si="166">10^(-A707)</f>
        <v>8.7096358995608061E-8</v>
      </c>
      <c r="C707" s="1">
        <f t="shared" ref="C707:C770" si="167">Kw/B707</f>
        <v>1.1596351577118515E-7</v>
      </c>
      <c r="D707" s="1">
        <f t="shared" ref="D707:D770" si="168">((WASB_Ca*WASB_Va)-(WASB_Cb*H707))/(WASB_Va+H707)</f>
        <v>2.381166609210806E-3</v>
      </c>
      <c r="E707" s="1">
        <f t="shared" ref="E707:E770" si="169">(WASB_Ca*H707)/(WASB_Va+H707)</f>
        <v>2.936472231798199E-3</v>
      </c>
      <c r="F707" s="1">
        <f t="shared" ref="F707:F770" si="170">WASB_Ka/(B707+WASB_Ka)</f>
        <v>0.86045116175771208</v>
      </c>
      <c r="G707" s="1">
        <f t="shared" ref="G707:G770" si="171">(F707-((B707-C707)/WASB_Ca)) / (1 + ((B707-C707)/WASB_Cb))</f>
        <v>0.86045285350382505</v>
      </c>
      <c r="H707" s="1">
        <f t="shared" si="165"/>
        <v>8.6045285350382503</v>
      </c>
      <c r="J707" s="2">
        <v>11.05</v>
      </c>
      <c r="K707" s="1">
        <v>8.9125093813374152E-12</v>
      </c>
      <c r="L707" s="1">
        <v>1.1332386388449881E-3</v>
      </c>
      <c r="M707" s="1">
        <v>-1.1329651704098111E-3</v>
      </c>
      <c r="N707" s="1">
        <v>3.5221608617349684E-3</v>
      </c>
      <c r="O707" s="1">
        <v>0.99998340440634403</v>
      </c>
      <c r="P707" s="1">
        <v>1.0687569019762322</v>
      </c>
      <c r="Q707" s="2">
        <v>10.687569019762321</v>
      </c>
      <c r="S707" s="2">
        <v>7.06</v>
      </c>
      <c r="T707" s="1">
        <f t="shared" ref="T707:T770" si="172">10^-S707</f>
        <v>8.7096358995608061E-8</v>
      </c>
      <c r="U707" s="1">
        <f t="shared" ref="U707:U770" si="173">Kw/T707</f>
        <v>1.1596351577118515E-7</v>
      </c>
      <c r="V707" s="1">
        <f t="shared" ref="V707:V770" si="174">((SAWB_Cb*SAWB_Vb)-(SAWB_Ca*Z707))/(Z707+SAWB_Vb)</f>
        <v>9.5215657947445076E-2</v>
      </c>
      <c r="W707" s="1">
        <f t="shared" ref="W707:W770" si="175">(SAWB_Cb*Z707)/(Z707+SAWB_Vb)</f>
        <v>1.5947806841849685E-3</v>
      </c>
      <c r="X707" s="1">
        <f t="shared" ref="X707:X770" si="176">T707/(T707+SAWB_Ka)</f>
        <v>3.2412815678914929E-2</v>
      </c>
      <c r="Y707" s="1">
        <f t="shared" ref="Y707:Y770" si="177">(X707+((T707-U707)/SAWB_Cb))/(1-((T707-U707)/SAWB_Ca))</f>
        <v>3.2412522329060361E-2</v>
      </c>
      <c r="Z707" s="1">
        <f t="shared" ref="Z707:Z770" si="178">(Y707*SAWB_Cb*SAWB_Vb)/SAWB_Ca</f>
        <v>1.6206261164530182</v>
      </c>
      <c r="AB707">
        <v>8.3699999999999992</v>
      </c>
      <c r="AC707">
        <v>4.265795188015919E-9</v>
      </c>
      <c r="AD707">
        <v>2.3676711034731252E-6</v>
      </c>
      <c r="AE707">
        <v>9.9758042821099457E-2</v>
      </c>
      <c r="AF707">
        <v>8.0652392966846034E-5</v>
      </c>
      <c r="AG707">
        <v>1.638003001036977E-3</v>
      </c>
      <c r="AH707">
        <v>1.6143498711388513E-3</v>
      </c>
      <c r="AI707">
        <v>8.0717493556942563E-2</v>
      </c>
      <c r="AJ707"/>
      <c r="AK707"/>
      <c r="AL707"/>
      <c r="AM707"/>
      <c r="AN707"/>
      <c r="AO707"/>
      <c r="AP707"/>
      <c r="AQ707"/>
      <c r="AR707"/>
    </row>
    <row r="708" spans="1:44" ht="15" customHeight="1" x14ac:dyDescent="0.3">
      <c r="A708" s="2">
        <v>7.07</v>
      </c>
      <c r="B708" s="1">
        <f t="shared" si="166"/>
        <v>8.5113803820237355E-8</v>
      </c>
      <c r="C708" s="1">
        <f t="shared" si="167"/>
        <v>1.1866465304889288E-7</v>
      </c>
      <c r="D708" s="1">
        <f t="shared" si="168"/>
        <v>2.3332827855582104E-3</v>
      </c>
      <c r="E708" s="1">
        <f t="shared" si="169"/>
        <v>2.9444528690736314E-3</v>
      </c>
      <c r="F708" s="1">
        <f t="shared" si="170"/>
        <v>0.86319311139679022</v>
      </c>
      <c r="G708" s="1">
        <f t="shared" si="171"/>
        <v>0.86319507854853095</v>
      </c>
      <c r="H708" s="1">
        <f t="shared" ref="H708:H771" si="179">G708*(WASB_Va * WASB_Ca)/WASB_Cb</f>
        <v>8.6319507854853086</v>
      </c>
      <c r="J708" s="2">
        <v>11.06</v>
      </c>
      <c r="K708" s="1">
        <v>8.7096358995607668E-12</v>
      </c>
      <c r="L708" s="1">
        <v>1.1596351577118568E-3</v>
      </c>
      <c r="M708" s="1">
        <v>-1.1593679854433915E-3</v>
      </c>
      <c r="N708" s="1">
        <v>3.5265613309072318E-3</v>
      </c>
      <c r="O708" s="1">
        <v>0.99998378216204897</v>
      </c>
      <c r="P708" s="1">
        <v>1.0703780193517569</v>
      </c>
      <c r="Q708" s="2">
        <v>10.703780193517568</v>
      </c>
      <c r="S708" s="2">
        <v>7.07</v>
      </c>
      <c r="T708" s="1">
        <f t="shared" si="172"/>
        <v>8.5113803820237355E-8</v>
      </c>
      <c r="U708" s="1">
        <f t="shared" si="173"/>
        <v>1.1866465304889288E-7</v>
      </c>
      <c r="V708" s="1">
        <f t="shared" si="174"/>
        <v>9.5319473346089048E-2</v>
      </c>
      <c r="W708" s="1">
        <f t="shared" si="175"/>
        <v>1.5601755513036488E-3</v>
      </c>
      <c r="X708" s="1">
        <f t="shared" si="176"/>
        <v>3.1698397177483482E-2</v>
      </c>
      <c r="Y708" s="1">
        <f t="shared" si="177"/>
        <v>3.1698056351507652E-2</v>
      </c>
      <c r="Z708" s="1">
        <f t="shared" si="178"/>
        <v>1.5849028175753825</v>
      </c>
      <c r="AB708">
        <v>8.3800000000000008</v>
      </c>
      <c r="AC708">
        <v>4.1686938347033319E-9</v>
      </c>
      <c r="AD708">
        <v>2.4228212482096982E-6</v>
      </c>
      <c r="AE708">
        <v>9.9763700532265756E-2</v>
      </c>
      <c r="AF708">
        <v>7.8766489244745978E-5</v>
      </c>
      <c r="AG708">
        <v>1.6007771864290504E-3</v>
      </c>
      <c r="AH708">
        <v>1.5765715949907235E-3</v>
      </c>
      <c r="AI708">
        <v>7.8828579749536179E-2</v>
      </c>
      <c r="AJ708"/>
      <c r="AK708"/>
      <c r="AL708"/>
      <c r="AM708"/>
      <c r="AN708"/>
      <c r="AO708"/>
      <c r="AP708"/>
      <c r="AQ708"/>
      <c r="AR708"/>
    </row>
    <row r="709" spans="1:44" ht="15" customHeight="1" x14ac:dyDescent="0.3">
      <c r="A709" s="2">
        <v>7.08</v>
      </c>
      <c r="B709" s="1">
        <f t="shared" si="166"/>
        <v>8.3176377110266823E-8</v>
      </c>
      <c r="C709" s="1">
        <f t="shared" si="167"/>
        <v>1.2142870789635911E-7</v>
      </c>
      <c r="D709" s="1">
        <f t="shared" si="168"/>
        <v>2.2862367339171888E-3</v>
      </c>
      <c r="E709" s="1">
        <f t="shared" si="169"/>
        <v>2.9522938776804686E-3</v>
      </c>
      <c r="F709" s="1">
        <f t="shared" si="170"/>
        <v>0.86588958245504422</v>
      </c>
      <c r="G709" s="1">
        <f t="shared" si="171"/>
        <v>0.86589182629538908</v>
      </c>
      <c r="H709" s="1">
        <f t="shared" si="179"/>
        <v>8.6589182629538897</v>
      </c>
      <c r="J709" s="2">
        <v>11.07</v>
      </c>
      <c r="K709" s="1">
        <v>8.5113803820237273E-12</v>
      </c>
      <c r="L709" s="1">
        <v>1.1866465304889299E-3</v>
      </c>
      <c r="M709" s="1">
        <v>-1.1863855110727517E-3</v>
      </c>
      <c r="N709" s="1">
        <v>3.5310642518454585E-3</v>
      </c>
      <c r="O709" s="1">
        <v>0.99998415131926011</v>
      </c>
      <c r="P709" s="1">
        <v>1.0720377764061466</v>
      </c>
      <c r="Q709" s="2">
        <v>10.720377764061466</v>
      </c>
      <c r="S709" s="2">
        <v>7.08</v>
      </c>
      <c r="T709" s="1">
        <f t="shared" si="172"/>
        <v>8.3176377110266823E-8</v>
      </c>
      <c r="U709" s="1">
        <f t="shared" si="173"/>
        <v>1.2142870789635911E-7</v>
      </c>
      <c r="V709" s="1">
        <f t="shared" si="174"/>
        <v>9.5421144723060583E-2</v>
      </c>
      <c r="W709" s="1">
        <f t="shared" si="175"/>
        <v>1.5262850923131348E-3</v>
      </c>
      <c r="X709" s="1">
        <f t="shared" si="176"/>
        <v>3.0999220856232454E-2</v>
      </c>
      <c r="Y709" s="1">
        <f t="shared" si="177"/>
        <v>3.0998832404036638E-2</v>
      </c>
      <c r="Z709" s="1">
        <f t="shared" si="178"/>
        <v>1.5499416202018319</v>
      </c>
      <c r="AB709">
        <v>8.39</v>
      </c>
      <c r="AC709">
        <v>4.0738027780411214E-9</v>
      </c>
      <c r="AD709">
        <v>2.479256004841884E-6</v>
      </c>
      <c r="AE709">
        <v>9.9769233870207322E-2</v>
      </c>
      <c r="AF709">
        <v>7.6922043264228469E-5</v>
      </c>
      <c r="AG709">
        <v>1.5643960527137E-3</v>
      </c>
      <c r="AH709">
        <v>1.5396251764288891E-3</v>
      </c>
      <c r="AI709">
        <v>7.6981258821444451E-2</v>
      </c>
      <c r="AJ709"/>
      <c r="AK709"/>
      <c r="AL709"/>
      <c r="AM709"/>
      <c r="AN709"/>
      <c r="AO709"/>
      <c r="AP709"/>
      <c r="AQ709"/>
      <c r="AR709"/>
    </row>
    <row r="710" spans="1:44" ht="15" customHeight="1" x14ac:dyDescent="0.3">
      <c r="A710" s="2">
        <v>7.09</v>
      </c>
      <c r="B710" s="1">
        <f t="shared" si="166"/>
        <v>8.128305161640995E-8</v>
      </c>
      <c r="C710" s="1">
        <f t="shared" si="167"/>
        <v>1.2425714585205047E-7</v>
      </c>
      <c r="D710" s="1">
        <f t="shared" si="168"/>
        <v>2.2400187981822905E-3</v>
      </c>
      <c r="E710" s="1">
        <f t="shared" si="169"/>
        <v>2.9599968669696184E-3</v>
      </c>
      <c r="F710" s="1">
        <f t="shared" si="170"/>
        <v>0.86854099997585166</v>
      </c>
      <c r="G710" s="1">
        <f t="shared" si="171"/>
        <v>0.86854352192927509</v>
      </c>
      <c r="H710" s="1">
        <f t="shared" si="179"/>
        <v>8.6854352192927511</v>
      </c>
      <c r="J710" s="2">
        <v>11.08</v>
      </c>
      <c r="K710" s="1">
        <v>8.3176377110266746E-12</v>
      </c>
      <c r="L710" s="1">
        <v>1.2142870789635921E-3</v>
      </c>
      <c r="M710" s="1">
        <v>-1.2140320723473443E-3</v>
      </c>
      <c r="N710" s="1">
        <v>3.5356720120578908E-3</v>
      </c>
      <c r="O710" s="1">
        <v>0.99998451207369055</v>
      </c>
      <c r="P710" s="1">
        <v>1.0737371165854117</v>
      </c>
      <c r="Q710" s="2">
        <v>10.737371165854116</v>
      </c>
      <c r="S710" s="2">
        <v>7.09</v>
      </c>
      <c r="T710" s="1">
        <f t="shared" si="172"/>
        <v>8.128305161640995E-8</v>
      </c>
      <c r="U710" s="1">
        <f t="shared" si="173"/>
        <v>1.2425714585205047E-7</v>
      </c>
      <c r="V710" s="1">
        <f t="shared" si="174"/>
        <v>9.5520711703396446E-2</v>
      </c>
      <c r="W710" s="1">
        <f t="shared" si="175"/>
        <v>1.4930960988678568E-3</v>
      </c>
      <c r="X710" s="1">
        <f t="shared" si="176"/>
        <v>3.0314983555133616E-2</v>
      </c>
      <c r="Y710" s="1">
        <f t="shared" si="177"/>
        <v>3.0314547300490199E-2</v>
      </c>
      <c r="Z710" s="1">
        <f t="shared" si="178"/>
        <v>1.51572736502451</v>
      </c>
      <c r="AB710">
        <v>8.4</v>
      </c>
      <c r="AC710">
        <v>3.9810717055349665E-9</v>
      </c>
      <c r="AD710">
        <v>2.5370052958246796E-6</v>
      </c>
      <c r="AE710">
        <v>9.9774645727748426E-2</v>
      </c>
      <c r="AF710">
        <v>7.511809075052627E-5</v>
      </c>
      <c r="AG710">
        <v>1.5288404930407099E-3</v>
      </c>
      <c r="AH710">
        <v>1.5034912089012542E-3</v>
      </c>
      <c r="AI710">
        <v>7.5174560445062696E-2</v>
      </c>
      <c r="AJ710"/>
      <c r="AK710"/>
      <c r="AL710"/>
      <c r="AM710"/>
      <c r="AN710"/>
      <c r="AO710"/>
      <c r="AP710"/>
      <c r="AQ710"/>
      <c r="AR710"/>
    </row>
    <row r="711" spans="1:44" ht="15" customHeight="1" x14ac:dyDescent="0.3">
      <c r="A711" s="2">
        <v>7.1</v>
      </c>
      <c r="B711" s="1">
        <f t="shared" si="166"/>
        <v>7.943282347242818E-8</v>
      </c>
      <c r="C711" s="1">
        <f t="shared" si="167"/>
        <v>1.2715146659121083E-7</v>
      </c>
      <c r="D711" s="1">
        <f t="shared" si="168"/>
        <v>2.1946192278087672E-3</v>
      </c>
      <c r="E711" s="1">
        <f t="shared" si="169"/>
        <v>2.9675634620318723E-3</v>
      </c>
      <c r="F711" s="1">
        <f t="shared" si="170"/>
        <v>0.87114779840455547</v>
      </c>
      <c r="G711" s="1">
        <f t="shared" si="171"/>
        <v>0.8711506000379573</v>
      </c>
      <c r="H711" s="1">
        <f t="shared" si="179"/>
        <v>8.7115060003795719</v>
      </c>
      <c r="J711" s="2">
        <v>11.09</v>
      </c>
      <c r="K711" s="1">
        <v>8.1283051616409864E-12</v>
      </c>
      <c r="L711" s="1">
        <v>1.2425714585205061E-3</v>
      </c>
      <c r="M711" s="1">
        <v>-1.2423223278396392E-3</v>
      </c>
      <c r="N711" s="1">
        <v>3.54038705463994E-3</v>
      </c>
      <c r="O711" s="1">
        <v>0.99998486461659886</v>
      </c>
      <c r="P711" s="1">
        <v>1.0754770073855138</v>
      </c>
      <c r="Q711" s="2">
        <v>10.754770073855138</v>
      </c>
      <c r="S711" s="2">
        <v>7.1</v>
      </c>
      <c r="T711" s="1">
        <f t="shared" si="172"/>
        <v>7.943282347242818E-8</v>
      </c>
      <c r="U711" s="1">
        <f t="shared" si="173"/>
        <v>1.2715146659121083E-7</v>
      </c>
      <c r="V711" s="1">
        <f t="shared" si="174"/>
        <v>9.5618213381509387E-2</v>
      </c>
      <c r="W711" s="1">
        <f t="shared" si="175"/>
        <v>1.4605955394968733E-3</v>
      </c>
      <c r="X711" s="1">
        <f t="shared" si="176"/>
        <v>2.9645387179174247E-2</v>
      </c>
      <c r="Y711" s="1">
        <f t="shared" si="177"/>
        <v>2.9644902919670344E-2</v>
      </c>
      <c r="Z711" s="1">
        <f t="shared" si="178"/>
        <v>1.4822451459835173</v>
      </c>
      <c r="AB711">
        <v>8.41</v>
      </c>
      <c r="AC711">
        <v>3.8904514499428009E-9</v>
      </c>
      <c r="AD711">
        <v>2.5960997405965555E-6</v>
      </c>
      <c r="AE711">
        <v>9.9779938935140811E-2</v>
      </c>
      <c r="AF711">
        <v>7.3353688286395002E-5</v>
      </c>
      <c r="AG711">
        <v>1.4940918300831176E-3</v>
      </c>
      <c r="AH711">
        <v>1.4681507084221305E-3</v>
      </c>
      <c r="AI711">
        <v>7.3407535421106535E-2</v>
      </c>
      <c r="AJ711"/>
      <c r="AK711"/>
      <c r="AL711"/>
      <c r="AM711"/>
      <c r="AN711"/>
      <c r="AO711"/>
      <c r="AP711"/>
      <c r="AQ711"/>
      <c r="AR711"/>
    </row>
    <row r="712" spans="1:44" ht="15" customHeight="1" x14ac:dyDescent="0.3">
      <c r="A712" s="2">
        <v>7.11</v>
      </c>
      <c r="B712" s="1">
        <f t="shared" si="166"/>
        <v>7.7624711662868932E-8</v>
      </c>
      <c r="C712" s="1">
        <f t="shared" si="167"/>
        <v>1.3011320472100693E-7</v>
      </c>
      <c r="D712" s="1">
        <f t="shared" si="168"/>
        <v>2.1500281882302109E-3</v>
      </c>
      <c r="E712" s="1">
        <f t="shared" si="169"/>
        <v>2.9749953019616313E-3</v>
      </c>
      <c r="F712" s="1">
        <f t="shared" si="170"/>
        <v>0.87371042094508167</v>
      </c>
      <c r="G712" s="1">
        <f t="shared" si="171"/>
        <v>0.87371350396878655</v>
      </c>
      <c r="H712" s="1">
        <f t="shared" si="179"/>
        <v>8.7371350396878658</v>
      </c>
      <c r="J712" s="2">
        <v>11.1</v>
      </c>
      <c r="K712" s="1">
        <v>7.9432823472428101E-12</v>
      </c>
      <c r="L712" s="1">
        <v>1.2715146659121096E-3</v>
      </c>
      <c r="M712" s="1">
        <v>-1.2712712774173491E-3</v>
      </c>
      <c r="N712" s="1">
        <v>3.5452118795695577E-3</v>
      </c>
      <c r="O712" s="1">
        <v>0.99998520913489131</v>
      </c>
      <c r="P712" s="1">
        <v>1.0772584410150456</v>
      </c>
      <c r="Q712" s="2">
        <v>10.772584410150456</v>
      </c>
      <c r="S712" s="2">
        <v>7.11</v>
      </c>
      <c r="T712" s="1">
        <f t="shared" si="172"/>
        <v>7.7624711662868932E-8</v>
      </c>
      <c r="U712" s="1">
        <f t="shared" si="173"/>
        <v>1.3011320472100693E-7</v>
      </c>
      <c r="V712" s="1">
        <f t="shared" si="174"/>
        <v>9.571368831914763E-2</v>
      </c>
      <c r="W712" s="1">
        <f t="shared" si="175"/>
        <v>1.4287705602841251E-3</v>
      </c>
      <c r="X712" s="1">
        <f t="shared" si="176"/>
        <v>2.899013865713173E-2</v>
      </c>
      <c r="Y712" s="1">
        <f t="shared" si="177"/>
        <v>2.8989606164097438E-2</v>
      </c>
      <c r="Z712" s="1">
        <f t="shared" si="178"/>
        <v>1.4494803082048717</v>
      </c>
      <c r="AB712">
        <v>8.42</v>
      </c>
      <c r="AC712">
        <v>3.8018939632056068E-9</v>
      </c>
      <c r="AD712">
        <v>2.6565706718143393E-6</v>
      </c>
      <c r="AE712">
        <v>9.9785116261482149E-2</v>
      </c>
      <c r="AF712">
        <v>7.1627912839285251E-5</v>
      </c>
      <c r="AG712">
        <v>1.4601318065019164E-3</v>
      </c>
      <c r="AH712">
        <v>1.4335851038743852E-3</v>
      </c>
      <c r="AI712">
        <v>7.167925519371926E-2</v>
      </c>
      <c r="AJ712"/>
      <c r="AK712"/>
      <c r="AL712"/>
      <c r="AM712"/>
      <c r="AN712"/>
      <c r="AO712"/>
      <c r="AP712"/>
      <c r="AQ712"/>
      <c r="AR712"/>
    </row>
    <row r="713" spans="1:44" ht="15" customHeight="1" x14ac:dyDescent="0.3">
      <c r="A713" s="2">
        <v>7.12</v>
      </c>
      <c r="B713" s="1">
        <f t="shared" si="166"/>
        <v>7.5857757502918145E-8</v>
      </c>
      <c r="C713" s="1">
        <f t="shared" si="167"/>
        <v>1.3314393059419751E-7</v>
      </c>
      <c r="D713" s="1">
        <f t="shared" si="168"/>
        <v>2.1062357709529271E-3</v>
      </c>
      <c r="E713" s="1">
        <f t="shared" si="169"/>
        <v>2.9822940381745121E-3</v>
      </c>
      <c r="F713" s="1">
        <f t="shared" si="170"/>
        <v>0.87622931893106482</v>
      </c>
      <c r="G713" s="1">
        <f t="shared" si="171"/>
        <v>0.87623268519989217</v>
      </c>
      <c r="H713" s="1">
        <f t="shared" si="179"/>
        <v>8.762326851998921</v>
      </c>
      <c r="J713" s="2">
        <v>11.11</v>
      </c>
      <c r="K713" s="1">
        <v>7.762471166286914E-12</v>
      </c>
      <c r="L713" s="1">
        <v>1.3011320472100657E-3</v>
      </c>
      <c r="M713" s="1">
        <v>-1.3008942701964721E-3</v>
      </c>
      <c r="N713" s="1">
        <v>3.5501490450327447E-3</v>
      </c>
      <c r="O713" s="1">
        <v>0.99998554581121912</v>
      </c>
      <c r="P713" s="1">
        <v>1.0790824350784558</v>
      </c>
      <c r="Q713" s="2">
        <v>10.790824350784558</v>
      </c>
      <c r="S713" s="2">
        <v>7.12</v>
      </c>
      <c r="T713" s="1">
        <f t="shared" si="172"/>
        <v>7.5857757502918145E-8</v>
      </c>
      <c r="U713" s="1">
        <f t="shared" si="173"/>
        <v>1.3314393059419751E-7</v>
      </c>
      <c r="V713" s="1">
        <f t="shared" si="174"/>
        <v>9.5807174543881435E-2</v>
      </c>
      <c r="W713" s="1">
        <f t="shared" si="175"/>
        <v>1.397608485372855E-3</v>
      </c>
      <c r="X713" s="1">
        <f t="shared" si="176"/>
        <v>2.8348949898483314E-2</v>
      </c>
      <c r="Y713" s="1">
        <f t="shared" si="177"/>
        <v>2.8348368916904558E-2</v>
      </c>
      <c r="Z713" s="1">
        <f t="shared" si="178"/>
        <v>1.4174184458452279</v>
      </c>
      <c r="AB713">
        <v>8.43</v>
      </c>
      <c r="AC713">
        <v>3.7153522909717206E-9</v>
      </c>
      <c r="AD713">
        <v>2.718450151966188E-6</v>
      </c>
      <c r="AE713">
        <v>9.9790180416105684E-2</v>
      </c>
      <c r="AF713">
        <v>6.9939861298105112E-5</v>
      </c>
      <c r="AG713">
        <v>1.4269425756170448E-3</v>
      </c>
      <c r="AH713">
        <v>1.3997762275141097E-3</v>
      </c>
      <c r="AI713">
        <v>6.9988811375705479E-2</v>
      </c>
      <c r="AJ713"/>
      <c r="AK713"/>
      <c r="AL713"/>
      <c r="AM713"/>
      <c r="AN713"/>
      <c r="AO713"/>
      <c r="AP713"/>
      <c r="AQ713"/>
      <c r="AR713"/>
    </row>
    <row r="714" spans="1:44" ht="15" customHeight="1" x14ac:dyDescent="0.3">
      <c r="A714" s="2">
        <v>7.13</v>
      </c>
      <c r="B714" s="1">
        <f t="shared" si="166"/>
        <v>7.413102413009154E-8</v>
      </c>
      <c r="C714" s="1">
        <f t="shared" si="167"/>
        <v>1.3624525114175739E-7</v>
      </c>
      <c r="D714" s="1">
        <f t="shared" si="168"/>
        <v>2.0632320033262506E-3</v>
      </c>
      <c r="E714" s="1">
        <f t="shared" si="169"/>
        <v>2.9894613327789582E-3</v>
      </c>
      <c r="F714" s="1">
        <f t="shared" si="170"/>
        <v>0.87870495121185177</v>
      </c>
      <c r="G714" s="1">
        <f t="shared" si="171"/>
        <v>0.8787086027262585</v>
      </c>
      <c r="H714" s="1">
        <f t="shared" si="179"/>
        <v>8.7870860272625837</v>
      </c>
      <c r="J714" s="2">
        <v>11.12</v>
      </c>
      <c r="K714" s="1">
        <v>7.585775750291834E-12</v>
      </c>
      <c r="L714" s="1">
        <v>1.3314393059419716E-3</v>
      </c>
      <c r="M714" s="1">
        <v>-1.3312070126796905E-3</v>
      </c>
      <c r="N714" s="1">
        <v>3.5552011687799484E-3</v>
      </c>
      <c r="O714" s="1">
        <v>0.9999858748240773</v>
      </c>
      <c r="P714" s="1">
        <v>1.080950033280579</v>
      </c>
      <c r="Q714" s="2">
        <v>10.80950033280579</v>
      </c>
      <c r="S714" s="2">
        <v>7.13</v>
      </c>
      <c r="T714" s="1">
        <f t="shared" si="172"/>
        <v>7.413102413009154E-8</v>
      </c>
      <c r="U714" s="1">
        <f t="shared" si="173"/>
        <v>1.3624525114175739E-7</v>
      </c>
      <c r="V714" s="1">
        <f t="shared" si="174"/>
        <v>9.5898709548092612E-2</v>
      </c>
      <c r="W714" s="1">
        <f t="shared" si="175"/>
        <v>1.367096817302462E-3</v>
      </c>
      <c r="X714" s="1">
        <f t="shared" si="176"/>
        <v>2.7721537748587592E-2</v>
      </c>
      <c r="Y714" s="1">
        <f t="shared" si="177"/>
        <v>2.7720907997003618E-2</v>
      </c>
      <c r="Z714" s="1">
        <f t="shared" si="178"/>
        <v>1.3860453998501809</v>
      </c>
      <c r="AB714">
        <v>8.44</v>
      </c>
      <c r="AC714">
        <v>3.6307805477010094E-9</v>
      </c>
      <c r="AD714">
        <v>2.7817709903715508E-6</v>
      </c>
      <c r="AE714">
        <v>9.9795134049941864E-2</v>
      </c>
      <c r="AF714">
        <v>6.8288650019378622E-5</v>
      </c>
      <c r="AG714">
        <v>1.3945066922803995E-3</v>
      </c>
      <c r="AH714">
        <v>1.3667063056734467E-3</v>
      </c>
      <c r="AI714">
        <v>6.8335315283672329E-2</v>
      </c>
      <c r="AJ714"/>
      <c r="AK714"/>
      <c r="AL714"/>
      <c r="AM714"/>
      <c r="AN714"/>
      <c r="AO714"/>
      <c r="AP714"/>
      <c r="AQ714"/>
      <c r="AR714"/>
    </row>
    <row r="715" spans="1:44" ht="15" customHeight="1" x14ac:dyDescent="0.3">
      <c r="A715" s="2">
        <v>7.14</v>
      </c>
      <c r="B715" s="1">
        <f t="shared" si="166"/>
        <v>7.2443596007499061E-8</v>
      </c>
      <c r="C715" s="1">
        <f t="shared" si="167"/>
        <v>1.3941881072489126E-7</v>
      </c>
      <c r="D715" s="1">
        <f t="shared" si="168"/>
        <v>2.0210068579892783E-3</v>
      </c>
      <c r="E715" s="1">
        <f t="shared" si="169"/>
        <v>2.9964988570017866E-3</v>
      </c>
      <c r="F715" s="1">
        <f t="shared" si="170"/>
        <v>0.8811377835536981</v>
      </c>
      <c r="G715" s="1">
        <f t="shared" si="171"/>
        <v>0.88114172246099454</v>
      </c>
      <c r="H715" s="1">
        <f t="shared" si="179"/>
        <v>8.8114172246099454</v>
      </c>
      <c r="J715" s="2">
        <v>11.13</v>
      </c>
      <c r="K715" s="1">
        <v>7.4131024130091464E-12</v>
      </c>
      <c r="L715" s="1">
        <v>1.3624525114175753E-3</v>
      </c>
      <c r="M715" s="1">
        <v>-1.3622255770840855E-3</v>
      </c>
      <c r="N715" s="1">
        <v>3.5603709295140141E-3</v>
      </c>
      <c r="O715" s="1">
        <v>0.99998619634789732</v>
      </c>
      <c r="P715" s="1">
        <v>1.0828623061532261</v>
      </c>
      <c r="Q715" s="2">
        <v>10.828623061532261</v>
      </c>
      <c r="S715" s="2">
        <v>7.14</v>
      </c>
      <c r="T715" s="1">
        <f t="shared" si="172"/>
        <v>7.2443596007499061E-8</v>
      </c>
      <c r="U715" s="1">
        <f t="shared" si="173"/>
        <v>1.3941881072489126E-7</v>
      </c>
      <c r="V715" s="1">
        <f t="shared" si="174"/>
        <v>9.5988330288442308E-2</v>
      </c>
      <c r="W715" s="1">
        <f t="shared" si="175"/>
        <v>1.3372232371858923E-3</v>
      </c>
      <c r="X715" s="1">
        <f t="shared" si="176"/>
        <v>2.7107623942270016E-2</v>
      </c>
      <c r="Y715" s="1">
        <f t="shared" si="177"/>
        <v>2.71069451126555E-2</v>
      </c>
      <c r="Z715" s="1">
        <f t="shared" si="178"/>
        <v>1.355347255632775</v>
      </c>
      <c r="AB715">
        <v>8.4499999999999993</v>
      </c>
      <c r="AC715">
        <v>3.5481338923357512E-9</v>
      </c>
      <c r="AD715">
        <v>2.846566760577101E-6</v>
      </c>
      <c r="AE715">
        <v>9.9799979756852147E-2</v>
      </c>
      <c r="AF715">
        <v>6.6673414382612063E-5</v>
      </c>
      <c r="AG715">
        <v>1.3628071039467392E-3</v>
      </c>
      <c r="AH715">
        <v>1.3343579496573636E-3</v>
      </c>
      <c r="AI715">
        <v>6.6717897482868174E-2</v>
      </c>
      <c r="AJ715"/>
      <c r="AK715"/>
      <c r="AL715"/>
      <c r="AM715"/>
      <c r="AN715"/>
      <c r="AO715"/>
      <c r="AP715"/>
      <c r="AQ715"/>
      <c r="AR715"/>
    </row>
    <row r="716" spans="1:44" ht="15" customHeight="1" x14ac:dyDescent="0.3">
      <c r="A716" s="2">
        <v>7.15</v>
      </c>
      <c r="B716" s="1">
        <f t="shared" si="166"/>
        <v>7.0794578438413597E-8</v>
      </c>
      <c r="C716" s="1">
        <f t="shared" si="167"/>
        <v>1.4266629200689857E-7</v>
      </c>
      <c r="D716" s="1">
        <f t="shared" si="168"/>
        <v>1.9795502619945789E-3</v>
      </c>
      <c r="E716" s="1">
        <f t="shared" si="169"/>
        <v>3.0034082896675703E-3</v>
      </c>
      <c r="F716" s="1">
        <f t="shared" si="170"/>
        <v>0.88352828805643946</v>
      </c>
      <c r="G716" s="1">
        <f t="shared" si="171"/>
        <v>0.88353251665207755</v>
      </c>
      <c r="H716" s="1">
        <f t="shared" si="179"/>
        <v>8.835325166520775</v>
      </c>
      <c r="J716" s="2">
        <v>11.14</v>
      </c>
      <c r="K716" s="1">
        <v>7.2443596007498734E-12</v>
      </c>
      <c r="L716" s="1">
        <v>1.3941881072489189E-3</v>
      </c>
      <c r="M716" s="1">
        <v>-1.3939664098628882E-3</v>
      </c>
      <c r="N716" s="1">
        <v>3.5656610683104809E-3</v>
      </c>
      <c r="O716" s="1">
        <v>0.99998651055314169</v>
      </c>
      <c r="P716" s="1">
        <v>1.0848203518046577</v>
      </c>
      <c r="Q716" s="2">
        <v>10.848203518046576</v>
      </c>
      <c r="S716" s="2">
        <v>7.15</v>
      </c>
      <c r="T716" s="1">
        <f t="shared" si="172"/>
        <v>7.0794578438413597E-8</v>
      </c>
      <c r="U716" s="1">
        <f t="shared" si="173"/>
        <v>1.4266629200689857E-7</v>
      </c>
      <c r="V716" s="1">
        <f t="shared" si="174"/>
        <v>9.6076073185794114E-2</v>
      </c>
      <c r="W716" s="1">
        <f t="shared" si="175"/>
        <v>1.3079756047352932E-3</v>
      </c>
      <c r="X716" s="1">
        <f t="shared" si="176"/>
        <v>2.6506935055936223E-2</v>
      </c>
      <c r="Y716" s="1">
        <f t="shared" si="177"/>
        <v>2.6506206813568019E-2</v>
      </c>
      <c r="Z716" s="1">
        <f t="shared" si="178"/>
        <v>1.3253103406784008</v>
      </c>
      <c r="AB716">
        <v>8.4600000000000009</v>
      </c>
      <c r="AC716">
        <v>3.467368504525301E-9</v>
      </c>
      <c r="AD716">
        <v>2.912871818157885E-6</v>
      </c>
      <c r="AE716">
        <v>9.980472007493596E-2</v>
      </c>
      <c r="AF716">
        <v>6.5093308354681261E-5</v>
      </c>
      <c r="AG716">
        <v>1.3318271419384122E-3</v>
      </c>
      <c r="AH716">
        <v>1.3027141468302016E-3</v>
      </c>
      <c r="AI716">
        <v>6.5135707341510071E-2</v>
      </c>
      <c r="AJ716"/>
      <c r="AK716"/>
      <c r="AL716"/>
      <c r="AM716"/>
      <c r="AN716"/>
      <c r="AO716"/>
      <c r="AP716"/>
      <c r="AQ716"/>
      <c r="AR716"/>
    </row>
    <row r="717" spans="1:44" ht="15" customHeight="1" x14ac:dyDescent="0.3">
      <c r="A717" s="2">
        <v>7.16</v>
      </c>
      <c r="B717" s="1">
        <f t="shared" si="166"/>
        <v>6.9183097091893466E-8</v>
      </c>
      <c r="C717" s="1">
        <f t="shared" si="167"/>
        <v>1.4598941684533906E-7</v>
      </c>
      <c r="D717" s="1">
        <f t="shared" si="168"/>
        <v>1.9388521056104382E-3</v>
      </c>
      <c r="E717" s="1">
        <f t="shared" si="169"/>
        <v>3.0101913157315934E-3</v>
      </c>
      <c r="F717" s="1">
        <f t="shared" si="170"/>
        <v>0.88587694258584981</v>
      </c>
      <c r="G717" s="1">
        <f t="shared" si="171"/>
        <v>0.88588146331478679</v>
      </c>
      <c r="H717" s="1">
        <f t="shared" si="179"/>
        <v>8.8588146331478672</v>
      </c>
      <c r="J717" s="2">
        <v>11.15</v>
      </c>
      <c r="K717" s="1">
        <v>7.0794578438413538E-12</v>
      </c>
      <c r="L717" s="1">
        <v>1.4266629200689869E-3</v>
      </c>
      <c r="M717" s="1">
        <v>-1.4264463404255873E-3</v>
      </c>
      <c r="N717" s="1">
        <v>3.5710743900709309E-3</v>
      </c>
      <c r="O717" s="1">
        <v>0.9999868176063923</v>
      </c>
      <c r="P717" s="1">
        <v>1.0868252966927729</v>
      </c>
      <c r="Q717" s="2">
        <v>10.868252966927729</v>
      </c>
      <c r="S717" s="2">
        <v>7.16</v>
      </c>
      <c r="T717" s="1">
        <f t="shared" si="172"/>
        <v>6.9183097091893466E-8</v>
      </c>
      <c r="U717" s="1">
        <f t="shared" si="173"/>
        <v>1.4598941684533906E-7</v>
      </c>
      <c r="V717" s="1">
        <f t="shared" si="174"/>
        <v>9.6161974125569066E-2</v>
      </c>
      <c r="W717" s="1">
        <f t="shared" si="175"/>
        <v>1.2793419581436456E-3</v>
      </c>
      <c r="X717" s="1">
        <f t="shared" si="176"/>
        <v>2.5919202458336135E-2</v>
      </c>
      <c r="Y717" s="1">
        <f t="shared" si="177"/>
        <v>2.5918424441644623E-2</v>
      </c>
      <c r="Z717" s="1">
        <f t="shared" si="178"/>
        <v>1.2959212220822314</v>
      </c>
      <c r="AB717">
        <v>8.4700000000000006</v>
      </c>
      <c r="AC717">
        <v>3.3884415613920108E-9</v>
      </c>
      <c r="AD717">
        <v>2.9807213189330624E-6</v>
      </c>
      <c r="AE717">
        <v>9.9809357487810821E-2</v>
      </c>
      <c r="AF717">
        <v>6.3547504063057888E-5</v>
      </c>
      <c r="AG717">
        <v>1.3015505128999422E-3</v>
      </c>
      <c r="AH717">
        <v>1.2717582518879487E-3</v>
      </c>
      <c r="AI717">
        <v>6.358791259439743E-2</v>
      </c>
      <c r="AJ717"/>
      <c r="AK717"/>
      <c r="AL717"/>
      <c r="AM717"/>
      <c r="AN717"/>
      <c r="AO717"/>
      <c r="AP717"/>
      <c r="AQ717"/>
      <c r="AR717"/>
    </row>
    <row r="718" spans="1:44" ht="15" customHeight="1" x14ac:dyDescent="0.3">
      <c r="A718" s="2">
        <v>7.17</v>
      </c>
      <c r="B718" s="1">
        <f t="shared" si="166"/>
        <v>6.7608297539197998E-8</v>
      </c>
      <c r="C718" s="1">
        <f t="shared" si="167"/>
        <v>1.4938994720498934E-7</v>
      </c>
      <c r="D718" s="1">
        <f t="shared" si="168"/>
        <v>1.8989022508034449E-3</v>
      </c>
      <c r="E718" s="1">
        <f t="shared" si="169"/>
        <v>3.0168496248660923E-3</v>
      </c>
      <c r="F718" s="1">
        <f t="shared" si="170"/>
        <v>0.8881842302218832</v>
      </c>
      <c r="G718" s="1">
        <f t="shared" si="171"/>
        <v>0.88818904568002022</v>
      </c>
      <c r="H718" s="1">
        <f t="shared" si="179"/>
        <v>8.8818904568002015</v>
      </c>
      <c r="J718" s="2">
        <v>11.16</v>
      </c>
      <c r="K718" s="1">
        <v>6.9183097091893405E-12</v>
      </c>
      <c r="L718" s="1">
        <v>1.4598941684533919E-3</v>
      </c>
      <c r="M718" s="1">
        <v>-1.459682590061106E-3</v>
      </c>
      <c r="N718" s="1">
        <v>3.5766137650101839E-3</v>
      </c>
      <c r="O718" s="1">
        <v>0.99998711767043957</v>
      </c>
      <c r="P718" s="1">
        <v>1.0888782964228942</v>
      </c>
      <c r="Q718" s="2">
        <v>10.888782964228941</v>
      </c>
      <c r="S718" s="2">
        <v>7.17</v>
      </c>
      <c r="T718" s="1">
        <f t="shared" si="172"/>
        <v>6.7608297539197998E-8</v>
      </c>
      <c r="U718" s="1">
        <f t="shared" si="173"/>
        <v>1.4938994720498934E-7</v>
      </c>
      <c r="V718" s="1">
        <f t="shared" si="174"/>
        <v>9.6246068458511261E-2</v>
      </c>
      <c r="W718" s="1">
        <f t="shared" si="175"/>
        <v>1.2513105138295794E-3</v>
      </c>
      <c r="X718" s="1">
        <f t="shared" si="176"/>
        <v>2.5344162260090796E-2</v>
      </c>
      <c r="Y718" s="1">
        <f t="shared" si="177"/>
        <v>2.5343334080495789E-2</v>
      </c>
      <c r="Z718" s="1">
        <f t="shared" si="178"/>
        <v>1.2671667040247894</v>
      </c>
      <c r="AB718">
        <v>8.48</v>
      </c>
      <c r="AC718">
        <v>3.3113112148258966E-9</v>
      </c>
      <c r="AD718">
        <v>3.0501512376060492E-6</v>
      </c>
      <c r="AE718">
        <v>9.9813894425866925E-2</v>
      </c>
      <c r="AF718">
        <v>6.2035191377689613E-5</v>
      </c>
      <c r="AG718">
        <v>1.2719612904384782E-3</v>
      </c>
      <c r="AH718">
        <v>1.2414739783121426E-3</v>
      </c>
      <c r="AI718">
        <v>6.2073698915607121E-2</v>
      </c>
      <c r="AJ718"/>
      <c r="AK718"/>
      <c r="AL718"/>
      <c r="AM718"/>
      <c r="AN718"/>
      <c r="AO718"/>
      <c r="AP718"/>
      <c r="AQ718"/>
      <c r="AR718"/>
    </row>
    <row r="719" spans="1:44" ht="15" customHeight="1" x14ac:dyDescent="0.3">
      <c r="A719" s="2">
        <v>7.18</v>
      </c>
      <c r="B719" s="1">
        <f t="shared" si="166"/>
        <v>6.606934480075943E-8</v>
      </c>
      <c r="C719" s="1">
        <f t="shared" si="167"/>
        <v>1.5286968609205741E-7</v>
      </c>
      <c r="D719" s="1">
        <f t="shared" si="168"/>
        <v>1.8596905394040802E-3</v>
      </c>
      <c r="E719" s="1">
        <f t="shared" si="169"/>
        <v>3.0233849100993197E-3</v>
      </c>
      <c r="F719" s="1">
        <f t="shared" si="170"/>
        <v>0.89045063872292496</v>
      </c>
      <c r="G719" s="1">
        <f t="shared" si="171"/>
        <v>0.89045575165862112</v>
      </c>
      <c r="H719" s="1">
        <f t="shared" si="179"/>
        <v>8.9045575165862108</v>
      </c>
      <c r="J719" s="2">
        <v>11.17</v>
      </c>
      <c r="K719" s="1">
        <v>6.7608297539197943E-12</v>
      </c>
      <c r="L719" s="1">
        <v>1.4938994720498945E-3</v>
      </c>
      <c r="M719" s="1">
        <v>-1.4936927810687631E-3</v>
      </c>
      <c r="N719" s="1">
        <v>3.582282130178127E-3</v>
      </c>
      <c r="O719" s="1">
        <v>0.99998741090436927</v>
      </c>
      <c r="P719" s="1">
        <v>1.0909805365710654</v>
      </c>
      <c r="Q719" s="2">
        <v>10.909805365710653</v>
      </c>
      <c r="S719" s="2">
        <v>7.18</v>
      </c>
      <c r="T719" s="1">
        <f t="shared" si="172"/>
        <v>6.606934480075943E-8</v>
      </c>
      <c r="U719" s="1">
        <f t="shared" si="173"/>
        <v>1.5286968609205741E-7</v>
      </c>
      <c r="V719" s="1">
        <f t="shared" si="174"/>
        <v>9.6328391001841901E-2</v>
      </c>
      <c r="W719" s="1">
        <f t="shared" si="175"/>
        <v>1.2238696660526983E-3</v>
      </c>
      <c r="X719" s="1">
        <f t="shared" si="176"/>
        <v>2.4781555262095752E-2</v>
      </c>
      <c r="Y719" s="1">
        <f t="shared" si="177"/>
        <v>2.478067650382695E-2</v>
      </c>
      <c r="Z719" s="1">
        <f t="shared" si="178"/>
        <v>1.2390338251913475</v>
      </c>
      <c r="AB719">
        <v>8.49</v>
      </c>
      <c r="AC719">
        <v>3.2359365692962808E-9</v>
      </c>
      <c r="AD719">
        <v>3.1211983868387279E-6</v>
      </c>
      <c r="AE719">
        <v>9.9818333267495923E-2</v>
      </c>
      <c r="AF719">
        <v>6.0555577501361265E-5</v>
      </c>
      <c r="AG719">
        <v>1.2430439069463662E-3</v>
      </c>
      <c r="AH719">
        <v>1.2118453900015643E-3</v>
      </c>
      <c r="AI719">
        <v>6.0592269500078212E-2</v>
      </c>
      <c r="AJ719"/>
      <c r="AK719"/>
      <c r="AL719"/>
      <c r="AM719"/>
      <c r="AN719"/>
      <c r="AO719"/>
      <c r="AP719"/>
      <c r="AQ719"/>
      <c r="AR719"/>
    </row>
    <row r="720" spans="1:44" ht="15" customHeight="1" x14ac:dyDescent="0.3">
      <c r="A720" s="2">
        <v>7.19</v>
      </c>
      <c r="B720" s="1">
        <f t="shared" si="166"/>
        <v>6.4565422903465397E-8</v>
      </c>
      <c r="C720" s="1">
        <f t="shared" si="167"/>
        <v>1.5643047851016097E-7</v>
      </c>
      <c r="D720" s="1">
        <f t="shared" si="168"/>
        <v>1.8212068009582116E-3</v>
      </c>
      <c r="E720" s="1">
        <f t="shared" si="169"/>
        <v>3.0297988665069645E-3</v>
      </c>
      <c r="F720" s="1">
        <f t="shared" si="170"/>
        <v>0.89267666000615431</v>
      </c>
      <c r="G720" s="1">
        <f t="shared" si="171"/>
        <v>0.8926820733218177</v>
      </c>
      <c r="H720" s="1">
        <f t="shared" si="179"/>
        <v>8.926820733218177</v>
      </c>
      <c r="J720" s="2">
        <v>11.18</v>
      </c>
      <c r="K720" s="1">
        <v>6.6069344800759387E-12</v>
      </c>
      <c r="L720" s="1">
        <v>1.528696860920575E-3</v>
      </c>
      <c r="M720" s="1">
        <v>-1.5284949461018538E-3</v>
      </c>
      <c r="N720" s="1">
        <v>3.5880824910169752E-3</v>
      </c>
      <c r="O720" s="1">
        <v>0.99998769746364624</v>
      </c>
      <c r="P720" s="1">
        <v>1.0931332335338169</v>
      </c>
      <c r="Q720" s="2">
        <v>10.931332335338167</v>
      </c>
      <c r="S720" s="2">
        <v>7.19</v>
      </c>
      <c r="T720" s="1">
        <f t="shared" si="172"/>
        <v>6.4565422903465397E-8</v>
      </c>
      <c r="U720" s="1">
        <f t="shared" si="173"/>
        <v>1.5643047851016097E-7</v>
      </c>
      <c r="V720" s="1">
        <f t="shared" si="174"/>
        <v>9.640897604078133E-2</v>
      </c>
      <c r="W720" s="1">
        <f t="shared" si="175"/>
        <v>1.1970079864062242E-3</v>
      </c>
      <c r="X720" s="1">
        <f t="shared" si="176"/>
        <v>2.4231126902904545E-2</v>
      </c>
      <c r="Y720" s="1">
        <f t="shared" si="177"/>
        <v>2.4230197122806447E-2</v>
      </c>
      <c r="Z720" s="1">
        <f t="shared" si="178"/>
        <v>1.2115098561403224</v>
      </c>
      <c r="AB720">
        <v>8.5</v>
      </c>
      <c r="AC720">
        <v>3.1622776601683779E-9</v>
      </c>
      <c r="AD720">
        <v>3.1939004367700643E-6</v>
      </c>
      <c r="AE720">
        <v>9.982267634029493E-2</v>
      </c>
      <c r="AF720">
        <v>5.9107886568355264E-5</v>
      </c>
      <c r="AG720">
        <v>1.2147831456019583E-3</v>
      </c>
      <c r="AH720">
        <v>1.1828568930777317E-3</v>
      </c>
      <c r="AI720">
        <v>5.9142844653886584E-2</v>
      </c>
      <c r="AJ720"/>
      <c r="AK720"/>
      <c r="AL720"/>
      <c r="AM720"/>
      <c r="AN720"/>
      <c r="AO720"/>
      <c r="AP720"/>
      <c r="AQ720"/>
      <c r="AR720"/>
    </row>
    <row r="721" spans="1:44" ht="15" customHeight="1" x14ac:dyDescent="0.3">
      <c r="A721" s="2">
        <v>7.2</v>
      </c>
      <c r="B721" s="1">
        <f t="shared" si="166"/>
        <v>6.3095734448019177E-8</v>
      </c>
      <c r="C721" s="1">
        <f t="shared" si="167"/>
        <v>1.6007421243857284E-7</v>
      </c>
      <c r="D721" s="1">
        <f t="shared" si="168"/>
        <v>1.7834408602678872E-3</v>
      </c>
      <c r="E721" s="1">
        <f t="shared" si="169"/>
        <v>3.0360931899553519E-3</v>
      </c>
      <c r="F721" s="1">
        <f t="shared" si="170"/>
        <v>0.8948627896440805</v>
      </c>
      <c r="G721" s="1">
        <f t="shared" si="171"/>
        <v>0.89486850639783755</v>
      </c>
      <c r="H721" s="1">
        <f t="shared" si="179"/>
        <v>8.9486850639783757</v>
      </c>
      <c r="J721" s="2">
        <v>11.19</v>
      </c>
      <c r="K721" s="1">
        <v>6.4565422903465579E-12</v>
      </c>
      <c r="L721" s="1">
        <v>1.5643047851016053E-3</v>
      </c>
      <c r="M721" s="1">
        <v>-1.5641075377287586E-3</v>
      </c>
      <c r="N721" s="1">
        <v>3.5940179229547926E-3</v>
      </c>
      <c r="O721" s="1">
        <v>0.99998797750019608</v>
      </c>
      <c r="P721" s="1">
        <v>1.0953376354053936</v>
      </c>
      <c r="Q721" s="2">
        <v>10.953376354053935</v>
      </c>
      <c r="S721" s="2">
        <v>7.2</v>
      </c>
      <c r="T721" s="1">
        <f t="shared" si="172"/>
        <v>6.3095734448019177E-8</v>
      </c>
      <c r="U721" s="1">
        <f t="shared" si="173"/>
        <v>1.6007421243857284E-7</v>
      </c>
      <c r="V721" s="1">
        <f t="shared" si="174"/>
        <v>9.64878573304188E-2</v>
      </c>
      <c r="W721" s="1">
        <f t="shared" si="175"/>
        <v>1.1707142231937302E-3</v>
      </c>
      <c r="X721" s="1">
        <f t="shared" si="176"/>
        <v>2.3692627205193977E-2</v>
      </c>
      <c r="Y721" s="1">
        <f t="shared" si="177"/>
        <v>2.3691645932515253E-2</v>
      </c>
      <c r="Z721" s="1">
        <f t="shared" si="178"/>
        <v>1.1845822966257629</v>
      </c>
      <c r="AB721">
        <v>8.51</v>
      </c>
      <c r="AC721">
        <v>3.0902954325135894E-9</v>
      </c>
      <c r="AD721">
        <v>3.2682959349892464E-6</v>
      </c>
      <c r="AE721">
        <v>9.9826925922246262E-2</v>
      </c>
      <c r="AF721">
        <v>5.769135925124392E-5</v>
      </c>
      <c r="AG721">
        <v>1.1871641325450542E-3</v>
      </c>
      <c r="AH721">
        <v>1.1544932278604947E-3</v>
      </c>
      <c r="AI721">
        <v>5.7724661393024734E-2</v>
      </c>
      <c r="AJ721"/>
      <c r="AK721"/>
      <c r="AL721"/>
      <c r="AM721"/>
      <c r="AN721"/>
      <c r="AO721"/>
      <c r="AP721"/>
      <c r="AQ721"/>
      <c r="AR721"/>
    </row>
    <row r="722" spans="1:44" ht="15" customHeight="1" x14ac:dyDescent="0.3">
      <c r="A722" s="2">
        <v>7.21</v>
      </c>
      <c r="B722" s="1">
        <f t="shared" si="166"/>
        <v>6.1659500186148087E-8</v>
      </c>
      <c r="C722" s="1">
        <f t="shared" si="167"/>
        <v>1.6380281983325226E-7</v>
      </c>
      <c r="D722" s="1">
        <f t="shared" si="168"/>
        <v>1.7463825446253729E-3</v>
      </c>
      <c r="E722" s="1">
        <f t="shared" si="169"/>
        <v>3.042269575895771E-3</v>
      </c>
      <c r="F722" s="1">
        <f t="shared" si="170"/>
        <v>0.89700952637727316</v>
      </c>
      <c r="G722" s="1">
        <f t="shared" si="171"/>
        <v>0.89701554978471576</v>
      </c>
      <c r="H722" s="1">
        <f t="shared" si="179"/>
        <v>8.9701554978471574</v>
      </c>
      <c r="J722" s="2">
        <v>11.2</v>
      </c>
      <c r="K722" s="1">
        <v>6.3095734448019345E-12</v>
      </c>
      <c r="L722" s="1">
        <v>1.600742124385724E-3</v>
      </c>
      <c r="M722" s="1">
        <v>-1.6005494382168187E-3</v>
      </c>
      <c r="N722" s="1">
        <v>3.600091573036136E-3</v>
      </c>
      <c r="O722" s="1">
        <v>0.99998825116248735</v>
      </c>
      <c r="P722" s="1">
        <v>1.0975950228834985</v>
      </c>
      <c r="Q722" s="2">
        <v>10.975950228834984</v>
      </c>
      <c r="S722" s="2">
        <v>7.21</v>
      </c>
      <c r="T722" s="1">
        <f t="shared" si="172"/>
        <v>6.1659500186148087E-8</v>
      </c>
      <c r="U722" s="1">
        <f t="shared" si="173"/>
        <v>1.6380281983325226E-7</v>
      </c>
      <c r="V722" s="1">
        <f t="shared" si="174"/>
        <v>9.6565068097910725E-2</v>
      </c>
      <c r="W722" s="1">
        <f t="shared" si="175"/>
        <v>1.1449773006964245E-3</v>
      </c>
      <c r="X722" s="1">
        <f t="shared" si="176"/>
        <v>2.3165810721407384E-2</v>
      </c>
      <c r="Y722" s="1">
        <f t="shared" si="177"/>
        <v>2.3164777457574566E-2</v>
      </c>
      <c r="Z722" s="1">
        <f t="shared" si="178"/>
        <v>1.1582388728787281</v>
      </c>
      <c r="AB722">
        <v>8.52</v>
      </c>
      <c r="AC722">
        <v>3.0199517204020151E-9</v>
      </c>
      <c r="AD722">
        <v>3.344424326974171E-6</v>
      </c>
      <c r="AE722">
        <v>9.9831084242873083E-2</v>
      </c>
      <c r="AF722">
        <v>5.6305252375636872E-5</v>
      </c>
      <c r="AG722">
        <v>1.1601723292232365E-3</v>
      </c>
      <c r="AH722">
        <v>1.1267394610098749E-3</v>
      </c>
      <c r="AI722">
        <v>5.6336973050493747E-2</v>
      </c>
      <c r="AJ722"/>
      <c r="AK722"/>
      <c r="AL722"/>
      <c r="AM722"/>
      <c r="AN722"/>
      <c r="AO722"/>
      <c r="AP722"/>
      <c r="AQ722"/>
      <c r="AR722"/>
    </row>
    <row r="723" spans="1:44" ht="15" customHeight="1" x14ac:dyDescent="0.3">
      <c r="A723" s="2">
        <v>7.22</v>
      </c>
      <c r="B723" s="1">
        <f t="shared" si="166"/>
        <v>6.0255958607435649E-8</v>
      </c>
      <c r="C723" s="1">
        <f t="shared" si="167"/>
        <v>1.6761827765119396E-7</v>
      </c>
      <c r="D723" s="1">
        <f t="shared" si="168"/>
        <v>1.7100216907445607E-3</v>
      </c>
      <c r="E723" s="1">
        <f t="shared" si="169"/>
        <v>3.0483297182092397E-3</v>
      </c>
      <c r="F723" s="1">
        <f t="shared" si="170"/>
        <v>0.89911737164327676</v>
      </c>
      <c r="G723" s="1">
        <f t="shared" si="171"/>
        <v>0.89912370507928985</v>
      </c>
      <c r="H723" s="1">
        <f t="shared" si="179"/>
        <v>8.9912370507928987</v>
      </c>
      <c r="J723" s="2">
        <v>11.21</v>
      </c>
      <c r="K723" s="1">
        <v>6.1659500186148026E-12</v>
      </c>
      <c r="L723" s="1">
        <v>1.6380281983325242E-3</v>
      </c>
      <c r="M723" s="1">
        <v>-1.6378399695438988E-3</v>
      </c>
      <c r="N723" s="1">
        <v>3.60630666159065E-3</v>
      </c>
      <c r="O723" s="1">
        <v>0.99998851859560922</v>
      </c>
      <c r="P723" s="1">
        <v>1.0999067102046216</v>
      </c>
      <c r="Q723" s="2">
        <v>10.999067102046215</v>
      </c>
      <c r="S723" s="2">
        <v>7.22</v>
      </c>
      <c r="T723" s="1">
        <f t="shared" si="172"/>
        <v>6.0255958607435649E-8</v>
      </c>
      <c r="U723" s="1">
        <f t="shared" si="173"/>
        <v>1.6761827765119396E-7</v>
      </c>
      <c r="V723" s="1">
        <f t="shared" si="174"/>
        <v>9.6640641044988138E-2</v>
      </c>
      <c r="W723" s="1">
        <f t="shared" si="175"/>
        <v>1.1197863183372856E-3</v>
      </c>
      <c r="X723" s="1">
        <f t="shared" si="176"/>
        <v>2.2650436478667955E-2</v>
      </c>
      <c r="Y723" s="1">
        <f t="shared" si="177"/>
        <v>2.2649350697043439E-2</v>
      </c>
      <c r="Z723" s="1">
        <f t="shared" si="178"/>
        <v>1.1324675348521718</v>
      </c>
      <c r="AB723">
        <v>8.5299999999999994</v>
      </c>
      <c r="AC723">
        <v>2.9512092266663855E-9</v>
      </c>
      <c r="AD723">
        <v>3.4223259770059457E-6</v>
      </c>
      <c r="AE723">
        <v>9.9835153484371844E-2</v>
      </c>
      <c r="AF723">
        <v>5.4948838542719768E-5</v>
      </c>
      <c r="AG723">
        <v>1.1337935249055961E-3</v>
      </c>
      <c r="AH723">
        <v>1.0995809778305498E-3</v>
      </c>
      <c r="AI723">
        <v>5.4979048891527493E-2</v>
      </c>
      <c r="AJ723"/>
      <c r="AK723"/>
      <c r="AL723"/>
      <c r="AM723"/>
      <c r="AN723"/>
      <c r="AO723"/>
      <c r="AP723"/>
      <c r="AQ723"/>
      <c r="AR723"/>
    </row>
    <row r="724" spans="1:44" ht="15" customHeight="1" x14ac:dyDescent="0.3">
      <c r="A724" s="2">
        <v>7.23</v>
      </c>
      <c r="B724" s="1">
        <f t="shared" si="166"/>
        <v>5.8884365535558776E-8</v>
      </c>
      <c r="C724" s="1">
        <f t="shared" si="167"/>
        <v>1.7152260889863652E-7</v>
      </c>
      <c r="D724" s="1">
        <f t="shared" si="168"/>
        <v>1.6743481513944326E-3</v>
      </c>
      <c r="E724" s="1">
        <f t="shared" si="169"/>
        <v>3.0542753081009275E-3</v>
      </c>
      <c r="F724" s="1">
        <f t="shared" si="170"/>
        <v>0.90118682912166781</v>
      </c>
      <c r="G724" s="1">
        <f t="shared" si="171"/>
        <v>0.9011934761223368</v>
      </c>
      <c r="H724" s="1">
        <f t="shared" si="179"/>
        <v>9.0119347612233671</v>
      </c>
      <c r="J724" s="2">
        <v>11.22</v>
      </c>
      <c r="K724" s="1">
        <v>6.0255958607435596E-12</v>
      </c>
      <c r="L724" s="1">
        <v>1.6761827765119411E-3</v>
      </c>
      <c r="M724" s="1">
        <v>-1.6759989036431474E-3</v>
      </c>
      <c r="N724" s="1">
        <v>3.6126664839405244E-3</v>
      </c>
      <c r="O724" s="1">
        <v>0.99998877994134816</v>
      </c>
      <c r="P724" s="1">
        <v>1.1022740461101057</v>
      </c>
      <c r="Q724" s="2">
        <v>11.022740461101057</v>
      </c>
      <c r="S724" s="2">
        <v>7.23</v>
      </c>
      <c r="T724" s="1">
        <f t="shared" si="172"/>
        <v>5.8884365535558776E-8</v>
      </c>
      <c r="U724" s="1">
        <f t="shared" si="173"/>
        <v>1.7152260889863652E-7</v>
      </c>
      <c r="V724" s="1">
        <f t="shared" si="174"/>
        <v>9.6714608350755724E-2</v>
      </c>
      <c r="W724" s="1">
        <f t="shared" si="175"/>
        <v>1.0951305497480894E-3</v>
      </c>
      <c r="X724" s="1">
        <f t="shared" si="176"/>
        <v>2.2146267923049804E-2</v>
      </c>
      <c r="Y724" s="1">
        <f t="shared" si="177"/>
        <v>2.2145129068673986E-2</v>
      </c>
      <c r="Z724" s="1">
        <f t="shared" si="178"/>
        <v>1.1072564534336993</v>
      </c>
      <c r="AB724">
        <v>8.5399999999999991</v>
      </c>
      <c r="AC724">
        <v>2.8840315031266055E-9</v>
      </c>
      <c r="AD724">
        <v>3.50204218957057E-6</v>
      </c>
      <c r="AE724">
        <v>9.9839135782721744E-2</v>
      </c>
      <c r="AF724">
        <v>5.3621405759416647E-5</v>
      </c>
      <c r="AG724">
        <v>1.1080138293603193E-3</v>
      </c>
      <c r="AH724">
        <v>1.0730034747353334E-3</v>
      </c>
      <c r="AI724">
        <v>5.3650173736766671E-2</v>
      </c>
      <c r="AJ724"/>
      <c r="AK724"/>
      <c r="AL724"/>
      <c r="AM724"/>
      <c r="AN724"/>
      <c r="AO724"/>
      <c r="AP724"/>
      <c r="AQ724"/>
      <c r="AR724"/>
    </row>
    <row r="725" spans="1:44" ht="15" customHeight="1" x14ac:dyDescent="0.3">
      <c r="A725" s="2">
        <v>7.24</v>
      </c>
      <c r="B725" s="1">
        <f t="shared" si="166"/>
        <v>5.7543993733715586E-8</v>
      </c>
      <c r="C725" s="1">
        <f t="shared" si="167"/>
        <v>1.7551788370368723E-7</v>
      </c>
      <c r="D725" s="1">
        <f t="shared" si="168"/>
        <v>1.6393518017393345E-3</v>
      </c>
      <c r="E725" s="1">
        <f t="shared" si="169"/>
        <v>3.060108033043444E-3</v>
      </c>
      <c r="F725" s="1">
        <f t="shared" si="170"/>
        <v>0.90321840429518085</v>
      </c>
      <c r="G725" s="1">
        <f t="shared" si="171"/>
        <v>0.90322536855978186</v>
      </c>
      <c r="H725" s="1">
        <f t="shared" si="179"/>
        <v>9.0322536855978175</v>
      </c>
      <c r="J725" s="2">
        <v>11.23</v>
      </c>
      <c r="K725" s="1">
        <v>5.8884365535558725E-12</v>
      </c>
      <c r="L725" s="1">
        <v>1.7152260889863667E-3</v>
      </c>
      <c r="M725" s="1">
        <v>-1.7150464728864002E-3</v>
      </c>
      <c r="N725" s="1">
        <v>3.6191744121477337E-3</v>
      </c>
      <c r="O725" s="1">
        <v>0.99998903533826367</v>
      </c>
      <c r="P725" s="1">
        <v>1.1046984148441363</v>
      </c>
      <c r="Q725" s="2">
        <v>11.046984148441362</v>
      </c>
      <c r="S725" s="2">
        <v>7.24</v>
      </c>
      <c r="T725" s="1">
        <f t="shared" si="172"/>
        <v>5.7543993733715586E-8</v>
      </c>
      <c r="U725" s="1">
        <f t="shared" si="173"/>
        <v>1.7551788370368723E-7</v>
      </c>
      <c r="V725" s="1">
        <f t="shared" si="174"/>
        <v>9.6787001674764395E-2</v>
      </c>
      <c r="W725" s="1">
        <f t="shared" si="175"/>
        <v>1.0709994417452027E-3</v>
      </c>
      <c r="X725" s="1">
        <f t="shared" si="176"/>
        <v>2.1653072863290275E-2</v>
      </c>
      <c r="Y725" s="1">
        <f t="shared" si="177"/>
        <v>2.1651880352607823E-2</v>
      </c>
      <c r="Z725" s="1">
        <f t="shared" si="178"/>
        <v>1.082594017630391</v>
      </c>
      <c r="AB725">
        <v>8.5500000000000007</v>
      </c>
      <c r="AC725">
        <v>2.818382931264444E-9</v>
      </c>
      <c r="AD725">
        <v>3.5836152312591245E-6</v>
      </c>
      <c r="AE725">
        <v>9.9843033228771971E-2</v>
      </c>
      <c r="AF725">
        <v>5.2322257076013368E-5</v>
      </c>
      <c r="AG725">
        <v>1.0828196656926992E-3</v>
      </c>
      <c r="AH725">
        <v>1.0469929518641093E-3</v>
      </c>
      <c r="AI725">
        <v>5.234964759320547E-2</v>
      </c>
      <c r="AJ725"/>
      <c r="AK725"/>
      <c r="AL725"/>
      <c r="AM725"/>
      <c r="AN725"/>
      <c r="AO725"/>
      <c r="AP725"/>
      <c r="AQ725"/>
      <c r="AR725"/>
    </row>
    <row r="726" spans="1:44" ht="15" customHeight="1" x14ac:dyDescent="0.3">
      <c r="A726" s="2">
        <v>7.25</v>
      </c>
      <c r="B726" s="1">
        <f t="shared" si="166"/>
        <v>5.6234132519034806E-8</v>
      </c>
      <c r="C726" s="1">
        <f t="shared" si="167"/>
        <v>1.7960622041393151E-7</v>
      </c>
      <c r="D726" s="1">
        <f t="shared" si="168"/>
        <v>1.605022545391361E-3</v>
      </c>
      <c r="E726" s="1">
        <f t="shared" si="169"/>
        <v>3.0658295757681068E-3</v>
      </c>
      <c r="F726" s="1">
        <f t="shared" si="170"/>
        <v>0.90521260402680404</v>
      </c>
      <c r="G726" s="1">
        <f t="shared" si="171"/>
        <v>0.9052198894198763</v>
      </c>
      <c r="H726" s="1">
        <f t="shared" si="179"/>
        <v>9.0521988941987619</v>
      </c>
      <c r="J726" s="2">
        <v>11.24</v>
      </c>
      <c r="K726" s="1">
        <v>5.7543993733715538E-12</v>
      </c>
      <c r="L726" s="1">
        <v>1.7551788370368739E-3</v>
      </c>
      <c r="M726" s="1">
        <v>-1.7550033808115915E-3</v>
      </c>
      <c r="N726" s="1">
        <v>3.6258338968019319E-3</v>
      </c>
      <c r="O726" s="1">
        <v>0.99998928492176165</v>
      </c>
      <c r="P726" s="1">
        <v>1.1071812371848859</v>
      </c>
      <c r="Q726" s="2">
        <v>11.071812371848859</v>
      </c>
      <c r="S726" s="2">
        <v>7.25</v>
      </c>
      <c r="T726" s="1">
        <f t="shared" si="172"/>
        <v>5.6234132519034806E-8</v>
      </c>
      <c r="U726" s="1">
        <f t="shared" si="173"/>
        <v>1.7960622041393151E-7</v>
      </c>
      <c r="V726" s="1">
        <f t="shared" si="174"/>
        <v>9.6857852160340693E-2</v>
      </c>
      <c r="W726" s="1">
        <f t="shared" si="175"/>
        <v>1.0473826132197717E-3</v>
      </c>
      <c r="X726" s="1">
        <f t="shared" si="176"/>
        <v>2.1170623414023097E-2</v>
      </c>
      <c r="Y726" s="1">
        <f t="shared" si="177"/>
        <v>2.1169376634593173E-2</v>
      </c>
      <c r="Z726" s="1">
        <f t="shared" si="178"/>
        <v>1.0584688317296587</v>
      </c>
      <c r="AB726">
        <v>8.56</v>
      </c>
      <c r="AC726">
        <v>2.7542287033381568E-9</v>
      </c>
      <c r="AD726">
        <v>3.6670883531780362E-6</v>
      </c>
      <c r="AE726">
        <v>9.9846847869306768E-2</v>
      </c>
      <c r="AF726">
        <v>5.1050710231081623E-5</v>
      </c>
      <c r="AG726">
        <v>1.058197763340214E-3</v>
      </c>
      <c r="AH726">
        <v>1.0215357058547354E-3</v>
      </c>
      <c r="AI726">
        <v>5.1076785292736765E-2</v>
      </c>
      <c r="AJ726"/>
      <c r="AK726"/>
      <c r="AL726"/>
      <c r="AM726"/>
      <c r="AN726"/>
      <c r="AO726"/>
      <c r="AP726"/>
      <c r="AQ726"/>
      <c r="AR726"/>
    </row>
    <row r="727" spans="1:44" ht="15" customHeight="1" x14ac:dyDescent="0.3">
      <c r="A727" s="2">
        <v>7.26</v>
      </c>
      <c r="B727" s="1">
        <f t="shared" si="166"/>
        <v>5.4954087385762357E-8</v>
      </c>
      <c r="C727" s="1">
        <f t="shared" si="167"/>
        <v>1.8378978671960864E-7</v>
      </c>
      <c r="D727" s="1">
        <f t="shared" si="168"/>
        <v>1.5713503201802165E-3</v>
      </c>
      <c r="E727" s="1">
        <f t="shared" si="169"/>
        <v>3.0714416133032973E-3</v>
      </c>
      <c r="F727" s="1">
        <f t="shared" si="170"/>
        <v>0.90716993615271491</v>
      </c>
      <c r="G727" s="1">
        <f t="shared" si="171"/>
        <v>0.90717754670621809</v>
      </c>
      <c r="H727" s="1">
        <f t="shared" si="179"/>
        <v>9.0717754670621797</v>
      </c>
      <c r="J727" s="2">
        <v>11.25</v>
      </c>
      <c r="K727" s="1">
        <v>5.6234132519034759E-12</v>
      </c>
      <c r="L727" s="1">
        <v>1.7960622041393167E-3</v>
      </c>
      <c r="M727" s="1">
        <v>-1.7958908131000878E-3</v>
      </c>
      <c r="N727" s="1">
        <v>3.6326484688500148E-3</v>
      </c>
      <c r="O727" s="1">
        <v>0.99998952882416625</v>
      </c>
      <c r="P727" s="1">
        <v>1.1097239715101241</v>
      </c>
      <c r="Q727" s="2">
        <v>11.097239715101241</v>
      </c>
      <c r="S727" s="2">
        <v>7.26</v>
      </c>
      <c r="T727" s="1">
        <f t="shared" si="172"/>
        <v>5.4954087385762357E-8</v>
      </c>
      <c r="U727" s="1">
        <f t="shared" si="173"/>
        <v>1.8378978671960864E-7</v>
      </c>
      <c r="V727" s="1">
        <f t="shared" si="174"/>
        <v>9.6927190438156716E-2</v>
      </c>
      <c r="W727" s="1">
        <f t="shared" si="175"/>
        <v>1.0242698539477586E-3</v>
      </c>
      <c r="X727" s="1">
        <f t="shared" si="176"/>
        <v>2.0698695938607986E-2</v>
      </c>
      <c r="Y727" s="1">
        <f t="shared" si="177"/>
        <v>2.0697394248798334E-2</v>
      </c>
      <c r="Z727" s="1">
        <f t="shared" si="178"/>
        <v>1.0348697124399164</v>
      </c>
      <c r="AB727">
        <v>8.57</v>
      </c>
      <c r="AC727">
        <v>2.6915348039269064E-9</v>
      </c>
      <c r="AD727">
        <v>3.7525058138814554E-6</v>
      </c>
      <c r="AE727">
        <v>9.9850581708089359E-2</v>
      </c>
      <c r="AF727">
        <v>4.9806097303543827E-5</v>
      </c>
      <c r="AG727">
        <v>1.0341351512213191E-3</v>
      </c>
      <c r="AH727">
        <v>9.9661832276245641E-4</v>
      </c>
      <c r="AI727">
        <v>4.9830916138122822E-2</v>
      </c>
      <c r="AJ727"/>
      <c r="AK727"/>
      <c r="AL727"/>
      <c r="AM727"/>
      <c r="AN727"/>
      <c r="AO727"/>
      <c r="AP727"/>
      <c r="AQ727"/>
      <c r="AR727"/>
    </row>
    <row r="728" spans="1:44" ht="15" customHeight="1" x14ac:dyDescent="0.3">
      <c r="A728" s="2">
        <v>7.27</v>
      </c>
      <c r="B728" s="1">
        <f t="shared" si="166"/>
        <v>5.3703179637025192E-8</v>
      </c>
      <c r="C728" s="1">
        <f t="shared" si="167"/>
        <v>1.8807080080294989E-7</v>
      </c>
      <c r="D728" s="1">
        <f t="shared" si="168"/>
        <v>1.5383251036462005E-3</v>
      </c>
      <c r="E728" s="1">
        <f t="shared" si="169"/>
        <v>3.0769458160589667E-3</v>
      </c>
      <c r="F728" s="1">
        <f t="shared" si="170"/>
        <v>0.90909090909090917</v>
      </c>
      <c r="G728" s="1">
        <f t="shared" si="171"/>
        <v>0.90909884900646487</v>
      </c>
      <c r="H728" s="1">
        <f t="shared" si="179"/>
        <v>9.0909884900646478</v>
      </c>
      <c r="J728" s="2">
        <v>11.26</v>
      </c>
      <c r="K728" s="1">
        <v>5.4954087385762314E-12</v>
      </c>
      <c r="L728" s="1">
        <v>1.837897867196088E-3</v>
      </c>
      <c r="M728" s="1">
        <v>-1.8377304488095742E-3</v>
      </c>
      <c r="N728" s="1">
        <v>3.6396217414682627E-3</v>
      </c>
      <c r="O728" s="1">
        <v>0.99998976717478905</v>
      </c>
      <c r="P728" s="1">
        <v>1.1123281148986406</v>
      </c>
      <c r="Q728" s="2">
        <v>11.123281148986406</v>
      </c>
      <c r="S728" s="2">
        <v>7.27</v>
      </c>
      <c r="T728" s="1">
        <f t="shared" si="172"/>
        <v>5.3703179637025192E-8</v>
      </c>
      <c r="U728" s="1">
        <f t="shared" si="173"/>
        <v>1.8807080080294989E-7</v>
      </c>
      <c r="V728" s="1">
        <f t="shared" si="174"/>
        <v>9.6995046630024798E-2</v>
      </c>
      <c r="W728" s="1">
        <f t="shared" si="175"/>
        <v>1.0016511233250629E-3</v>
      </c>
      <c r="X728" s="1">
        <f t="shared" si="176"/>
        <v>2.0237070991628664E-2</v>
      </c>
      <c r="Y728" s="1">
        <f t="shared" si="177"/>
        <v>2.0235713720293428E-2</v>
      </c>
      <c r="Z728" s="1">
        <f t="shared" si="178"/>
        <v>1.0117856860146712</v>
      </c>
      <c r="AB728">
        <v>8.58</v>
      </c>
      <c r="AC728">
        <v>2.6302679918953733E-9</v>
      </c>
      <c r="AD728">
        <v>3.8399129028376807E-6</v>
      </c>
      <c r="AE728">
        <v>9.9854236706884814E-2</v>
      </c>
      <c r="AF728">
        <v>4.8587764371725746E-5</v>
      </c>
      <c r="AG728">
        <v>1.0106191510347729E-3</v>
      </c>
      <c r="AH728">
        <v>9.7222767112451749E-4</v>
      </c>
      <c r="AI728">
        <v>4.8611383556225879E-2</v>
      </c>
      <c r="AJ728"/>
      <c r="AK728"/>
      <c r="AL728"/>
      <c r="AM728"/>
      <c r="AN728"/>
      <c r="AO728"/>
      <c r="AP728"/>
      <c r="AQ728"/>
      <c r="AR728"/>
    </row>
    <row r="729" spans="1:44" ht="15" customHeight="1" x14ac:dyDescent="0.3">
      <c r="A729" s="2">
        <v>7.28</v>
      </c>
      <c r="B729" s="1">
        <f t="shared" si="166"/>
        <v>5.2480746024977185E-8</v>
      </c>
      <c r="C729" s="1">
        <f t="shared" si="167"/>
        <v>1.9245153251428823E-7</v>
      </c>
      <c r="D729" s="1">
        <f t="shared" si="168"/>
        <v>1.5059369182621758E-3</v>
      </c>
      <c r="E729" s="1">
        <f t="shared" si="169"/>
        <v>3.0823438469563041E-3</v>
      </c>
      <c r="F729" s="1">
        <f t="shared" si="170"/>
        <v>0.91097603146534545</v>
      </c>
      <c r="G729" s="1">
        <f t="shared" si="171"/>
        <v>0.91098430511656669</v>
      </c>
      <c r="H729" s="1">
        <f t="shared" si="179"/>
        <v>9.1098430511656669</v>
      </c>
      <c r="J729" s="2">
        <v>11.27</v>
      </c>
      <c r="K729" s="1">
        <v>5.3703179637025143E-12</v>
      </c>
      <c r="L729" s="1">
        <v>1.8807080080295005E-3</v>
      </c>
      <c r="M729" s="1">
        <v>-1.8805444718686089E-3</v>
      </c>
      <c r="N729" s="1">
        <v>3.6467574119781014E-3</v>
      </c>
      <c r="O729" s="1">
        <v>0.99999000009999905</v>
      </c>
      <c r="P729" s="1">
        <v>1.1149952042689095</v>
      </c>
      <c r="Q729" s="2">
        <v>11.149952042689094</v>
      </c>
      <c r="S729" s="2">
        <v>7.28</v>
      </c>
      <c r="T729" s="1">
        <f t="shared" si="172"/>
        <v>5.2480746024977185E-8</v>
      </c>
      <c r="U729" s="1">
        <f t="shared" si="173"/>
        <v>1.9245153251428823E-7</v>
      </c>
      <c r="V729" s="1">
        <f t="shared" si="174"/>
        <v>9.7061450352901688E-2</v>
      </c>
      <c r="W729" s="1">
        <f t="shared" si="175"/>
        <v>9.795165490327684E-4</v>
      </c>
      <c r="X729" s="1">
        <f t="shared" si="176"/>
        <v>1.9785533261127392E-2</v>
      </c>
      <c r="Y729" s="1">
        <f t="shared" si="177"/>
        <v>1.9784119707268521E-2</v>
      </c>
      <c r="Z729" s="1">
        <f t="shared" si="178"/>
        <v>0.98920598536342585</v>
      </c>
      <c r="AB729">
        <v>8.59</v>
      </c>
      <c r="AC729">
        <v>2.5703957827688555E-9</v>
      </c>
      <c r="AD729">
        <v>3.929355964442246E-6</v>
      </c>
      <c r="AE729">
        <v>9.9857814786462273E-2</v>
      </c>
      <c r="AF729">
        <v>4.7395071179241527E-5</v>
      </c>
      <c r="AG729">
        <v>9.8763737070626427E-4</v>
      </c>
      <c r="AH729">
        <v>9.483508951666237E-4</v>
      </c>
      <c r="AI729">
        <v>4.7417544758331182E-2</v>
      </c>
      <c r="AJ729"/>
      <c r="AK729"/>
      <c r="AL729"/>
      <c r="AM729"/>
      <c r="AN729"/>
      <c r="AO729"/>
      <c r="AP729"/>
      <c r="AQ729"/>
      <c r="AR729"/>
    </row>
    <row r="730" spans="1:44" ht="15" customHeight="1" x14ac:dyDescent="0.3">
      <c r="A730" s="2">
        <v>7.29</v>
      </c>
      <c r="B730" s="1">
        <f t="shared" si="166"/>
        <v>5.1286138399136415E-8</v>
      </c>
      <c r="C730" s="1">
        <f t="shared" si="167"/>
        <v>1.9693430457556283E-7</v>
      </c>
      <c r="D730" s="1">
        <f t="shared" si="168"/>
        <v>1.4741758363905834E-3</v>
      </c>
      <c r="E730" s="1">
        <f t="shared" si="169"/>
        <v>3.0876373606015693E-3</v>
      </c>
      <c r="F730" s="1">
        <f t="shared" si="170"/>
        <v>0.91282581174541322</v>
      </c>
      <c r="G730" s="1">
        <f t="shared" si="171"/>
        <v>0.91283442368032031</v>
      </c>
      <c r="H730" s="1">
        <f t="shared" si="179"/>
        <v>9.1283442368032031</v>
      </c>
      <c r="J730" s="2">
        <v>11.28</v>
      </c>
      <c r="K730" s="1">
        <v>5.2480746024977136E-12</v>
      </c>
      <c r="L730" s="1">
        <v>1.9245153251428841E-3</v>
      </c>
      <c r="M730" s="1">
        <v>-1.9243555828388293E-3</v>
      </c>
      <c r="N730" s="1">
        <v>3.6540592638064713E-3</v>
      </c>
      <c r="O730" s="1">
        <v>0.99999022772328872</v>
      </c>
      <c r="P730" s="1">
        <v>1.1177268175564763</v>
      </c>
      <c r="Q730" s="2">
        <v>11.177268175564762</v>
      </c>
      <c r="S730" s="2">
        <v>7.29</v>
      </c>
      <c r="T730" s="1">
        <f t="shared" si="172"/>
        <v>5.1286138399136415E-8</v>
      </c>
      <c r="U730" s="1">
        <f t="shared" si="173"/>
        <v>1.9693430457556283E-7</v>
      </c>
      <c r="V730" s="1">
        <f t="shared" si="174"/>
        <v>9.7126430723087881E-2</v>
      </c>
      <c r="W730" s="1">
        <f t="shared" si="175"/>
        <v>9.5785642563737548E-4</v>
      </c>
      <c r="X730" s="1">
        <f t="shared" si="176"/>
        <v>1.9343871510640986E-2</v>
      </c>
      <c r="Y730" s="1">
        <f t="shared" si="177"/>
        <v>1.9342400943053086E-2</v>
      </c>
      <c r="Z730" s="1">
        <f t="shared" si="178"/>
        <v>0.96712004715265432</v>
      </c>
      <c r="AB730">
        <v>8.6</v>
      </c>
      <c r="AC730">
        <v>2.5118864315095812E-9</v>
      </c>
      <c r="AD730">
        <v>4.02088242259032E-6</v>
      </c>
      <c r="AE730">
        <v>9.9861317827577317E-2</v>
      </c>
      <c r="AF730">
        <v>4.6227390807561127E-5</v>
      </c>
      <c r="AG730">
        <v>9.6517769797924288E-4</v>
      </c>
      <c r="AH730">
        <v>9.24975408148021E-4</v>
      </c>
      <c r="AI730">
        <v>4.6248770407401052E-2</v>
      </c>
      <c r="AJ730"/>
      <c r="AK730"/>
      <c r="AL730"/>
      <c r="AM730"/>
      <c r="AN730"/>
      <c r="AO730"/>
      <c r="AP730"/>
      <c r="AQ730"/>
      <c r="AR730"/>
    </row>
    <row r="731" spans="1:44" ht="15" customHeight="1" x14ac:dyDescent="0.3">
      <c r="A731" s="2">
        <v>7.3</v>
      </c>
      <c r="B731" s="1">
        <f t="shared" si="166"/>
        <v>5.0118723362727164E-8</v>
      </c>
      <c r="C731" s="1">
        <f t="shared" si="167"/>
        <v>2.0152149381185708E-7</v>
      </c>
      <c r="D731" s="1">
        <f t="shared" si="168"/>
        <v>1.4430319849815601E-3</v>
      </c>
      <c r="E731" s="1">
        <f t="shared" si="169"/>
        <v>3.0928280025030734E-3</v>
      </c>
      <c r="F731" s="1">
        <f t="shared" si="170"/>
        <v>0.9146407579005128</v>
      </c>
      <c r="G731" s="1">
        <f t="shared" si="171"/>
        <v>0.91464971284404051</v>
      </c>
      <c r="H731" s="1">
        <f t="shared" si="179"/>
        <v>9.1464971284404051</v>
      </c>
      <c r="J731" s="2">
        <v>11.29</v>
      </c>
      <c r="K731" s="1">
        <v>5.128613839913655E-12</v>
      </c>
      <c r="L731" s="1">
        <v>1.9693430457556234E-3</v>
      </c>
      <c r="M731" s="1">
        <v>-1.9691870109510741E-3</v>
      </c>
      <c r="N731" s="1">
        <v>3.6615311684918459E-3</v>
      </c>
      <c r="O731" s="1">
        <v>0.99999045016534005</v>
      </c>
      <c r="P731" s="1">
        <v>1.1205245749316219</v>
      </c>
      <c r="Q731" s="2">
        <v>11.205245749316219</v>
      </c>
      <c r="S731" s="2">
        <v>7.3</v>
      </c>
      <c r="T731" s="1">
        <f t="shared" si="172"/>
        <v>5.0118723362727164E-8</v>
      </c>
      <c r="U731" s="1">
        <f t="shared" si="173"/>
        <v>2.0152149381185708E-7</v>
      </c>
      <c r="V731" s="1">
        <f t="shared" si="174"/>
        <v>9.7190016360607978E-2</v>
      </c>
      <c r="W731" s="1">
        <f t="shared" si="175"/>
        <v>9.3666121313067347E-4</v>
      </c>
      <c r="X731" s="1">
        <f t="shared" si="176"/>
        <v>1.891187852109949E-2</v>
      </c>
      <c r="Y731" s="1">
        <f t="shared" si="177"/>
        <v>1.8910350177997963E-2</v>
      </c>
      <c r="Z731" s="1">
        <f t="shared" si="178"/>
        <v>0.94551750889989816</v>
      </c>
      <c r="AB731">
        <v>8.61</v>
      </c>
      <c r="AC731">
        <v>2.4547089156850316E-9</v>
      </c>
      <c r="AD731">
        <v>4.1145408058215363E-6</v>
      </c>
      <c r="AE731">
        <v>9.9864747671934678E-2</v>
      </c>
      <c r="AF731">
        <v>4.5084109355110522E-5</v>
      </c>
      <c r="AG731">
        <v>9.4322829414687033E-4</v>
      </c>
      <c r="AH731">
        <v>9.0208888584198353E-4</v>
      </c>
      <c r="AI731">
        <v>4.5104444292099179E-2</v>
      </c>
      <c r="AJ731"/>
      <c r="AK731"/>
      <c r="AL731"/>
      <c r="AM731"/>
      <c r="AN731"/>
      <c r="AO731"/>
      <c r="AP731"/>
      <c r="AQ731"/>
      <c r="AR731"/>
    </row>
    <row r="732" spans="1:44" ht="15" customHeight="1" x14ac:dyDescent="0.3">
      <c r="A732" s="2">
        <v>7.31</v>
      </c>
      <c r="B732" s="1">
        <f t="shared" si="166"/>
        <v>4.8977881936844561E-8</v>
      </c>
      <c r="C732" s="1">
        <f t="shared" si="167"/>
        <v>2.062155324116227E-7</v>
      </c>
      <c r="D732" s="1">
        <f t="shared" si="168"/>
        <v>1.4124955500186326E-3</v>
      </c>
      <c r="E732" s="1">
        <f t="shared" si="169"/>
        <v>3.0979174083302281E-3</v>
      </c>
      <c r="F732" s="1">
        <f t="shared" si="170"/>
        <v>0.91642137706951343</v>
      </c>
      <c r="G732" s="1">
        <f t="shared" si="171"/>
        <v>0.91643067992610661</v>
      </c>
      <c r="H732" s="1">
        <f t="shared" si="179"/>
        <v>9.1643067992610661</v>
      </c>
      <c r="J732" s="2">
        <v>11.3</v>
      </c>
      <c r="K732" s="1">
        <v>5.0118723362726945E-12</v>
      </c>
      <c r="L732" s="1">
        <v>2.0152149381185798E-3</v>
      </c>
      <c r="M732" s="1">
        <v>-2.0150625264218646E-3</v>
      </c>
      <c r="N732" s="1">
        <v>3.669177087736977E-3</v>
      </c>
      <c r="O732" s="1">
        <v>0.99999066754408772</v>
      </c>
      <c r="P732" s="1">
        <v>1.123390140058939</v>
      </c>
      <c r="Q732" s="2">
        <v>11.233901400589389</v>
      </c>
      <c r="S732" s="2">
        <v>7.31</v>
      </c>
      <c r="T732" s="1">
        <f t="shared" si="172"/>
        <v>4.8977881936844561E-8</v>
      </c>
      <c r="U732" s="1">
        <f t="shared" si="173"/>
        <v>2.062155324116227E-7</v>
      </c>
      <c r="V732" s="1">
        <f t="shared" si="174"/>
        <v>9.725223539375881E-2</v>
      </c>
      <c r="W732" s="1">
        <f t="shared" si="175"/>
        <v>9.159215354137346E-4</v>
      </c>
      <c r="X732" s="1">
        <f t="shared" si="176"/>
        <v>1.8489351032645679E-2</v>
      </c>
      <c r="Y732" s="1">
        <f t="shared" si="177"/>
        <v>1.8487764121277967E-2</v>
      </c>
      <c r="Z732" s="1">
        <f t="shared" si="178"/>
        <v>0.92438820606389838</v>
      </c>
      <c r="AB732">
        <v>8.6199999999999992</v>
      </c>
      <c r="AC732">
        <v>2.3988329190194922E-9</v>
      </c>
      <c r="AD732">
        <v>4.210380773050384E-6</v>
      </c>
      <c r="AE732">
        <v>9.9868106123131711E-2</v>
      </c>
      <c r="AF732">
        <v>4.3964625622761206E-5</v>
      </c>
      <c r="AG732">
        <v>9.2177758792214232E-4</v>
      </c>
      <c r="AH732">
        <v>8.796792601486296E-4</v>
      </c>
      <c r="AI732">
        <v>4.398396300743148E-2</v>
      </c>
      <c r="AJ732"/>
      <c r="AK732"/>
      <c r="AL732"/>
      <c r="AM732"/>
      <c r="AN732"/>
      <c r="AO732"/>
      <c r="AP732"/>
      <c r="AQ732"/>
      <c r="AR732"/>
    </row>
    <row r="733" spans="1:44" ht="15" customHeight="1" x14ac:dyDescent="0.3">
      <c r="A733" s="2">
        <v>7.32</v>
      </c>
      <c r="B733" s="1">
        <f t="shared" si="166"/>
        <v>4.7863009232263782E-8</v>
      </c>
      <c r="C733" s="1">
        <f t="shared" si="167"/>
        <v>2.1101890921625821E-7</v>
      </c>
      <c r="D733" s="1">
        <f t="shared" si="168"/>
        <v>1.3825567807181781E-3</v>
      </c>
      <c r="E733" s="1">
        <f t="shared" si="169"/>
        <v>3.1029072032136367E-3</v>
      </c>
      <c r="F733" s="1">
        <f t="shared" si="170"/>
        <v>0.91816817524484795</v>
      </c>
      <c r="G733" s="1">
        <f t="shared" si="171"/>
        <v>0.91817783110115092</v>
      </c>
      <c r="H733" s="1">
        <f t="shared" si="179"/>
        <v>9.1817783110115094</v>
      </c>
      <c r="J733" s="2">
        <v>11.31</v>
      </c>
      <c r="K733" s="1">
        <v>4.8977881936844518E-12</v>
      </c>
      <c r="L733" s="1">
        <v>2.0621553241162286E-3</v>
      </c>
      <c r="M733" s="1">
        <v>-2.0620064530566177E-3</v>
      </c>
      <c r="N733" s="1">
        <v>3.6770010755094364E-3</v>
      </c>
      <c r="O733" s="1">
        <v>0.99999087997478209</v>
      </c>
      <c r="P733" s="1">
        <v>1.1263252214005137</v>
      </c>
      <c r="Q733" s="2">
        <v>11.263252214005137</v>
      </c>
      <c r="S733" s="2">
        <v>7.32</v>
      </c>
      <c r="T733" s="1">
        <f t="shared" si="172"/>
        <v>4.7863009232263782E-8</v>
      </c>
      <c r="U733" s="1">
        <f t="shared" si="173"/>
        <v>2.1101890921625821E-7</v>
      </c>
      <c r="V733" s="1">
        <f t="shared" si="174"/>
        <v>9.7313115463812036E-2</v>
      </c>
      <c r="W733" s="1">
        <f t="shared" si="175"/>
        <v>8.9562817872932321E-4</v>
      </c>
      <c r="X733" s="1">
        <f t="shared" si="176"/>
        <v>1.8076089686430361E-2</v>
      </c>
      <c r="Y733" s="1">
        <f t="shared" si="177"/>
        <v>1.8074443382670134E-2</v>
      </c>
      <c r="Z733" s="1">
        <f t="shared" si="178"/>
        <v>0.90372216913350678</v>
      </c>
      <c r="AB733">
        <v>8.6300000000000008</v>
      </c>
      <c r="AC733">
        <v>2.3442288153199155E-9</v>
      </c>
      <c r="AD733">
        <v>4.308453139896098E-6</v>
      </c>
      <c r="AE733">
        <v>9.987139494758332E-2</v>
      </c>
      <c r="AF733">
        <v>4.2868350805561409E-5</v>
      </c>
      <c r="AG733">
        <v>9.0081426944316743E-4</v>
      </c>
      <c r="AH733">
        <v>8.5773471283690818E-4</v>
      </c>
      <c r="AI733">
        <v>4.2886735641845405E-2</v>
      </c>
      <c r="AJ733"/>
      <c r="AK733"/>
      <c r="AL733"/>
      <c r="AM733"/>
      <c r="AN733"/>
      <c r="AO733"/>
      <c r="AP733"/>
      <c r="AQ733"/>
      <c r="AR733"/>
    </row>
    <row r="734" spans="1:44" ht="15" customHeight="1" x14ac:dyDescent="0.3">
      <c r="A734" s="2">
        <v>7.33</v>
      </c>
      <c r="B734" s="1">
        <f t="shared" si="166"/>
        <v>4.6773514128719769E-8</v>
      </c>
      <c r="C734" s="1">
        <f t="shared" si="167"/>
        <v>2.1593417103972565E-7</v>
      </c>
      <c r="D734" s="1">
        <f t="shared" si="168"/>
        <v>1.3532059934892946E-3</v>
      </c>
      <c r="E734" s="1">
        <f t="shared" si="169"/>
        <v>3.1077990010851177E-3</v>
      </c>
      <c r="F734" s="1">
        <f t="shared" si="170"/>
        <v>0.91988165697098068</v>
      </c>
      <c r="G734" s="1">
        <f t="shared" si="171"/>
        <v>0.91989167109861991</v>
      </c>
      <c r="H734" s="1">
        <f t="shared" si="179"/>
        <v>9.1989167109861985</v>
      </c>
      <c r="J734" s="2">
        <v>11.32</v>
      </c>
      <c r="K734" s="1">
        <v>4.7863009232263738E-12</v>
      </c>
      <c r="L734" s="1">
        <v>2.1101890921625841E-3</v>
      </c>
      <c r="M734" s="1">
        <v>-2.1100436811465448E-3</v>
      </c>
      <c r="N734" s="1">
        <v>3.6850072801910909E-3</v>
      </c>
      <c r="O734" s="1">
        <v>0.99999108757005073</v>
      </c>
      <c r="P734" s="1">
        <v>1.1293315735645182</v>
      </c>
      <c r="Q734" s="2">
        <v>11.293315735645182</v>
      </c>
      <c r="S734" s="2">
        <v>7.33</v>
      </c>
      <c r="T734" s="1">
        <f t="shared" si="172"/>
        <v>4.6773514128719769E-8</v>
      </c>
      <c r="U734" s="1">
        <f t="shared" si="173"/>
        <v>2.1593417103972565E-7</v>
      </c>
      <c r="V734" s="1">
        <f t="shared" si="174"/>
        <v>9.7372683729859452E-2</v>
      </c>
      <c r="W734" s="1">
        <f t="shared" si="175"/>
        <v>8.7577209004684577E-4</v>
      </c>
      <c r="X734" s="1">
        <f t="shared" si="176"/>
        <v>1.7671898966435343E-2</v>
      </c>
      <c r="Y734" s="1">
        <f t="shared" si="177"/>
        <v>1.7670192414359451E-2</v>
      </c>
      <c r="Z734" s="1">
        <f t="shared" si="178"/>
        <v>0.88350962071797245</v>
      </c>
      <c r="AB734">
        <v>8.64</v>
      </c>
      <c r="AC734">
        <v>2.2908676527677671E-9</v>
      </c>
      <c r="AD734">
        <v>4.4088099056256879E-6</v>
      </c>
      <c r="AE734">
        <v>9.9874615875428285E-2</v>
      </c>
      <c r="AF734">
        <v>4.1794708190571114E-5</v>
      </c>
      <c r="AG734">
        <v>8.8032728441079285E-4</v>
      </c>
      <c r="AH734">
        <v>8.362436694128154E-4</v>
      </c>
      <c r="AI734">
        <v>4.1812183470640772E-2</v>
      </c>
      <c r="AJ734"/>
      <c r="AK734"/>
      <c r="AL734"/>
      <c r="AM734"/>
      <c r="AN734"/>
      <c r="AO734"/>
      <c r="AP734"/>
      <c r="AQ734"/>
      <c r="AR734"/>
    </row>
    <row r="735" spans="1:44" ht="15" customHeight="1" x14ac:dyDescent="0.3">
      <c r="A735" s="2">
        <v>7.34</v>
      </c>
      <c r="B735" s="1">
        <f t="shared" si="166"/>
        <v>4.5708818961487464E-8</v>
      </c>
      <c r="C735" s="1">
        <f t="shared" si="167"/>
        <v>2.2096392401890499E-7</v>
      </c>
      <c r="D735" s="1">
        <f t="shared" si="168"/>
        <v>1.3244335756605191E-3</v>
      </c>
      <c r="E735" s="1">
        <f t="shared" si="169"/>
        <v>3.1125944040565801E-3</v>
      </c>
      <c r="F735" s="1">
        <f t="shared" si="170"/>
        <v>0.92156232505697822</v>
      </c>
      <c r="G735" s="1">
        <f t="shared" si="171"/>
        <v>0.9215727029154398</v>
      </c>
      <c r="H735" s="1">
        <f t="shared" si="179"/>
        <v>9.2157270291543973</v>
      </c>
      <c r="J735" s="2">
        <v>11.33</v>
      </c>
      <c r="K735" s="1">
        <v>4.6773514128719737E-12</v>
      </c>
      <c r="L735" s="1">
        <v>2.1593417103972579E-3</v>
      </c>
      <c r="M735" s="1">
        <v>-2.1591996806657452E-3</v>
      </c>
      <c r="N735" s="1">
        <v>3.6931999467776241E-3</v>
      </c>
      <c r="O735" s="1">
        <v>0.9999912904399576</v>
      </c>
      <c r="P735" s="1">
        <v>1.1324109987010644</v>
      </c>
      <c r="Q735" s="2">
        <v>11.324109987010644</v>
      </c>
      <c r="S735" s="2">
        <v>7.34</v>
      </c>
      <c r="T735" s="1">
        <f t="shared" si="172"/>
        <v>4.5708818961487464E-8</v>
      </c>
      <c r="U735" s="1">
        <f t="shared" si="173"/>
        <v>2.2096392401890499E-7</v>
      </c>
      <c r="V735" s="1">
        <f t="shared" si="174"/>
        <v>9.7430966873788646E-2</v>
      </c>
      <c r="W735" s="1">
        <f t="shared" si="175"/>
        <v>8.5634437540378281E-4</v>
      </c>
      <c r="X735" s="1">
        <f t="shared" si="176"/>
        <v>1.7276587141373107E-2</v>
      </c>
      <c r="Y735" s="1">
        <f t="shared" si="177"/>
        <v>1.7274819452821045E-2</v>
      </c>
      <c r="Z735" s="1">
        <f t="shared" si="178"/>
        <v>0.86374097264105232</v>
      </c>
      <c r="AB735">
        <v>8.65</v>
      </c>
      <c r="AC735">
        <v>2.2387211385683336E-9</v>
      </c>
      <c r="AD735">
        <v>4.5115042807247394E-6</v>
      </c>
      <c r="AE735">
        <v>9.9877770601418031E-2</v>
      </c>
      <c r="AF735">
        <v>4.0743132860658022E-5</v>
      </c>
      <c r="AG735">
        <v>8.6030582835567703E-4</v>
      </c>
      <c r="AH735">
        <v>8.1519479311079068E-4</v>
      </c>
      <c r="AI735">
        <v>4.0759739655539536E-2</v>
      </c>
      <c r="AJ735"/>
      <c r="AK735"/>
      <c r="AL735"/>
      <c r="AM735"/>
      <c r="AN735"/>
      <c r="AO735"/>
      <c r="AP735"/>
      <c r="AQ735"/>
      <c r="AR735"/>
    </row>
    <row r="736" spans="1:44" ht="15" customHeight="1" x14ac:dyDescent="0.3">
      <c r="A736" s="2">
        <v>7.35</v>
      </c>
      <c r="B736" s="1">
        <f t="shared" si="166"/>
        <v>4.466835921509628E-8</v>
      </c>
      <c r="C736" s="1">
        <f t="shared" si="167"/>
        <v>2.2611083499540245E-7</v>
      </c>
      <c r="D736" s="1">
        <f t="shared" si="168"/>
        <v>1.2962299889800152E-3</v>
      </c>
      <c r="E736" s="1">
        <f t="shared" si="169"/>
        <v>3.117295001836664E-3</v>
      </c>
      <c r="F736" s="1">
        <f t="shared" si="170"/>
        <v>0.92321068030289988</v>
      </c>
      <c r="G736" s="1">
        <f t="shared" si="171"/>
        <v>0.92322142754250391</v>
      </c>
      <c r="H736" s="1">
        <f t="shared" si="179"/>
        <v>9.2322142754250383</v>
      </c>
      <c r="J736" s="2">
        <v>11.34</v>
      </c>
      <c r="K736" s="1">
        <v>4.5708818961487419E-12</v>
      </c>
      <c r="L736" s="1">
        <v>2.209639240189052E-3</v>
      </c>
      <c r="M736" s="1">
        <v>-2.2095005147757312E-3</v>
      </c>
      <c r="N736" s="1">
        <v>3.7015834191292882E-3</v>
      </c>
      <c r="O736" s="1">
        <v>0.999991488692061</v>
      </c>
      <c r="P736" s="1">
        <v>1.1355653479472969</v>
      </c>
      <c r="Q736" s="2">
        <v>11.355653479472968</v>
      </c>
      <c r="S736" s="2">
        <v>7.35</v>
      </c>
      <c r="T736" s="1">
        <f t="shared" si="172"/>
        <v>4.466835921509628E-8</v>
      </c>
      <c r="U736" s="1">
        <f t="shared" si="173"/>
        <v>2.2611083499540245E-7</v>
      </c>
      <c r="V736" s="1">
        <f t="shared" si="174"/>
        <v>9.7487991105377841E-2</v>
      </c>
      <c r="W736" s="1">
        <f t="shared" si="175"/>
        <v>8.3733629820738722E-4</v>
      </c>
      <c r="X736" s="1">
        <f t="shared" si="176"/>
        <v>1.6889966206709288E-2</v>
      </c>
      <c r="Y736" s="1">
        <f t="shared" si="177"/>
        <v>1.6888136460825029E-2</v>
      </c>
      <c r="Z736" s="1">
        <f t="shared" si="178"/>
        <v>0.84440682304125136</v>
      </c>
      <c r="AB736">
        <v>8.66</v>
      </c>
      <c r="AC736">
        <v>2.1877616239495468E-9</v>
      </c>
      <c r="AD736">
        <v>4.6165907151102492E-6</v>
      </c>
      <c r="AE736">
        <v>9.9880860785787631E-2</v>
      </c>
      <c r="AF736">
        <v>3.9713071404121139E-5</v>
      </c>
      <c r="AG736">
        <v>8.4073934103211234E-4</v>
      </c>
      <c r="AH736">
        <v>7.9457697900545598E-4</v>
      </c>
      <c r="AI736">
        <v>3.9728848950272795E-2</v>
      </c>
      <c r="AJ736"/>
      <c r="AK736"/>
      <c r="AL736"/>
      <c r="AM736"/>
      <c r="AN736"/>
      <c r="AO736"/>
      <c r="AP736"/>
      <c r="AQ736"/>
      <c r="AR736"/>
    </row>
    <row r="737" spans="1:44" ht="15" customHeight="1" x14ac:dyDescent="0.3">
      <c r="A737" s="2">
        <v>7.36</v>
      </c>
      <c r="B737" s="1">
        <f t="shared" si="166"/>
        <v>4.3651583224016566E-8</v>
      </c>
      <c r="C737" s="1">
        <f t="shared" si="167"/>
        <v>2.3137763292954522E-7</v>
      </c>
      <c r="D737" s="1">
        <f t="shared" si="168"/>
        <v>1.2685857728958261E-3</v>
      </c>
      <c r="E737" s="1">
        <f t="shared" si="169"/>
        <v>3.121902371184029E-3</v>
      </c>
      <c r="F737" s="1">
        <f t="shared" si="170"/>
        <v>0.92482722123971162</v>
      </c>
      <c r="G737" s="1">
        <f t="shared" si="171"/>
        <v>0.92483834370468565</v>
      </c>
      <c r="H737" s="1">
        <f t="shared" si="179"/>
        <v>9.2483834370468561</v>
      </c>
      <c r="J737" s="2">
        <v>11.35</v>
      </c>
      <c r="K737" s="1">
        <v>4.4668359215096234E-12</v>
      </c>
      <c r="L737" s="1">
        <v>2.2611083499540266E-3</v>
      </c>
      <c r="M737" s="1">
        <v>-2.2609728536444962E-3</v>
      </c>
      <c r="N737" s="1">
        <v>3.7101621422740822E-3</v>
      </c>
      <c r="O737" s="1">
        <v>0.99999168243147163</v>
      </c>
      <c r="P737" s="1">
        <v>1.1387965229237789</v>
      </c>
      <c r="Q737" s="2">
        <v>11.387965229237787</v>
      </c>
      <c r="S737" s="2">
        <v>7.36</v>
      </c>
      <c r="T737" s="1">
        <f t="shared" si="172"/>
        <v>4.3651583224016566E-8</v>
      </c>
      <c r="U737" s="1">
        <f t="shared" si="173"/>
        <v>2.3137763292954522E-7</v>
      </c>
      <c r="V737" s="1">
        <f t="shared" si="174"/>
        <v>9.7543782167499191E-2</v>
      </c>
      <c r="W737" s="1">
        <f t="shared" si="175"/>
        <v>8.1873927750027251E-4</v>
      </c>
      <c r="X737" s="1">
        <f t="shared" si="176"/>
        <v>1.6511851826851588E-2</v>
      </c>
      <c r="Y737" s="1">
        <f t="shared" si="177"/>
        <v>1.6509959069607547E-2</v>
      </c>
      <c r="Z737" s="1">
        <f t="shared" si="178"/>
        <v>0.82549795348037724</v>
      </c>
      <c r="AB737">
        <v>8.67</v>
      </c>
      <c r="AC737">
        <v>2.137962089502227E-9</v>
      </c>
      <c r="AD737">
        <v>4.7241249270007129E-6</v>
      </c>
      <c r="AE737">
        <v>9.9883888055109976E-2</v>
      </c>
      <c r="AF737">
        <v>3.8703981630004277E-5</v>
      </c>
      <c r="AG737">
        <v>8.216175009358287E-4</v>
      </c>
      <c r="AH737">
        <v>7.7437934824077514E-4</v>
      </c>
      <c r="AI737">
        <v>3.8718967412038757E-2</v>
      </c>
      <c r="AJ737"/>
      <c r="AK737"/>
      <c r="AL737"/>
      <c r="AM737"/>
      <c r="AN737"/>
      <c r="AO737"/>
      <c r="AP737"/>
      <c r="AQ737"/>
      <c r="AR737"/>
    </row>
    <row r="738" spans="1:44" ht="15" customHeight="1" x14ac:dyDescent="0.3">
      <c r="A738" s="2">
        <v>7.37</v>
      </c>
      <c r="B738" s="1">
        <f t="shared" si="166"/>
        <v>4.2657951880159239E-8</v>
      </c>
      <c r="C738" s="1">
        <f t="shared" si="167"/>
        <v>2.3676711034731227E-7</v>
      </c>
      <c r="D738" s="1">
        <f t="shared" si="168"/>
        <v>1.2414915476227884E-3</v>
      </c>
      <c r="E738" s="1">
        <f t="shared" si="169"/>
        <v>3.1264180753962016E-3</v>
      </c>
      <c r="F738" s="1">
        <f t="shared" si="170"/>
        <v>0.9264124438824265</v>
      </c>
      <c r="G738" s="1">
        <f t="shared" si="171"/>
        <v>0.92642394761407842</v>
      </c>
      <c r="H738" s="1">
        <f t="shared" si="179"/>
        <v>9.2642394761407836</v>
      </c>
      <c r="J738" s="2">
        <v>11.36</v>
      </c>
      <c r="K738" s="1">
        <v>4.3651583224016522E-12</v>
      </c>
      <c r="L738" s="1">
        <v>2.3137763292954546E-3</v>
      </c>
      <c r="M738" s="1">
        <v>-2.3136439885873329E-3</v>
      </c>
      <c r="N738" s="1">
        <v>3.7189406647645555E-3</v>
      </c>
      <c r="O738" s="1">
        <v>0.9999918717609072</v>
      </c>
      <c r="P738" s="1">
        <v>1.1421064772843219</v>
      </c>
      <c r="Q738" s="2">
        <v>11.421064772843218</v>
      </c>
      <c r="S738" s="2">
        <v>7.37</v>
      </c>
      <c r="T738" s="1">
        <f t="shared" si="172"/>
        <v>4.2657951880159239E-8</v>
      </c>
      <c r="U738" s="1">
        <f t="shared" si="173"/>
        <v>2.3676711034731227E-7</v>
      </c>
      <c r="V738" s="1">
        <f t="shared" si="174"/>
        <v>9.7598365341419996E-2</v>
      </c>
      <c r="W738" s="1">
        <f t="shared" si="175"/>
        <v>8.0054488619333447E-4</v>
      </c>
      <c r="X738" s="1">
        <f t="shared" si="176"/>
        <v>1.6142063277545846E-2</v>
      </c>
      <c r="Y738" s="1">
        <f t="shared" si="177"/>
        <v>1.6140106521248702E-2</v>
      </c>
      <c r="Z738" s="1">
        <f t="shared" si="178"/>
        <v>0.80700532606243514</v>
      </c>
      <c r="AB738">
        <v>8.68</v>
      </c>
      <c r="AC738">
        <v>2.0892961308540348E-9</v>
      </c>
      <c r="AD738">
        <v>4.8341639324586576E-6</v>
      </c>
      <c r="AE738">
        <v>9.9886854003133088E-2</v>
      </c>
      <c r="AF738">
        <v>3.771533228896805E-5</v>
      </c>
      <c r="AG738">
        <v>8.029302199431391E-4</v>
      </c>
      <c r="AH738">
        <v>7.545912423738457E-4</v>
      </c>
      <c r="AI738">
        <v>3.7729562118692286E-2</v>
      </c>
      <c r="AJ738"/>
      <c r="AK738"/>
      <c r="AL738"/>
      <c r="AM738"/>
      <c r="AN738"/>
      <c r="AO738"/>
      <c r="AP738"/>
      <c r="AQ738"/>
      <c r="AR738"/>
    </row>
    <row r="739" spans="1:44" ht="15" customHeight="1" x14ac:dyDescent="0.3">
      <c r="A739" s="2">
        <v>7.38</v>
      </c>
      <c r="B739" s="1">
        <f t="shared" si="166"/>
        <v>4.1686938347033516E-8</v>
      </c>
      <c r="C739" s="1">
        <f t="shared" si="167"/>
        <v>2.4228212482096868E-7</v>
      </c>
      <c r="D739" s="1">
        <f t="shared" si="168"/>
        <v>1.2149380170027547E-3</v>
      </c>
      <c r="E739" s="1">
        <f t="shared" si="169"/>
        <v>3.130843663832874E-3</v>
      </c>
      <c r="F739" s="1">
        <f t="shared" si="170"/>
        <v>0.92796684149615738</v>
      </c>
      <c r="G739" s="1">
        <f t="shared" si="171"/>
        <v>0.9279787327361505</v>
      </c>
      <c r="H739" s="1">
        <f t="shared" si="179"/>
        <v>9.2797873273615039</v>
      </c>
      <c r="J739" s="2">
        <v>11.37</v>
      </c>
      <c r="K739" s="1">
        <v>4.2657951880159207E-12</v>
      </c>
      <c r="L739" s="1">
        <v>2.3676711034731246E-3</v>
      </c>
      <c r="M739" s="1">
        <v>-2.3675418465371268E-3</v>
      </c>
      <c r="N739" s="1">
        <v>3.7279236410895215E-3</v>
      </c>
      <c r="O739" s="1">
        <v>0.9999920567807481</v>
      </c>
      <c r="P739" s="1">
        <v>1.1454972183215375</v>
      </c>
      <c r="Q739" s="2">
        <v>11.454972183215375</v>
      </c>
      <c r="S739" s="2">
        <v>7.38</v>
      </c>
      <c r="T739" s="1">
        <f t="shared" si="172"/>
        <v>4.1686938347033516E-8</v>
      </c>
      <c r="U739" s="1">
        <f t="shared" si="173"/>
        <v>2.4228212482096868E-7</v>
      </c>
      <c r="V739" s="1">
        <f t="shared" si="174"/>
        <v>9.7651765452192035E-2</v>
      </c>
      <c r="W739" s="1">
        <f t="shared" si="175"/>
        <v>7.8274484926932754E-4</v>
      </c>
      <c r="X739" s="1">
        <f t="shared" si="176"/>
        <v>1.5780423388517803E-2</v>
      </c>
      <c r="Y739" s="1">
        <f t="shared" si="177"/>
        <v>1.5778401611295997E-2</v>
      </c>
      <c r="Z739" s="1">
        <f t="shared" si="178"/>
        <v>0.78892008056479979</v>
      </c>
      <c r="AB739">
        <v>8.69</v>
      </c>
      <c r="AC739">
        <v>2.0417379446695247E-9</v>
      </c>
      <c r="AD739">
        <v>4.9467660756213178E-6</v>
      </c>
      <c r="AE739">
        <v>9.9889760191601229E-2</v>
      </c>
      <c r="AF739">
        <v>3.6746602799589653E-5</v>
      </c>
      <c r="AG739">
        <v>7.8466763806881747E-4</v>
      </c>
      <c r="AH739">
        <v>7.3520221783055298E-4</v>
      </c>
      <c r="AI739">
        <v>3.6760110891527649E-2</v>
      </c>
      <c r="AJ739"/>
      <c r="AK739"/>
      <c r="AL739"/>
      <c r="AM739"/>
      <c r="AN739"/>
      <c r="AO739"/>
      <c r="AP739"/>
      <c r="AQ739"/>
      <c r="AR739"/>
    </row>
    <row r="740" spans="1:44" ht="15" customHeight="1" x14ac:dyDescent="0.3">
      <c r="A740" s="2">
        <v>7.39</v>
      </c>
      <c r="B740" s="1">
        <f t="shared" si="166"/>
        <v>4.0738027780411254E-8</v>
      </c>
      <c r="C740" s="1">
        <f t="shared" si="167"/>
        <v>2.4792560048418817E-7</v>
      </c>
      <c r="D740" s="1">
        <f t="shared" si="168"/>
        <v>1.1889159711646593E-3</v>
      </c>
      <c r="E740" s="1">
        <f t="shared" si="169"/>
        <v>3.1351806714725568E-3</v>
      </c>
      <c r="F740" s="1">
        <f t="shared" si="170"/>
        <v>0.92949090437477044</v>
      </c>
      <c r="G740" s="1">
        <f t="shared" si="171"/>
        <v>0.9295031895685022</v>
      </c>
      <c r="H740" s="1">
        <f t="shared" si="179"/>
        <v>9.2950318956850211</v>
      </c>
      <c r="J740" s="2">
        <v>11.38</v>
      </c>
      <c r="K740" s="1">
        <v>4.1686938347033333E-12</v>
      </c>
      <c r="L740" s="1">
        <v>2.4228212482096971E-3</v>
      </c>
      <c r="M740" s="1">
        <v>-2.4226950048515153E-3</v>
      </c>
      <c r="N740" s="1">
        <v>3.7371158341419192E-3</v>
      </c>
      <c r="O740" s="1">
        <v>0.99999223758908917</v>
      </c>
      <c r="P740" s="1">
        <v>1.1489708086304682</v>
      </c>
      <c r="Q740" s="2">
        <v>11.489708086304681</v>
      </c>
      <c r="S740" s="2">
        <v>7.39</v>
      </c>
      <c r="T740" s="1">
        <f t="shared" si="172"/>
        <v>4.0738027780411254E-8</v>
      </c>
      <c r="U740" s="1">
        <f t="shared" si="173"/>
        <v>2.4792560048418817E-7</v>
      </c>
      <c r="V740" s="1">
        <f t="shared" si="174"/>
        <v>9.7704006874119287E-2</v>
      </c>
      <c r="W740" s="1">
        <f t="shared" si="175"/>
        <v>7.6533104196023884E-4</v>
      </c>
      <c r="X740" s="1">
        <f t="shared" si="176"/>
        <v>1.5426758486396439E-2</v>
      </c>
      <c r="Y740" s="1">
        <f t="shared" si="177"/>
        <v>1.5424670631669062E-2</v>
      </c>
      <c r="Z740" s="1">
        <f t="shared" si="178"/>
        <v>0.77123353158345309</v>
      </c>
      <c r="AB740">
        <v>8.6999999999999993</v>
      </c>
      <c r="AC740">
        <v>1.9952623149688824E-9</v>
      </c>
      <c r="AD740">
        <v>5.0619910596354431E-6</v>
      </c>
      <c r="AE740">
        <v>9.9892608151060117E-2</v>
      </c>
      <c r="AF740">
        <v>3.5797282979961949E-5</v>
      </c>
      <c r="AG740">
        <v>7.6682011834015319E-4</v>
      </c>
      <c r="AH740">
        <v>7.1620204047037432E-4</v>
      </c>
      <c r="AI740">
        <v>3.5810102023518718E-2</v>
      </c>
      <c r="AJ740"/>
      <c r="AK740"/>
      <c r="AL740"/>
      <c r="AM740"/>
      <c r="AN740"/>
      <c r="AO740"/>
      <c r="AP740"/>
      <c r="AQ740"/>
      <c r="AR740"/>
    </row>
    <row r="741" spans="1:44" ht="15" customHeight="1" x14ac:dyDescent="0.3">
      <c r="A741" s="2">
        <v>7.4</v>
      </c>
      <c r="B741" s="1">
        <f t="shared" si="166"/>
        <v>3.981071705534957E-8</v>
      </c>
      <c r="C741" s="1">
        <f t="shared" si="167"/>
        <v>2.5370052958246857E-7</v>
      </c>
      <c r="D741" s="1">
        <f t="shared" si="168"/>
        <v>1.1634162889910284E-3</v>
      </c>
      <c r="E741" s="1">
        <f t="shared" si="169"/>
        <v>3.1394306185014956E-3</v>
      </c>
      <c r="F741" s="1">
        <f t="shared" si="170"/>
        <v>0.93098511963181774</v>
      </c>
      <c r="G741" s="1">
        <f t="shared" si="171"/>
        <v>0.9309978054319048</v>
      </c>
      <c r="H741" s="1">
        <f t="shared" si="179"/>
        <v>9.309978054319048</v>
      </c>
      <c r="J741" s="2">
        <v>11.39</v>
      </c>
      <c r="K741" s="1">
        <v>4.0738027780411076E-12</v>
      </c>
      <c r="L741" s="1">
        <v>2.4792560048418925E-3</v>
      </c>
      <c r="M741" s="1">
        <v>-2.4791327064649935E-3</v>
      </c>
      <c r="N741" s="1">
        <v>3.7465221177441651E-3</v>
      </c>
      <c r="O741" s="1">
        <v>0.9999924142817932</v>
      </c>
      <c r="P741" s="1">
        <v>1.152529367832807</v>
      </c>
      <c r="Q741" s="2">
        <v>11.525293678328069</v>
      </c>
      <c r="S741" s="2">
        <v>7.4</v>
      </c>
      <c r="T741" s="1">
        <f t="shared" si="172"/>
        <v>3.981071705534957E-8</v>
      </c>
      <c r="U741" s="1">
        <f t="shared" si="173"/>
        <v>2.5370052958246857E-7</v>
      </c>
      <c r="V741" s="1">
        <f t="shared" si="174"/>
        <v>9.7755113536295582E-2</v>
      </c>
      <c r="W741" s="1">
        <f t="shared" si="175"/>
        <v>7.4829548790147275E-4</v>
      </c>
      <c r="X741" s="1">
        <f t="shared" si="176"/>
        <v>1.5080898337952632E-2</v>
      </c>
      <c r="Y741" s="1">
        <f t="shared" si="177"/>
        <v>1.5078743313879458E-2</v>
      </c>
      <c r="Z741" s="1">
        <f t="shared" si="178"/>
        <v>0.75393716569397284</v>
      </c>
      <c r="AB741">
        <v>8.7100000000000009</v>
      </c>
      <c r="AC741">
        <v>1.9498445997580341E-9</v>
      </c>
      <c r="AD741">
        <v>5.1798999783128142E-6</v>
      </c>
      <c r="AE741">
        <v>9.9895399381646613E-2</v>
      </c>
      <c r="AF741">
        <v>3.4866872784464555E-5</v>
      </c>
      <c r="AG741">
        <v>7.4937824178465922E-4</v>
      </c>
      <c r="AH741">
        <v>6.9758068025764551E-4</v>
      </c>
      <c r="AI741">
        <v>3.4879034012882275E-2</v>
      </c>
      <c r="AJ741"/>
      <c r="AK741"/>
      <c r="AL741"/>
      <c r="AM741"/>
      <c r="AN741"/>
      <c r="AO741"/>
      <c r="AP741"/>
      <c r="AQ741"/>
      <c r="AR741"/>
    </row>
    <row r="742" spans="1:44" ht="15" customHeight="1" x14ac:dyDescent="0.3">
      <c r="A742" s="2">
        <v>7.41</v>
      </c>
      <c r="B742" s="1">
        <f t="shared" si="166"/>
        <v>3.890451449942805E-8</v>
      </c>
      <c r="C742" s="1">
        <f t="shared" si="167"/>
        <v>2.596099740596553E-7</v>
      </c>
      <c r="D742" s="1">
        <f t="shared" si="168"/>
        <v>1.138429940397444E-3</v>
      </c>
      <c r="E742" s="1">
        <f t="shared" si="169"/>
        <v>3.1435950099337594E-3</v>
      </c>
      <c r="F742" s="1">
        <f t="shared" si="170"/>
        <v>0.93244997100342386</v>
      </c>
      <c r="G742" s="1">
        <f t="shared" si="171"/>
        <v>0.93246306427329306</v>
      </c>
      <c r="H742" s="1">
        <f t="shared" si="179"/>
        <v>9.3246306427329309</v>
      </c>
      <c r="J742" s="2">
        <v>11.4</v>
      </c>
      <c r="K742" s="1">
        <v>3.9810717055349533E-12</v>
      </c>
      <c r="L742" s="1">
        <v>2.5370052958246878E-3</v>
      </c>
      <c r="M742" s="1">
        <v>-2.5368848753939597E-3</v>
      </c>
      <c r="N742" s="1">
        <v>3.7561474792323266E-3</v>
      </c>
      <c r="O742" s="1">
        <v>0.99999258695254067</v>
      </c>
      <c r="P742" s="1">
        <v>1.1561750743643213</v>
      </c>
      <c r="Q742" s="2">
        <v>11.561750743643213</v>
      </c>
      <c r="S742" s="2">
        <v>7.41</v>
      </c>
      <c r="T742" s="1">
        <f t="shared" si="172"/>
        <v>3.890451449942805E-8</v>
      </c>
      <c r="U742" s="1">
        <f t="shared" si="173"/>
        <v>2.596099740596553E-7</v>
      </c>
      <c r="V742" s="1">
        <f t="shared" si="174"/>
        <v>9.7805108928202808E-2</v>
      </c>
      <c r="W742" s="1">
        <f t="shared" si="175"/>
        <v>7.3163035726573028E-4</v>
      </c>
      <c r="X742" s="1">
        <f t="shared" si="176"/>
        <v>1.4742676093684964E-2</v>
      </c>
      <c r="Y742" s="1">
        <f t="shared" si="177"/>
        <v>1.4740452772597345E-2</v>
      </c>
      <c r="Z742" s="1">
        <f t="shared" si="178"/>
        <v>0.73702263862986728</v>
      </c>
      <c r="AB742">
        <v>8.7200000000000006</v>
      </c>
      <c r="AC742">
        <v>1.9054607179632436E-9</v>
      </c>
      <c r="AD742">
        <v>5.3005553485227133E-6</v>
      </c>
      <c r="AE742">
        <v>9.9898135353863243E-2</v>
      </c>
      <c r="AF742">
        <v>3.3954882045586493E-5</v>
      </c>
      <c r="AG742">
        <v>7.3233280252905713E-4</v>
      </c>
      <c r="AH742">
        <v>6.7932830603674693E-4</v>
      </c>
      <c r="AI742">
        <v>3.3966415301837347E-2</v>
      </c>
      <c r="AJ742"/>
      <c r="AK742"/>
      <c r="AL742"/>
      <c r="AM742"/>
      <c r="AN742"/>
      <c r="AO742"/>
      <c r="AP742"/>
      <c r="AQ742"/>
      <c r="AR742"/>
    </row>
    <row r="743" spans="1:44" ht="15" customHeight="1" x14ac:dyDescent="0.3">
      <c r="A743" s="2">
        <v>7.42</v>
      </c>
      <c r="B743" s="1">
        <f t="shared" si="166"/>
        <v>3.8018939632056113E-8</v>
      </c>
      <c r="C743" s="1">
        <f t="shared" si="167"/>
        <v>2.6565706718143362E-7</v>
      </c>
      <c r="D743" s="1">
        <f t="shared" si="168"/>
        <v>1.1139479884313076E-3</v>
      </c>
      <c r="E743" s="1">
        <f t="shared" si="169"/>
        <v>3.1476753352614488E-3</v>
      </c>
      <c r="F743" s="1">
        <f t="shared" si="170"/>
        <v>0.93388593866280445</v>
      </c>
      <c r="G743" s="1">
        <f t="shared" si="171"/>
        <v>0.93389944648039513</v>
      </c>
      <c r="H743" s="1">
        <f t="shared" si="179"/>
        <v>9.3389944648039513</v>
      </c>
      <c r="J743" s="2">
        <v>11.41</v>
      </c>
      <c r="K743" s="1">
        <v>3.890451449942802E-12</v>
      </c>
      <c r="L743" s="1">
        <v>2.5960997405965547E-3</v>
      </c>
      <c r="M743" s="1">
        <v>-2.5959821326027371E-3</v>
      </c>
      <c r="N743" s="1">
        <v>3.7659970221004561E-3</v>
      </c>
      <c r="O743" s="1">
        <v>0.9999927556928796</v>
      </c>
      <c r="P743" s="1">
        <v>1.1599101673282199</v>
      </c>
      <c r="Q743" s="2">
        <v>11.599101673282199</v>
      </c>
      <c r="S743" s="2">
        <v>7.42</v>
      </c>
      <c r="T743" s="1">
        <f t="shared" si="172"/>
        <v>3.8018939632056113E-8</v>
      </c>
      <c r="U743" s="1">
        <f t="shared" si="173"/>
        <v>2.6565706718143362E-7</v>
      </c>
      <c r="V743" s="1">
        <f t="shared" si="174"/>
        <v>9.7854016105362235E-2</v>
      </c>
      <c r="W743" s="1">
        <f t="shared" si="175"/>
        <v>7.1532796487926067E-4</v>
      </c>
      <c r="X743" s="1">
        <f t="shared" si="176"/>
        <v>1.4411928231780963E-2</v>
      </c>
      <c r="Y743" s="1">
        <f t="shared" si="177"/>
        <v>1.4409635449593308E-2</v>
      </c>
      <c r="Z743" s="1">
        <f t="shared" si="178"/>
        <v>0.72048177247966538</v>
      </c>
      <c r="AB743">
        <v>8.73</v>
      </c>
      <c r="AC743">
        <v>1.8620871366628641E-9</v>
      </c>
      <c r="AD743">
        <v>5.4240211433395622E-6</v>
      </c>
      <c r="AE743">
        <v>9.9900817509337991E-2</v>
      </c>
      <c r="AF743">
        <v>3.3060830220669893E-5</v>
      </c>
      <c r="AG743">
        <v>7.1567480300698113E-4</v>
      </c>
      <c r="AH743">
        <v>6.6143528040847339E-4</v>
      </c>
      <c r="AI743">
        <v>3.3071764020423666E-2</v>
      </c>
      <c r="AJ743"/>
      <c r="AK743"/>
      <c r="AL743"/>
      <c r="AM743"/>
      <c r="AN743"/>
      <c r="AO743"/>
      <c r="AP743"/>
      <c r="AQ743"/>
      <c r="AR743"/>
    </row>
    <row r="744" spans="1:44" ht="15" customHeight="1" x14ac:dyDescent="0.3">
      <c r="A744" s="2">
        <v>7.43</v>
      </c>
      <c r="B744" s="1">
        <f t="shared" si="166"/>
        <v>3.7153522909717246E-8</v>
      </c>
      <c r="C744" s="1">
        <f t="shared" si="167"/>
        <v>2.7184501519661854E-7</v>
      </c>
      <c r="D744" s="1">
        <f t="shared" si="168"/>
        <v>1.0899615911964895E-3</v>
      </c>
      <c r="E744" s="1">
        <f t="shared" si="169"/>
        <v>3.1516730681339184E-3</v>
      </c>
      <c r="F744" s="1">
        <f t="shared" si="170"/>
        <v>0.93529349904607828</v>
      </c>
      <c r="G744" s="1">
        <f t="shared" si="171"/>
        <v>0.93530742870765449</v>
      </c>
      <c r="H744" s="1">
        <f t="shared" si="179"/>
        <v>9.3530742870765451</v>
      </c>
      <c r="J744" s="2">
        <v>11.42</v>
      </c>
      <c r="K744" s="1">
        <v>3.8018939632056084E-12</v>
      </c>
      <c r="L744" s="1">
        <v>2.6565706718143381E-3</v>
      </c>
      <c r="M744" s="1">
        <v>-2.6564558122393195E-3</v>
      </c>
      <c r="N744" s="1">
        <v>3.7760759687065532E-3</v>
      </c>
      <c r="O744" s="1">
        <v>0.9999929205922744</v>
      </c>
      <c r="P744" s="1">
        <v>1.1637369484173758</v>
      </c>
      <c r="Q744" s="2">
        <v>11.637369484173758</v>
      </c>
      <c r="S744" s="2">
        <v>7.43</v>
      </c>
      <c r="T744" s="1">
        <f t="shared" si="172"/>
        <v>3.7153522909717246E-8</v>
      </c>
      <c r="U744" s="1">
        <f t="shared" si="173"/>
        <v>2.7184501519661854E-7</v>
      </c>
      <c r="V744" s="1">
        <f t="shared" si="174"/>
        <v>9.7901857695030473E-2</v>
      </c>
      <c r="W744" s="1">
        <f t="shared" si="175"/>
        <v>6.9938076832317525E-4</v>
      </c>
      <c r="X744" s="1">
        <f t="shared" si="176"/>
        <v>1.4088494502483007E-2</v>
      </c>
      <c r="Y744" s="1">
        <f t="shared" si="177"/>
        <v>1.4086131058084546E-2</v>
      </c>
      <c r="Z744" s="1">
        <f t="shared" si="178"/>
        <v>0.70430655290422728</v>
      </c>
      <c r="AB744">
        <v>8.74</v>
      </c>
      <c r="AC744">
        <v>1.8197008586099804E-9</v>
      </c>
      <c r="AD744">
        <v>5.5503628259620172E-6</v>
      </c>
      <c r="AE744">
        <v>9.9903447261569606E-2</v>
      </c>
      <c r="AF744">
        <v>3.2184246143464899E-5</v>
      </c>
      <c r="AG744">
        <v>6.9939544927324231E-4</v>
      </c>
      <c r="AH744">
        <v>6.4389215470526679E-4</v>
      </c>
      <c r="AI744">
        <v>3.2194607735263336E-2</v>
      </c>
      <c r="AJ744"/>
      <c r="AK744"/>
      <c r="AL744"/>
      <c r="AM744"/>
      <c r="AN744"/>
      <c r="AO744"/>
      <c r="AP744"/>
      <c r="AQ744"/>
      <c r="AR744"/>
    </row>
    <row r="745" spans="1:44" ht="15" customHeight="1" x14ac:dyDescent="0.3">
      <c r="A745" s="2">
        <v>7.44</v>
      </c>
      <c r="B745" s="1">
        <f t="shared" si="166"/>
        <v>3.630780547701001E-8</v>
      </c>
      <c r="C745" s="1">
        <f t="shared" si="167"/>
        <v>2.7817709903715577E-7</v>
      </c>
      <c r="D745" s="1">
        <f t="shared" si="168"/>
        <v>1.0664620036099802E-3</v>
      </c>
      <c r="E745" s="1">
        <f t="shared" si="169"/>
        <v>3.1555896660650034E-3</v>
      </c>
      <c r="F745" s="1">
        <f t="shared" si="170"/>
        <v>0.93667312468905228</v>
      </c>
      <c r="G745" s="1">
        <f t="shared" si="171"/>
        <v>0.93668748371313004</v>
      </c>
      <c r="H745" s="1">
        <f t="shared" si="179"/>
        <v>9.3668748371313004</v>
      </c>
      <c r="J745" s="2">
        <v>11.43</v>
      </c>
      <c r="K745" s="1">
        <v>3.7153522909717219E-12</v>
      </c>
      <c r="L745" s="1">
        <v>2.7184501519661873E-3</v>
      </c>
      <c r="M745" s="1">
        <v>-2.7183379782490451E-3</v>
      </c>
      <c r="N745" s="1">
        <v>3.7863896630415074E-3</v>
      </c>
      <c r="O745" s="1">
        <v>0.99999308173815349</v>
      </c>
      <c r="P745" s="1">
        <v>1.1676577839084159</v>
      </c>
      <c r="Q745" s="2">
        <v>11.676577839084159</v>
      </c>
      <c r="S745" s="2">
        <v>7.44</v>
      </c>
      <c r="T745" s="1">
        <f t="shared" si="172"/>
        <v>3.630780547701001E-8</v>
      </c>
      <c r="U745" s="1">
        <f t="shared" si="173"/>
        <v>2.7817709903715577E-7</v>
      </c>
      <c r="V745" s="1">
        <f t="shared" si="174"/>
        <v>9.7948655901933385E-2</v>
      </c>
      <c r="W745" s="1">
        <f t="shared" si="175"/>
        <v>6.8378136602220533E-4</v>
      </c>
      <c r="X745" s="1">
        <f t="shared" si="176"/>
        <v>1.3772217872882459E-2</v>
      </c>
      <c r="Y745" s="1">
        <f t="shared" si="177"/>
        <v>1.3769782527508994E-2</v>
      </c>
      <c r="Z745" s="1">
        <f t="shared" si="178"/>
        <v>0.68848912637544968</v>
      </c>
      <c r="AB745">
        <v>8.75</v>
      </c>
      <c r="AC745">
        <v>1.7782794100389197E-9</v>
      </c>
      <c r="AD745">
        <v>5.6796473844225353E-6</v>
      </c>
      <c r="AE745">
        <v>9.990602599665889E-2</v>
      </c>
      <c r="AF745">
        <v>3.13246677803686E-5</v>
      </c>
      <c r="AG745">
        <v>6.8348614642218847E-4</v>
      </c>
      <c r="AH745">
        <v>6.2668966406265343E-4</v>
      </c>
      <c r="AI745">
        <v>3.1334483203132674E-2</v>
      </c>
      <c r="AJ745"/>
      <c r="AK745"/>
      <c r="AL745"/>
      <c r="AM745"/>
      <c r="AN745"/>
      <c r="AO745"/>
      <c r="AP745"/>
      <c r="AQ745"/>
      <c r="AR745"/>
    </row>
    <row r="746" spans="1:44" ht="15" customHeight="1" x14ac:dyDescent="0.3">
      <c r="A746" s="2">
        <v>7.45</v>
      </c>
      <c r="B746" s="1">
        <f t="shared" si="166"/>
        <v>3.5481338923357426E-8</v>
      </c>
      <c r="C746" s="1">
        <f t="shared" si="167"/>
        <v>2.8465667605771076E-7</v>
      </c>
      <c r="D746" s="1">
        <f t="shared" si="168"/>
        <v>1.0434405789968863E-3</v>
      </c>
      <c r="E746" s="1">
        <f t="shared" si="169"/>
        <v>3.1594265701671855E-3</v>
      </c>
      <c r="F746" s="1">
        <f t="shared" si="170"/>
        <v>0.93802528407464203</v>
      </c>
      <c r="G746" s="1">
        <f t="shared" si="171"/>
        <v>0.93804008020603102</v>
      </c>
      <c r="H746" s="1">
        <f t="shared" si="179"/>
        <v>9.3804008020603096</v>
      </c>
      <c r="J746" s="2">
        <v>11.44</v>
      </c>
      <c r="K746" s="1">
        <v>3.6307805477010101E-12</v>
      </c>
      <c r="L746" s="1">
        <v>2.7817709903715502E-3</v>
      </c>
      <c r="M746" s="1">
        <v>-2.7816614413753971E-3</v>
      </c>
      <c r="N746" s="1">
        <v>3.796943573562566E-3</v>
      </c>
      <c r="O746" s="1">
        <v>0.99999323921595462</v>
      </c>
      <c r="P746" s="1">
        <v>1.1716751067308973</v>
      </c>
      <c r="Q746" s="2">
        <v>11.716751067308971</v>
      </c>
      <c r="S746" s="2">
        <v>7.45</v>
      </c>
      <c r="T746" s="1">
        <f t="shared" si="172"/>
        <v>3.5481338923357426E-8</v>
      </c>
      <c r="U746" s="1">
        <f t="shared" si="173"/>
        <v>2.8465667605771076E-7</v>
      </c>
      <c r="V746" s="1">
        <f t="shared" si="174"/>
        <v>9.7994432514030047E-2</v>
      </c>
      <c r="W746" s="1">
        <f t="shared" si="175"/>
        <v>6.6852249532331541E-4</v>
      </c>
      <c r="X746" s="1">
        <f t="shared" si="176"/>
        <v>1.3462944472166971E-2</v>
      </c>
      <c r="Y746" s="1">
        <f t="shared" si="177"/>
        <v>1.3460435948752302E-2</v>
      </c>
      <c r="Z746" s="1">
        <f t="shared" si="178"/>
        <v>0.67302179743761514</v>
      </c>
      <c r="AB746">
        <v>8.76</v>
      </c>
      <c r="AC746">
        <v>1.7378008287493727E-9</v>
      </c>
      <c r="AD746">
        <v>5.8119433671052935E-6</v>
      </c>
      <c r="AE746">
        <v>9.9908555074026295E-2</v>
      </c>
      <c r="AF746">
        <v>3.0481641991236144E-5</v>
      </c>
      <c r="AG746">
        <v>6.6793849410798389E-4</v>
      </c>
      <c r="AH746">
        <v>6.0981872258453662E-4</v>
      </c>
      <c r="AI746">
        <v>3.049093612922683E-2</v>
      </c>
      <c r="AJ746"/>
      <c r="AK746"/>
      <c r="AL746"/>
      <c r="AM746"/>
      <c r="AN746"/>
      <c r="AO746"/>
      <c r="AP746"/>
      <c r="AQ746"/>
      <c r="AR746"/>
    </row>
    <row r="747" spans="1:44" ht="15" customHeight="1" x14ac:dyDescent="0.3">
      <c r="A747" s="2">
        <v>7.46</v>
      </c>
      <c r="B747" s="1">
        <f t="shared" si="166"/>
        <v>3.4673685045253171E-8</v>
      </c>
      <c r="C747" s="1">
        <f t="shared" si="167"/>
        <v>2.9128718181578712E-7</v>
      </c>
      <c r="D747" s="1">
        <f t="shared" si="168"/>
        <v>1.0208887705298307E-3</v>
      </c>
      <c r="E747" s="1">
        <f t="shared" si="169"/>
        <v>3.1631852049116946E-3</v>
      </c>
      <c r="F747" s="1">
        <f t="shared" si="170"/>
        <v>0.93935044149060221</v>
      </c>
      <c r="G747" s="1">
        <f t="shared" si="171"/>
        <v>0.93936568270456655</v>
      </c>
      <c r="H747" s="1">
        <f t="shared" si="179"/>
        <v>9.3936568270456657</v>
      </c>
      <c r="J747" s="2">
        <v>11.45</v>
      </c>
      <c r="K747" s="1">
        <v>3.5481338923357515E-12</v>
      </c>
      <c r="L747" s="1">
        <v>2.8465667605771005E-3</v>
      </c>
      <c r="M747" s="1">
        <v>-2.8464597765566501E-3</v>
      </c>
      <c r="N747" s="1">
        <v>3.807743296092775E-3</v>
      </c>
      <c r="O747" s="1">
        <v>0.99999339310917112</v>
      </c>
      <c r="P747" s="1">
        <v>1.1757914186149108</v>
      </c>
      <c r="Q747" s="2">
        <v>11.757914186149106</v>
      </c>
      <c r="S747" s="2">
        <v>7.46</v>
      </c>
      <c r="T747" s="1">
        <f t="shared" si="172"/>
        <v>3.4673685045253171E-8</v>
      </c>
      <c r="U747" s="1">
        <f t="shared" si="173"/>
        <v>2.9128718181578712E-7</v>
      </c>
      <c r="V747" s="1">
        <f t="shared" si="174"/>
        <v>9.8039208908300937E-2</v>
      </c>
      <c r="W747" s="1">
        <f t="shared" si="175"/>
        <v>6.5359703056635328E-4</v>
      </c>
      <c r="X747" s="1">
        <f t="shared" si="176"/>
        <v>1.3160523537341822E-2</v>
      </c>
      <c r="Y747" s="1">
        <f t="shared" si="177"/>
        <v>1.3157940519848482E-2</v>
      </c>
      <c r="Z747" s="1">
        <f t="shared" si="178"/>
        <v>0.65789702599242406</v>
      </c>
      <c r="AB747">
        <v>8.77</v>
      </c>
      <c r="AC747">
        <v>1.6982436524617417E-9</v>
      </c>
      <c r="AD747">
        <v>5.9473209190914575E-6</v>
      </c>
      <c r="AE747">
        <v>9.9911035827116051E-2</v>
      </c>
      <c r="AF747">
        <v>2.9654724294647615E-5</v>
      </c>
      <c r="AG747">
        <v>6.5274428216456723E-4</v>
      </c>
      <c r="AH747">
        <v>5.9327041859990985E-4</v>
      </c>
      <c r="AI747">
        <v>2.9663520929995493E-2</v>
      </c>
      <c r="AJ747"/>
      <c r="AK747"/>
      <c r="AL747"/>
      <c r="AM747"/>
      <c r="AN747"/>
      <c r="AO747"/>
      <c r="AP747"/>
      <c r="AQ747"/>
      <c r="AR747"/>
    </row>
    <row r="748" spans="1:44" ht="15" customHeight="1" x14ac:dyDescent="0.3">
      <c r="A748" s="2">
        <v>7.47</v>
      </c>
      <c r="B748" s="1">
        <f t="shared" si="166"/>
        <v>3.3884415613920266E-8</v>
      </c>
      <c r="C748" s="1">
        <f t="shared" si="167"/>
        <v>2.9807213189330484E-7</v>
      </c>
      <c r="D748" s="1">
        <f t="shared" si="168"/>
        <v>9.9879813251889621E-4</v>
      </c>
      <c r="E748" s="1">
        <f t="shared" si="169"/>
        <v>3.1668669779135175E-3</v>
      </c>
      <c r="F748" s="1">
        <f t="shared" si="170"/>
        <v>0.94064905689723233</v>
      </c>
      <c r="G748" s="1">
        <f t="shared" si="171"/>
        <v>0.94066475140377093</v>
      </c>
      <c r="H748" s="1">
        <f t="shared" si="179"/>
        <v>9.4066475140377079</v>
      </c>
      <c r="J748" s="2">
        <v>11.46</v>
      </c>
      <c r="K748" s="1">
        <v>3.4673685045253019E-12</v>
      </c>
      <c r="L748" s="1">
        <v>2.9128718181578839E-3</v>
      </c>
      <c r="M748" s="1">
        <v>-2.9127673407278024E-3</v>
      </c>
      <c r="N748" s="1">
        <v>3.8187945567879672E-3</v>
      </c>
      <c r="O748" s="1">
        <v>0.99999354349939629</v>
      </c>
      <c r="P748" s="1">
        <v>1.1800092923206595</v>
      </c>
      <c r="Q748" s="2">
        <v>11.800092923206595</v>
      </c>
      <c r="S748" s="2">
        <v>7.47</v>
      </c>
      <c r="T748" s="1">
        <f t="shared" si="172"/>
        <v>3.3884415613920266E-8</v>
      </c>
      <c r="U748" s="1">
        <f t="shared" si="173"/>
        <v>2.9807213189330484E-7</v>
      </c>
      <c r="V748" s="1">
        <f t="shared" si="174"/>
        <v>9.8083006056553332E-2</v>
      </c>
      <c r="W748" s="1">
        <f t="shared" si="175"/>
        <v>6.3899798114888597E-4</v>
      </c>
      <c r="X748" s="1">
        <f t="shared" si="176"/>
        <v>1.2864807359446067E-2</v>
      </c>
      <c r="Y748" s="1">
        <f t="shared" si="177"/>
        <v>1.2862148492175091E-2</v>
      </c>
      <c r="Z748" s="1">
        <f t="shared" si="178"/>
        <v>0.64310742460875447</v>
      </c>
      <c r="AB748">
        <v>8.7799999999999994</v>
      </c>
      <c r="AC748">
        <v>1.6595869074375584E-9</v>
      </c>
      <c r="AD748">
        <v>6.0858518193510209E-6</v>
      </c>
      <c r="AE748">
        <v>9.9913469564087448E-2</v>
      </c>
      <c r="AF748">
        <v>2.8843478637518442E-5</v>
      </c>
      <c r="AG748">
        <v>6.3789548632313192E-4</v>
      </c>
      <c r="AH748">
        <v>5.7703601000864643E-4</v>
      </c>
      <c r="AI748">
        <v>2.8851800500432321E-2</v>
      </c>
      <c r="AJ748"/>
      <c r="AK748"/>
      <c r="AL748"/>
      <c r="AM748"/>
      <c r="AN748"/>
      <c r="AO748"/>
      <c r="AP748"/>
      <c r="AQ748"/>
      <c r="AR748"/>
    </row>
    <row r="749" spans="1:44" ht="15" customHeight="1" x14ac:dyDescent="0.3">
      <c r="A749" s="2">
        <v>7.48</v>
      </c>
      <c r="B749" s="1">
        <f t="shared" si="166"/>
        <v>3.3113112148259005E-8</v>
      </c>
      <c r="C749" s="1">
        <f t="shared" si="167"/>
        <v>3.0501512376060457E-7</v>
      </c>
      <c r="D749" s="1">
        <f t="shared" si="168"/>
        <v>9.7716032155788809E-4</v>
      </c>
      <c r="E749" s="1">
        <f t="shared" si="169"/>
        <v>3.170473279740352E-3</v>
      </c>
      <c r="F749" s="1">
        <f t="shared" si="170"/>
        <v>0.94192158580473606</v>
      </c>
      <c r="G749" s="1">
        <f t="shared" si="171"/>
        <v>0.94193774205298553</v>
      </c>
      <c r="H749" s="1">
        <f t="shared" si="179"/>
        <v>9.4193774205298553</v>
      </c>
      <c r="J749" s="2">
        <v>11.47</v>
      </c>
      <c r="K749" s="1">
        <v>3.3884415613920115E-12</v>
      </c>
      <c r="L749" s="1">
        <v>2.9807213189330618E-3</v>
      </c>
      <c r="M749" s="1">
        <v>-2.9806192910369921E-3</v>
      </c>
      <c r="N749" s="1">
        <v>3.8301032151728323E-3</v>
      </c>
      <c r="O749" s="1">
        <v>0.99999369046636577</v>
      </c>
      <c r="P749" s="1">
        <v>1.1843313739537176</v>
      </c>
      <c r="Q749" s="2">
        <v>11.843313739537175</v>
      </c>
      <c r="S749" s="2">
        <v>7.48</v>
      </c>
      <c r="T749" s="1">
        <f t="shared" si="172"/>
        <v>3.3113112148259005E-8</v>
      </c>
      <c r="U749" s="1">
        <f t="shared" si="173"/>
        <v>3.0501512376060457E-7</v>
      </c>
      <c r="V749" s="1">
        <f t="shared" si="174"/>
        <v>9.8125844531238349E-2</v>
      </c>
      <c r="W749" s="1">
        <f t="shared" si="175"/>
        <v>6.2471848958721671E-4</v>
      </c>
      <c r="X749" s="1">
        <f t="shared" si="176"/>
        <v>1.2575651230282031E-2</v>
      </c>
      <c r="Y749" s="1">
        <f t="shared" si="177"/>
        <v>1.2572915117161347E-2</v>
      </c>
      <c r="Z749" s="1">
        <f t="shared" si="178"/>
        <v>0.62864575585806737</v>
      </c>
      <c r="AB749">
        <v>8.7899999999999991</v>
      </c>
      <c r="AC749">
        <v>1.6218100973589279E-9</v>
      </c>
      <c r="AD749">
        <v>6.2276095188009775E-6</v>
      </c>
      <c r="AE749">
        <v>9.9915857568493166E-2</v>
      </c>
      <c r="AF749">
        <v>2.8047477168941774E-5</v>
      </c>
      <c r="AG749">
        <v>6.2338426402499896E-4</v>
      </c>
      <c r="AH749">
        <v>5.6110691971403563E-4</v>
      </c>
      <c r="AI749">
        <v>2.8055345985701783E-2</v>
      </c>
      <c r="AJ749"/>
      <c r="AK749"/>
      <c r="AL749"/>
      <c r="AM749"/>
      <c r="AN749"/>
      <c r="AO749"/>
      <c r="AP749"/>
      <c r="AQ749"/>
      <c r="AR749"/>
    </row>
    <row r="750" spans="1:44" ht="15" customHeight="1" x14ac:dyDescent="0.3">
      <c r="A750" s="2">
        <v>7.49</v>
      </c>
      <c r="B750" s="1">
        <f t="shared" si="166"/>
        <v>3.2359365692962729E-8</v>
      </c>
      <c r="C750" s="1">
        <f t="shared" si="167"/>
        <v>3.1211983868387356E-7</v>
      </c>
      <c r="D750" s="1">
        <f t="shared" si="168"/>
        <v>9.5596709753294521E-4</v>
      </c>
      <c r="E750" s="1">
        <f t="shared" si="169"/>
        <v>3.174005483744509E-3</v>
      </c>
      <c r="F750" s="1">
        <f t="shared" si="170"/>
        <v>0.94316847915990287</v>
      </c>
      <c r="G750" s="1">
        <f t="shared" si="171"/>
        <v>0.94318510584266557</v>
      </c>
      <c r="H750" s="1">
        <f t="shared" si="179"/>
        <v>9.4318510584266555</v>
      </c>
      <c r="J750" s="2">
        <v>11.48</v>
      </c>
      <c r="K750" s="1">
        <v>3.3113112148258976E-12</v>
      </c>
      <c r="L750" s="1">
        <v>3.0501512376060482E-3</v>
      </c>
      <c r="M750" s="1">
        <v>-3.0500516034863701E-3</v>
      </c>
      <c r="N750" s="1">
        <v>3.841675267247728E-3</v>
      </c>
      <c r="O750" s="1">
        <v>0.99999383408800013</v>
      </c>
      <c r="P750" s="1">
        <v>1.188760385369904</v>
      </c>
      <c r="Q750" s="2">
        <v>11.887603853699039</v>
      </c>
      <c r="S750" s="2">
        <v>7.49</v>
      </c>
      <c r="T750" s="1">
        <f t="shared" si="172"/>
        <v>3.2359365692962729E-8</v>
      </c>
      <c r="U750" s="1">
        <f t="shared" si="173"/>
        <v>3.1211983868387356E-7</v>
      </c>
      <c r="V750" s="1">
        <f t="shared" si="174"/>
        <v>9.8167744511273622E-2</v>
      </c>
      <c r="W750" s="1">
        <f t="shared" si="175"/>
        <v>6.1075182957546321E-4</v>
      </c>
      <c r="X750" s="1">
        <f t="shared" si="176"/>
        <v>1.2292913389674739E-2</v>
      </c>
      <c r="Y750" s="1">
        <f t="shared" si="177"/>
        <v>1.2290098593525851E-2</v>
      </c>
      <c r="Z750" s="1">
        <f t="shared" si="178"/>
        <v>0.61450492967629256</v>
      </c>
      <c r="AB750">
        <v>8.8000000000000007</v>
      </c>
      <c r="AC750">
        <v>1.584893192461106E-9</v>
      </c>
      <c r="AD750">
        <v>6.3726691792499815E-6</v>
      </c>
      <c r="AE750">
        <v>9.991820109994555E-2</v>
      </c>
      <c r="AF750">
        <v>2.7266300018153919E-5</v>
      </c>
      <c r="AG750">
        <v>6.0920295032780927E-4</v>
      </c>
      <c r="AH750">
        <v>5.4547473113979411E-4</v>
      </c>
      <c r="AI750">
        <v>2.7273736556989708E-2</v>
      </c>
      <c r="AJ750"/>
      <c r="AK750"/>
      <c r="AL750"/>
      <c r="AM750"/>
      <c r="AN750"/>
      <c r="AO750"/>
      <c r="AP750"/>
      <c r="AQ750"/>
      <c r="AR750"/>
    </row>
    <row r="751" spans="1:44" ht="15" customHeight="1" x14ac:dyDescent="0.3">
      <c r="A751" s="2">
        <v>7.5</v>
      </c>
      <c r="B751" s="1">
        <f t="shared" si="166"/>
        <v>3.1622776601683699E-8</v>
      </c>
      <c r="C751" s="1">
        <f t="shared" si="167"/>
        <v>3.1939004367700723E-7</v>
      </c>
      <c r="D751" s="1">
        <f t="shared" si="168"/>
        <v>9.3521032449893945E-4</v>
      </c>
      <c r="E751" s="1">
        <f t="shared" si="169"/>
        <v>3.1774649459168432E-3</v>
      </c>
      <c r="F751" s="1">
        <f t="shared" si="170"/>
        <v>0.9443901832417968</v>
      </c>
      <c r="G751" s="1">
        <f t="shared" si="171"/>
        <v>0.94440728930019702</v>
      </c>
      <c r="H751" s="1">
        <f t="shared" si="179"/>
        <v>9.4440728930019695</v>
      </c>
      <c r="J751" s="2">
        <v>11.49</v>
      </c>
      <c r="K751" s="1">
        <v>3.2359365692962695E-12</v>
      </c>
      <c r="L751" s="1">
        <v>3.1211983868387389E-3</v>
      </c>
      <c r="M751" s="1">
        <v>-3.1211010920069995E-3</v>
      </c>
      <c r="N751" s="1">
        <v>3.8535168486678335E-3</v>
      </c>
      <c r="O751" s="1">
        <v>0.99999397444044691</v>
      </c>
      <c r="P751" s="1">
        <v>1.1932991266738784</v>
      </c>
      <c r="Q751" s="2">
        <v>11.932991266738783</v>
      </c>
      <c r="S751" s="2">
        <v>7.5</v>
      </c>
      <c r="T751" s="1">
        <f t="shared" si="172"/>
        <v>3.1622776601683699E-8</v>
      </c>
      <c r="U751" s="1">
        <f t="shared" si="173"/>
        <v>3.1939004367700723E-7</v>
      </c>
      <c r="V751" s="1">
        <f t="shared" si="174"/>
        <v>9.8208725787866546E-2</v>
      </c>
      <c r="W751" s="1">
        <f t="shared" si="175"/>
        <v>5.9709140404448473E-4</v>
      </c>
      <c r="X751" s="1">
        <f t="shared" si="176"/>
        <v>1.2016454973276759E-2</v>
      </c>
      <c r="Y751" s="1">
        <f t="shared" si="177"/>
        <v>1.2013560015059339E-2</v>
      </c>
      <c r="Z751" s="1">
        <f t="shared" si="178"/>
        <v>0.60067800075296696</v>
      </c>
      <c r="AB751">
        <v>8.81</v>
      </c>
      <c r="AC751">
        <v>1.5488166189124741E-9</v>
      </c>
      <c r="AD751">
        <v>6.5211077132500505E-6</v>
      </c>
      <c r="AE751">
        <v>9.9920501394770461E-2</v>
      </c>
      <c r="AF751">
        <v>2.6499535076515286E-5</v>
      </c>
      <c r="AG751">
        <v>5.9534405390300699E-4</v>
      </c>
      <c r="AH751">
        <v>5.3013118382931612E-4</v>
      </c>
      <c r="AI751">
        <v>2.6506559191465804E-2</v>
      </c>
      <c r="AJ751"/>
      <c r="AK751"/>
      <c r="AL751"/>
      <c r="AM751"/>
      <c r="AN751"/>
      <c r="AO751"/>
      <c r="AP751"/>
      <c r="AQ751"/>
      <c r="AR751"/>
    </row>
    <row r="752" spans="1:44" ht="15" customHeight="1" x14ac:dyDescent="0.3">
      <c r="A752" s="2">
        <v>7.51</v>
      </c>
      <c r="B752" s="1">
        <f t="shared" si="166"/>
        <v>3.0902954325135814E-8</v>
      </c>
      <c r="C752" s="1">
        <f t="shared" si="167"/>
        <v>3.2682959349892546E-7</v>
      </c>
      <c r="D752" s="1">
        <f t="shared" si="168"/>
        <v>9.1488197142955679E-4</v>
      </c>
      <c r="E752" s="1">
        <f t="shared" si="169"/>
        <v>3.1808530047617405E-3</v>
      </c>
      <c r="F752" s="1">
        <f t="shared" si="170"/>
        <v>0.94558713956612483</v>
      </c>
      <c r="G752" s="1">
        <f t="shared" si="171"/>
        <v>0.94560473419439328</v>
      </c>
      <c r="H752" s="1">
        <f t="shared" si="179"/>
        <v>9.4560473419439326</v>
      </c>
      <c r="J752" s="2">
        <v>11.5</v>
      </c>
      <c r="K752" s="1">
        <v>3.1622776601683669E-12</v>
      </c>
      <c r="L752" s="1">
        <v>3.1939004367700754E-3</v>
      </c>
      <c r="M752" s="1">
        <v>-3.1938054279781118E-3</v>
      </c>
      <c r="N752" s="1">
        <v>3.865634237996352E-3</v>
      </c>
      <c r="O752" s="1">
        <v>0.99999411159811991</v>
      </c>
      <c r="P752" s="1">
        <v>1.1979504788158148</v>
      </c>
      <c r="Q752" s="2">
        <v>11.979504788158147</v>
      </c>
      <c r="S752" s="2">
        <v>7.51</v>
      </c>
      <c r="T752" s="1">
        <f t="shared" si="172"/>
        <v>3.0902954325135814E-8</v>
      </c>
      <c r="U752" s="1">
        <f t="shared" si="173"/>
        <v>3.2682959349892546E-7</v>
      </c>
      <c r="V752" s="1">
        <f t="shared" si="174"/>
        <v>9.8248807770332847E-2</v>
      </c>
      <c r="W752" s="1">
        <f t="shared" si="175"/>
        <v>5.8373074322238064E-4</v>
      </c>
      <c r="X752" s="1">
        <f t="shared" si="176"/>
        <v>1.1746139960933247E-2</v>
      </c>
      <c r="Y752" s="1">
        <f t="shared" si="177"/>
        <v>1.1743163318967237E-2</v>
      </c>
      <c r="Z752" s="1">
        <f t="shared" si="178"/>
        <v>0.5871581659483619</v>
      </c>
      <c r="AB752">
        <v>8.82</v>
      </c>
      <c r="AC752">
        <v>1.5135612484362064E-9</v>
      </c>
      <c r="AD752">
        <v>6.6730038248767263E-6</v>
      </c>
      <c r="AE752">
        <v>9.9922759666649791E-2</v>
      </c>
      <c r="AF752">
        <v>2.5746777783399918E-5</v>
      </c>
      <c r="AG752">
        <v>5.8180025312259596E-4</v>
      </c>
      <c r="AH752">
        <v>5.1506816912493599E-4</v>
      </c>
      <c r="AI752">
        <v>2.5753408456246803E-2</v>
      </c>
      <c r="AJ752"/>
      <c r="AK752"/>
      <c r="AL752"/>
      <c r="AM752"/>
      <c r="AN752"/>
      <c r="AO752"/>
      <c r="AP752"/>
      <c r="AQ752"/>
      <c r="AR752"/>
    </row>
    <row r="753" spans="1:44" ht="15" customHeight="1" x14ac:dyDescent="0.3">
      <c r="A753" s="2">
        <v>7.52</v>
      </c>
      <c r="B753" s="1">
        <f t="shared" si="166"/>
        <v>3.0199517204020188E-8</v>
      </c>
      <c r="C753" s="1">
        <f t="shared" si="167"/>
        <v>3.344424326974167E-7</v>
      </c>
      <c r="D753" s="1">
        <f t="shared" si="168"/>
        <v>8.9497411284624264E-4</v>
      </c>
      <c r="E753" s="1">
        <f t="shared" si="169"/>
        <v>3.1841709811922928E-3</v>
      </c>
      <c r="F753" s="1">
        <f t="shared" si="170"/>
        <v>0.94675978479797751</v>
      </c>
      <c r="G753" s="1">
        <f t="shared" si="171"/>
        <v>0.94677787744836983</v>
      </c>
      <c r="H753" s="1">
        <f t="shared" si="179"/>
        <v>9.4677787744836976</v>
      </c>
      <c r="J753" s="2">
        <v>11.51</v>
      </c>
      <c r="K753" s="1">
        <v>3.0902954325135792E-12</v>
      </c>
      <c r="L753" s="1">
        <v>3.2682959349892571E-3</v>
      </c>
      <c r="M753" s="1">
        <v>-3.268203160200954E-3</v>
      </c>
      <c r="N753" s="1">
        <v>3.8780338600334927E-3</v>
      </c>
      <c r="O753" s="1">
        <v>0.99999424563373962</v>
      </c>
      <c r="P753" s="1">
        <v>1.2027174062907282</v>
      </c>
      <c r="Q753" s="2">
        <v>12.027174062907282</v>
      </c>
      <c r="S753" s="2">
        <v>7.52</v>
      </c>
      <c r="T753" s="1">
        <f t="shared" si="172"/>
        <v>3.0199517204020188E-8</v>
      </c>
      <c r="U753" s="1">
        <f t="shared" si="173"/>
        <v>3.344424326974167E-7</v>
      </c>
      <c r="V753" s="1">
        <f t="shared" si="174"/>
        <v>9.8288009491905609E-2</v>
      </c>
      <c r="W753" s="1">
        <f t="shared" si="175"/>
        <v>5.7066350269812706E-4</v>
      </c>
      <c r="X753" s="1">
        <f t="shared" si="176"/>
        <v>1.1481835125619354E-2</v>
      </c>
      <c r="Y753" s="1">
        <f t="shared" si="177"/>
        <v>1.1478775234784203E-2</v>
      </c>
      <c r="Z753" s="1">
        <f t="shared" si="178"/>
        <v>0.57393876173921021</v>
      </c>
      <c r="AB753">
        <v>8.83</v>
      </c>
      <c r="AC753">
        <v>1.479108388168206E-9</v>
      </c>
      <c r="AD753">
        <v>6.8284380514590222E-6</v>
      </c>
      <c r="AE753">
        <v>9.9924977107252344E-2</v>
      </c>
      <c r="AF753">
        <v>2.5007630915890444E-5</v>
      </c>
      <c r="AG753">
        <v>5.6856439223324623E-4</v>
      </c>
      <c r="AH753">
        <v>5.0027772592506261E-4</v>
      </c>
      <c r="AI753">
        <v>2.5013886296253129E-2</v>
      </c>
      <c r="AJ753"/>
      <c r="AK753"/>
      <c r="AL753"/>
      <c r="AM753"/>
      <c r="AN753"/>
      <c r="AO753"/>
      <c r="AP753"/>
      <c r="AQ753"/>
      <c r="AR753"/>
    </row>
    <row r="754" spans="1:44" ht="15" customHeight="1" x14ac:dyDescent="0.3">
      <c r="A754" s="2">
        <v>7.53</v>
      </c>
      <c r="B754" s="1">
        <f t="shared" si="166"/>
        <v>2.9512092266663779E-8</v>
      </c>
      <c r="C754" s="1">
        <f t="shared" si="167"/>
        <v>3.4223259770059547E-7</v>
      </c>
      <c r="D754" s="1">
        <f t="shared" si="168"/>
        <v>8.7547892933155535E-4</v>
      </c>
      <c r="E754" s="1">
        <f t="shared" si="169"/>
        <v>3.187420178444741E-3</v>
      </c>
      <c r="F754" s="1">
        <f t="shared" si="170"/>
        <v>0.94790855067262525</v>
      </c>
      <c r="G754" s="1">
        <f t="shared" si="171"/>
        <v>0.94792715106047487</v>
      </c>
      <c r="H754" s="1">
        <f t="shared" si="179"/>
        <v>9.4792715106047485</v>
      </c>
      <c r="J754" s="2">
        <v>11.52</v>
      </c>
      <c r="K754" s="1">
        <v>3.0199517204020161E-12</v>
      </c>
      <c r="L754" s="1">
        <v>3.3444243269741699E-3</v>
      </c>
      <c r="M754" s="1">
        <v>-3.3443337353378766E-3</v>
      </c>
      <c r="N754" s="1">
        <v>3.8907222892229794E-3</v>
      </c>
      <c r="O754" s="1">
        <v>0.99999437661837065</v>
      </c>
      <c r="P754" s="1">
        <v>1.2076029599452827</v>
      </c>
      <c r="Q754" s="2">
        <v>12.076029599452825</v>
      </c>
      <c r="S754" s="2">
        <v>7.53</v>
      </c>
      <c r="T754" s="1">
        <f t="shared" si="172"/>
        <v>2.9512092266663779E-8</v>
      </c>
      <c r="U754" s="1">
        <f t="shared" si="173"/>
        <v>3.4223259770059547E-7</v>
      </c>
      <c r="V754" s="1">
        <f t="shared" si="174"/>
        <v>9.832634961553044E-2</v>
      </c>
      <c r="W754" s="1">
        <f t="shared" si="175"/>
        <v>5.5788346148985307E-4</v>
      </c>
      <c r="X754" s="1">
        <f t="shared" si="176"/>
        <v>1.1223409982961546E-2</v>
      </c>
      <c r="Y754" s="1">
        <f t="shared" si="177"/>
        <v>1.122026523387213E-2</v>
      </c>
      <c r="Z754" s="1">
        <f t="shared" si="178"/>
        <v>0.56101326169360644</v>
      </c>
      <c r="AB754">
        <v>8.84</v>
      </c>
      <c r="AC754">
        <v>1.4454397707459262E-9</v>
      </c>
      <c r="AD754">
        <v>6.987492806281264E-6</v>
      </c>
      <c r="AE754">
        <v>9.992715488685347E-2</v>
      </c>
      <c r="AF754">
        <v>2.4281704382175949E-5</v>
      </c>
      <c r="AG754">
        <v>5.55629477615839E-4</v>
      </c>
      <c r="AH754">
        <v>4.8575203651705641E-4</v>
      </c>
      <c r="AI754">
        <v>2.4287601825852823E-2</v>
      </c>
      <c r="AJ754"/>
      <c r="AK754"/>
      <c r="AL754"/>
      <c r="AM754"/>
      <c r="AN754"/>
      <c r="AO754"/>
      <c r="AP754"/>
      <c r="AQ754"/>
      <c r="AR754"/>
    </row>
    <row r="755" spans="1:44" ht="15" customHeight="1" x14ac:dyDescent="0.3">
      <c r="A755" s="2">
        <v>7.54</v>
      </c>
      <c r="B755" s="1">
        <f t="shared" si="166"/>
        <v>2.8840315031265985E-8</v>
      </c>
      <c r="C755" s="1">
        <f t="shared" si="167"/>
        <v>3.5020421895705782E-7</v>
      </c>
      <c r="D755" s="1">
        <f t="shared" si="168"/>
        <v>8.563887079320367E-4</v>
      </c>
      <c r="E755" s="1">
        <f t="shared" si="169"/>
        <v>3.1906018820113272E-3</v>
      </c>
      <c r="F755" s="1">
        <f t="shared" si="170"/>
        <v>0.94903386392406586</v>
      </c>
      <c r="G755" s="1">
        <f t="shared" si="171"/>
        <v>0.9490529820329755</v>
      </c>
      <c r="H755" s="1">
        <f t="shared" si="179"/>
        <v>9.4905298203297548</v>
      </c>
      <c r="J755" s="2">
        <v>11.53</v>
      </c>
      <c r="K755" s="1">
        <v>2.9512092266663859E-12</v>
      </c>
      <c r="L755" s="1">
        <v>3.4223259770059453E-3</v>
      </c>
      <c r="M755" s="1">
        <v>-3.422237518827519E-3</v>
      </c>
      <c r="N755" s="1">
        <v>3.9037062531379198E-3</v>
      </c>
      <c r="O755" s="1">
        <v>0.99999450462146078</v>
      </c>
      <c r="P755" s="1">
        <v>1.2126102798971765</v>
      </c>
      <c r="Q755" s="2">
        <v>12.126102798971765</v>
      </c>
      <c r="S755" s="2">
        <v>7.54</v>
      </c>
      <c r="T755" s="1">
        <f t="shared" si="172"/>
        <v>2.8840315031265985E-8</v>
      </c>
      <c r="U755" s="1">
        <f t="shared" si="173"/>
        <v>3.5020421895705782E-7</v>
      </c>
      <c r="V755" s="1">
        <f t="shared" si="174"/>
        <v>9.8363846439642355E-2</v>
      </c>
      <c r="W755" s="1">
        <f t="shared" si="175"/>
        <v>5.453845201192156E-4</v>
      </c>
      <c r="X755" s="1">
        <f t="shared" si="176"/>
        <v>1.0970736741353944E-2</v>
      </c>
      <c r="Y755" s="1">
        <f t="shared" si="177"/>
        <v>1.09675054795128E-2</v>
      </c>
      <c r="Z755" s="1">
        <f t="shared" si="178"/>
        <v>0.54837527397564001</v>
      </c>
      <c r="AB755">
        <v>8.85</v>
      </c>
      <c r="AC755">
        <v>1.4125375446227532E-9</v>
      </c>
      <c r="AD755">
        <v>7.1502524222797982E-6</v>
      </c>
      <c r="AE755">
        <v>9.9929294154944365E-2</v>
      </c>
      <c r="AF755">
        <v>2.3568615018550151E-5</v>
      </c>
      <c r="AG755">
        <v>5.4298867412855441E-4</v>
      </c>
      <c r="AH755">
        <v>4.7148342248372446E-4</v>
      </c>
      <c r="AI755">
        <v>2.3574171124186222E-2</v>
      </c>
      <c r="AJ755"/>
      <c r="AK755"/>
      <c r="AL755"/>
      <c r="AM755"/>
      <c r="AN755"/>
      <c r="AO755"/>
      <c r="AP755"/>
      <c r="AQ755"/>
      <c r="AR755"/>
    </row>
    <row r="756" spans="1:44" ht="15" customHeight="1" x14ac:dyDescent="0.3">
      <c r="A756" s="2">
        <v>7.55</v>
      </c>
      <c r="B756" s="1">
        <f t="shared" si="166"/>
        <v>2.8183829312644468E-8</v>
      </c>
      <c r="C756" s="1">
        <f t="shared" si="167"/>
        <v>3.5836152312591209E-7</v>
      </c>
      <c r="D756" s="1">
        <f t="shared" si="168"/>
        <v>8.3769584245570335E-4</v>
      </c>
      <c r="E756" s="1">
        <f t="shared" si="169"/>
        <v>3.1937173595907161E-3</v>
      </c>
      <c r="F756" s="1">
        <f t="shared" si="170"/>
        <v>0.95013614622102383</v>
      </c>
      <c r="G756" s="1">
        <f t="shared" si="171"/>
        <v>0.95015579230819702</v>
      </c>
      <c r="H756" s="1">
        <f t="shared" si="179"/>
        <v>9.50155792308197</v>
      </c>
      <c r="J756" s="2">
        <v>11.54</v>
      </c>
      <c r="K756" s="1">
        <v>2.884031503126606E-12</v>
      </c>
      <c r="L756" s="1">
        <v>3.5020421895705692E-3</v>
      </c>
      <c r="M756" s="1">
        <v>-3.5019558162870134E-3</v>
      </c>
      <c r="N756" s="1">
        <v>3.9169926360478353E-3</v>
      </c>
      <c r="O756" s="1">
        <v>0.99999462971087638</v>
      </c>
      <c r="P756" s="1">
        <v>1.2177425985724637</v>
      </c>
      <c r="Q756" s="2">
        <v>12.177425985724636</v>
      </c>
      <c r="S756" s="2">
        <v>7.55</v>
      </c>
      <c r="T756" s="1">
        <f t="shared" si="172"/>
        <v>2.8183829312644468E-8</v>
      </c>
      <c r="U756" s="1">
        <f t="shared" si="173"/>
        <v>3.5836152312591209E-7</v>
      </c>
      <c r="V756" s="1">
        <f t="shared" si="174"/>
        <v>9.8400517903920626E-2</v>
      </c>
      <c r="W756" s="1">
        <f t="shared" si="175"/>
        <v>5.3316069869312221E-4</v>
      </c>
      <c r="X756" s="1">
        <f t="shared" si="176"/>
        <v>1.0723690252677437E-2</v>
      </c>
      <c r="Y756" s="1">
        <f t="shared" si="177"/>
        <v>1.0720370777602805E-2</v>
      </c>
      <c r="Z756" s="1">
        <f t="shared" si="178"/>
        <v>0.53601853888014028</v>
      </c>
      <c r="AB756">
        <v>8.86</v>
      </c>
      <c r="AC756">
        <v>1.380384264602884E-9</v>
      </c>
      <c r="AD756">
        <v>7.3168031967574034E-6</v>
      </c>
      <c r="AE756">
        <v>9.9931396040830262E-2</v>
      </c>
      <c r="AF756">
        <v>2.2867986389911631E-5</v>
      </c>
      <c r="AG756">
        <v>5.3063530153169491E-4</v>
      </c>
      <c r="AH756">
        <v>4.5746434068139833E-4</v>
      </c>
      <c r="AI756">
        <v>2.2873217034069915E-2</v>
      </c>
      <c r="AJ756"/>
      <c r="AK756"/>
      <c r="AL756"/>
      <c r="AM756"/>
      <c r="AN756"/>
      <c r="AO756"/>
      <c r="AP756"/>
      <c r="AQ756"/>
      <c r="AR756"/>
    </row>
    <row r="757" spans="1:44" ht="15" customHeight="1" x14ac:dyDescent="0.3">
      <c r="A757" s="2">
        <v>7.56</v>
      </c>
      <c r="B757" s="1">
        <f t="shared" si="166"/>
        <v>2.75422870333816E-8</v>
      </c>
      <c r="C757" s="1">
        <f t="shared" si="167"/>
        <v>3.667088353178032E-7</v>
      </c>
      <c r="D757" s="1">
        <f t="shared" si="168"/>
        <v>8.1939283366910798E-4</v>
      </c>
      <c r="E757" s="1">
        <f t="shared" si="169"/>
        <v>3.1967678610551492E-3</v>
      </c>
      <c r="F757" s="1">
        <f t="shared" si="170"/>
        <v>0.95121581411010214</v>
      </c>
      <c r="G757" s="1">
        <f t="shared" si="171"/>
        <v>0.95123599871181919</v>
      </c>
      <c r="H757" s="1">
        <f t="shared" si="179"/>
        <v>9.5123599871181916</v>
      </c>
      <c r="J757" s="2">
        <v>11.55</v>
      </c>
      <c r="K757" s="1">
        <v>2.8183829312644444E-12</v>
      </c>
      <c r="L757" s="1">
        <v>3.5836152312591239E-3</v>
      </c>
      <c r="M757" s="1">
        <v>-3.5835308954128646E-3</v>
      </c>
      <c r="N757" s="1">
        <v>3.9305884825688109E-3</v>
      </c>
      <c r="O757" s="1">
        <v>0.99999475195293963</v>
      </c>
      <c r="P757" s="1">
        <v>1.2230032438665008</v>
      </c>
      <c r="Q757" s="2">
        <v>12.230032438665008</v>
      </c>
      <c r="S757" s="2">
        <v>7.56</v>
      </c>
      <c r="T757" s="1">
        <f t="shared" si="172"/>
        <v>2.75422870333816E-8</v>
      </c>
      <c r="U757" s="1">
        <f t="shared" si="173"/>
        <v>3.667088353178032E-7</v>
      </c>
      <c r="V757" s="1">
        <f t="shared" si="174"/>
        <v>9.8436381595017594E-2</v>
      </c>
      <c r="W757" s="1">
        <f t="shared" si="175"/>
        <v>5.2120613499413303E-4</v>
      </c>
      <c r="X757" s="1">
        <f t="shared" si="176"/>
        <v>1.0482147963631113E-2</v>
      </c>
      <c r="Y757" s="1">
        <f t="shared" si="177"/>
        <v>1.0478738527960385E-2</v>
      </c>
      <c r="Z757" s="1">
        <f t="shared" si="178"/>
        <v>0.52393692639801925</v>
      </c>
      <c r="AB757">
        <v>8.8699999999999992</v>
      </c>
      <c r="AC757">
        <v>1.3489628825916529E-9</v>
      </c>
      <c r="AD757">
        <v>7.4872334371392701E-6</v>
      </c>
      <c r="AE757">
        <v>9.9933461654218986E-2</v>
      </c>
      <c r="AF757">
        <v>2.2179448593667532E-5</v>
      </c>
      <c r="AG757">
        <v>5.1856283099244323E-4</v>
      </c>
      <c r="AH757">
        <v>4.4368737928755629E-4</v>
      </c>
      <c r="AI757">
        <v>2.2184368964377813E-2</v>
      </c>
      <c r="AJ757"/>
      <c r="AK757"/>
      <c r="AL757"/>
      <c r="AM757"/>
      <c r="AN757"/>
      <c r="AO757"/>
      <c r="AP757"/>
      <c r="AQ757"/>
      <c r="AR757"/>
    </row>
    <row r="758" spans="1:44" ht="15" customHeight="1" x14ac:dyDescent="0.3">
      <c r="A758" s="2">
        <v>7.57</v>
      </c>
      <c r="B758" s="1">
        <f t="shared" si="166"/>
        <v>2.6915348039269097E-8</v>
      </c>
      <c r="C758" s="1">
        <f t="shared" si="167"/>
        <v>3.7525058138814508E-7</v>
      </c>
      <c r="D758" s="1">
        <f t="shared" si="168"/>
        <v>8.0147228939884388E-4</v>
      </c>
      <c r="E758" s="1">
        <f t="shared" si="169"/>
        <v>3.1997546184335257E-3</v>
      </c>
      <c r="F758" s="1">
        <f t="shared" si="170"/>
        <v>0.95227327896579617</v>
      </c>
      <c r="G758" s="1">
        <f t="shared" si="171"/>
        <v>0.95229401290303561</v>
      </c>
      <c r="H758" s="1">
        <f t="shared" si="179"/>
        <v>9.5229401290303564</v>
      </c>
      <c r="J758" s="2">
        <v>11.56</v>
      </c>
      <c r="K758" s="1">
        <v>2.7542287033381574E-12</v>
      </c>
      <c r="L758" s="1">
        <v>3.6670883531780352E-3</v>
      </c>
      <c r="M758" s="1">
        <v>-3.6670060083917361E-3</v>
      </c>
      <c r="N758" s="1">
        <v>3.944501001398623E-3</v>
      </c>
      <c r="O758" s="1">
        <v>0.99999487141246257</v>
      </c>
      <c r="P758" s="1">
        <v>1.2283956424344815</v>
      </c>
      <c r="Q758" s="2">
        <v>12.283956424344815</v>
      </c>
      <c r="S758" s="2">
        <v>7.57</v>
      </c>
      <c r="T758" s="1">
        <f t="shared" si="172"/>
        <v>2.6915348039269097E-8</v>
      </c>
      <c r="U758" s="1">
        <f t="shared" si="173"/>
        <v>3.7525058138814508E-7</v>
      </c>
      <c r="V758" s="1">
        <f t="shared" si="174"/>
        <v>9.847145475225802E-2</v>
      </c>
      <c r="W758" s="1">
        <f t="shared" si="175"/>
        <v>5.0951508258065693E-4</v>
      </c>
      <c r="X758" s="1">
        <f t="shared" si="176"/>
        <v>1.0245989867682156E-2</v>
      </c>
      <c r="Y758" s="1">
        <f t="shared" si="177"/>
        <v>1.0242488676250249E-2</v>
      </c>
      <c r="Z758" s="1">
        <f t="shared" si="178"/>
        <v>0.51212443381251249</v>
      </c>
      <c r="AB758">
        <v>8.8800000000000008</v>
      </c>
      <c r="AC758">
        <v>1.3182567385564018E-9</v>
      </c>
      <c r="AD758">
        <v>7.6616335077947864E-6</v>
      </c>
      <c r="AE758">
        <v>9.993549208579916E-2</v>
      </c>
      <c r="AF758">
        <v>2.1502638066944108E-5</v>
      </c>
      <c r="AG758">
        <v>5.0676488166779979E-4</v>
      </c>
      <c r="AH758">
        <v>4.301452539159938E-4</v>
      </c>
      <c r="AI758">
        <v>2.1507262695799691E-2</v>
      </c>
      <c r="AJ758"/>
      <c r="AK758"/>
      <c r="AL758"/>
      <c r="AM758"/>
      <c r="AN758"/>
      <c r="AO758"/>
      <c r="AP758"/>
      <c r="AQ758"/>
      <c r="AR758"/>
    </row>
    <row r="759" spans="1:44" ht="15" customHeight="1" x14ac:dyDescent="0.3">
      <c r="A759" s="2">
        <v>7.58</v>
      </c>
      <c r="B759" s="1">
        <f t="shared" si="166"/>
        <v>2.6302679918953758E-8</v>
      </c>
      <c r="C759" s="1">
        <f t="shared" si="167"/>
        <v>3.8399129028376769E-7</v>
      </c>
      <c r="D759" s="1">
        <f t="shared" si="168"/>
        <v>7.8392692454206704E-4</v>
      </c>
      <c r="E759" s="1">
        <f t="shared" si="169"/>
        <v>3.2026788459096553E-3</v>
      </c>
      <c r="F759" s="1">
        <f t="shared" si="170"/>
        <v>0.95330894694708801</v>
      </c>
      <c r="G759" s="1">
        <f t="shared" si="171"/>
        <v>0.95333024133129862</v>
      </c>
      <c r="H759" s="1">
        <f t="shared" si="179"/>
        <v>9.5333024133129864</v>
      </c>
      <c r="J759" s="2">
        <v>11.57</v>
      </c>
      <c r="K759" s="1">
        <v>2.6915348039269074E-12</v>
      </c>
      <c r="L759" s="1">
        <v>3.7525058138814541E-3</v>
      </c>
      <c r="M759" s="1">
        <v>-3.7524254148334399E-3</v>
      </c>
      <c r="N759" s="1">
        <v>3.9587375691389065E-3</v>
      </c>
      <c r="O759" s="1">
        <v>0.99999498815278243</v>
      </c>
      <c r="P759" s="1">
        <v>1.2339233231179056</v>
      </c>
      <c r="Q759" s="2">
        <v>12.339233231179056</v>
      </c>
      <c r="S759" s="2">
        <v>7.58</v>
      </c>
      <c r="T759" s="1">
        <f t="shared" si="172"/>
        <v>2.6302679918953758E-8</v>
      </c>
      <c r="U759" s="1">
        <f t="shared" si="173"/>
        <v>3.8399129028376769E-7</v>
      </c>
      <c r="V759" s="1">
        <f t="shared" si="174"/>
        <v>9.8505754273305823E-2</v>
      </c>
      <c r="W759" s="1">
        <f t="shared" si="175"/>
        <v>4.9808190889805701E-4</v>
      </c>
      <c r="X759" s="1">
        <f t="shared" si="176"/>
        <v>1.0015098457640627E-2</v>
      </c>
      <c r="Y759" s="1">
        <f t="shared" si="177"/>
        <v>1.0011503666532806E-2</v>
      </c>
      <c r="Z759" s="1">
        <f t="shared" si="178"/>
        <v>0.50057518332664031</v>
      </c>
      <c r="AB759">
        <v>8.89</v>
      </c>
      <c r="AC759">
        <v>1.2882495516931289E-9</v>
      </c>
      <c r="AD759">
        <v>7.8400958779498169E-6</v>
      </c>
      <c r="AE759">
        <v>9.9937488407808972E-2</v>
      </c>
      <c r="AF759">
        <v>2.0837197397009417E-5</v>
      </c>
      <c r="AG759">
        <v>4.9523521736399118E-4</v>
      </c>
      <c r="AH759">
        <v>4.1683080379758717E-4</v>
      </c>
      <c r="AI759">
        <v>2.0841540189879357E-2</v>
      </c>
      <c r="AJ759"/>
      <c r="AK759"/>
      <c r="AL759"/>
      <c r="AM759"/>
      <c r="AN759"/>
      <c r="AO759"/>
      <c r="AP759"/>
      <c r="AQ759"/>
      <c r="AR759"/>
    </row>
    <row r="760" spans="1:44" ht="15" customHeight="1" x14ac:dyDescent="0.3">
      <c r="A760" s="2">
        <v>7.59</v>
      </c>
      <c r="B760" s="1">
        <f t="shared" si="166"/>
        <v>2.5703957827688587E-8</v>
      </c>
      <c r="C760" s="1">
        <f t="shared" si="167"/>
        <v>3.9293559644422414E-7</v>
      </c>
      <c r="D760" s="1">
        <f t="shared" si="168"/>
        <v>7.6674956099069633E-4</v>
      </c>
      <c r="E760" s="1">
        <f t="shared" si="169"/>
        <v>3.205541739834884E-3</v>
      </c>
      <c r="F760" s="1">
        <f t="shared" si="170"/>
        <v>0.95432321896033767</v>
      </c>
      <c r="G760" s="1">
        <f t="shared" si="171"/>
        <v>0.9543450851993629</v>
      </c>
      <c r="H760" s="1">
        <f t="shared" si="179"/>
        <v>9.5434508519936276</v>
      </c>
      <c r="J760" s="2">
        <v>11.58</v>
      </c>
      <c r="K760" s="1">
        <v>2.6302679918953739E-12</v>
      </c>
      <c r="L760" s="1">
        <v>3.8399129028376796E-3</v>
      </c>
      <c r="M760" s="1">
        <v>-3.8398344052379047E-3</v>
      </c>
      <c r="N760" s="1">
        <v>3.973305734206318E-3</v>
      </c>
      <c r="O760" s="1">
        <v>0.99999510223579446</v>
      </c>
      <c r="P760" s="1">
        <v>1.2395899205136391</v>
      </c>
      <c r="Q760" s="2">
        <v>12.395899205136391</v>
      </c>
      <c r="S760" s="2">
        <v>7.59</v>
      </c>
      <c r="T760" s="1">
        <f t="shared" si="172"/>
        <v>2.5703957827688587E-8</v>
      </c>
      <c r="U760" s="1">
        <f t="shared" si="173"/>
        <v>3.9293559644422414E-7</v>
      </c>
      <c r="V760" s="1">
        <f t="shared" si="174"/>
        <v>9.8539296719794958E-2</v>
      </c>
      <c r="W760" s="1">
        <f t="shared" si="175"/>
        <v>4.8690109340168209E-4</v>
      </c>
      <c r="X760" s="1">
        <f t="shared" si="176"/>
        <v>9.7893586788642076E-3</v>
      </c>
      <c r="Y760" s="1">
        <f t="shared" si="177"/>
        <v>9.7856683944428455E-3</v>
      </c>
      <c r="Z760" s="1">
        <f t="shared" si="178"/>
        <v>0.48928341972214229</v>
      </c>
      <c r="AB760">
        <v>8.9</v>
      </c>
      <c r="AC760">
        <v>1.2589254117941623E-9</v>
      </c>
      <c r="AD760">
        <v>8.0227151707152736E-6</v>
      </c>
      <c r="AE760">
        <v>9.9939451674595559E-2</v>
      </c>
      <c r="AF760">
        <v>2.0182775134812914E-5</v>
      </c>
      <c r="AG760">
        <v>4.8396774327064238E-4</v>
      </c>
      <c r="AH760">
        <v>4.0373698802468732E-4</v>
      </c>
      <c r="AI760">
        <v>2.0186849401234365E-2</v>
      </c>
      <c r="AJ760"/>
      <c r="AK760"/>
      <c r="AL760"/>
      <c r="AM760"/>
      <c r="AN760"/>
      <c r="AO760"/>
      <c r="AP760"/>
      <c r="AQ760"/>
      <c r="AR760"/>
    </row>
    <row r="761" spans="1:44" ht="15" customHeight="1" x14ac:dyDescent="0.3">
      <c r="A761" s="2">
        <v>7.6</v>
      </c>
      <c r="B761" s="1">
        <f t="shared" si="166"/>
        <v>2.5118864315095751E-8</v>
      </c>
      <c r="C761" s="1">
        <f t="shared" si="167"/>
        <v>4.02088242259033E-7</v>
      </c>
      <c r="D761" s="1">
        <f t="shared" si="168"/>
        <v>7.4993312747362231E-4</v>
      </c>
      <c r="E761" s="1">
        <f t="shared" si="169"/>
        <v>3.2083444787543961E-3</v>
      </c>
      <c r="F761" s="1">
        <f t="shared" si="170"/>
        <v>0.95531649062820279</v>
      </c>
      <c r="G761" s="1">
        <f t="shared" si="171"/>
        <v>0.95533894043236101</v>
      </c>
      <c r="H761" s="1">
        <f t="shared" si="179"/>
        <v>9.5533894043236103</v>
      </c>
      <c r="J761" s="2">
        <v>11.59</v>
      </c>
      <c r="K761" s="1">
        <v>2.5703957827688561E-12</v>
      </c>
      <c r="L761" s="1">
        <v>3.9293559644422455E-3</v>
      </c>
      <c r="M761" s="1">
        <v>-3.9292793250088106E-3</v>
      </c>
      <c r="N761" s="1">
        <v>3.9882132208348018E-3</v>
      </c>
      <c r="O761" s="1">
        <v>0.9999952137219853</v>
      </c>
      <c r="P761" s="1">
        <v>1.2453991786926399</v>
      </c>
      <c r="Q761" s="2">
        <v>12.453991786926398</v>
      </c>
      <c r="S761" s="2">
        <v>7.6</v>
      </c>
      <c r="T761" s="1">
        <f t="shared" si="172"/>
        <v>2.5118864315095751E-8</v>
      </c>
      <c r="U761" s="1">
        <f t="shared" si="173"/>
        <v>4.02088242259033E-7</v>
      </c>
      <c r="V761" s="1">
        <f t="shared" si="174"/>
        <v>9.8572098322921659E-2</v>
      </c>
      <c r="W761" s="1">
        <f t="shared" si="175"/>
        <v>4.7596722569277653E-4</v>
      </c>
      <c r="X761" s="1">
        <f t="shared" si="176"/>
        <v>9.5686578830971782E-3</v>
      </c>
      <c r="Y761" s="1">
        <f t="shared" si="177"/>
        <v>9.5648701610019666E-3</v>
      </c>
      <c r="Z761" s="1">
        <f t="shared" si="178"/>
        <v>0.47824350805009835</v>
      </c>
      <c r="AB761">
        <v>8.91</v>
      </c>
      <c r="AC761">
        <v>1.230268770812377E-9</v>
      </c>
      <c r="AD761">
        <v>8.2095882132574316E-6</v>
      </c>
      <c r="AE761">
        <v>9.9941382923165331E-2</v>
      </c>
      <c r="AF761">
        <v>1.9539025611551481E-5</v>
      </c>
      <c r="AG761">
        <v>4.7295650276810332E-4</v>
      </c>
      <c r="AH761">
        <v>3.9085688185728031E-4</v>
      </c>
      <c r="AI761">
        <v>1.9542844092864012E-2</v>
      </c>
      <c r="AJ761"/>
      <c r="AK761"/>
      <c r="AL761"/>
      <c r="AM761"/>
      <c r="AN761"/>
      <c r="AO761"/>
      <c r="AP761"/>
      <c r="AQ761"/>
      <c r="AR761"/>
    </row>
    <row r="762" spans="1:44" ht="15" customHeight="1" x14ac:dyDescent="0.3">
      <c r="A762" s="2">
        <v>7.61</v>
      </c>
      <c r="B762" s="1">
        <f t="shared" si="166"/>
        <v>2.4547089156850259E-8</v>
      </c>
      <c r="C762" s="1">
        <f t="shared" si="167"/>
        <v>4.114540805821546E-7</v>
      </c>
      <c r="D762" s="1">
        <f t="shared" si="168"/>
        <v>7.334706593213388E-4</v>
      </c>
      <c r="E762" s="1">
        <f t="shared" si="169"/>
        <v>3.2110882234464436E-3</v>
      </c>
      <c r="F762" s="1">
        <f t="shared" si="170"/>
        <v>0.9562891522643161</v>
      </c>
      <c r="G762" s="1">
        <f t="shared" si="171"/>
        <v>0.95631219765263986</v>
      </c>
      <c r="H762" s="1">
        <f t="shared" si="179"/>
        <v>9.5631219765263982</v>
      </c>
      <c r="J762" s="2">
        <v>11.6</v>
      </c>
      <c r="K762" s="1">
        <v>2.5118864315095726E-12</v>
      </c>
      <c r="L762" s="1">
        <v>4.0208824225903342E-3</v>
      </c>
      <c r="M762" s="1">
        <v>-4.0208075990265501E-3</v>
      </c>
      <c r="N762" s="1">
        <v>4.0034679331710918E-3</v>
      </c>
      <c r="O762" s="1">
        <v>0.99999532267046465</v>
      </c>
      <c r="P762" s="1">
        <v>1.251354955075811</v>
      </c>
      <c r="Q762" s="2">
        <v>12.513549550758109</v>
      </c>
      <c r="S762" s="2">
        <v>7.61</v>
      </c>
      <c r="T762" s="1">
        <f t="shared" si="172"/>
        <v>2.4547089156850259E-8</v>
      </c>
      <c r="U762" s="1">
        <f t="shared" si="173"/>
        <v>4.114540805821546E-7</v>
      </c>
      <c r="V762" s="1">
        <f t="shared" si="174"/>
        <v>9.8604174988995527E-2</v>
      </c>
      <c r="W762" s="1">
        <f t="shared" si="175"/>
        <v>4.6527500366815727E-4</v>
      </c>
      <c r="X762" s="1">
        <f t="shared" si="176"/>
        <v>9.3528857829470839E-3</v>
      </c>
      <c r="Y762" s="1">
        <f t="shared" si="177"/>
        <v>9.3489986270681724E-3</v>
      </c>
      <c r="Z762" s="1">
        <f t="shared" si="178"/>
        <v>0.46744993135340868</v>
      </c>
      <c r="AB762">
        <v>8.92</v>
      </c>
      <c r="AC762">
        <v>1.2022644346174128E-9</v>
      </c>
      <c r="AD762">
        <v>8.4008140881369775E-6</v>
      </c>
      <c r="AE762">
        <v>9.9943283173725486E-2</v>
      </c>
      <c r="AF762">
        <v>1.8905608758169368E-5</v>
      </c>
      <c r="AG762">
        <v>4.6219567430629238E-4</v>
      </c>
      <c r="AH762">
        <v>3.7818367308900877E-4</v>
      </c>
      <c r="AI762">
        <v>1.8909183654450441E-2</v>
      </c>
      <c r="AJ762"/>
      <c r="AK762"/>
      <c r="AL762"/>
      <c r="AM762"/>
      <c r="AN762"/>
      <c r="AO762"/>
      <c r="AP762"/>
      <c r="AQ762"/>
      <c r="AR762"/>
    </row>
    <row r="763" spans="1:44" ht="15" customHeight="1" x14ac:dyDescent="0.3">
      <c r="A763" s="2">
        <v>7.62</v>
      </c>
      <c r="B763" s="1">
        <f t="shared" si="166"/>
        <v>2.3988329190194864E-8</v>
      </c>
      <c r="C763" s="1">
        <f t="shared" si="167"/>
        <v>4.2103807730503941E-7</v>
      </c>
      <c r="D763" s="1">
        <f t="shared" si="168"/>
        <v>7.1735529815694329E-4</v>
      </c>
      <c r="E763" s="1">
        <f t="shared" si="169"/>
        <v>3.2137741169738429E-3</v>
      </c>
      <c r="F763" s="1">
        <f t="shared" si="170"/>
        <v>0.95724158885346389</v>
      </c>
      <c r="G763" s="1">
        <f t="shared" si="171"/>
        <v>0.95726524216010245</v>
      </c>
      <c r="H763" s="1">
        <f t="shared" si="179"/>
        <v>9.572652421601024</v>
      </c>
      <c r="J763" s="2">
        <v>11.61</v>
      </c>
      <c r="K763" s="1">
        <v>2.4547089156850233E-12</v>
      </c>
      <c r="L763" s="1">
        <v>4.11454080582155E-3</v>
      </c>
      <c r="M763" s="1">
        <v>-4.1144677567934891E-3</v>
      </c>
      <c r="N763" s="1">
        <v>4.0190779594655819E-3</v>
      </c>
      <c r="O763" s="1">
        <v>0.99999542913899675</v>
      </c>
      <c r="P763" s="1">
        <v>1.2574612244748737</v>
      </c>
      <c r="Q763" s="2">
        <v>12.574612244748737</v>
      </c>
      <c r="S763" s="2">
        <v>7.62</v>
      </c>
      <c r="T763" s="1">
        <f t="shared" si="172"/>
        <v>2.3988329190194864E-8</v>
      </c>
      <c r="U763" s="1">
        <f t="shared" si="173"/>
        <v>4.2103807730503941E-7</v>
      </c>
      <c r="V763" s="1">
        <f t="shared" si="174"/>
        <v>9.8635542304946561E-2</v>
      </c>
      <c r="W763" s="1">
        <f t="shared" si="175"/>
        <v>4.5481923168447859E-4</v>
      </c>
      <c r="X763" s="1">
        <f t="shared" si="176"/>
        <v>9.1419344070017439E-3</v>
      </c>
      <c r="Y763" s="1">
        <f t="shared" si="177"/>
        <v>9.1379457684252676E-3</v>
      </c>
      <c r="Z763" s="1">
        <f t="shared" si="178"/>
        <v>0.45689728842126337</v>
      </c>
      <c r="AB763">
        <v>8.93</v>
      </c>
      <c r="AC763">
        <v>1.1748975549395295E-9</v>
      </c>
      <c r="AD763">
        <v>8.5964941858440024E-6</v>
      </c>
      <c r="AE763">
        <v>9.9945153430216899E-2</v>
      </c>
      <c r="AF763">
        <v>1.828218992770205E-5</v>
      </c>
      <c r="AG763">
        <v>4.5167956835348263E-4</v>
      </c>
      <c r="AH763">
        <v>3.6571065847120854E-4</v>
      </c>
      <c r="AI763">
        <v>1.8285532923560426E-2</v>
      </c>
      <c r="AJ763"/>
      <c r="AK763"/>
      <c r="AL763"/>
      <c r="AM763"/>
      <c r="AN763"/>
      <c r="AO763"/>
      <c r="AP763"/>
      <c r="AQ763"/>
      <c r="AR763"/>
    </row>
    <row r="764" spans="1:44" ht="15" customHeight="1" x14ac:dyDescent="0.3">
      <c r="A764" s="2">
        <v>7.63</v>
      </c>
      <c r="B764" s="1">
        <f t="shared" si="166"/>
        <v>2.3442288153199181E-8</v>
      </c>
      <c r="C764" s="1">
        <f t="shared" si="167"/>
        <v>4.3084531398960931E-7</v>
      </c>
      <c r="D764" s="1">
        <f t="shared" si="168"/>
        <v>7.0158029151775356E-4</v>
      </c>
      <c r="E764" s="1">
        <f t="shared" si="169"/>
        <v>3.2164032847470411E-3</v>
      </c>
      <c r="F764" s="1">
        <f t="shared" si="170"/>
        <v>0.9581741800370106</v>
      </c>
      <c r="G764" s="1">
        <f t="shared" si="171"/>
        <v>0.95819845391779723</v>
      </c>
      <c r="H764" s="1">
        <f t="shared" si="179"/>
        <v>9.5819845391779719</v>
      </c>
      <c r="J764" s="2">
        <v>11.62</v>
      </c>
      <c r="K764" s="1">
        <v>2.3988329190194925E-12</v>
      </c>
      <c r="L764" s="1">
        <v>4.2103807730503838E-3</v>
      </c>
      <c r="M764" s="1">
        <v>-4.2103094581649857E-3</v>
      </c>
      <c r="N764" s="1">
        <v>4.035051576360831E-3</v>
      </c>
      <c r="O764" s="1">
        <v>0.99999553318403089</v>
      </c>
      <c r="P764" s="1">
        <v>1.2637220833066278</v>
      </c>
      <c r="Q764" s="2">
        <v>12.637220833066278</v>
      </c>
      <c r="S764" s="2">
        <v>7.63</v>
      </c>
      <c r="T764" s="1">
        <f t="shared" si="172"/>
        <v>2.3442288153199181E-8</v>
      </c>
      <c r="U764" s="1">
        <f t="shared" si="173"/>
        <v>4.3084531398960931E-7</v>
      </c>
      <c r="V764" s="1">
        <f t="shared" si="174"/>
        <v>9.8666215543786448E-2</v>
      </c>
      <c r="W764" s="1">
        <f t="shared" si="175"/>
        <v>4.4459481873784649E-4</v>
      </c>
      <c r="X764" s="1">
        <f t="shared" si="176"/>
        <v>8.9356980555884979E-3</v>
      </c>
      <c r="Y764" s="1">
        <f t="shared" si="177"/>
        <v>8.9316058315139276E-3</v>
      </c>
      <c r="Z764" s="1">
        <f t="shared" si="178"/>
        <v>0.4465802915756964</v>
      </c>
      <c r="AB764">
        <v>8.94</v>
      </c>
      <c r="AC764">
        <v>1.1481536214968828E-9</v>
      </c>
      <c r="AD764">
        <v>8.7967322585564133E-6</v>
      </c>
      <c r="AE764">
        <v>9.9946994680838869E-2</v>
      </c>
      <c r="AF764">
        <v>1.7668439720377075E-5</v>
      </c>
      <c r="AG764">
        <v>4.4140262441350931E-4</v>
      </c>
      <c r="AH764">
        <v>3.5343124019316806E-4</v>
      </c>
      <c r="AI764">
        <v>1.7671562009658401E-2</v>
      </c>
      <c r="AJ764"/>
      <c r="AK764"/>
      <c r="AL764"/>
      <c r="AM764"/>
      <c r="AN764"/>
      <c r="AO764"/>
      <c r="AP764"/>
      <c r="AQ764"/>
      <c r="AR764"/>
    </row>
    <row r="765" spans="1:44" ht="15" customHeight="1" x14ac:dyDescent="0.3">
      <c r="A765" s="2">
        <v>7.64</v>
      </c>
      <c r="B765" s="1">
        <f t="shared" si="166"/>
        <v>2.2908676527677693E-8</v>
      </c>
      <c r="C765" s="1">
        <f t="shared" si="167"/>
        <v>4.4088099056256832E-7</v>
      </c>
      <c r="D765" s="1">
        <f t="shared" si="168"/>
        <v>6.8613899241127597E-4</v>
      </c>
      <c r="E765" s="1">
        <f t="shared" si="169"/>
        <v>3.2189768345981208E-3</v>
      </c>
      <c r="F765" s="1">
        <f t="shared" si="170"/>
        <v>0.95908730010332077</v>
      </c>
      <c r="G765" s="1">
        <f t="shared" si="171"/>
        <v>0.95911220754251059</v>
      </c>
      <c r="H765" s="1">
        <f t="shared" si="179"/>
        <v>9.5911220754251048</v>
      </c>
      <c r="J765" s="2">
        <v>11.63</v>
      </c>
      <c r="K765" s="1">
        <v>2.3442288153199162E-12</v>
      </c>
      <c r="L765" s="1">
        <v>4.3084531398960967E-3</v>
      </c>
      <c r="M765" s="1">
        <v>-4.3083835196797522E-3</v>
      </c>
      <c r="N765" s="1">
        <v>4.0513972532799586E-3</v>
      </c>
      <c r="O765" s="1">
        <v>0.99999563486073217</v>
      </c>
      <c r="P765" s="1">
        <v>1.27014175398944</v>
      </c>
      <c r="Q765" s="2">
        <v>12.701417539894399</v>
      </c>
      <c r="S765" s="2">
        <v>7.64</v>
      </c>
      <c r="T765" s="1">
        <f t="shared" si="172"/>
        <v>2.2908676527677693E-8</v>
      </c>
      <c r="U765" s="1">
        <f t="shared" si="173"/>
        <v>4.4088099056256832E-7</v>
      </c>
      <c r="V765" s="1">
        <f t="shared" si="174"/>
        <v>9.8696209670021531E-2</v>
      </c>
      <c r="W765" s="1">
        <f t="shared" si="175"/>
        <v>4.3459677665948985E-4</v>
      </c>
      <c r="X765" s="1">
        <f t="shared" si="176"/>
        <v>8.7340732571769171E-3</v>
      </c>
      <c r="Y765" s="1">
        <f t="shared" si="177"/>
        <v>8.7298752898056862E-3</v>
      </c>
      <c r="Z765" s="1">
        <f t="shared" si="178"/>
        <v>0.43649376449028426</v>
      </c>
      <c r="AB765">
        <v>8.9499999999999993</v>
      </c>
      <c r="AC765">
        <v>1.1220184543019636E-9</v>
      </c>
      <c r="AD765">
        <v>9.0016344751508279E-6</v>
      </c>
      <c r="AE765">
        <v>9.9948807898565861E-2</v>
      </c>
      <c r="AF765">
        <v>1.7064033811382159E-5</v>
      </c>
      <c r="AG765">
        <v>4.3135940810985681E-4</v>
      </c>
      <c r="AH765">
        <v>3.4133892241677572E-4</v>
      </c>
      <c r="AI765">
        <v>1.7066946120838786E-2</v>
      </c>
      <c r="AJ765"/>
      <c r="AK765"/>
      <c r="AL765"/>
      <c r="AM765"/>
      <c r="AN765"/>
      <c r="AO765"/>
      <c r="AP765"/>
      <c r="AQ765"/>
      <c r="AR765"/>
    </row>
    <row r="766" spans="1:44" ht="15" customHeight="1" x14ac:dyDescent="0.3">
      <c r="A766" s="2">
        <v>7.65</v>
      </c>
      <c r="B766" s="1">
        <f t="shared" si="166"/>
        <v>2.2387211385683365E-8</v>
      </c>
      <c r="C766" s="1">
        <f t="shared" si="167"/>
        <v>4.5115042807247333E-7</v>
      </c>
      <c r="D766" s="1">
        <f t="shared" si="168"/>
        <v>6.7102485880933419E-4</v>
      </c>
      <c r="E766" s="1">
        <f t="shared" si="169"/>
        <v>3.221495856865111E-3</v>
      </c>
      <c r="F766" s="1">
        <f t="shared" si="170"/>
        <v>0.95998131798294106</v>
      </c>
      <c r="G766" s="1">
        <f t="shared" si="171"/>
        <v>0.96000687230012149</v>
      </c>
      <c r="H766" s="1">
        <f t="shared" si="179"/>
        <v>9.6000687230012147</v>
      </c>
      <c r="J766" s="2">
        <v>11.64</v>
      </c>
      <c r="K766" s="1">
        <v>2.2908676527677675E-12</v>
      </c>
      <c r="L766" s="1">
        <v>4.4088099056256869E-3</v>
      </c>
      <c r="M766" s="1">
        <v>-4.4087419415032919E-3</v>
      </c>
      <c r="N766" s="1">
        <v>4.0681236569172149E-3</v>
      </c>
      <c r="O766" s="1">
        <v>0.99999573422300891</v>
      </c>
      <c r="P766" s="1">
        <v>1.2767245895313175</v>
      </c>
      <c r="Q766" s="2">
        <v>12.767245895313174</v>
      </c>
      <c r="S766" s="2">
        <v>7.65</v>
      </c>
      <c r="T766" s="1">
        <f t="shared" si="172"/>
        <v>2.2387211385683365E-8</v>
      </c>
      <c r="U766" s="1">
        <f t="shared" si="173"/>
        <v>4.5115042807247333E-7</v>
      </c>
      <c r="V766" s="1">
        <f t="shared" si="174"/>
        <v>9.8725539345015573E-2</v>
      </c>
      <c r="W766" s="1">
        <f t="shared" si="175"/>
        <v>4.2482021832813694E-4</v>
      </c>
      <c r="X766" s="1">
        <f t="shared" si="176"/>
        <v>8.5369587254255416E-3</v>
      </c>
      <c r="Y766" s="1">
        <f t="shared" si="177"/>
        <v>8.5326528008203648E-3</v>
      </c>
      <c r="Z766" s="1">
        <f t="shared" si="178"/>
        <v>0.42663264004101825</v>
      </c>
      <c r="AB766">
        <v>8.9600000000000009</v>
      </c>
      <c r="AC766">
        <v>1.0964781961431814E-9</v>
      </c>
      <c r="AD766">
        <v>9.2113094774947178E-6</v>
      </c>
      <c r="AE766">
        <v>9.9950594041656363E-2</v>
      </c>
      <c r="AF766">
        <v>1.6468652781215949E-5</v>
      </c>
      <c r="AG766">
        <v>4.2154460833516928E-4</v>
      </c>
      <c r="AH766">
        <v>3.2942730786381753E-4</v>
      </c>
      <c r="AI766">
        <v>1.6471365393190877E-2</v>
      </c>
      <c r="AJ766"/>
      <c r="AK766"/>
      <c r="AL766"/>
      <c r="AM766"/>
      <c r="AN766"/>
      <c r="AO766"/>
      <c r="AP766"/>
      <c r="AQ766"/>
      <c r="AR766"/>
    </row>
    <row r="767" spans="1:44" ht="15" customHeight="1" x14ac:dyDescent="0.3">
      <c r="A767" s="2">
        <v>7.66</v>
      </c>
      <c r="B767" s="1">
        <f t="shared" si="166"/>
        <v>2.1877616239495494E-8</v>
      </c>
      <c r="C767" s="1">
        <f t="shared" si="167"/>
        <v>4.6165907151102438E-7</v>
      </c>
      <c r="D767" s="1">
        <f t="shared" si="168"/>
        <v>6.5623145308400755E-4</v>
      </c>
      <c r="E767" s="1">
        <f t="shared" si="169"/>
        <v>3.223961424485998E-3</v>
      </c>
      <c r="F767" s="1">
        <f t="shared" si="170"/>
        <v>0.96085659724830708</v>
      </c>
      <c r="G767" s="1">
        <f t="shared" si="171"/>
        <v>0.96088281210548532</v>
      </c>
      <c r="H767" s="1">
        <f t="shared" si="179"/>
        <v>9.6088281210548523</v>
      </c>
      <c r="J767" s="2">
        <v>11.65</v>
      </c>
      <c r="K767" s="1">
        <v>2.2387211385683343E-12</v>
      </c>
      <c r="L767" s="1">
        <v>4.5115042807247381E-3</v>
      </c>
      <c r="M767" s="1">
        <v>-4.5114379349992543E-3</v>
      </c>
      <c r="N767" s="1">
        <v>4.085239655833209E-3</v>
      </c>
      <c r="O767" s="1">
        <v>0.99999583132354319</v>
      </c>
      <c r="P767" s="1">
        <v>1.2834750783195314</v>
      </c>
      <c r="Q767" s="2">
        <v>12.834750783195314</v>
      </c>
      <c r="S767" s="2">
        <v>7.66</v>
      </c>
      <c r="T767" s="1">
        <f t="shared" si="172"/>
        <v>2.1877616239495494E-8</v>
      </c>
      <c r="U767" s="1">
        <f t="shared" si="173"/>
        <v>4.6165907151102438E-7</v>
      </c>
      <c r="V767" s="1">
        <f t="shared" si="174"/>
        <v>9.8754218932300936E-2</v>
      </c>
      <c r="W767" s="1">
        <f t="shared" si="175"/>
        <v>4.1526035589968985E-4</v>
      </c>
      <c r="X767" s="1">
        <f t="shared" si="176"/>
        <v>8.3442553168725335E-3</v>
      </c>
      <c r="Y767" s="1">
        <f t="shared" si="177"/>
        <v>8.3398391637867983E-3</v>
      </c>
      <c r="Z767" s="1">
        <f t="shared" si="178"/>
        <v>0.41699195818933998</v>
      </c>
      <c r="AB767">
        <v>8.9700000000000006</v>
      </c>
      <c r="AC767">
        <v>1.071519305237603E-9</v>
      </c>
      <c r="AD767">
        <v>9.4258684380496394E-6</v>
      </c>
      <c r="AE767">
        <v>9.9952354054154396E-2</v>
      </c>
      <c r="AF767">
        <v>1.5881981948536276E-5</v>
      </c>
      <c r="AG767">
        <v>4.1195303446473955E-4</v>
      </c>
      <c r="AH767">
        <v>3.1769009445417894E-4</v>
      </c>
      <c r="AI767">
        <v>1.5884504722708949E-2</v>
      </c>
      <c r="AJ767"/>
      <c r="AK767"/>
      <c r="AL767"/>
      <c r="AM767"/>
      <c r="AN767"/>
      <c r="AO767"/>
      <c r="AP767"/>
      <c r="AQ767"/>
      <c r="AR767"/>
    </row>
    <row r="768" spans="1:44" ht="15" customHeight="1" x14ac:dyDescent="0.3">
      <c r="A768" s="2">
        <v>7.67</v>
      </c>
      <c r="B768" s="1">
        <f t="shared" si="166"/>
        <v>2.1379620895022292E-8</v>
      </c>
      <c r="C768" s="1">
        <f t="shared" si="167"/>
        <v>4.7241249270007079E-7</v>
      </c>
      <c r="D768" s="1">
        <f t="shared" si="168"/>
        <v>6.4175244138888756E-4</v>
      </c>
      <c r="E768" s="1">
        <f t="shared" si="169"/>
        <v>3.2263745931018521E-3</v>
      </c>
      <c r="F768" s="1">
        <f t="shared" si="170"/>
        <v>0.96171349611774526</v>
      </c>
      <c r="G768" s="1">
        <f t="shared" si="171"/>
        <v>0.96174038552661567</v>
      </c>
      <c r="H768" s="1">
        <f t="shared" si="179"/>
        <v>9.617403855266156</v>
      </c>
      <c r="J768" s="2">
        <v>11.66</v>
      </c>
      <c r="K768" s="1">
        <v>2.1877616239495474E-12</v>
      </c>
      <c r="L768" s="1">
        <v>4.6165907151102482E-3</v>
      </c>
      <c r="M768" s="1">
        <v>-4.6165259509427219E-3</v>
      </c>
      <c r="N768" s="1">
        <v>4.102754325157121E-3</v>
      </c>
      <c r="O768" s="1">
        <v>0.99999592621381772</v>
      </c>
      <c r="P768" s="1">
        <v>1.2903978491222725</v>
      </c>
      <c r="Q768" s="2">
        <v>12.903978491222725</v>
      </c>
      <c r="S768" s="2">
        <v>7.67</v>
      </c>
      <c r="T768" s="1">
        <f t="shared" si="172"/>
        <v>2.1379620895022292E-8</v>
      </c>
      <c r="U768" s="1">
        <f t="shared" si="173"/>
        <v>4.7241249270007079E-7</v>
      </c>
      <c r="V768" s="1">
        <f t="shared" si="174"/>
        <v>9.8782262502835741E-2</v>
      </c>
      <c r="W768" s="1">
        <f t="shared" si="175"/>
        <v>4.0591249905475019E-4</v>
      </c>
      <c r="X768" s="1">
        <f t="shared" si="176"/>
        <v>8.155865989269654E-3</v>
      </c>
      <c r="Y768" s="1">
        <f t="shared" si="177"/>
        <v>8.151337277946296E-3</v>
      </c>
      <c r="Z768" s="1">
        <f t="shared" si="178"/>
        <v>0.40756686389731483</v>
      </c>
      <c r="AB768">
        <v>8.98</v>
      </c>
      <c r="AC768">
        <v>1.0471285480508964E-9</v>
      </c>
      <c r="AD768">
        <v>9.6454251188165312E-6</v>
      </c>
      <c r="AE768">
        <v>9.9954088866383739E-2</v>
      </c>
      <c r="AF768">
        <v>1.5303711205420544E-5</v>
      </c>
      <c r="AG768">
        <v>4.0257961363253782E-4</v>
      </c>
      <c r="AH768">
        <v>3.0612107199320758E-4</v>
      </c>
      <c r="AI768">
        <v>1.530605359966038E-2</v>
      </c>
      <c r="AJ768"/>
      <c r="AK768"/>
      <c r="AL768"/>
      <c r="AM768"/>
      <c r="AN768"/>
      <c r="AO768"/>
      <c r="AP768"/>
      <c r="AQ768"/>
      <c r="AR768"/>
    </row>
    <row r="769" spans="1:44" ht="15" customHeight="1" x14ac:dyDescent="0.3">
      <c r="A769" s="2">
        <v>7.68</v>
      </c>
      <c r="B769" s="1">
        <f t="shared" si="166"/>
        <v>2.0892961308540368E-8</v>
      </c>
      <c r="C769" s="1">
        <f t="shared" si="167"/>
        <v>4.8341639324586536E-7</v>
      </c>
      <c r="D769" s="1">
        <f t="shared" si="168"/>
        <v>6.2758159298895372E-4</v>
      </c>
      <c r="E769" s="1">
        <f t="shared" si="169"/>
        <v>3.2287364011685075E-3</v>
      </c>
      <c r="F769" s="1">
        <f t="shared" si="170"/>
        <v>0.96255236746355533</v>
      </c>
      <c r="G769" s="1">
        <f t="shared" si="171"/>
        <v>0.96257994579295258</v>
      </c>
      <c r="H769" s="1">
        <f t="shared" si="179"/>
        <v>9.6257994579295261</v>
      </c>
      <c r="J769" s="2">
        <v>11.67</v>
      </c>
      <c r="K769" s="1">
        <v>2.1379620895022273E-12</v>
      </c>
      <c r="L769" s="1">
        <v>4.724124927000712E-3</v>
      </c>
      <c r="M769" s="1">
        <v>-4.7240617083907253E-3</v>
      </c>
      <c r="N769" s="1">
        <v>4.1206769513984541E-3</v>
      </c>
      <c r="O769" s="1">
        <v>0.99999601894414336</v>
      </c>
      <c r="P769" s="1">
        <v>1.2974976763135229</v>
      </c>
      <c r="Q769" s="2">
        <v>12.974976763135228</v>
      </c>
      <c r="S769" s="2">
        <v>7.68</v>
      </c>
      <c r="T769" s="1">
        <f t="shared" si="172"/>
        <v>2.0892961308540368E-8</v>
      </c>
      <c r="U769" s="1">
        <f t="shared" si="173"/>
        <v>4.8341639324586536E-7</v>
      </c>
      <c r="V769" s="1">
        <f t="shared" si="174"/>
        <v>9.8809683840206539E-2</v>
      </c>
      <c r="W769" s="1">
        <f t="shared" si="175"/>
        <v>3.9677205326448775E-4</v>
      </c>
      <c r="X769" s="1">
        <f t="shared" si="176"/>
        <v>7.9716957605582943E-3</v>
      </c>
      <c r="Y769" s="1">
        <f t="shared" si="177"/>
        <v>7.9670521014975175E-3</v>
      </c>
      <c r="Z769" s="1">
        <f t="shared" si="178"/>
        <v>0.39835260507487591</v>
      </c>
      <c r="AB769">
        <v>8.99</v>
      </c>
      <c r="AC769">
        <v>1.0232929922807512E-9</v>
      </c>
      <c r="AD769">
        <v>9.8700959316537158E-6</v>
      </c>
      <c r="AE769">
        <v>9.9955799395435127E-2</v>
      </c>
      <c r="AF769">
        <v>1.4733534854957329E-5</v>
      </c>
      <c r="AG769">
        <v>3.9341938806842819E-4</v>
      </c>
      <c r="AH769">
        <v>2.9471411890657817E-4</v>
      </c>
      <c r="AI769">
        <v>1.4735705945328907E-2</v>
      </c>
      <c r="AJ769"/>
      <c r="AK769"/>
      <c r="AL769"/>
      <c r="AM769"/>
      <c r="AN769"/>
      <c r="AO769"/>
      <c r="AP769"/>
      <c r="AQ769"/>
      <c r="AR769"/>
    </row>
    <row r="770" spans="1:44" ht="15" customHeight="1" x14ac:dyDescent="0.3">
      <c r="A770" s="2">
        <v>7.69</v>
      </c>
      <c r="B770" s="1">
        <f t="shared" si="166"/>
        <v>2.0417379446695271E-8</v>
      </c>
      <c r="C770" s="1">
        <f t="shared" si="167"/>
        <v>4.9467660756213115E-7</v>
      </c>
      <c r="D770" s="1">
        <f t="shared" si="168"/>
        <v>6.1371277954248382E-4</v>
      </c>
      <c r="E770" s="1">
        <f t="shared" si="169"/>
        <v>3.2310478700762527E-3</v>
      </c>
      <c r="F770" s="1">
        <f t="shared" si="170"/>
        <v>0.96337355882395304</v>
      </c>
      <c r="G770" s="1">
        <f t="shared" si="171"/>
        <v>0.96340184080749269</v>
      </c>
      <c r="H770" s="1">
        <f t="shared" si="179"/>
        <v>9.634018408074926</v>
      </c>
      <c r="J770" s="2">
        <v>11.68</v>
      </c>
      <c r="K770" s="1">
        <v>2.0892961308540349E-12</v>
      </c>
      <c r="L770" s="1">
        <v>4.8341639324586579E-3</v>
      </c>
      <c r="M770" s="1">
        <v>-4.8341022242252641E-3</v>
      </c>
      <c r="N770" s="1">
        <v>4.1390170373708773E-3</v>
      </c>
      <c r="O770" s="1">
        <v>0.99999610956368568</v>
      </c>
      <c r="P770" s="1">
        <v>1.3047794853329797</v>
      </c>
      <c r="Q770" s="2">
        <v>13.047794853329796</v>
      </c>
      <c r="S770" s="2">
        <v>7.69</v>
      </c>
      <c r="T770" s="1">
        <f t="shared" si="172"/>
        <v>2.0417379446695271E-8</v>
      </c>
      <c r="U770" s="1">
        <f t="shared" si="173"/>
        <v>4.9467660756213115E-7</v>
      </c>
      <c r="V770" s="1">
        <f t="shared" si="174"/>
        <v>9.883649644577408E-2</v>
      </c>
      <c r="W770" s="1">
        <f t="shared" si="175"/>
        <v>3.878345180753079E-4</v>
      </c>
      <c r="X770" s="1">
        <f t="shared" si="176"/>
        <v>7.7916516684858909E-3</v>
      </c>
      <c r="Y770" s="1">
        <f t="shared" si="177"/>
        <v>7.7868906111810835E-3</v>
      </c>
      <c r="Z770" s="1">
        <f t="shared" si="178"/>
        <v>0.38934453055905416</v>
      </c>
      <c r="AB770">
        <v>9</v>
      </c>
      <c r="AC770">
        <v>1.0000000000000001E-9</v>
      </c>
      <c r="AD770">
        <v>1.0099999999999998E-5</v>
      </c>
      <c r="AE770">
        <v>9.9957486545646748E-2</v>
      </c>
      <c r="AF770">
        <v>1.4171151451085916E-5</v>
      </c>
      <c r="AG770">
        <v>3.8446751249519417E-4</v>
      </c>
      <c r="AH770">
        <v>2.8346319902095962E-4</v>
      </c>
      <c r="AI770">
        <v>1.4173159951047981E-2</v>
      </c>
      <c r="AJ770"/>
      <c r="AK770"/>
      <c r="AL770"/>
      <c r="AM770"/>
      <c r="AN770"/>
      <c r="AO770"/>
      <c r="AP770"/>
      <c r="AQ770"/>
      <c r="AR770"/>
    </row>
    <row r="771" spans="1:44" ht="15" customHeight="1" x14ac:dyDescent="0.3">
      <c r="A771" s="2">
        <v>7.7</v>
      </c>
      <c r="B771" s="1">
        <f t="shared" ref="B771:B834" si="180">10^(-A771)</f>
        <v>1.9952623149688773E-8</v>
      </c>
      <c r="C771" s="1">
        <f t="shared" ref="C771:C834" si="181">Kw/B771</f>
        <v>5.0619910596354556E-7</v>
      </c>
      <c r="D771" s="1">
        <f t="shared" ref="D771:D834" si="182">((WASB_Ca*WASB_Va)-(WASB_Cb*H771))/(WASB_Va+H771)</f>
        <v>6.0013997433796488E-4</v>
      </c>
      <c r="E771" s="1">
        <f t="shared" ref="E771:E834" si="183">(WASB_Ca*H771)/(WASB_Va+H771)</f>
        <v>3.2333100042770059E-3</v>
      </c>
      <c r="F771" s="1">
        <f t="shared" ref="F771:F834" si="184">WASB_Ka/(B771+WASB_Ka)</f>
        <v>0.96417741241867116</v>
      </c>
      <c r="G771" s="1">
        <f t="shared" ref="G771:G834" si="185">(F771-((B771-C771)/WASB_Ca)) / (1 + ((B771-C771)/WASB_Cb))</f>
        <v>0.96420641316258293</v>
      </c>
      <c r="H771" s="1">
        <f t="shared" si="179"/>
        <v>9.642064131625828</v>
      </c>
      <c r="J771" s="2">
        <v>11.69</v>
      </c>
      <c r="K771" s="1">
        <v>2.0417379446695251E-12</v>
      </c>
      <c r="L771" s="1">
        <v>4.9467660756213165E-3</v>
      </c>
      <c r="M771" s="1">
        <v>-4.9467058433843615E-3</v>
      </c>
      <c r="N771" s="1">
        <v>4.1577843072307264E-3</v>
      </c>
      <c r="O771" s="1">
        <v>0.99999619812049123</v>
      </c>
      <c r="P771" s="1">
        <v>1.3122483583935891</v>
      </c>
      <c r="Q771" s="2">
        <v>13.122483583935891</v>
      </c>
      <c r="S771" s="2">
        <v>7.7</v>
      </c>
      <c r="T771" s="1">
        <f t="shared" ref="T771:T834" si="186">10^-S771</f>
        <v>1.9952623149688773E-8</v>
      </c>
      <c r="U771" s="1">
        <f t="shared" ref="U771:U834" si="187">Kw/T771</f>
        <v>5.0619910596354556E-7</v>
      </c>
      <c r="V771" s="1">
        <f t="shared" ref="V771:V834" si="188">((SAWB_Cb*SAWB_Vb)-(SAWB_Ca*Z771))/(Z771+SAWB_Vb)</f>
        <v>9.8862713543761832E-2</v>
      </c>
      <c r="W771" s="1">
        <f t="shared" ref="W771:W834" si="189">(SAWB_Cb*Z771)/(Z771+SAWB_Vb)</f>
        <v>3.7909548541272437E-4</v>
      </c>
      <c r="X771" s="1">
        <f t="shared" ref="X771:X834" si="190">T771/(T771+SAWB_Ka)</f>
        <v>7.6156427308604786E-3</v>
      </c>
      <c r="Y771" s="1">
        <f t="shared" ref="Y771:Y834" si="191">(X771+((T771-U771)/SAWB_Cb))/(1-((T771-U771)/SAWB_Ca))</f>
        <v>7.6107617625016475E-3</v>
      </c>
      <c r="Z771" s="1">
        <f t="shared" ref="Z771:Z834" si="192">(Y771*SAWB_Cb*SAWB_Vb)/SAWB_Ca</f>
        <v>0.38053808812508239</v>
      </c>
      <c r="AB771">
        <v>9.01</v>
      </c>
      <c r="AC771">
        <v>9.7723722095580808E-10</v>
      </c>
      <c r="AD771">
        <v>1.0335259222035644E-5</v>
      </c>
      <c r="AE771">
        <v>9.9959151209078195E-2</v>
      </c>
      <c r="AF771">
        <v>1.3616263640602959E-5</v>
      </c>
      <c r="AG771">
        <v>3.757192515840502E-4</v>
      </c>
      <c r="AH771">
        <v>2.7236235838883511E-4</v>
      </c>
      <c r="AI771">
        <v>1.3618117919441756E-2</v>
      </c>
      <c r="AJ771"/>
      <c r="AK771"/>
      <c r="AL771"/>
      <c r="AM771"/>
      <c r="AN771"/>
      <c r="AO771"/>
      <c r="AP771"/>
      <c r="AQ771"/>
      <c r="AR771"/>
    </row>
    <row r="772" spans="1:44" ht="15" customHeight="1" x14ac:dyDescent="0.3">
      <c r="A772" s="2">
        <v>7.71</v>
      </c>
      <c r="B772" s="1">
        <f t="shared" si="180"/>
        <v>1.9498445997580434E-8</v>
      </c>
      <c r="C772" s="1">
        <f t="shared" si="181"/>
        <v>5.1798999783127897E-7</v>
      </c>
      <c r="D772" s="1">
        <f t="shared" si="182"/>
        <v>5.8685725148916932E-4</v>
      </c>
      <c r="E772" s="1">
        <f t="shared" si="183"/>
        <v>3.2355237914184717E-3</v>
      </c>
      <c r="F772" s="1">
        <f t="shared" si="184"/>
        <v>0.96496426516801381</v>
      </c>
      <c r="G772" s="1">
        <f t="shared" si="185"/>
        <v>0.96499400015917203</v>
      </c>
      <c r="H772" s="1">
        <f t="shared" ref="H772:H835" si="193">G772*(WASB_Va * WASB_Ca)/WASB_Cb</f>
        <v>9.6499400015917196</v>
      </c>
      <c r="J772" s="2">
        <v>11.7</v>
      </c>
      <c r="K772" s="1">
        <v>1.9952623149688759E-12</v>
      </c>
      <c r="L772" s="1">
        <v>5.061991059635459E-3</v>
      </c>
      <c r="M772" s="1">
        <v>-5.0619322697973727E-3</v>
      </c>
      <c r="N772" s="1">
        <v>4.1769887116328954E-3</v>
      </c>
      <c r="O772" s="1">
        <v>0.99999628466151291</v>
      </c>
      <c r="P772" s="1">
        <v>1.3199095404500436</v>
      </c>
      <c r="Q772" s="2">
        <v>13.199095404500435</v>
      </c>
      <c r="S772" s="2">
        <v>7.71</v>
      </c>
      <c r="T772" s="1">
        <f t="shared" si="186"/>
        <v>1.9498445997580434E-8</v>
      </c>
      <c r="U772" s="1">
        <f t="shared" si="187"/>
        <v>5.1798999783127897E-7</v>
      </c>
      <c r="V772" s="1">
        <f t="shared" si="188"/>
        <v>9.8888348086285577E-2</v>
      </c>
      <c r="W772" s="1">
        <f t="shared" si="189"/>
        <v>3.705506379048086E-4</v>
      </c>
      <c r="X772" s="1">
        <f t="shared" si="190"/>
        <v>7.443579906440778E-3</v>
      </c>
      <c r="Y772" s="1">
        <f t="shared" si="191"/>
        <v>7.4385764505848504E-3</v>
      </c>
      <c r="Z772" s="1">
        <f t="shared" si="192"/>
        <v>0.37192882252924253</v>
      </c>
      <c r="AB772">
        <v>9.02</v>
      </c>
      <c r="AC772">
        <v>9.5499258602143329E-10</v>
      </c>
      <c r="AD772">
        <v>1.0575998335314114E-5</v>
      </c>
      <c r="AE772">
        <v>9.9960794265978231E-2</v>
      </c>
      <c r="AF772">
        <v>1.306857800725785E-5</v>
      </c>
      <c r="AG772">
        <v>3.6716997746736246E-4</v>
      </c>
      <c r="AH772">
        <v>2.6140572215587236E-4</v>
      </c>
      <c r="AI772">
        <v>1.3070286107793616E-2</v>
      </c>
      <c r="AJ772"/>
      <c r="AK772"/>
      <c r="AL772"/>
      <c r="AM772"/>
      <c r="AN772"/>
      <c r="AO772"/>
      <c r="AP772"/>
      <c r="AQ772"/>
      <c r="AR772"/>
    </row>
    <row r="773" spans="1:44" ht="15" customHeight="1" x14ac:dyDescent="0.3">
      <c r="A773" s="2">
        <v>7.72</v>
      </c>
      <c r="B773" s="1">
        <f t="shared" si="180"/>
        <v>1.9054607179632456E-8</v>
      </c>
      <c r="C773" s="1">
        <f t="shared" si="181"/>
        <v>5.3005553485227076E-7</v>
      </c>
      <c r="D773" s="1">
        <f t="shared" si="182"/>
        <v>5.7385878509120787E-4</v>
      </c>
      <c r="E773" s="1">
        <f t="shared" si="183"/>
        <v>3.2376902024847986E-3</v>
      </c>
      <c r="F773" s="1">
        <f t="shared" si="184"/>
        <v>0.96573444871517511</v>
      </c>
      <c r="G773" s="1">
        <f t="shared" si="185"/>
        <v>0.96576493382932971</v>
      </c>
      <c r="H773" s="1">
        <f t="shared" si="193"/>
        <v>9.6576493382932966</v>
      </c>
      <c r="J773" s="2">
        <v>11.71</v>
      </c>
      <c r="K773" s="1">
        <v>1.9498445997580347E-12</v>
      </c>
      <c r="L773" s="1">
        <v>5.1798999783128127E-3</v>
      </c>
      <c r="M773" s="1">
        <v>-5.1798425980407944E-3</v>
      </c>
      <c r="N773" s="1">
        <v>4.1966404330067986E-3</v>
      </c>
      <c r="O773" s="1">
        <v>0.99999636923263491</v>
      </c>
      <c r="P773" s="1">
        <v>1.3277684454424097</v>
      </c>
      <c r="Q773" s="2">
        <v>13.277684454424096</v>
      </c>
      <c r="S773" s="2">
        <v>7.72</v>
      </c>
      <c r="T773" s="1">
        <f t="shared" si="186"/>
        <v>1.9054607179632456E-8</v>
      </c>
      <c r="U773" s="1">
        <f t="shared" si="187"/>
        <v>5.3005553485227076E-7</v>
      </c>
      <c r="V773" s="1">
        <f t="shared" si="188"/>
        <v>9.8913412758323396E-2</v>
      </c>
      <c r="W773" s="1">
        <f t="shared" si="189"/>
        <v>3.6219574722553915E-4</v>
      </c>
      <c r="X773" s="1">
        <f t="shared" si="190"/>
        <v>7.2753760564586659E-3</v>
      </c>
      <c r="Y773" s="1">
        <f t="shared" si="191"/>
        <v>7.2702474716659282E-3</v>
      </c>
      <c r="Z773" s="1">
        <f t="shared" si="192"/>
        <v>0.36351237358329641</v>
      </c>
      <c r="AB773">
        <v>9.0299999999999994</v>
      </c>
      <c r="AC773">
        <v>9.3325430079699202E-10</v>
      </c>
      <c r="AD773">
        <v>1.0822344982899812E-5</v>
      </c>
      <c r="AE773">
        <v>9.9962416585246433E-2</v>
      </c>
      <c r="AF773">
        <v>1.2527804917855372E-5</v>
      </c>
      <c r="AG773">
        <v>3.5881516730727357E-4</v>
      </c>
      <c r="AH773">
        <v>2.5058749146918726E-4</v>
      </c>
      <c r="AI773">
        <v>1.2529374573459363E-2</v>
      </c>
      <c r="AJ773"/>
      <c r="AK773"/>
      <c r="AL773"/>
      <c r="AM773"/>
      <c r="AN773"/>
      <c r="AO773"/>
      <c r="AP773"/>
      <c r="AQ773"/>
      <c r="AR773"/>
    </row>
    <row r="774" spans="1:44" ht="15" customHeight="1" x14ac:dyDescent="0.3">
      <c r="A774" s="2">
        <v>7.73</v>
      </c>
      <c r="B774" s="1">
        <f t="shared" si="180"/>
        <v>1.8620871366628593E-8</v>
      </c>
      <c r="C774" s="1">
        <f t="shared" si="181"/>
        <v>5.4240211433395759E-7</v>
      </c>
      <c r="D774" s="1">
        <f t="shared" si="182"/>
        <v>5.6113884834039097E-4</v>
      </c>
      <c r="E774" s="1">
        <f t="shared" si="183"/>
        <v>3.2398101919432687E-3</v>
      </c>
      <c r="F774" s="1">
        <f t="shared" si="184"/>
        <v>0.9664882894516289</v>
      </c>
      <c r="G774" s="1">
        <f t="shared" si="185"/>
        <v>0.96651954096184245</v>
      </c>
      <c r="H774" s="1">
        <f t="shared" si="193"/>
        <v>9.6651954096184234</v>
      </c>
      <c r="J774" s="2">
        <v>11.72</v>
      </c>
      <c r="K774" s="1">
        <v>1.905460717963237E-12</v>
      </c>
      <c r="L774" s="1">
        <v>5.3005553485227308E-3</v>
      </c>
      <c r="M774" s="1">
        <v>-5.300499345731324E-3</v>
      </c>
      <c r="N774" s="1">
        <v>4.2167498909552199E-3</v>
      </c>
      <c r="O774" s="1">
        <v>0.9999964518786969</v>
      </c>
      <c r="P774" s="1">
        <v>1.3358306628299459</v>
      </c>
      <c r="Q774" s="2">
        <v>13.358306628299458</v>
      </c>
      <c r="S774" s="2">
        <v>7.73</v>
      </c>
      <c r="T774" s="1">
        <f t="shared" si="186"/>
        <v>1.8620871366628593E-8</v>
      </c>
      <c r="U774" s="1">
        <f t="shared" si="187"/>
        <v>5.4240211433395759E-7</v>
      </c>
      <c r="V774" s="1">
        <f t="shared" si="188"/>
        <v>9.8937919982624981E-2</v>
      </c>
      <c r="W774" s="1">
        <f t="shared" si="189"/>
        <v>3.5402667245834374E-4</v>
      </c>
      <c r="X774" s="1">
        <f t="shared" si="190"/>
        <v>7.1109459067706009E-3</v>
      </c>
      <c r="Y774" s="1">
        <f t="shared" si="191"/>
        <v>7.1056894852065747E-3</v>
      </c>
      <c r="Z774" s="1">
        <f t="shared" si="192"/>
        <v>0.35528447426032872</v>
      </c>
      <c r="AB774">
        <v>9.0399999999999991</v>
      </c>
      <c r="AC774">
        <v>9.1201083935591081E-10</v>
      </c>
      <c r="AD774">
        <v>1.1074429781046155E-5</v>
      </c>
      <c r="AE774">
        <v>9.9964019024889134E-2</v>
      </c>
      <c r="AF774">
        <v>1.1993658370289515E-5</v>
      </c>
      <c r="AG774">
        <v>3.5065040091901851E-4</v>
      </c>
      <c r="AH774">
        <v>2.3990194042494852E-4</v>
      </c>
      <c r="AI774">
        <v>1.1995097021247427E-2</v>
      </c>
      <c r="AJ774"/>
      <c r="AK774"/>
      <c r="AL774"/>
      <c r="AM774"/>
      <c r="AN774"/>
      <c r="AO774"/>
      <c r="AP774"/>
      <c r="AQ774"/>
      <c r="AR774"/>
    </row>
    <row r="775" spans="1:44" ht="15" customHeight="1" x14ac:dyDescent="0.3">
      <c r="A775" s="2">
        <v>7.74</v>
      </c>
      <c r="B775" s="1">
        <f t="shared" si="180"/>
        <v>1.8197008586099822E-8</v>
      </c>
      <c r="C775" s="1">
        <f t="shared" si="181"/>
        <v>5.5503628259620117E-7</v>
      </c>
      <c r="D775" s="1">
        <f t="shared" si="182"/>
        <v>5.4869181262059215E-4</v>
      </c>
      <c r="E775" s="1">
        <f t="shared" si="183"/>
        <v>3.2418846978965678E-3</v>
      </c>
      <c r="F775" s="1">
        <f t="shared" si="184"/>
        <v>0.96722610854541247</v>
      </c>
      <c r="G775" s="1">
        <f t="shared" si="185"/>
        <v>0.96725814313070635</v>
      </c>
      <c r="H775" s="1">
        <f t="shared" si="193"/>
        <v>9.6725814313070622</v>
      </c>
      <c r="J775" s="2">
        <v>11.73</v>
      </c>
      <c r="K775" s="1">
        <v>1.8620871366628578E-12</v>
      </c>
      <c r="L775" s="1">
        <v>5.42402114333958E-3</v>
      </c>
      <c r="M775" s="1">
        <v>-5.4239664866736863E-3</v>
      </c>
      <c r="N775" s="1">
        <v>4.2373277477789472E-3</v>
      </c>
      <c r="O775" s="1">
        <v>0.99999653264351807</v>
      </c>
      <c r="P775" s="1">
        <v>1.3441019644311527</v>
      </c>
      <c r="Q775" s="2">
        <v>13.441019644311526</v>
      </c>
      <c r="S775" s="2">
        <v>7.74</v>
      </c>
      <c r="T775" s="1">
        <f t="shared" si="186"/>
        <v>1.8197008586099822E-8</v>
      </c>
      <c r="U775" s="1">
        <f t="shared" si="187"/>
        <v>5.5503628259620117E-7</v>
      </c>
      <c r="V775" s="1">
        <f t="shared" si="188"/>
        <v>9.8961881924559722E-2</v>
      </c>
      <c r="W775" s="1">
        <f t="shared" si="189"/>
        <v>3.4603935848009719E-4</v>
      </c>
      <c r="X775" s="1">
        <f t="shared" si="190"/>
        <v>6.9502060106342882E-3</v>
      </c>
      <c r="Y775" s="1">
        <f t="shared" si="191"/>
        <v>6.9448189766362989E-3</v>
      </c>
      <c r="Z775" s="1">
        <f t="shared" si="192"/>
        <v>0.34724094883181494</v>
      </c>
      <c r="AB775">
        <v>9.0500000000000007</v>
      </c>
      <c r="AC775">
        <v>8.9125093813374338E-10</v>
      </c>
      <c r="AD775">
        <v>1.1332386388449857E-5</v>
      </c>
      <c r="AE775">
        <v>9.99656024324697E-2</v>
      </c>
      <c r="AF775">
        <v>1.1465855843431001E-5</v>
      </c>
      <c r="AG775">
        <v>3.4267135844771358E-4</v>
      </c>
      <c r="AH775">
        <v>2.2934341305374717E-4</v>
      </c>
      <c r="AI775">
        <v>1.146717065268736E-2</v>
      </c>
      <c r="AJ775"/>
      <c r="AK775"/>
      <c r="AL775"/>
      <c r="AM775"/>
      <c r="AN775"/>
      <c r="AO775"/>
      <c r="AP775"/>
      <c r="AQ775"/>
      <c r="AR775"/>
    </row>
    <row r="776" spans="1:44" ht="15" customHeight="1" x14ac:dyDescent="0.3">
      <c r="A776" s="2">
        <v>7.75</v>
      </c>
      <c r="B776" s="1">
        <f t="shared" si="180"/>
        <v>1.7782794100389218E-8</v>
      </c>
      <c r="C776" s="1">
        <f t="shared" si="181"/>
        <v>5.6796473844225284E-7</v>
      </c>
      <c r="D776" s="1">
        <f t="shared" si="182"/>
        <v>5.3651214655863616E-4</v>
      </c>
      <c r="E776" s="1">
        <f t="shared" si="183"/>
        <v>3.2439146422402272E-3</v>
      </c>
      <c r="F776" s="1">
        <f t="shared" si="184"/>
        <v>0.96794822197212893</v>
      </c>
      <c r="G776" s="1">
        <f t="shared" si="185"/>
        <v>0.96798105672634471</v>
      </c>
      <c r="H776" s="1">
        <f t="shared" si="193"/>
        <v>9.6798105672634467</v>
      </c>
      <c r="J776" s="2">
        <v>11.74</v>
      </c>
      <c r="K776" s="1">
        <v>1.8197008586099809E-12</v>
      </c>
      <c r="L776" s="1">
        <v>5.5503628259620155E-3</v>
      </c>
      <c r="M776" s="1">
        <v>-5.5503094847802539E-3</v>
      </c>
      <c r="N776" s="1">
        <v>4.2583849141300421E-3</v>
      </c>
      <c r="O776" s="1">
        <v>0.99999661156992015</v>
      </c>
      <c r="P776" s="1">
        <v>1.3525883115870583</v>
      </c>
      <c r="Q776" s="2">
        <v>13.525883115870583</v>
      </c>
      <c r="S776" s="2">
        <v>7.75</v>
      </c>
      <c r="T776" s="1">
        <f t="shared" si="186"/>
        <v>1.7782794100389218E-8</v>
      </c>
      <c r="U776" s="1">
        <f t="shared" si="187"/>
        <v>5.6796473844225284E-7</v>
      </c>
      <c r="V776" s="1">
        <f t="shared" si="188"/>
        <v>9.8985310496902693E-2</v>
      </c>
      <c r="W776" s="1">
        <f t="shared" si="189"/>
        <v>3.3822983436576794E-4</v>
      </c>
      <c r="X776" s="1">
        <f t="shared" si="190"/>
        <v>6.7930747121058765E-3</v>
      </c>
      <c r="Y776" s="1">
        <f t="shared" si="191"/>
        <v>6.7875542207135649E-3</v>
      </c>
      <c r="Z776" s="1">
        <f t="shared" si="192"/>
        <v>0.33937771103567826</v>
      </c>
      <c r="AB776">
        <v>9.06</v>
      </c>
      <c r="AC776">
        <v>8.709635899560787E-10</v>
      </c>
      <c r="AD776">
        <v>1.159635157711854E-5</v>
      </c>
      <c r="AE776">
        <v>9.9967167645553606E-2</v>
      </c>
      <c r="AF776">
        <v>1.09441181487915E-5</v>
      </c>
      <c r="AG776">
        <v>3.3487381809741779E-4</v>
      </c>
      <c r="AH776">
        <v>2.1890632034216343E-4</v>
      </c>
      <c r="AI776">
        <v>1.0945316017108171E-2</v>
      </c>
      <c r="AJ776"/>
      <c r="AK776"/>
      <c r="AL776"/>
      <c r="AM776"/>
      <c r="AN776"/>
      <c r="AO776"/>
      <c r="AP776"/>
      <c r="AQ776"/>
      <c r="AR776"/>
    </row>
    <row r="777" spans="1:44" ht="15" customHeight="1" x14ac:dyDescent="0.3">
      <c r="A777" s="2">
        <v>7.76</v>
      </c>
      <c r="B777" s="1">
        <f t="shared" si="180"/>
        <v>1.7378008287493747E-8</v>
      </c>
      <c r="C777" s="1">
        <f t="shared" si="181"/>
        <v>5.8119433671052875E-7</v>
      </c>
      <c r="D777" s="1">
        <f t="shared" si="182"/>
        <v>5.2459441505126102E-4</v>
      </c>
      <c r="E777" s="1">
        <f t="shared" si="183"/>
        <v>3.24590093082479E-3</v>
      </c>
      <c r="F777" s="1">
        <f t="shared" si="184"/>
        <v>0.96865494054849599</v>
      </c>
      <c r="G777" s="1">
        <f t="shared" si="185"/>
        <v>0.96868859298937604</v>
      </c>
      <c r="H777" s="1">
        <f t="shared" si="193"/>
        <v>9.6868859298937604</v>
      </c>
      <c r="J777" s="2">
        <v>11.75</v>
      </c>
      <c r="K777" s="1">
        <v>1.7782794100389204E-12</v>
      </c>
      <c r="L777" s="1">
        <v>5.6796473844225332E-3</v>
      </c>
      <c r="M777" s="1">
        <v>-5.6795953287809937E-3</v>
      </c>
      <c r="N777" s="1">
        <v>4.2799325547968319E-3</v>
      </c>
      <c r="O777" s="1">
        <v>0.99999668869975</v>
      </c>
      <c r="P777" s="1">
        <v>1.3612958626659117</v>
      </c>
      <c r="Q777" s="2">
        <v>13.612958626659116</v>
      </c>
      <c r="S777" s="2">
        <v>7.76</v>
      </c>
      <c r="T777" s="1">
        <f t="shared" si="186"/>
        <v>1.7378008287493747E-8</v>
      </c>
      <c r="U777" s="1">
        <f t="shared" si="187"/>
        <v>5.8119433671052875E-7</v>
      </c>
      <c r="V777" s="1">
        <f t="shared" si="188"/>
        <v>9.9008217364558129E-2</v>
      </c>
      <c r="W777" s="1">
        <f t="shared" si="189"/>
        <v>3.3059421181395117E-4</v>
      </c>
      <c r="X777" s="1">
        <f t="shared" si="190"/>
        <v>6.639472110054093E-3</v>
      </c>
      <c r="Y777" s="1">
        <f t="shared" si="191"/>
        <v>6.633815245503087E-3</v>
      </c>
      <c r="Z777" s="1">
        <f t="shared" si="192"/>
        <v>0.33169076227515443</v>
      </c>
      <c r="AB777">
        <v>9.07</v>
      </c>
      <c r="AC777">
        <v>8.5113803820237469E-10</v>
      </c>
      <c r="AD777">
        <v>1.1866465304889272E-5</v>
      </c>
      <c r="AE777">
        <v>9.9968715492148336E-2</v>
      </c>
      <c r="AF777">
        <v>1.0428169283888779E-5</v>
      </c>
      <c r="AG777">
        <v>3.2725365391130385E-4</v>
      </c>
      <c r="AH777">
        <v>2.0858513728899309E-4</v>
      </c>
      <c r="AI777">
        <v>1.0429256864449656E-2</v>
      </c>
      <c r="AJ777"/>
      <c r="AK777"/>
      <c r="AL777"/>
      <c r="AM777"/>
      <c r="AN777"/>
      <c r="AO777"/>
      <c r="AP777"/>
      <c r="AQ777"/>
      <c r="AR777"/>
    </row>
    <row r="778" spans="1:44" ht="15" customHeight="1" x14ac:dyDescent="0.3">
      <c r="A778" s="2">
        <v>7.77</v>
      </c>
      <c r="B778" s="1">
        <f t="shared" si="180"/>
        <v>1.6982436524617439E-8</v>
      </c>
      <c r="C778" s="1">
        <f t="shared" si="181"/>
        <v>5.9473209190914497E-7</v>
      </c>
      <c r="D778" s="1">
        <f t="shared" si="182"/>
        <v>5.1293327826591891E-4</v>
      </c>
      <c r="E778" s="1">
        <f t="shared" si="183"/>
        <v>3.2478444536223469E-3</v>
      </c>
      <c r="F778" s="1">
        <f t="shared" si="184"/>
        <v>0.9693465699682845</v>
      </c>
      <c r="G778" s="1">
        <f t="shared" si="185"/>
        <v>0.96938105804677588</v>
      </c>
      <c r="H778" s="1">
        <f t="shared" si="193"/>
        <v>9.6938105804677583</v>
      </c>
      <c r="J778" s="2">
        <v>11.76</v>
      </c>
      <c r="K778" s="1">
        <v>1.737800828749373E-12</v>
      </c>
      <c r="L778" s="1">
        <v>5.8119433671052923E-3</v>
      </c>
      <c r="M778" s="1">
        <v>-5.8118925677416661E-3</v>
      </c>
      <c r="N778" s="1">
        <v>4.3019820946236104E-3</v>
      </c>
      <c r="O778" s="1">
        <v>0.99999676407390203</v>
      </c>
      <c r="P778" s="1">
        <v>1.3702309809285642</v>
      </c>
      <c r="Q778" s="2">
        <v>13.702309809285641</v>
      </c>
      <c r="S778" s="2">
        <v>7.77</v>
      </c>
      <c r="T778" s="1">
        <f t="shared" si="186"/>
        <v>1.6982436524617439E-8</v>
      </c>
      <c r="U778" s="1">
        <f t="shared" si="187"/>
        <v>5.9473209190914497E-7</v>
      </c>
      <c r="V778" s="1">
        <f t="shared" si="188"/>
        <v>9.9030613949219803E-2</v>
      </c>
      <c r="W778" s="1">
        <f t="shared" si="189"/>
        <v>3.2312868359339814E-4</v>
      </c>
      <c r="X778" s="1">
        <f t="shared" si="190"/>
        <v>6.4893200227855979E-3</v>
      </c>
      <c r="Y778" s="1">
        <f t="shared" si="191"/>
        <v>6.4835237969635548E-3</v>
      </c>
      <c r="Z778" s="1">
        <f t="shared" si="192"/>
        <v>0.32417618984817775</v>
      </c>
      <c r="AB778">
        <v>9.08</v>
      </c>
      <c r="AC778">
        <v>8.3176377110266926E-10</v>
      </c>
      <c r="AD778">
        <v>1.2142870789635896E-5</v>
      </c>
      <c r="AE778">
        <v>9.9970246791138279E-2</v>
      </c>
      <c r="AF778">
        <v>9.9177362872392724E-6</v>
      </c>
      <c r="AG778">
        <v>3.1980683360181855E-4</v>
      </c>
      <c r="AH778">
        <v>1.9837439999463829E-4</v>
      </c>
      <c r="AI778">
        <v>9.9187199997319148E-3</v>
      </c>
      <c r="AJ778"/>
      <c r="AK778"/>
      <c r="AL778"/>
      <c r="AM778"/>
      <c r="AN778"/>
      <c r="AO778"/>
      <c r="AP778"/>
      <c r="AQ778"/>
      <c r="AR778"/>
    </row>
    <row r="779" spans="1:44" ht="15" customHeight="1" x14ac:dyDescent="0.3">
      <c r="A779" s="2">
        <v>7.78</v>
      </c>
      <c r="B779" s="1">
        <f t="shared" si="180"/>
        <v>1.6595869074375541E-8</v>
      </c>
      <c r="C779" s="1">
        <f t="shared" si="181"/>
        <v>6.0858518193510364E-7</v>
      </c>
      <c r="D779" s="1">
        <f t="shared" si="182"/>
        <v>5.0152349061775283E-4</v>
      </c>
      <c r="E779" s="1">
        <f t="shared" si="183"/>
        <v>3.2497460848970412E-3</v>
      </c>
      <c r="F779" s="1">
        <f t="shared" si="184"/>
        <v>0.97002341084048405</v>
      </c>
      <c r="G779" s="1">
        <f t="shared" si="185"/>
        <v>0.970058752950273</v>
      </c>
      <c r="H779" s="1">
        <f t="shared" si="193"/>
        <v>9.7005875295027302</v>
      </c>
      <c r="J779" s="2">
        <v>11.77</v>
      </c>
      <c r="K779" s="1">
        <v>1.6982436524617421E-12</v>
      </c>
      <c r="L779" s="1">
        <v>5.9473209190914556E-3</v>
      </c>
      <c r="M779" s="1">
        <v>-5.9472713474095149E-3</v>
      </c>
      <c r="N779" s="1">
        <v>4.324545224568252E-3</v>
      </c>
      <c r="O779" s="1">
        <v>0.99999683773233983</v>
      </c>
      <c r="P779" s="1">
        <v>1.3794002427751388</v>
      </c>
      <c r="Q779" s="2">
        <v>13.794002427751387</v>
      </c>
      <c r="S779" s="2">
        <v>7.78</v>
      </c>
      <c r="T779" s="1">
        <f t="shared" si="186"/>
        <v>1.6595869074375541E-8</v>
      </c>
      <c r="U779" s="1">
        <f t="shared" si="187"/>
        <v>6.0858518193510364E-7</v>
      </c>
      <c r="V779" s="1">
        <f t="shared" si="188"/>
        <v>9.9052511433967899E-2</v>
      </c>
      <c r="W779" s="1">
        <f t="shared" si="189"/>
        <v>3.1582952201070186E-4</v>
      </c>
      <c r="X779" s="1">
        <f t="shared" si="190"/>
        <v>6.3425419532770078E-3</v>
      </c>
      <c r="Y779" s="1">
        <f t="shared" si="191"/>
        <v>6.3366033041412206E-3</v>
      </c>
      <c r="Z779" s="1">
        <f t="shared" si="192"/>
        <v>0.31683016520706103</v>
      </c>
      <c r="AB779">
        <v>9.09</v>
      </c>
      <c r="AC779">
        <v>8.1283051616409768E-10</v>
      </c>
      <c r="AD779">
        <v>1.2425714585205077E-5</v>
      </c>
      <c r="AE779">
        <v>9.9971762352715293E-2</v>
      </c>
      <c r="AF779">
        <v>9.4125490949027615E-6</v>
      </c>
      <c r="AG779">
        <v>3.1252941642970179E-4</v>
      </c>
      <c r="AH779">
        <v>1.882687027821349E-4</v>
      </c>
      <c r="AI779">
        <v>9.4134351391067465E-3</v>
      </c>
      <c r="AJ779"/>
      <c r="AK779"/>
      <c r="AL779"/>
      <c r="AM779"/>
      <c r="AN779"/>
      <c r="AO779"/>
      <c r="AP779"/>
      <c r="AQ779"/>
      <c r="AR779"/>
    </row>
    <row r="780" spans="1:44" ht="15" customHeight="1" x14ac:dyDescent="0.3">
      <c r="A780" s="2">
        <v>7.79</v>
      </c>
      <c r="B780" s="1">
        <f t="shared" si="180"/>
        <v>1.6218100973589297E-8</v>
      </c>
      <c r="C780" s="1">
        <f t="shared" si="181"/>
        <v>6.227609518800971E-7</v>
      </c>
      <c r="D780" s="1">
        <f t="shared" si="182"/>
        <v>4.903598997249136E-4</v>
      </c>
      <c r="E780" s="1">
        <f t="shared" si="183"/>
        <v>3.2516066833791811E-3</v>
      </c>
      <c r="F780" s="1">
        <f t="shared" si="184"/>
        <v>0.97068575872954965</v>
      </c>
      <c r="G780" s="1">
        <f t="shared" si="185"/>
        <v>0.97072197371682878</v>
      </c>
      <c r="H780" s="1">
        <f t="shared" si="193"/>
        <v>9.7072197371682876</v>
      </c>
      <c r="J780" s="2">
        <v>11.78</v>
      </c>
      <c r="K780" s="1">
        <v>1.6595869074375588E-12</v>
      </c>
      <c r="L780" s="1">
        <v>6.08585181935102E-3</v>
      </c>
      <c r="M780" s="1">
        <v>-6.0858034474054684E-3</v>
      </c>
      <c r="N780" s="1">
        <v>4.3476339079009108E-3</v>
      </c>
      <c r="O780" s="1">
        <v>0.99999690971411737</v>
      </c>
      <c r="P780" s="1">
        <v>1.3888104463949016</v>
      </c>
      <c r="Q780" s="2">
        <v>13.888104463949015</v>
      </c>
      <c r="S780" s="2">
        <v>7.79</v>
      </c>
      <c r="T780" s="1">
        <f t="shared" si="186"/>
        <v>1.6218100973589297E-8</v>
      </c>
      <c r="U780" s="1">
        <f t="shared" si="187"/>
        <v>6.227609518800971E-7</v>
      </c>
      <c r="V780" s="1">
        <f t="shared" si="188"/>
        <v>9.907392076780229E-2</v>
      </c>
      <c r="W780" s="1">
        <f t="shared" si="189"/>
        <v>3.0869307739923938E-4</v>
      </c>
      <c r="X780" s="1">
        <f t="shared" si="190"/>
        <v>6.1990630550082786E-3</v>
      </c>
      <c r="Y780" s="1">
        <f t="shared" si="191"/>
        <v>6.1929788449639912E-3</v>
      </c>
      <c r="Z780" s="1">
        <f t="shared" si="192"/>
        <v>0.30964894224819955</v>
      </c>
      <c r="AB780">
        <v>9.1</v>
      </c>
      <c r="AC780">
        <v>7.9432823472428E-10</v>
      </c>
      <c r="AD780">
        <v>1.2715146659121113E-5</v>
      </c>
      <c r="AE780">
        <v>9.9973262978804489E-2</v>
      </c>
      <c r="AF780">
        <v>8.9123403985062932E-6</v>
      </c>
      <c r="AG780">
        <v>3.0541755113078326E-4</v>
      </c>
      <c r="AH780">
        <v>1.7826269534833883E-4</v>
      </c>
      <c r="AI780">
        <v>8.9131347674169421E-3</v>
      </c>
      <c r="AJ780"/>
      <c r="AK780"/>
      <c r="AL780"/>
      <c r="AM780"/>
      <c r="AN780"/>
      <c r="AO780"/>
      <c r="AP780"/>
      <c r="AQ780"/>
      <c r="AR780"/>
    </row>
    <row r="781" spans="1:44" ht="15" customHeight="1" x14ac:dyDescent="0.3">
      <c r="A781" s="2">
        <v>7.8</v>
      </c>
      <c r="B781" s="1">
        <f t="shared" si="180"/>
        <v>1.5848931924611133E-8</v>
      </c>
      <c r="C781" s="1">
        <f t="shared" si="181"/>
        <v>6.3726691792499521E-7</v>
      </c>
      <c r="D781" s="1">
        <f t="shared" si="182"/>
        <v>4.7943744534421792E-4</v>
      </c>
      <c r="E781" s="1">
        <f t="shared" si="183"/>
        <v>3.2534270924426305E-3</v>
      </c>
      <c r="F781" s="1">
        <f t="shared" si="184"/>
        <v>0.97133390419758203</v>
      </c>
      <c r="G781" s="1">
        <f t="shared" si="185"/>
        <v>0.97137101137105752</v>
      </c>
      <c r="H781" s="1">
        <f t="shared" si="193"/>
        <v>9.7137101137105741</v>
      </c>
      <c r="J781" s="2">
        <v>11.79</v>
      </c>
      <c r="K781" s="1">
        <v>1.6218100973589284E-12</v>
      </c>
      <c r="L781" s="1">
        <v>6.2276095188009755E-3</v>
      </c>
      <c r="M781" s="1">
        <v>-6.2275623192826158E-3</v>
      </c>
      <c r="N781" s="1">
        <v>4.3712603865471026E-3</v>
      </c>
      <c r="O781" s="1">
        <v>0.99999698005739956</v>
      </c>
      <c r="P781" s="1">
        <v>1.3984686208427235</v>
      </c>
      <c r="Q781" s="2">
        <v>13.984686208427235</v>
      </c>
      <c r="S781" s="2">
        <v>7.8</v>
      </c>
      <c r="T781" s="1">
        <f t="shared" si="186"/>
        <v>1.5848931924611133E-8</v>
      </c>
      <c r="U781" s="1">
        <f t="shared" si="187"/>
        <v>6.3726691792499521E-7</v>
      </c>
      <c r="V781" s="1">
        <f t="shared" si="188"/>
        <v>9.9094852670111727E-2</v>
      </c>
      <c r="W781" s="1">
        <f t="shared" si="189"/>
        <v>3.0171577662942552E-4</v>
      </c>
      <c r="X781" s="1">
        <f t="shared" si="190"/>
        <v>6.0588100983913771E-3</v>
      </c>
      <c r="Y781" s="1">
        <f t="shared" si="191"/>
        <v>6.0525771126299765E-3</v>
      </c>
      <c r="Z781" s="1">
        <f t="shared" si="192"/>
        <v>0.30262885563149883</v>
      </c>
      <c r="AB781">
        <v>9.11</v>
      </c>
      <c r="AC781">
        <v>7.7624711662869035E-10</v>
      </c>
      <c r="AD781">
        <v>1.3011320472100676E-5</v>
      </c>
      <c r="AE781">
        <v>9.9974749463485973E-2</v>
      </c>
      <c r="AF781">
        <v>8.4168455046745681E-6</v>
      </c>
      <c r="AG781">
        <v>2.9846747388949081E-4</v>
      </c>
      <c r="AH781">
        <v>1.6835107994379566E-4</v>
      </c>
      <c r="AI781">
        <v>8.4175539971897834E-3</v>
      </c>
      <c r="AJ781"/>
      <c r="AK781"/>
      <c r="AL781"/>
      <c r="AM781"/>
      <c r="AN781"/>
      <c r="AO781"/>
      <c r="AP781"/>
      <c r="AQ781"/>
      <c r="AR781"/>
    </row>
    <row r="782" spans="1:44" ht="15" customHeight="1" x14ac:dyDescent="0.3">
      <c r="A782" s="2">
        <v>7.81</v>
      </c>
      <c r="B782" s="1">
        <f t="shared" si="180"/>
        <v>1.5488166189124814E-8</v>
      </c>
      <c r="C782" s="1">
        <f t="shared" si="181"/>
        <v>6.5211077132500196E-7</v>
      </c>
      <c r="D782" s="1">
        <f t="shared" si="182"/>
        <v>4.68751158289202E-4</v>
      </c>
      <c r="E782" s="1">
        <f t="shared" si="183"/>
        <v>3.2552081402851328E-3</v>
      </c>
      <c r="F782" s="1">
        <f t="shared" si="184"/>
        <v>0.97196813284830341</v>
      </c>
      <c r="G782" s="1">
        <f t="shared" si="185"/>
        <v>0.97200615198944706</v>
      </c>
      <c r="H782" s="1">
        <f t="shared" si="193"/>
        <v>9.72006151989447</v>
      </c>
      <c r="J782" s="2">
        <v>11.8</v>
      </c>
      <c r="K782" s="1">
        <v>1.5848931924611065E-12</v>
      </c>
      <c r="L782" s="1">
        <v>6.3726691792499795E-3</v>
      </c>
      <c r="M782" s="1">
        <v>-6.3726231254712445E-3</v>
      </c>
      <c r="N782" s="1">
        <v>4.3954371875785407E-3</v>
      </c>
      <c r="O782" s="1">
        <v>0.99999704879948292</v>
      </c>
      <c r="P782" s="1">
        <v>1.4083820355670935</v>
      </c>
      <c r="Q782" s="2">
        <v>14.083820355670934</v>
      </c>
      <c r="S782" s="2">
        <v>7.81</v>
      </c>
      <c r="T782" s="1">
        <f t="shared" si="186"/>
        <v>1.5488166189124814E-8</v>
      </c>
      <c r="U782" s="1">
        <f t="shared" si="187"/>
        <v>6.5211077132500196E-7</v>
      </c>
      <c r="V782" s="1">
        <f t="shared" si="188"/>
        <v>9.9115317635078887E-2</v>
      </c>
      <c r="W782" s="1">
        <f t="shared" si="189"/>
        <v>2.948941216403719E-4</v>
      </c>
      <c r="X782" s="1">
        <f t="shared" si="190"/>
        <v>5.9217114377893426E-3</v>
      </c>
      <c r="Y782" s="1">
        <f t="shared" si="191"/>
        <v>5.9153263825855243E-3</v>
      </c>
      <c r="Z782" s="1">
        <f t="shared" si="192"/>
        <v>0.2957663191292762</v>
      </c>
      <c r="AB782">
        <v>9.1199999999999992</v>
      </c>
      <c r="AC782">
        <v>7.5857757502918245E-10</v>
      </c>
      <c r="AD782">
        <v>1.3314393059419734E-5</v>
      </c>
      <c r="AE782">
        <v>9.99762225934126E-2</v>
      </c>
      <c r="AF782">
        <v>7.9258021957946965E-6</v>
      </c>
      <c r="AG782">
        <v>2.9167550635802845E-4</v>
      </c>
      <c r="AH782">
        <v>1.585286085798337E-4</v>
      </c>
      <c r="AI782">
        <v>7.9264304289916859E-3</v>
      </c>
      <c r="AJ782"/>
      <c r="AK782"/>
      <c r="AL782"/>
      <c r="AM782"/>
      <c r="AN782"/>
      <c r="AO782"/>
      <c r="AP782"/>
      <c r="AQ782"/>
      <c r="AR782"/>
    </row>
    <row r="783" spans="1:44" ht="15" customHeight="1" x14ac:dyDescent="0.3">
      <c r="A783" s="2">
        <v>7.82</v>
      </c>
      <c r="B783" s="1">
        <f t="shared" si="180"/>
        <v>1.5135612484362029E-8</v>
      </c>
      <c r="C783" s="1">
        <f t="shared" si="181"/>
        <v>6.673003824876742E-7</v>
      </c>
      <c r="D783" s="1">
        <f t="shared" si="182"/>
        <v>4.5829615933245681E-4</v>
      </c>
      <c r="E783" s="1">
        <f t="shared" si="183"/>
        <v>3.2569506401112576E-3</v>
      </c>
      <c r="F783" s="1">
        <f t="shared" si="184"/>
        <v>0.97258872537269359</v>
      </c>
      <c r="G783" s="1">
        <f t="shared" si="185"/>
        <v>0.97262767674624473</v>
      </c>
      <c r="H783" s="1">
        <f t="shared" si="193"/>
        <v>9.726276767462446</v>
      </c>
      <c r="J783" s="2">
        <v>11.81</v>
      </c>
      <c r="K783" s="1">
        <v>1.5488166189124747E-12</v>
      </c>
      <c r="L783" s="1">
        <v>6.5211077132500484E-3</v>
      </c>
      <c r="M783" s="1">
        <v>-6.5210627791308495E-3</v>
      </c>
      <c r="N783" s="1">
        <v>4.4201771298551422E-3</v>
      </c>
      <c r="O783" s="1">
        <v>0.9999971159768144</v>
      </c>
      <c r="P783" s="1">
        <v>1.4185582104163048</v>
      </c>
      <c r="Q783" s="2">
        <v>14.185582104163048</v>
      </c>
      <c r="S783" s="2">
        <v>7.82</v>
      </c>
      <c r="T783" s="1">
        <f t="shared" si="186"/>
        <v>1.5135612484362029E-8</v>
      </c>
      <c r="U783" s="1">
        <f t="shared" si="187"/>
        <v>6.673003824876742E-7</v>
      </c>
      <c r="V783" s="1">
        <f t="shared" si="188"/>
        <v>9.9135325936021174E-2</v>
      </c>
      <c r="W783" s="1">
        <f t="shared" si="189"/>
        <v>2.8822468799294182E-4</v>
      </c>
      <c r="X783" s="1">
        <f t="shared" si="190"/>
        <v>5.7876969791189128E-3</v>
      </c>
      <c r="Y783" s="1">
        <f t="shared" si="191"/>
        <v>5.7811564800859484E-3</v>
      </c>
      <c r="Z783" s="1">
        <f t="shared" si="192"/>
        <v>0.28905782400429741</v>
      </c>
      <c r="AB783">
        <v>9.1300000000000008</v>
      </c>
      <c r="AC783">
        <v>7.413102413009137E-10</v>
      </c>
      <c r="AD783">
        <v>1.362452511417577E-5</v>
      </c>
      <c r="AE783">
        <v>9.9977683148223861E-2</v>
      </c>
      <c r="AF783">
        <v>7.4389505920437261E-6</v>
      </c>
      <c r="AG783">
        <v>2.85038053720204E-4</v>
      </c>
      <c r="AH783">
        <v>1.4879008026143104E-4</v>
      </c>
      <c r="AI783">
        <v>7.4395040130715521E-3</v>
      </c>
      <c r="AJ783"/>
      <c r="AK783"/>
      <c r="AL783"/>
      <c r="AM783"/>
      <c r="AN783"/>
      <c r="AO783"/>
      <c r="AP783"/>
      <c r="AQ783"/>
      <c r="AR783"/>
    </row>
    <row r="784" spans="1:44" ht="15" customHeight="1" x14ac:dyDescent="0.3">
      <c r="A784" s="2">
        <v>7.83</v>
      </c>
      <c r="B784" s="1">
        <f t="shared" si="180"/>
        <v>1.4791083881682026E-8</v>
      </c>
      <c r="C784" s="1">
        <f t="shared" si="181"/>
        <v>6.8284380514590378E-7</v>
      </c>
      <c r="D784" s="1">
        <f t="shared" si="182"/>
        <v>4.4806765809395831E-4</v>
      </c>
      <c r="E784" s="1">
        <f t="shared" si="183"/>
        <v>3.2586553903176732E-3</v>
      </c>
      <c r="F784" s="1">
        <f t="shared" si="184"/>
        <v>0.97319595759615996</v>
      </c>
      <c r="G784" s="1">
        <f t="shared" si="185"/>
        <v>0.9732358619608833</v>
      </c>
      <c r="H784" s="1">
        <f t="shared" si="193"/>
        <v>9.7323586196088332</v>
      </c>
      <c r="J784" s="2">
        <v>11.82</v>
      </c>
      <c r="K784" s="1">
        <v>1.5135612484362015E-12</v>
      </c>
      <c r="L784" s="1">
        <v>6.6730038248767488E-3</v>
      </c>
      <c r="M784" s="1">
        <v>-6.6729599849306397E-3</v>
      </c>
      <c r="N784" s="1">
        <v>4.4454933308217728E-3</v>
      </c>
      <c r="O784" s="1">
        <v>0.99999718162501194</v>
      </c>
      <c r="P784" s="1">
        <v>1.4290049261512956</v>
      </c>
      <c r="Q784" s="2">
        <v>14.290049261512955</v>
      </c>
      <c r="S784" s="2">
        <v>7.83</v>
      </c>
      <c r="T784" s="1">
        <f t="shared" si="186"/>
        <v>1.4791083881682026E-8</v>
      </c>
      <c r="U784" s="1">
        <f t="shared" si="187"/>
        <v>6.8284380514590378E-7</v>
      </c>
      <c r="V784" s="1">
        <f t="shared" si="188"/>
        <v>9.9154887629667288E-2</v>
      </c>
      <c r="W784" s="1">
        <f t="shared" si="189"/>
        <v>2.8170412344423842E-4</v>
      </c>
      <c r="X784" s="1">
        <f t="shared" si="190"/>
        <v>5.6566981480312079E-3</v>
      </c>
      <c r="Y784" s="1">
        <f t="shared" si="191"/>
        <v>5.6499987483333708E-3</v>
      </c>
      <c r="Z784" s="1">
        <f t="shared" si="192"/>
        <v>0.28249993741666857</v>
      </c>
      <c r="AB784">
        <v>9.14</v>
      </c>
      <c r="AC784">
        <v>7.2443596007498633E-10</v>
      </c>
      <c r="AD784">
        <v>1.3941881072489208E-5</v>
      </c>
      <c r="AE784">
        <v>9.997913190095617E-2</v>
      </c>
      <c r="AF784">
        <v>6.9560330146085751E-6</v>
      </c>
      <c r="AG784">
        <v>2.7855160279891623E-4</v>
      </c>
      <c r="AH784">
        <v>1.3913033824443312E-4</v>
      </c>
      <c r="AI784">
        <v>6.9565169122216552E-3</v>
      </c>
      <c r="AJ784"/>
      <c r="AK784"/>
      <c r="AL784"/>
      <c r="AM784"/>
      <c r="AN784"/>
      <c r="AO784"/>
      <c r="AP784"/>
      <c r="AQ784"/>
      <c r="AR784"/>
    </row>
    <row r="785" spans="1:44" ht="15" customHeight="1" x14ac:dyDescent="0.3">
      <c r="A785" s="2">
        <v>7.84</v>
      </c>
      <c r="B785" s="1">
        <f t="shared" si="180"/>
        <v>1.4454397707459279E-8</v>
      </c>
      <c r="C785" s="1">
        <f t="shared" si="181"/>
        <v>6.9874928062812556E-7</v>
      </c>
      <c r="D785" s="1">
        <f t="shared" si="182"/>
        <v>4.3806095191724315E-4</v>
      </c>
      <c r="E785" s="1">
        <f t="shared" si="183"/>
        <v>3.2603231746804592E-3</v>
      </c>
      <c r="F785" s="1">
        <f t="shared" si="184"/>
        <v>0.97379010052711767</v>
      </c>
      <c r="G785" s="1">
        <f t="shared" si="185"/>
        <v>0.97383097914682226</v>
      </c>
      <c r="H785" s="1">
        <f t="shared" si="193"/>
        <v>9.7383097914682217</v>
      </c>
      <c r="J785" s="2">
        <v>11.83</v>
      </c>
      <c r="K785" s="1">
        <v>1.4791083881682012E-12</v>
      </c>
      <c r="L785" s="1">
        <v>6.8284380514590437E-3</v>
      </c>
      <c r="M785" s="1">
        <v>-6.8283952807797199E-3</v>
      </c>
      <c r="N785" s="1">
        <v>4.471399213463287E-3</v>
      </c>
      <c r="O785" s="1">
        <v>0.99999724577888238</v>
      </c>
      <c r="P785" s="1">
        <v>1.4397302354955208</v>
      </c>
      <c r="Q785" s="2">
        <v>14.397302354955208</v>
      </c>
      <c r="S785" s="2">
        <v>7.84</v>
      </c>
      <c r="T785" s="1">
        <f t="shared" si="186"/>
        <v>1.4454397707459279E-8</v>
      </c>
      <c r="U785" s="1">
        <f t="shared" si="187"/>
        <v>6.9874928062812556E-7</v>
      </c>
      <c r="V785" s="1">
        <f t="shared" si="188"/>
        <v>9.9174012560369534E-2</v>
      </c>
      <c r="W785" s="1">
        <f t="shared" si="189"/>
        <v>2.7532914654349267E-4</v>
      </c>
      <c r="X785" s="1">
        <f t="shared" si="190"/>
        <v>5.528647858663715E-3</v>
      </c>
      <c r="Y785" s="1">
        <f t="shared" si="191"/>
        <v>5.521786017184927E-3</v>
      </c>
      <c r="Z785" s="1">
        <f t="shared" si="192"/>
        <v>0.27608930085924632</v>
      </c>
      <c r="AB785">
        <v>9.15</v>
      </c>
      <c r="AC785">
        <v>7.079457843841369E-10</v>
      </c>
      <c r="AD785">
        <v>1.4266629200689838E-5</v>
      </c>
      <c r="AE785">
        <v>9.9980569618449908E-2</v>
      </c>
      <c r="AF785">
        <v>6.4767938500268085E-6</v>
      </c>
      <c r="AG785">
        <v>2.7221272020631199E-4</v>
      </c>
      <c r="AH785">
        <v>1.2954426731567471E-4</v>
      </c>
      <c r="AI785">
        <v>6.4772133657837365E-3</v>
      </c>
      <c r="AJ785"/>
      <c r="AK785"/>
      <c r="AL785"/>
      <c r="AM785"/>
      <c r="AN785"/>
      <c r="AO785"/>
      <c r="AP785"/>
      <c r="AQ785"/>
      <c r="AR785"/>
    </row>
    <row r="786" spans="1:44" ht="15" customHeight="1" x14ac:dyDescent="0.3">
      <c r="A786" s="2">
        <v>7.85</v>
      </c>
      <c r="B786" s="1">
        <f t="shared" si="180"/>
        <v>1.4125375446227547E-8</v>
      </c>
      <c r="C786" s="1">
        <f t="shared" si="181"/>
        <v>7.1502524222797904E-7</v>
      </c>
      <c r="D786" s="1">
        <f t="shared" si="182"/>
        <v>4.2827142473490315E-4</v>
      </c>
      <c r="E786" s="1">
        <f t="shared" si="183"/>
        <v>3.2619547625441828E-3</v>
      </c>
      <c r="F786" s="1">
        <f t="shared" si="184"/>
        <v>0.97437142040686187</v>
      </c>
      <c r="G786" s="1">
        <f t="shared" si="185"/>
        <v>0.97441329506168795</v>
      </c>
      <c r="H786" s="1">
        <f t="shared" si="193"/>
        <v>9.7441329506168781</v>
      </c>
      <c r="J786" s="2">
        <v>11.84</v>
      </c>
      <c r="K786" s="1">
        <v>1.4454397707459267E-12</v>
      </c>
      <c r="L786" s="1">
        <v>6.9874928062812619E-3</v>
      </c>
      <c r="M786" s="1">
        <v>-6.987451080529351E-3</v>
      </c>
      <c r="N786" s="1">
        <v>4.497908513421558E-3</v>
      </c>
      <c r="O786" s="1">
        <v>0.99999730847244039</v>
      </c>
      <c r="P786" s="1">
        <v>1.4507424747543916</v>
      </c>
      <c r="Q786" s="2">
        <v>14.507424747543915</v>
      </c>
      <c r="S786" s="2">
        <v>7.85</v>
      </c>
      <c r="T786" s="1">
        <f t="shared" si="186"/>
        <v>1.4125375446227547E-8</v>
      </c>
      <c r="U786" s="1">
        <f t="shared" si="187"/>
        <v>7.1502524222797904E-7</v>
      </c>
      <c r="V786" s="1">
        <f t="shared" si="188"/>
        <v>9.9192710364251979E-2</v>
      </c>
      <c r="W786" s="1">
        <f t="shared" si="189"/>
        <v>2.690965452493393E-4</v>
      </c>
      <c r="X786" s="1">
        <f t="shared" si="190"/>
        <v>5.4034804829574653E-3</v>
      </c>
      <c r="Y786" s="1">
        <f t="shared" si="191"/>
        <v>5.3964525724252022E-3</v>
      </c>
      <c r="Z786" s="1">
        <f t="shared" si="192"/>
        <v>0.26982262862126005</v>
      </c>
      <c r="AB786">
        <v>9.16</v>
      </c>
      <c r="AC786">
        <v>6.9183097091893558E-10</v>
      </c>
      <c r="AD786">
        <v>1.4598941684533887E-5</v>
      </c>
      <c r="AE786">
        <v>9.9981997061753272E-2</v>
      </c>
      <c r="AF786">
        <v>6.0009794155794809E-6</v>
      </c>
      <c r="AG786">
        <v>2.6601805053567365E-4</v>
      </c>
      <c r="AH786">
        <v>1.2002679109461637E-4</v>
      </c>
      <c r="AI786">
        <v>6.0013395547308191E-3</v>
      </c>
      <c r="AJ786"/>
      <c r="AK786"/>
      <c r="AL786"/>
      <c r="AM786"/>
      <c r="AN786"/>
      <c r="AO786"/>
      <c r="AP786"/>
      <c r="AQ786"/>
      <c r="AR786"/>
    </row>
    <row r="787" spans="1:44" ht="15" customHeight="1" x14ac:dyDescent="0.3">
      <c r="A787" s="2">
        <v>7.86</v>
      </c>
      <c r="B787" s="1">
        <f t="shared" si="180"/>
        <v>1.3803842646028805E-8</v>
      </c>
      <c r="C787" s="1">
        <f t="shared" si="181"/>
        <v>7.3168031967574223E-7</v>
      </c>
      <c r="D787" s="1">
        <f t="shared" si="182"/>
        <v>4.186945459251368E-4</v>
      </c>
      <c r="E787" s="1">
        <f t="shared" si="183"/>
        <v>3.2635509090124773E-3</v>
      </c>
      <c r="F787" s="1">
        <f t="shared" si="184"/>
        <v>0.97494017876061789</v>
      </c>
      <c r="G787" s="1">
        <f t="shared" si="185"/>
        <v>0.97498307175859655</v>
      </c>
      <c r="H787" s="1">
        <f t="shared" si="193"/>
        <v>9.7498307175859651</v>
      </c>
      <c r="J787" s="2">
        <v>11.85</v>
      </c>
      <c r="K787" s="1">
        <v>1.4125375446227535E-12</v>
      </c>
      <c r="L787" s="1">
        <v>7.1502524222797964E-3</v>
      </c>
      <c r="M787" s="1">
        <v>-7.1502117176699556E-3</v>
      </c>
      <c r="N787" s="1">
        <v>4.5250352862783259E-3</v>
      </c>
      <c r="O787" s="1">
        <v>0.99999736973892639</v>
      </c>
      <c r="P787" s="1">
        <v>1.4620502760390692</v>
      </c>
      <c r="Q787" s="2">
        <v>14.620502760390691</v>
      </c>
      <c r="S787" s="2">
        <v>7.86</v>
      </c>
      <c r="T787" s="1">
        <f t="shared" si="186"/>
        <v>1.3803842646028805E-8</v>
      </c>
      <c r="U787" s="1">
        <f t="shared" si="187"/>
        <v>7.3168031967574223E-7</v>
      </c>
      <c r="V787" s="1">
        <f t="shared" si="188"/>
        <v>9.9210990473294708E-2</v>
      </c>
      <c r="W787" s="1">
        <f t="shared" si="189"/>
        <v>2.6300317556842643E-4</v>
      </c>
      <c r="X787" s="1">
        <f t="shared" si="190"/>
        <v>5.281131820532782E-3</v>
      </c>
      <c r="Y787" s="1">
        <f t="shared" si="191"/>
        <v>5.273934125596234E-3</v>
      </c>
      <c r="Z787" s="1">
        <f t="shared" si="192"/>
        <v>0.26369670627981168</v>
      </c>
      <c r="AB787">
        <v>9.17</v>
      </c>
      <c r="AC787">
        <v>6.7608297539198086E-10</v>
      </c>
      <c r="AD787">
        <v>1.4938994720498914E-5</v>
      </c>
      <c r="AE787">
        <v>9.9983414986522995E-2</v>
      </c>
      <c r="AF787">
        <v>5.5283378256666687E-6</v>
      </c>
      <c r="AG787">
        <v>2.5996431459410549E-4</v>
      </c>
      <c r="AH787">
        <v>1.1057286935509484E-4</v>
      </c>
      <c r="AI787">
        <v>5.5286434677547418E-3</v>
      </c>
      <c r="AJ787"/>
      <c r="AK787"/>
      <c r="AL787"/>
      <c r="AM787"/>
      <c r="AN787"/>
      <c r="AO787"/>
      <c r="AP787"/>
      <c r="AQ787"/>
      <c r="AR787"/>
    </row>
    <row r="788" spans="1:44" ht="15" customHeight="1" x14ac:dyDescent="0.3">
      <c r="A788" s="2">
        <v>7.87</v>
      </c>
      <c r="B788" s="1">
        <f t="shared" si="180"/>
        <v>1.3489628825916498E-8</v>
      </c>
      <c r="C788" s="1">
        <f t="shared" si="181"/>
        <v>7.4872334371392871E-7</v>
      </c>
      <c r="D788" s="1">
        <f t="shared" si="182"/>
        <v>4.0932586916069669E-4</v>
      </c>
      <c r="E788" s="1">
        <f t="shared" si="183"/>
        <v>3.2651123551398833E-3</v>
      </c>
      <c r="F788" s="1">
        <f t="shared" si="184"/>
        <v>0.975496632449664</v>
      </c>
      <c r="G788" s="1">
        <f t="shared" si="185"/>
        <v>0.97554056663855671</v>
      </c>
      <c r="H788" s="1">
        <f t="shared" si="193"/>
        <v>9.7554056663855668</v>
      </c>
      <c r="J788" s="2">
        <v>11.86</v>
      </c>
      <c r="K788" s="1">
        <v>1.3803842646028842E-12</v>
      </c>
      <c r="L788" s="1">
        <v>7.3168031967574022E-3</v>
      </c>
      <c r="M788" s="1">
        <v>-7.3167634900456989E-3</v>
      </c>
      <c r="N788" s="1">
        <v>4.552793915007616E-3</v>
      </c>
      <c r="O788" s="1">
        <v>0.99999742961082416</v>
      </c>
      <c r="P788" s="1">
        <v>1.4736625801318366</v>
      </c>
      <c r="Q788" s="2">
        <v>14.736625801318365</v>
      </c>
      <c r="S788" s="2">
        <v>7.87</v>
      </c>
      <c r="T788" s="1">
        <f t="shared" si="186"/>
        <v>1.3489628825916498E-8</v>
      </c>
      <c r="U788" s="1">
        <f t="shared" si="187"/>
        <v>7.4872334371392871E-7</v>
      </c>
      <c r="V788" s="1">
        <f t="shared" si="188"/>
        <v>9.9228862119354125E-2</v>
      </c>
      <c r="W788" s="1">
        <f t="shared" si="189"/>
        <v>2.5704596021529038E-4</v>
      </c>
      <c r="X788" s="1">
        <f t="shared" si="190"/>
        <v>5.1615390691167867E-3</v>
      </c>
      <c r="Y788" s="1">
        <f t="shared" si="191"/>
        <v>5.1541677843782701E-3</v>
      </c>
      <c r="Z788" s="1">
        <f t="shared" si="192"/>
        <v>0.25770838921891348</v>
      </c>
      <c r="AB788">
        <v>9.18</v>
      </c>
      <c r="AC788">
        <v>6.6069344800759527E-10</v>
      </c>
      <c r="AD788">
        <v>1.5286968609205717E-5</v>
      </c>
      <c r="AE788">
        <v>9.9984824143422718E-2</v>
      </c>
      <c r="AF788">
        <v>5.0586188590955394E-6</v>
      </c>
      <c r="AG788">
        <v>2.5404830767509112E-4</v>
      </c>
      <c r="AH788">
        <v>1.0117749536577253E-4</v>
      </c>
      <c r="AI788">
        <v>5.058874768288626E-3</v>
      </c>
      <c r="AJ788"/>
      <c r="AK788"/>
      <c r="AL788"/>
      <c r="AM788"/>
      <c r="AN788"/>
      <c r="AO788"/>
      <c r="AP788"/>
      <c r="AQ788"/>
      <c r="AR788"/>
    </row>
    <row r="789" spans="1:44" ht="15" customHeight="1" x14ac:dyDescent="0.3">
      <c r="A789" s="2">
        <v>7.88</v>
      </c>
      <c r="B789" s="1">
        <f t="shared" si="180"/>
        <v>1.3182567385564031E-8</v>
      </c>
      <c r="C789" s="1">
        <f t="shared" si="181"/>
        <v>7.6616335077947784E-7</v>
      </c>
      <c r="D789" s="1">
        <f t="shared" si="182"/>
        <v>4.0016103125166028E-4</v>
      </c>
      <c r="E789" s="1">
        <f t="shared" si="183"/>
        <v>3.2666398281247233E-3</v>
      </c>
      <c r="F789" s="1">
        <f t="shared" si="184"/>
        <v>0.97604103372442241</v>
      </c>
      <c r="G789" s="1">
        <f t="shared" si="185"/>
        <v>0.97608603250384618</v>
      </c>
      <c r="H789" s="1">
        <f t="shared" si="193"/>
        <v>9.7608603250384611</v>
      </c>
      <c r="J789" s="2">
        <v>11.87</v>
      </c>
      <c r="K789" s="1">
        <v>1.3489628825916532E-12</v>
      </c>
      <c r="L789" s="1">
        <v>7.4872334371392686E-3</v>
      </c>
      <c r="M789" s="1">
        <v>-7.4871947056108657E-3</v>
      </c>
      <c r="N789" s="1">
        <v>4.5811991176018104E-3</v>
      </c>
      <c r="O789" s="1">
        <v>0.99999748811987799</v>
      </c>
      <c r="P789" s="1">
        <v>1.4855886500329676</v>
      </c>
      <c r="Q789" s="2">
        <v>14.855886500329675</v>
      </c>
      <c r="S789" s="2">
        <v>7.88</v>
      </c>
      <c r="T789" s="1">
        <f t="shared" si="186"/>
        <v>1.3182567385564031E-8</v>
      </c>
      <c r="U789" s="1">
        <f t="shared" si="187"/>
        <v>7.6616335077947784E-7</v>
      </c>
      <c r="V789" s="1">
        <f t="shared" si="188"/>
        <v>9.924633433811976E-2</v>
      </c>
      <c r="W789" s="1">
        <f t="shared" si="189"/>
        <v>2.5122188729341147E-4</v>
      </c>
      <c r="X789" s="1">
        <f t="shared" si="190"/>
        <v>5.0446407955158376E-3</v>
      </c>
      <c r="Y789" s="1">
        <f t="shared" si="191"/>
        <v>5.0370920235144083E-3</v>
      </c>
      <c r="Z789" s="1">
        <f t="shared" si="192"/>
        <v>0.25185460117572039</v>
      </c>
      <c r="AB789">
        <v>9.19</v>
      </c>
      <c r="AC789">
        <v>6.4565422903465485E-10</v>
      </c>
      <c r="AD789">
        <v>1.5643047851016077E-5</v>
      </c>
      <c r="AE789">
        <v>9.9986225278518373E-2</v>
      </c>
      <c r="AF789">
        <v>4.5915738272134941E-6</v>
      </c>
      <c r="AG789">
        <v>2.4826689787004451E-4</v>
      </c>
      <c r="AH789">
        <v>9.183569324792508E-5</v>
      </c>
      <c r="AI789">
        <v>4.591784662396254E-3</v>
      </c>
      <c r="AJ789"/>
      <c r="AK789"/>
      <c r="AL789"/>
      <c r="AM789"/>
      <c r="AN789"/>
      <c r="AO789"/>
      <c r="AP789"/>
      <c r="AQ789"/>
      <c r="AR789"/>
    </row>
    <row r="790" spans="1:44" ht="15" customHeight="1" x14ac:dyDescent="0.3">
      <c r="A790" s="2">
        <v>7.89</v>
      </c>
      <c r="B790" s="1">
        <f t="shared" si="180"/>
        <v>1.288249551693135E-8</v>
      </c>
      <c r="C790" s="1">
        <f t="shared" si="181"/>
        <v>7.8400958779497798E-7</v>
      </c>
      <c r="D790" s="1">
        <f t="shared" si="182"/>
        <v>3.9119575098343922E-4</v>
      </c>
      <c r="E790" s="1">
        <f t="shared" si="183"/>
        <v>3.2681340415027602E-3</v>
      </c>
      <c r="F790" s="1">
        <f t="shared" si="184"/>
        <v>0.97657363027841759</v>
      </c>
      <c r="G790" s="1">
        <f t="shared" si="185"/>
        <v>0.97661971761226252</v>
      </c>
      <c r="H790" s="1">
        <f t="shared" si="193"/>
        <v>9.7661971761226241</v>
      </c>
      <c r="J790" s="2">
        <v>11.88</v>
      </c>
      <c r="K790" s="1">
        <v>1.3182567385564021E-12</v>
      </c>
      <c r="L790" s="1">
        <v>7.6616335077947847E-3</v>
      </c>
      <c r="M790" s="1">
        <v>-7.6615957292518909E-3</v>
      </c>
      <c r="N790" s="1">
        <v>4.6102659548753156E-3</v>
      </c>
      <c r="O790" s="1">
        <v>0.99999754529710994</v>
      </c>
      <c r="P790" s="1">
        <v>1.4978380852318243</v>
      </c>
      <c r="Q790" s="2">
        <v>14.978380852318242</v>
      </c>
      <c r="S790" s="2">
        <v>7.89</v>
      </c>
      <c r="T790" s="1">
        <f t="shared" si="186"/>
        <v>1.288249551693135E-8</v>
      </c>
      <c r="U790" s="1">
        <f t="shared" si="187"/>
        <v>7.8400958779497798E-7</v>
      </c>
      <c r="V790" s="1">
        <f t="shared" si="188"/>
        <v>9.926341597300789E-2</v>
      </c>
      <c r="W790" s="1">
        <f t="shared" si="189"/>
        <v>2.4552800899737192E-4</v>
      </c>
      <c r="X790" s="1">
        <f t="shared" si="190"/>
        <v>4.9303769071263508E-3</v>
      </c>
      <c r="Y790" s="1">
        <f t="shared" si="191"/>
        <v>4.922646656272559E-3</v>
      </c>
      <c r="Z790" s="1">
        <f t="shared" si="192"/>
        <v>0.24613233281362798</v>
      </c>
      <c r="AB790">
        <v>9.1999999999999993</v>
      </c>
      <c r="AC790">
        <v>6.309573444801927E-10</v>
      </c>
      <c r="AD790">
        <v>1.6007421243857258E-5</v>
      </c>
      <c r="AE790">
        <v>9.9987619133671546E-2</v>
      </c>
      <c r="AF790">
        <v>4.1269554428177421E-6</v>
      </c>
      <c r="AG790">
        <v>2.4261702441797701E-4</v>
      </c>
      <c r="AH790">
        <v>8.2542515349184669E-5</v>
      </c>
      <c r="AI790">
        <v>4.1271257674592339E-3</v>
      </c>
      <c r="AJ790"/>
      <c r="AK790"/>
      <c r="AL790"/>
      <c r="AM790"/>
      <c r="AN790"/>
      <c r="AO790"/>
      <c r="AP790"/>
      <c r="AQ790"/>
      <c r="AR790"/>
    </row>
    <row r="791" spans="1:44" ht="15" customHeight="1" x14ac:dyDescent="0.3">
      <c r="A791" s="2">
        <v>7.9</v>
      </c>
      <c r="B791" s="1">
        <f t="shared" si="180"/>
        <v>1.2589254117941638E-8</v>
      </c>
      <c r="C791" s="1">
        <f t="shared" si="181"/>
        <v>8.0227151707152647E-7</v>
      </c>
      <c r="D791" s="1">
        <f t="shared" si="182"/>
        <v>3.8242582795116454E-4</v>
      </c>
      <c r="E791" s="1">
        <f t="shared" si="183"/>
        <v>3.2695956953414725E-3</v>
      </c>
      <c r="F791" s="1">
        <f t="shared" si="184"/>
        <v>0.97709466530301292</v>
      </c>
      <c r="G791" s="1">
        <f t="shared" si="185"/>
        <v>0.97714186573215822</v>
      </c>
      <c r="H791" s="1">
        <f t="shared" si="193"/>
        <v>9.7714186573215809</v>
      </c>
      <c r="J791" s="2">
        <v>11.89</v>
      </c>
      <c r="K791" s="1">
        <v>1.2882495516931293E-12</v>
      </c>
      <c r="L791" s="1">
        <v>7.8400958779498136E-3</v>
      </c>
      <c r="M791" s="1">
        <v>-7.8400590306999165E-3</v>
      </c>
      <c r="N791" s="1">
        <v>4.6400098384499862E-3</v>
      </c>
      <c r="O791" s="1">
        <v>0.99999760117283532</v>
      </c>
      <c r="P791" s="1">
        <v>1.5104208367480332</v>
      </c>
      <c r="Q791" s="2">
        <v>15.10420836748033</v>
      </c>
      <c r="S791" s="2">
        <v>7.9</v>
      </c>
      <c r="T791" s="1">
        <f t="shared" si="186"/>
        <v>1.2589254117941638E-8</v>
      </c>
      <c r="U791" s="1">
        <f t="shared" si="187"/>
        <v>8.0227151707152647E-7</v>
      </c>
      <c r="V791" s="1">
        <f t="shared" si="188"/>
        <v>9.9280115678992059E-2</v>
      </c>
      <c r="W791" s="1">
        <f t="shared" si="189"/>
        <v>2.3996144033598321E-4</v>
      </c>
      <c r="X791" s="1">
        <f t="shared" si="190"/>
        <v>4.8186886239766011E-3</v>
      </c>
      <c r="Y791" s="1">
        <f t="shared" si="191"/>
        <v>4.8107728064372829E-3</v>
      </c>
      <c r="Z791" s="1">
        <f t="shared" si="192"/>
        <v>0.24053864032186414</v>
      </c>
      <c r="AB791">
        <v>9.2100000000000009</v>
      </c>
      <c r="AC791">
        <v>6.1659500186147947E-10</v>
      </c>
      <c r="AD791">
        <v>1.6380281983325262E-5</v>
      </c>
      <c r="AE791">
        <v>9.9989006446930678E-2</v>
      </c>
      <c r="AF791">
        <v>3.6645176897733181E-6</v>
      </c>
      <c r="AG791">
        <v>2.3709569609242537E-4</v>
      </c>
      <c r="AH791">
        <v>7.3293039631869039E-5</v>
      </c>
      <c r="AI791">
        <v>3.664651981593452E-3</v>
      </c>
      <c r="AJ791"/>
      <c r="AK791"/>
      <c r="AL791"/>
      <c r="AM791"/>
      <c r="AN791"/>
      <c r="AO791"/>
      <c r="AP791"/>
      <c r="AQ791"/>
      <c r="AR791"/>
    </row>
    <row r="792" spans="1:44" ht="15" customHeight="1" x14ac:dyDescent="0.3">
      <c r="A792" s="2">
        <v>7.91</v>
      </c>
      <c r="B792" s="1">
        <f t="shared" si="180"/>
        <v>1.2302687708123783E-8</v>
      </c>
      <c r="C792" s="1">
        <f t="shared" si="181"/>
        <v>8.2095882132574237E-7</v>
      </c>
      <c r="D792" s="1">
        <f t="shared" si="182"/>
        <v>3.7384714139177059E-4</v>
      </c>
      <c r="E792" s="1">
        <f t="shared" si="183"/>
        <v>3.2710254764347049E-3</v>
      </c>
      <c r="F792" s="1">
        <f t="shared" si="184"/>
        <v>0.97760437754282969</v>
      </c>
      <c r="G792" s="1">
        <f t="shared" si="185"/>
        <v>0.97765271619816563</v>
      </c>
      <c r="H792" s="1">
        <f t="shared" si="193"/>
        <v>9.7765271619816563</v>
      </c>
      <c r="J792" s="2">
        <v>11.9</v>
      </c>
      <c r="K792" s="1">
        <v>1.2589254117941629E-12</v>
      </c>
      <c r="L792" s="1">
        <v>8.0227151707152698E-3</v>
      </c>
      <c r="M792" s="1">
        <v>-8.0226792335596347E-3</v>
      </c>
      <c r="N792" s="1">
        <v>4.6704465389266064E-3</v>
      </c>
      <c r="O792" s="1">
        <v>0.99999765577668009</v>
      </c>
      <c r="P792" s="1">
        <v>1.5233472229919656</v>
      </c>
      <c r="Q792" s="2">
        <v>15.233472229919656</v>
      </c>
      <c r="S792" s="2">
        <v>7.91</v>
      </c>
      <c r="T792" s="1">
        <f t="shared" si="186"/>
        <v>1.2302687708123783E-8</v>
      </c>
      <c r="U792" s="1">
        <f t="shared" si="187"/>
        <v>8.2095882132574237E-7</v>
      </c>
      <c r="V792" s="1">
        <f t="shared" si="188"/>
        <v>9.9296441926371118E-2</v>
      </c>
      <c r="W792" s="1">
        <f t="shared" si="189"/>
        <v>2.3451935787629079E-4</v>
      </c>
      <c r="X792" s="1">
        <f t="shared" si="190"/>
        <v>4.7095184512930301E-3</v>
      </c>
      <c r="Y792" s="1">
        <f t="shared" si="191"/>
        <v>4.7014128808250399E-3</v>
      </c>
      <c r="Z792" s="1">
        <f t="shared" si="192"/>
        <v>0.235070644041252</v>
      </c>
      <c r="AB792">
        <v>9.2200000000000006</v>
      </c>
      <c r="AC792">
        <v>6.0255958607435515E-10</v>
      </c>
      <c r="AD792">
        <v>1.6761827765119433E-5</v>
      </c>
      <c r="AE792">
        <v>9.9990387952920201E-2</v>
      </c>
      <c r="AF792">
        <v>3.2040156932725183E-6</v>
      </c>
      <c r="AG792">
        <v>2.3169998962481282E-4</v>
      </c>
      <c r="AH792">
        <v>6.4082367074548045E-5</v>
      </c>
      <c r="AI792">
        <v>3.2041183537274026E-3</v>
      </c>
      <c r="AJ792"/>
      <c r="AK792"/>
      <c r="AL792"/>
      <c r="AM792"/>
      <c r="AN792"/>
      <c r="AO792"/>
      <c r="AP792"/>
      <c r="AQ792"/>
      <c r="AR792"/>
    </row>
    <row r="793" spans="1:44" ht="15" customHeight="1" x14ac:dyDescent="0.3">
      <c r="A793" s="2">
        <v>7.92</v>
      </c>
      <c r="B793" s="1">
        <f t="shared" si="180"/>
        <v>1.2022644346174099E-8</v>
      </c>
      <c r="C793" s="1">
        <f t="shared" si="181"/>
        <v>8.4008140881369978E-7</v>
      </c>
      <c r="D793" s="1">
        <f t="shared" si="182"/>
        <v>3.6545564901482972E-4</v>
      </c>
      <c r="E793" s="1">
        <f t="shared" si="183"/>
        <v>3.2724240584975283E-3</v>
      </c>
      <c r="F793" s="1">
        <f t="shared" si="184"/>
        <v>0.97810300135176664</v>
      </c>
      <c r="G793" s="1">
        <f t="shared" si="185"/>
        <v>0.97815250396752906</v>
      </c>
      <c r="H793" s="1">
        <f t="shared" si="193"/>
        <v>9.7815250396752909</v>
      </c>
      <c r="J793" s="2">
        <v>11.91</v>
      </c>
      <c r="K793" s="1">
        <v>1.2302687708123772E-12</v>
      </c>
      <c r="L793" s="1">
        <v>8.2095882132574311E-3</v>
      </c>
      <c r="M793" s="1">
        <v>-8.209553165479869E-3</v>
      </c>
      <c r="N793" s="1">
        <v>4.7015921942466449E-3</v>
      </c>
      <c r="O793" s="1">
        <v>0.99999770913759534</v>
      </c>
      <c r="P793" s="1">
        <v>1.5366279464973118</v>
      </c>
      <c r="Q793" s="2">
        <v>15.366279464973118</v>
      </c>
      <c r="S793" s="2">
        <v>7.92</v>
      </c>
      <c r="T793" s="1">
        <f t="shared" si="186"/>
        <v>1.2022644346174099E-8</v>
      </c>
      <c r="U793" s="1">
        <f t="shared" si="187"/>
        <v>8.4008140881369978E-7</v>
      </c>
      <c r="V793" s="1">
        <f t="shared" si="188"/>
        <v>9.931240300447515E-2</v>
      </c>
      <c r="W793" s="1">
        <f t="shared" si="189"/>
        <v>2.2919899850828434E-4</v>
      </c>
      <c r="X793" s="1">
        <f t="shared" si="190"/>
        <v>4.6028101525833198E-3</v>
      </c>
      <c r="Y793" s="1">
        <f t="shared" si="191"/>
        <v>4.5945105423150301E-3</v>
      </c>
      <c r="Z793" s="1">
        <f t="shared" si="192"/>
        <v>0.22972552711575148</v>
      </c>
      <c r="AB793">
        <v>9.23</v>
      </c>
      <c r="AC793">
        <v>5.8884365535558649E-10</v>
      </c>
      <c r="AD793">
        <v>1.7152260889863689E-5</v>
      </c>
      <c r="AE793">
        <v>9.9991764383228002E-2</v>
      </c>
      <c r="AF793">
        <v>2.7452055906672491E-6</v>
      </c>
      <c r="AG793">
        <v>2.2642704816341327E-4</v>
      </c>
      <c r="AH793">
        <v>5.4905619085469707E-5</v>
      </c>
      <c r="AI793">
        <v>2.7452809542734854E-3</v>
      </c>
      <c r="AJ793"/>
      <c r="AK793"/>
      <c r="AL793"/>
      <c r="AM793"/>
      <c r="AN793"/>
      <c r="AO793"/>
      <c r="AP793"/>
      <c r="AQ793"/>
      <c r="AR793"/>
    </row>
    <row r="794" spans="1:44" ht="15" customHeight="1" x14ac:dyDescent="0.3">
      <c r="A794" s="2">
        <v>7.93</v>
      </c>
      <c r="B794" s="1">
        <f t="shared" si="180"/>
        <v>1.1748975549395268E-8</v>
      </c>
      <c r="C794" s="1">
        <f t="shared" si="181"/>
        <v>8.5964941858440223E-7</v>
      </c>
      <c r="D794" s="1">
        <f t="shared" si="182"/>
        <v>3.5724738583320056E-4</v>
      </c>
      <c r="E794" s="1">
        <f t="shared" si="183"/>
        <v>3.2737921023611332E-3</v>
      </c>
      <c r="F794" s="1">
        <f t="shared" si="184"/>
        <v>0.97859076674954004</v>
      </c>
      <c r="G794" s="1">
        <f t="shared" si="185"/>
        <v>0.97864145967696414</v>
      </c>
      <c r="H794" s="1">
        <f t="shared" si="193"/>
        <v>9.7864145967696405</v>
      </c>
      <c r="J794" s="2">
        <v>11.92</v>
      </c>
      <c r="K794" s="1">
        <v>1.2022644346174088E-12</v>
      </c>
      <c r="L794" s="1">
        <v>8.4008140881370059E-3</v>
      </c>
      <c r="M794" s="1">
        <v>-8.400779909492874E-3</v>
      </c>
      <c r="N794" s="1">
        <v>4.733463318248813E-3</v>
      </c>
      <c r="O794" s="1">
        <v>0.9999977612838733</v>
      </c>
      <c r="P794" s="1">
        <v>1.5502741115825387</v>
      </c>
      <c r="Q794" s="2">
        <v>15.502741115825387</v>
      </c>
      <c r="S794" s="2">
        <v>7.93</v>
      </c>
      <c r="T794" s="1">
        <f t="shared" si="186"/>
        <v>1.1748975549395268E-8</v>
      </c>
      <c r="U794" s="1">
        <f t="shared" si="187"/>
        <v>8.5964941858440223E-7</v>
      </c>
      <c r="V794" s="1">
        <f t="shared" si="188"/>
        <v>9.9328007025309403E-2</v>
      </c>
      <c r="W794" s="1">
        <f t="shared" si="189"/>
        <v>2.2399765823020328E-4</v>
      </c>
      <c r="X794" s="1">
        <f t="shared" si="190"/>
        <v>4.4985087232297305E-3</v>
      </c>
      <c r="Y794" s="1">
        <f t="shared" si="191"/>
        <v>4.490010683389143E-3</v>
      </c>
      <c r="Z794" s="1">
        <f t="shared" si="192"/>
        <v>0.22450053416945714</v>
      </c>
      <c r="AB794">
        <v>9.24</v>
      </c>
      <c r="AC794">
        <v>5.7543993733715462E-10</v>
      </c>
      <c r="AD794">
        <v>1.7551788370368762E-5</v>
      </c>
      <c r="AE794">
        <v>9.9993136466791588E-2</v>
      </c>
      <c r="AF794">
        <v>2.287844402808752E-6</v>
      </c>
      <c r="AG794">
        <v>2.2127407976713808E-4</v>
      </c>
      <c r="AH794">
        <v>4.5757934926528091E-5</v>
      </c>
      <c r="AI794">
        <v>2.2878967463264045E-3</v>
      </c>
      <c r="AJ794"/>
      <c r="AK794"/>
      <c r="AL794"/>
      <c r="AM794"/>
      <c r="AN794"/>
      <c r="AO794"/>
      <c r="AP794"/>
      <c r="AQ794"/>
      <c r="AR794"/>
    </row>
    <row r="795" spans="1:44" ht="15" customHeight="1" x14ac:dyDescent="0.3">
      <c r="A795" s="2">
        <v>7.94</v>
      </c>
      <c r="B795" s="1">
        <f t="shared" si="180"/>
        <v>1.14815362149688E-8</v>
      </c>
      <c r="C795" s="1">
        <f t="shared" si="181"/>
        <v>8.7967322585564345E-7</v>
      </c>
      <c r="D795" s="1">
        <f t="shared" si="182"/>
        <v>3.4921846299456818E-4</v>
      </c>
      <c r="E795" s="1">
        <f t="shared" si="183"/>
        <v>3.2751302561675718E-3</v>
      </c>
      <c r="F795" s="1">
        <f t="shared" si="184"/>
        <v>0.97906789947866057</v>
      </c>
      <c r="G795" s="1">
        <f t="shared" si="185"/>
        <v>0.97911980969996204</v>
      </c>
      <c r="H795" s="1">
        <f t="shared" si="193"/>
        <v>9.7911980969996204</v>
      </c>
      <c r="J795" s="2">
        <v>11.93</v>
      </c>
      <c r="K795" s="1">
        <v>1.1748975549395258E-12</v>
      </c>
      <c r="L795" s="1">
        <v>8.5964941858440291E-3</v>
      </c>
      <c r="M795" s="1">
        <v>-8.5964608565495069E-3</v>
      </c>
      <c r="N795" s="1">
        <v>4.7660768094249179E-3</v>
      </c>
      <c r="O795" s="1">
        <v>0.9999978122431622</v>
      </c>
      <c r="P795" s="1">
        <v>1.5642972430022466</v>
      </c>
      <c r="Q795" s="2">
        <v>15.642972430022466</v>
      </c>
      <c r="S795" s="2">
        <v>7.94</v>
      </c>
      <c r="T795" s="1">
        <f t="shared" si="186"/>
        <v>1.14815362149688E-8</v>
      </c>
      <c r="U795" s="1">
        <f t="shared" si="187"/>
        <v>8.7967322585564345E-7</v>
      </c>
      <c r="V795" s="1">
        <f t="shared" si="188"/>
        <v>9.9343261927137216E-2</v>
      </c>
      <c r="W795" s="1">
        <f t="shared" si="189"/>
        <v>2.1891269095426254E-4</v>
      </c>
      <c r="X795" s="1">
        <f t="shared" si="190"/>
        <v>4.3965603645851996E-3</v>
      </c>
      <c r="Y795" s="1">
        <f t="shared" si="191"/>
        <v>4.3878594001734595E-3</v>
      </c>
      <c r="Z795" s="1">
        <f t="shared" si="192"/>
        <v>0.21939297000867297</v>
      </c>
      <c r="AB795">
        <v>9.25</v>
      </c>
      <c r="AC795">
        <v>5.6234132519034889E-10</v>
      </c>
      <c r="AD795">
        <v>1.7960622041393124E-5</v>
      </c>
      <c r="AE795">
        <v>9.999450493028253E-2</v>
      </c>
      <c r="AF795">
        <v>1.8316899058267485E-6</v>
      </c>
      <c r="AG795">
        <v>2.1623835593335242E-4</v>
      </c>
      <c r="AH795">
        <v>3.6634469146408369E-5</v>
      </c>
      <c r="AI795">
        <v>1.8317234573204187E-3</v>
      </c>
      <c r="AJ795"/>
      <c r="AK795"/>
      <c r="AL795"/>
      <c r="AM795"/>
      <c r="AN795"/>
      <c r="AO795"/>
      <c r="AP795"/>
      <c r="AQ795"/>
      <c r="AR795"/>
    </row>
    <row r="796" spans="1:44" ht="15" customHeight="1" x14ac:dyDescent="0.3">
      <c r="A796" s="2">
        <v>7.95</v>
      </c>
      <c r="B796" s="1">
        <f t="shared" si="180"/>
        <v>1.1220184543019609E-8</v>
      </c>
      <c r="C796" s="1">
        <f t="shared" si="181"/>
        <v>9.0016344751508502E-7</v>
      </c>
      <c r="D796" s="1">
        <f t="shared" si="182"/>
        <v>3.4136506661477841E-4</v>
      </c>
      <c r="E796" s="1">
        <f t="shared" si="183"/>
        <v>3.2764391555642034E-3</v>
      </c>
      <c r="F796" s="1">
        <f t="shared" si="184"/>
        <v>0.97953462106178046</v>
      </c>
      <c r="G796" s="1">
        <f t="shared" si="185"/>
        <v>0.97958777620447046</v>
      </c>
      <c r="H796" s="1">
        <f t="shared" si="193"/>
        <v>9.7958777620447037</v>
      </c>
      <c r="J796" s="2">
        <v>11.94</v>
      </c>
      <c r="K796" s="1">
        <v>1.1481536214968792E-12</v>
      </c>
      <c r="L796" s="1">
        <v>8.7967322585564417E-3</v>
      </c>
      <c r="M796" s="1">
        <v>-8.7966997592780431E-3</v>
      </c>
      <c r="N796" s="1">
        <v>4.7994499598796739E-3</v>
      </c>
      <c r="O796" s="1">
        <v>0.99999786204248131</v>
      </c>
      <c r="P796" s="1">
        <v>1.5787093056540742</v>
      </c>
      <c r="Q796" s="2">
        <v>15.787093056540741</v>
      </c>
      <c r="S796" s="2">
        <v>7.95</v>
      </c>
      <c r="T796" s="1">
        <f t="shared" si="186"/>
        <v>1.1220184543019609E-8</v>
      </c>
      <c r="U796" s="1">
        <f t="shared" si="187"/>
        <v>9.0016344751508502E-7</v>
      </c>
      <c r="V796" s="1">
        <f t="shared" si="188"/>
        <v>9.9358175478002089E-2</v>
      </c>
      <c r="W796" s="1">
        <f t="shared" si="189"/>
        <v>2.1394150733263902E-4</v>
      </c>
      <c r="X796" s="1">
        <f t="shared" si="190"/>
        <v>4.2969124585651181E-3</v>
      </c>
      <c r="Y796" s="1">
        <f t="shared" si="191"/>
        <v>4.2880039669742076E-3</v>
      </c>
      <c r="Z796" s="1">
        <f t="shared" si="192"/>
        <v>0.21440019834871041</v>
      </c>
      <c r="AB796">
        <v>9.26</v>
      </c>
      <c r="AC796">
        <v>5.495408738576243E-10</v>
      </c>
      <c r="AD796">
        <v>1.837897867196084E-5</v>
      </c>
      <c r="AE796">
        <v>9.9995870498490139E-2</v>
      </c>
      <c r="AF796">
        <v>1.376500503281372E-6</v>
      </c>
      <c r="AG796">
        <v>2.113172101589586E-4</v>
      </c>
      <c r="AH796">
        <v>2.7530389021570876E-5</v>
      </c>
      <c r="AI796">
        <v>1.3765194510785438E-3</v>
      </c>
      <c r="AJ796"/>
      <c r="AK796"/>
      <c r="AL796"/>
      <c r="AM796"/>
      <c r="AN796"/>
      <c r="AO796"/>
      <c r="AP796"/>
      <c r="AQ796"/>
      <c r="AR796"/>
    </row>
    <row r="797" spans="1:44" ht="15" customHeight="1" x14ac:dyDescent="0.3">
      <c r="A797" s="2">
        <v>7.96</v>
      </c>
      <c r="B797" s="1">
        <f t="shared" si="180"/>
        <v>1.0964781961431828E-8</v>
      </c>
      <c r="C797" s="1">
        <f t="shared" si="181"/>
        <v>9.2113094774947062E-7</v>
      </c>
      <c r="D797" s="1">
        <f t="shared" si="182"/>
        <v>3.336834566138582E-4</v>
      </c>
      <c r="E797" s="1">
        <f t="shared" si="183"/>
        <v>3.2777194238976901E-3</v>
      </c>
      <c r="F797" s="1">
        <f t="shared" si="184"/>
        <v>0.97999114885933603</v>
      </c>
      <c r="G797" s="1">
        <f t="shared" si="185"/>
        <v>0.98004557721087859</v>
      </c>
      <c r="H797" s="1">
        <f t="shared" si="193"/>
        <v>9.8004557721087853</v>
      </c>
      <c r="J797" s="2">
        <v>11.95</v>
      </c>
      <c r="K797" s="1">
        <v>1.122018454301964E-12</v>
      </c>
      <c r="L797" s="1">
        <v>9.0016344751508246E-3</v>
      </c>
      <c r="M797" s="1">
        <v>-9.0016027869951401E-3</v>
      </c>
      <c r="N797" s="1">
        <v>4.8336004644991895E-3</v>
      </c>
      <c r="O797" s="1">
        <v>0.99999791070823418</v>
      </c>
      <c r="P797" s="1">
        <v>1.5935227254118292</v>
      </c>
      <c r="Q797" s="2">
        <v>15.93522725411829</v>
      </c>
      <c r="S797" s="2">
        <v>7.96</v>
      </c>
      <c r="T797" s="1">
        <f t="shared" si="186"/>
        <v>1.0964781961431828E-8</v>
      </c>
      <c r="U797" s="1">
        <f t="shared" si="187"/>
        <v>9.2113094774947062E-7</v>
      </c>
      <c r="V797" s="1">
        <f t="shared" si="188"/>
        <v>9.9372755279189359E-2</v>
      </c>
      <c r="W797" s="1">
        <f t="shared" si="189"/>
        <v>2.0908157360354415E-4</v>
      </c>
      <c r="X797" s="1">
        <f t="shared" si="190"/>
        <v>4.1995135427275922E-3</v>
      </c>
      <c r="Y797" s="1">
        <f t="shared" si="191"/>
        <v>4.1903928113009208E-3</v>
      </c>
      <c r="Z797" s="1">
        <f t="shared" si="192"/>
        <v>0.20951964056504602</v>
      </c>
      <c r="AB797">
        <v>9.27</v>
      </c>
      <c r="AC797">
        <v>5.3703179637025259E-10</v>
      </c>
      <c r="AD797">
        <v>1.8807080080294966E-5</v>
      </c>
      <c r="AE797">
        <v>9.9997233894704135E-2</v>
      </c>
      <c r="AF797">
        <v>9.220350986223209E-7</v>
      </c>
      <c r="AG797">
        <v>2.065080365340107E-4</v>
      </c>
      <c r="AH797">
        <v>1.8440872003758785E-5</v>
      </c>
      <c r="AI797">
        <v>9.2204360018793916E-4</v>
      </c>
      <c r="AJ797"/>
      <c r="AK797"/>
      <c r="AL797"/>
      <c r="AM797"/>
      <c r="AN797"/>
      <c r="AO797"/>
      <c r="AP797"/>
      <c r="AQ797"/>
      <c r="AR797"/>
    </row>
    <row r="798" spans="1:44" ht="15" customHeight="1" x14ac:dyDescent="0.3">
      <c r="A798" s="2">
        <v>7.97</v>
      </c>
      <c r="B798" s="1">
        <f t="shared" si="180"/>
        <v>1.0715193052376043E-8</v>
      </c>
      <c r="C798" s="1">
        <f t="shared" si="181"/>
        <v>9.4258684380496273E-7</v>
      </c>
      <c r="D798" s="1">
        <f t="shared" si="182"/>
        <v>3.2616996555562261E-4</v>
      </c>
      <c r="E798" s="1">
        <f t="shared" si="183"/>
        <v>3.2789716724073957E-3</v>
      </c>
      <c r="F798" s="1">
        <f t="shared" si="184"/>
        <v>0.98043769612742049</v>
      </c>
      <c r="G798" s="1">
        <f t="shared" si="185"/>
        <v>0.98049342665023864</v>
      </c>
      <c r="H798" s="1">
        <f t="shared" si="193"/>
        <v>9.8049342665023858</v>
      </c>
      <c r="J798" s="2">
        <v>11.96</v>
      </c>
      <c r="K798" s="1">
        <v>1.0964781961431817E-12</v>
      </c>
      <c r="L798" s="1">
        <v>9.2113094774947148E-3</v>
      </c>
      <c r="M798" s="1">
        <v>-9.2112785819984024E-3</v>
      </c>
      <c r="N798" s="1">
        <v>4.8685464303330674E-3</v>
      </c>
      <c r="O798" s="1">
        <v>0.99999795826622406</v>
      </c>
      <c r="P798" s="1">
        <v>1.6087504111610049</v>
      </c>
      <c r="Q798" s="2">
        <v>16.087504111610048</v>
      </c>
      <c r="S798" s="2">
        <v>7.97</v>
      </c>
      <c r="T798" s="1">
        <f t="shared" si="186"/>
        <v>1.0715193052376043E-8</v>
      </c>
      <c r="U798" s="1">
        <f t="shared" si="187"/>
        <v>9.4258684380496273E-7</v>
      </c>
      <c r="V798" s="1">
        <f t="shared" si="188"/>
        <v>9.9387008768628396E-2</v>
      </c>
      <c r="W798" s="1">
        <f t="shared" si="189"/>
        <v>2.0433041045720183E-4</v>
      </c>
      <c r="X798" s="1">
        <f t="shared" si="190"/>
        <v>4.1043132858349573E-3</v>
      </c>
      <c r="Y798" s="1">
        <f t="shared" si="191"/>
        <v>4.0949754893695872E-3</v>
      </c>
      <c r="Z798" s="1">
        <f t="shared" si="192"/>
        <v>0.20474877446847936</v>
      </c>
      <c r="AB798">
        <v>9.2799999999999994</v>
      </c>
      <c r="AC798">
        <v>5.2480746024977249E-10</v>
      </c>
      <c r="AD798">
        <v>1.9245153251428799E-5</v>
      </c>
      <c r="AE798">
        <v>9.9998595841096341E-2</v>
      </c>
      <c r="AF798">
        <v>4.6805296788728208E-7</v>
      </c>
      <c r="AG798">
        <v>2.0180828836711428E-4</v>
      </c>
      <c r="AH798">
        <v>9.3611031726668675E-6</v>
      </c>
      <c r="AI798">
        <v>4.6805515863334338E-4</v>
      </c>
      <c r="AJ798"/>
      <c r="AK798"/>
      <c r="AL798"/>
      <c r="AM798"/>
      <c r="AN798"/>
      <c r="AO798"/>
      <c r="AP798"/>
      <c r="AQ798"/>
      <c r="AR798"/>
    </row>
    <row r="799" spans="1:44" ht="15" customHeight="1" x14ac:dyDescent="0.3">
      <c r="A799" s="2">
        <v>7.98</v>
      </c>
      <c r="B799" s="1">
        <f t="shared" si="180"/>
        <v>1.0471285480508974E-8</v>
      </c>
      <c r="C799" s="1">
        <f t="shared" si="181"/>
        <v>9.6454251188165223E-7</v>
      </c>
      <c r="D799" s="1">
        <f t="shared" si="182"/>
        <v>3.1882099749158135E-4</v>
      </c>
      <c r="E799" s="1">
        <f t="shared" si="183"/>
        <v>3.2801965004180698E-3</v>
      </c>
      <c r="F799" s="1">
        <f t="shared" si="184"/>
        <v>0.98087447207582434</v>
      </c>
      <c r="G799" s="1">
        <f t="shared" si="185"/>
        <v>0.98093153442266512</v>
      </c>
      <c r="H799" s="1">
        <f t="shared" si="193"/>
        <v>9.8093153442266505</v>
      </c>
      <c r="J799" s="2">
        <v>11.97</v>
      </c>
      <c r="K799" s="1">
        <v>1.0715193052376033E-12</v>
      </c>
      <c r="L799" s="1">
        <v>9.4258684380496369E-3</v>
      </c>
      <c r="M799" s="1">
        <v>-9.425838317169621E-3</v>
      </c>
      <c r="N799" s="1">
        <v>4.9043063861949369E-3</v>
      </c>
      <c r="O799" s="1">
        <v>0.999998004741666</v>
      </c>
      <c r="P799" s="1">
        <v>1.6244057781187122</v>
      </c>
      <c r="Q799" s="2">
        <v>16.24405778118712</v>
      </c>
      <c r="S799" s="2">
        <v>7.98</v>
      </c>
      <c r="T799" s="1">
        <f t="shared" si="186"/>
        <v>1.0471285480508974E-8</v>
      </c>
      <c r="U799" s="1">
        <f t="shared" si="187"/>
        <v>9.6454251188165223E-7</v>
      </c>
      <c r="V799" s="1">
        <f t="shared" si="188"/>
        <v>9.9400943224235386E-2</v>
      </c>
      <c r="W799" s="1">
        <f t="shared" si="189"/>
        <v>1.9968559192154025E-4</v>
      </c>
      <c r="X799" s="1">
        <f t="shared" si="190"/>
        <v>4.0112624638893608E-3</v>
      </c>
      <c r="Y799" s="1">
        <f t="shared" si="191"/>
        <v>4.0017026620785164E-3</v>
      </c>
      <c r="Z799" s="1">
        <f t="shared" si="192"/>
        <v>0.20008513310392581</v>
      </c>
      <c r="AB799">
        <v>9.2899999999999991</v>
      </c>
      <c r="AC799">
        <v>5.128613839913648E-10</v>
      </c>
      <c r="AD799">
        <v>1.9693430457556257E-5</v>
      </c>
      <c r="AE799">
        <v>9.9999957059102279E-2</v>
      </c>
      <c r="AF799">
        <v>1.4313632574452896E-8</v>
      </c>
      <c r="AG799">
        <v>1.9721547684191045E-4</v>
      </c>
      <c r="AH799">
        <v>2.8627269246507927E-7</v>
      </c>
      <c r="AI799">
        <v>1.4313634623253964E-5</v>
      </c>
      <c r="AJ799"/>
      <c r="AK799"/>
      <c r="AL799"/>
      <c r="AM799"/>
      <c r="AN799"/>
      <c r="AO799"/>
      <c r="AP799"/>
      <c r="AQ799"/>
      <c r="AR799"/>
    </row>
    <row r="800" spans="1:44" ht="15" customHeight="1" x14ac:dyDescent="0.3">
      <c r="A800" s="2">
        <v>7.99</v>
      </c>
      <c r="B800" s="1">
        <f t="shared" si="180"/>
        <v>1.0232929922807522E-8</v>
      </c>
      <c r="C800" s="1">
        <f t="shared" si="181"/>
        <v>9.8700959316537048E-7</v>
      </c>
      <c r="D800" s="1">
        <f t="shared" si="182"/>
        <v>3.1163302680996079E-4</v>
      </c>
      <c r="E800" s="1">
        <f t="shared" si="183"/>
        <v>3.2813944955316734E-3</v>
      </c>
      <c r="F800" s="1">
        <f t="shared" si="184"/>
        <v>0.98130168192618394</v>
      </c>
      <c r="G800" s="1">
        <f t="shared" si="185"/>
        <v>0.98136010645584826</v>
      </c>
      <c r="H800" s="1">
        <f t="shared" si="193"/>
        <v>9.8136010645584815</v>
      </c>
      <c r="J800" s="2">
        <v>11.98</v>
      </c>
      <c r="K800" s="1">
        <v>1.0471285480508967E-12</v>
      </c>
      <c r="L800" s="1">
        <v>9.6454251188165287E-3</v>
      </c>
      <c r="M800" s="1">
        <v>-9.6453957549204605E-3</v>
      </c>
      <c r="N800" s="1">
        <v>4.9408992924867435E-3</v>
      </c>
      <c r="O800" s="1">
        <v>0.99999805015920218</v>
      </c>
      <c r="P800" s="1">
        <v>1.6405027725266623</v>
      </c>
      <c r="Q800" s="2">
        <v>16.405027725266621</v>
      </c>
      <c r="S800" s="2">
        <v>7.99</v>
      </c>
      <c r="T800" s="1">
        <f t="shared" si="186"/>
        <v>1.0232929922807522E-8</v>
      </c>
      <c r="U800" s="1">
        <f t="shared" si="187"/>
        <v>9.8700959316537048E-7</v>
      </c>
      <c r="V800" s="1">
        <f t="shared" si="188"/>
        <v>9.9414565767197788E-2</v>
      </c>
      <c r="W800" s="1">
        <f t="shared" si="189"/>
        <v>1.9514474426740358E-4</v>
      </c>
      <c r="X800" s="1">
        <f t="shared" si="190"/>
        <v>3.9203129366351761E-3</v>
      </c>
      <c r="Y800" s="1">
        <f t="shared" si="191"/>
        <v>3.9105260714497126E-3</v>
      </c>
      <c r="Z800" s="1">
        <f t="shared" si="192"/>
        <v>0.1955263035724856</v>
      </c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</row>
    <row r="801" spans="1:44" ht="15" customHeight="1" x14ac:dyDescent="0.3">
      <c r="A801" s="2">
        <v>8</v>
      </c>
      <c r="B801" s="1">
        <f t="shared" si="180"/>
        <v>1E-8</v>
      </c>
      <c r="C801" s="1">
        <f t="shared" si="181"/>
        <v>1.0099999999999999E-6</v>
      </c>
      <c r="D801" s="1">
        <f t="shared" si="182"/>
        <v>3.04602597090477E-4</v>
      </c>
      <c r="E801" s="1">
        <f t="shared" si="183"/>
        <v>3.2825662338182536E-3</v>
      </c>
      <c r="F801" s="1">
        <f t="shared" si="184"/>
        <v>0.98171952697018072</v>
      </c>
      <c r="G801" s="1">
        <f t="shared" si="185"/>
        <v>0.98177934476362827</v>
      </c>
      <c r="H801" s="1">
        <f t="shared" si="193"/>
        <v>9.8177934476362818</v>
      </c>
      <c r="J801" s="2">
        <v>11.99</v>
      </c>
      <c r="K801" s="1">
        <v>1.0232929922807514E-12</v>
      </c>
      <c r="L801" s="1">
        <v>9.8700959316537131E-3</v>
      </c>
      <c r="M801" s="1">
        <v>-9.870067307510581E-3</v>
      </c>
      <c r="N801" s="1">
        <v>4.9783445512517639E-3</v>
      </c>
      <c r="O801" s="1">
        <v>0.99999809454291277</v>
      </c>
      <c r="P801" s="1">
        <v>1.6570558978127181</v>
      </c>
      <c r="Q801" s="2">
        <v>16.570558978127181</v>
      </c>
      <c r="S801" s="2">
        <v>8</v>
      </c>
      <c r="T801" s="1">
        <f t="shared" si="186"/>
        <v>1E-8</v>
      </c>
      <c r="U801" s="1">
        <f t="shared" si="187"/>
        <v>1.0099999999999999E-6</v>
      </c>
      <c r="V801" s="1">
        <f t="shared" si="188"/>
        <v>9.9427883365200781E-2</v>
      </c>
      <c r="W801" s="1">
        <f t="shared" si="189"/>
        <v>1.9070554493307842E-4</v>
      </c>
      <c r="X801" s="1">
        <f t="shared" si="190"/>
        <v>3.831417624521073E-3</v>
      </c>
      <c r="Y801" s="1">
        <f t="shared" si="191"/>
        <v>3.8213985175284851E-3</v>
      </c>
      <c r="Z801" s="1">
        <f t="shared" si="192"/>
        <v>0.19106992587642427</v>
      </c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</row>
    <row r="802" spans="1:44" ht="15" customHeight="1" x14ac:dyDescent="0.3">
      <c r="A802" s="2">
        <v>8.01</v>
      </c>
      <c r="B802" s="1">
        <f t="shared" si="180"/>
        <v>9.7723722095580911E-9</v>
      </c>
      <c r="C802" s="1">
        <f t="shared" si="181"/>
        <v>1.0335259222035633E-6</v>
      </c>
      <c r="D802" s="1">
        <f t="shared" si="182"/>
        <v>2.9772631996559661E-4</v>
      </c>
      <c r="E802" s="1">
        <f t="shared" si="183"/>
        <v>3.2837122800057337E-3</v>
      </c>
      <c r="F802" s="1">
        <f t="shared" si="184"/>
        <v>0.9821282046277382</v>
      </c>
      <c r="G802" s="1">
        <f t="shared" si="185"/>
        <v>0.98218944750457438</v>
      </c>
      <c r="H802" s="1">
        <f t="shared" si="193"/>
        <v>9.8218944750457435</v>
      </c>
      <c r="J802" s="2">
        <v>12</v>
      </c>
      <c r="K802" s="1">
        <v>9.9999999999999998E-13</v>
      </c>
      <c r="L802" s="1">
        <v>1.01E-2</v>
      </c>
      <c r="M802" s="1">
        <v>-1.0099972098771027E-2</v>
      </c>
      <c r="N802" s="1">
        <v>5.0166620164618378E-3</v>
      </c>
      <c r="O802" s="1">
        <v>0.99999813791633063</v>
      </c>
      <c r="P802" s="1">
        <v>1.674080242324349</v>
      </c>
      <c r="Q802" s="2">
        <v>16.74080242324349</v>
      </c>
      <c r="S802" s="2">
        <v>8.01</v>
      </c>
      <c r="T802" s="1">
        <f t="shared" si="186"/>
        <v>9.7723722095580911E-9</v>
      </c>
      <c r="U802" s="1">
        <f t="shared" si="187"/>
        <v>1.0335259222035633E-6</v>
      </c>
      <c r="V802" s="1">
        <f t="shared" si="188"/>
        <v>9.9440902835596229E-2</v>
      </c>
      <c r="W802" s="1">
        <f t="shared" si="189"/>
        <v>1.8636572146792712E-4</v>
      </c>
      <c r="X802" s="1">
        <f t="shared" si="190"/>
        <v>3.7445304861145161E-3</v>
      </c>
      <c r="Y802" s="1">
        <f t="shared" si="191"/>
        <v>3.7342738357340963E-3</v>
      </c>
      <c r="Z802" s="1">
        <f t="shared" si="192"/>
        <v>0.1867136917867048</v>
      </c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</row>
    <row r="803" spans="1:44" ht="15" customHeight="1" x14ac:dyDescent="0.3">
      <c r="A803" s="2">
        <v>8.02</v>
      </c>
      <c r="B803" s="1">
        <f t="shared" si="180"/>
        <v>9.5499258602143453E-9</v>
      </c>
      <c r="C803" s="1">
        <f t="shared" si="181"/>
        <v>1.05759983353141E-6</v>
      </c>
      <c r="D803" s="1">
        <f t="shared" si="182"/>
        <v>2.9100087398878903E-4</v>
      </c>
      <c r="E803" s="1">
        <f t="shared" si="183"/>
        <v>3.2848331876685352E-3</v>
      </c>
      <c r="F803" s="1">
        <f t="shared" si="184"/>
        <v>0.98252790850516647</v>
      </c>
      <c r="G803" s="1">
        <f t="shared" si="185"/>
        <v>0.98259060904052087</v>
      </c>
      <c r="H803" s="1">
        <f t="shared" si="193"/>
        <v>9.8259060904052085</v>
      </c>
      <c r="J803" s="2">
        <v>12.01</v>
      </c>
      <c r="K803" s="1">
        <v>9.7723722095580816E-13</v>
      </c>
      <c r="L803" s="1">
        <v>1.0335259222035643E-2</v>
      </c>
      <c r="M803" s="1">
        <v>-1.0335232027265343E-2</v>
      </c>
      <c r="N803" s="1">
        <v>5.0558720045442238E-3</v>
      </c>
      <c r="O803" s="1">
        <v>0.99999818030245269</v>
      </c>
      <c r="P803" s="1">
        <v>1.6915915087456486</v>
      </c>
      <c r="Q803" s="2">
        <v>16.915915087456483</v>
      </c>
      <c r="S803" s="2">
        <v>8.02</v>
      </c>
      <c r="T803" s="1">
        <f t="shared" si="186"/>
        <v>9.5499258602143453E-9</v>
      </c>
      <c r="U803" s="1">
        <f t="shared" si="187"/>
        <v>1.05759983353141E-6</v>
      </c>
      <c r="V803" s="1">
        <f t="shared" si="188"/>
        <v>9.9453630848515231E-2</v>
      </c>
      <c r="W803" s="1">
        <f t="shared" si="189"/>
        <v>1.8212305049492036E-4</v>
      </c>
      <c r="X803" s="1">
        <f t="shared" si="190"/>
        <v>3.6596064959616742E-3</v>
      </c>
      <c r="Y803" s="1">
        <f t="shared" si="191"/>
        <v>3.6491068746543473E-3</v>
      </c>
      <c r="Z803" s="1">
        <f t="shared" si="192"/>
        <v>0.18245534373271735</v>
      </c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</row>
    <row r="804" spans="1:44" ht="15" customHeight="1" x14ac:dyDescent="0.3">
      <c r="A804" s="2">
        <v>8.0299999999999994</v>
      </c>
      <c r="B804" s="1">
        <f t="shared" si="180"/>
        <v>9.3325430079698966E-9</v>
      </c>
      <c r="C804" s="1">
        <f t="shared" si="181"/>
        <v>1.082234498289984E-6</v>
      </c>
      <c r="D804" s="1">
        <f t="shared" si="182"/>
        <v>2.8442300351041164E-4</v>
      </c>
      <c r="E804" s="1">
        <f t="shared" si="183"/>
        <v>3.2859294994149312E-3</v>
      </c>
      <c r="F804" s="1">
        <f t="shared" si="184"/>
        <v>0.98291882845320655</v>
      </c>
      <c r="G804" s="1">
        <f t="shared" si="185"/>
        <v>0.98298301999501225</v>
      </c>
      <c r="H804" s="1">
        <f t="shared" si="193"/>
        <v>9.8298301999501216</v>
      </c>
      <c r="J804" s="2">
        <v>12.02</v>
      </c>
      <c r="K804" s="1">
        <v>9.5499258602143367E-13</v>
      </c>
      <c r="L804" s="1">
        <v>1.0575998335314109E-2</v>
      </c>
      <c r="M804" s="1">
        <v>-1.0575971830921569E-2</v>
      </c>
      <c r="N804" s="1">
        <v>5.095995305153595E-3</v>
      </c>
      <c r="O804" s="1">
        <v>0.9999982217237523</v>
      </c>
      <c r="P804" s="1">
        <v>1.7096060453187183</v>
      </c>
      <c r="Q804" s="2">
        <v>17.096060453187182</v>
      </c>
      <c r="S804" s="2">
        <v>8.0299999999999994</v>
      </c>
      <c r="T804" s="1">
        <f t="shared" si="186"/>
        <v>9.3325430079698966E-9</v>
      </c>
      <c r="U804" s="1">
        <f t="shared" si="187"/>
        <v>1.082234498289984E-6</v>
      </c>
      <c r="V804" s="1">
        <f t="shared" si="188"/>
        <v>9.9466073929924487E-2</v>
      </c>
      <c r="W804" s="1">
        <f t="shared" si="189"/>
        <v>1.7797535669183831E-4</v>
      </c>
      <c r="X804" s="1">
        <f t="shared" si="190"/>
        <v>3.5766016228853631E-3</v>
      </c>
      <c r="Y804" s="1">
        <f t="shared" si="191"/>
        <v>3.5658534742767189E-3</v>
      </c>
      <c r="Z804" s="1">
        <f t="shared" si="192"/>
        <v>0.17829267371383592</v>
      </c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</row>
    <row r="805" spans="1:44" ht="15" customHeight="1" x14ac:dyDescent="0.3">
      <c r="A805" s="2">
        <v>8.0399999999999991</v>
      </c>
      <c r="B805" s="1">
        <f t="shared" si="180"/>
        <v>9.1201083935590851E-9</v>
      </c>
      <c r="C805" s="1">
        <f t="shared" si="181"/>
        <v>1.1074429781046183E-6</v>
      </c>
      <c r="D805" s="1">
        <f t="shared" si="182"/>
        <v>2.7798951756174501E-4</v>
      </c>
      <c r="E805" s="1">
        <f t="shared" si="183"/>
        <v>3.2870017470730431E-3</v>
      </c>
      <c r="F805" s="1">
        <f t="shared" si="184"/>
        <v>0.98330115062492884</v>
      </c>
      <c r="G805" s="1">
        <f t="shared" si="185"/>
        <v>0.98336686731161116</v>
      </c>
      <c r="H805" s="1">
        <f t="shared" si="193"/>
        <v>9.8336686731161116</v>
      </c>
      <c r="J805" s="2">
        <v>12.03</v>
      </c>
      <c r="K805" s="1">
        <v>9.3325430079698887E-13</v>
      </c>
      <c r="L805" s="1">
        <v>1.0822344982899849E-2</v>
      </c>
      <c r="M805" s="1">
        <v>-1.0822319153170197E-2</v>
      </c>
      <c r="N805" s="1">
        <v>5.1370531921950333E-3</v>
      </c>
      <c r="O805" s="1">
        <v>0.99999826220219123</v>
      </c>
      <c r="P805" s="1">
        <v>1.7281408790003261</v>
      </c>
      <c r="Q805" s="2">
        <v>17.281408790003258</v>
      </c>
      <c r="S805" s="2">
        <v>8.0399999999999991</v>
      </c>
      <c r="T805" s="1">
        <f t="shared" si="186"/>
        <v>9.1201083935590851E-9</v>
      </c>
      <c r="U805" s="1">
        <f t="shared" si="187"/>
        <v>1.1074429781046183E-6</v>
      </c>
      <c r="V805" s="1">
        <f t="shared" si="188"/>
        <v>9.9478238464627208E-2</v>
      </c>
      <c r="W805" s="1">
        <f t="shared" si="189"/>
        <v>1.7392051179093216E-4</v>
      </c>
      <c r="X805" s="1">
        <f t="shared" si="190"/>
        <v>3.4954728087141819E-3</v>
      </c>
      <c r="Y805" s="1">
        <f t="shared" si="191"/>
        <v>3.4844704446491803E-3</v>
      </c>
      <c r="Z805" s="1">
        <f t="shared" si="192"/>
        <v>0.17422352223245902</v>
      </c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</row>
    <row r="806" spans="1:44" ht="15" customHeight="1" x14ac:dyDescent="0.3">
      <c r="A806" s="2">
        <v>8.0500000000000007</v>
      </c>
      <c r="B806" s="1">
        <f t="shared" si="180"/>
        <v>8.9125093813374133E-9</v>
      </c>
      <c r="C806" s="1">
        <f t="shared" si="181"/>
        <v>1.1332386388449884E-6</v>
      </c>
      <c r="D806" s="1">
        <f t="shared" si="182"/>
        <v>2.716972887476226E-4</v>
      </c>
      <c r="E806" s="1">
        <f t="shared" si="183"/>
        <v>3.2880504518753963E-3</v>
      </c>
      <c r="F806" s="1">
        <f t="shared" si="184"/>
        <v>0.98367505753344608</v>
      </c>
      <c r="G806" s="1">
        <f t="shared" si="185"/>
        <v>0.98374233431203062</v>
      </c>
      <c r="H806" s="1">
        <f t="shared" si="193"/>
        <v>9.8374233431203049</v>
      </c>
      <c r="J806" s="2">
        <v>12.04</v>
      </c>
      <c r="K806" s="1">
        <v>9.1201083935590769E-13</v>
      </c>
      <c r="L806" s="1">
        <v>1.1074429781046193E-2</v>
      </c>
      <c r="M806" s="1">
        <v>-1.1074404610622271E-2</v>
      </c>
      <c r="N806" s="1">
        <v>5.1790674351037116E-3</v>
      </c>
      <c r="O806" s="1">
        <v>0.99999830175923143</v>
      </c>
      <c r="P806" s="1">
        <v>1.7472137506955703</v>
      </c>
      <c r="Q806" s="2">
        <v>17.472137506955701</v>
      </c>
      <c r="S806" s="2">
        <v>8.0500000000000007</v>
      </c>
      <c r="T806" s="1">
        <f t="shared" si="186"/>
        <v>8.9125093813374133E-9</v>
      </c>
      <c r="U806" s="1">
        <f t="shared" si="187"/>
        <v>1.1332386388449884E-6</v>
      </c>
      <c r="V806" s="1">
        <f t="shared" si="188"/>
        <v>9.9490130699209575E-2</v>
      </c>
      <c r="W806" s="1">
        <f t="shared" si="189"/>
        <v>1.6995643359680936E-4</v>
      </c>
      <c r="X806" s="1">
        <f t="shared" si="190"/>
        <v>3.4161779474356055E-3</v>
      </c>
      <c r="Y806" s="1">
        <f t="shared" si="191"/>
        <v>3.4049155449633901E-3</v>
      </c>
      <c r="Z806" s="1">
        <f t="shared" si="192"/>
        <v>0.1702457772481695</v>
      </c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</row>
    <row r="807" spans="1:44" ht="15" customHeight="1" x14ac:dyDescent="0.3">
      <c r="A807" s="2">
        <v>8.06</v>
      </c>
      <c r="B807" s="1">
        <f t="shared" si="180"/>
        <v>8.7096358995607965E-9</v>
      </c>
      <c r="C807" s="1">
        <f t="shared" si="181"/>
        <v>1.1596351577118529E-6</v>
      </c>
      <c r="D807" s="1">
        <f t="shared" si="182"/>
        <v>2.6554325214818826E-4</v>
      </c>
      <c r="E807" s="1">
        <f t="shared" si="183"/>
        <v>3.2890761246419688E-3</v>
      </c>
      <c r="F807" s="1">
        <f t="shared" si="184"/>
        <v>0.98404072810939747</v>
      </c>
      <c r="G807" s="1">
        <f t="shared" si="185"/>
        <v>0.98410960075404574</v>
      </c>
      <c r="H807" s="1">
        <f t="shared" si="193"/>
        <v>9.8410960075404574</v>
      </c>
      <c r="J807" s="2">
        <v>12.05</v>
      </c>
      <c r="K807" s="1">
        <v>8.9125093813374051E-13</v>
      </c>
      <c r="L807" s="1">
        <v>1.1332386388449894E-2</v>
      </c>
      <c r="M807" s="1">
        <v>-1.1332361862324114E-2</v>
      </c>
      <c r="N807" s="1">
        <v>5.2220603103873518E-3</v>
      </c>
      <c r="O807" s="1">
        <v>0.99999834041584679</v>
      </c>
      <c r="P807" s="1">
        <v>1.7668431527224047</v>
      </c>
      <c r="Q807" s="2">
        <v>17.668431527224044</v>
      </c>
      <c r="S807" s="2">
        <v>8.06</v>
      </c>
      <c r="T807" s="1">
        <f t="shared" si="186"/>
        <v>8.7096358995607965E-9</v>
      </c>
      <c r="U807" s="1">
        <f t="shared" si="187"/>
        <v>1.1596351577118529E-6</v>
      </c>
      <c r="V807" s="1">
        <f t="shared" si="188"/>
        <v>9.9501756744933043E-2</v>
      </c>
      <c r="W807" s="1">
        <f t="shared" si="189"/>
        <v>1.6608108502232306E-4</v>
      </c>
      <c r="X807" s="1">
        <f t="shared" si="190"/>
        <v>3.3386758647661659E-3</v>
      </c>
      <c r="Y807" s="1">
        <f t="shared" si="191"/>
        <v>3.3271474630533924E-3</v>
      </c>
      <c r="Z807" s="1">
        <f t="shared" si="192"/>
        <v>0.16635737315266963</v>
      </c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</row>
    <row r="808" spans="1:44" ht="15" customHeight="1" x14ac:dyDescent="0.3">
      <c r="A808" s="2">
        <v>8.07</v>
      </c>
      <c r="B808" s="1">
        <f t="shared" si="180"/>
        <v>8.5113803820237553E-9</v>
      </c>
      <c r="C808" s="1">
        <f t="shared" si="181"/>
        <v>1.1866465304889261E-6</v>
      </c>
      <c r="D808" s="1">
        <f t="shared" si="182"/>
        <v>2.5952440423010427E-4</v>
      </c>
      <c r="E808" s="1">
        <f t="shared" si="183"/>
        <v>3.2900792659616494E-3</v>
      </c>
      <c r="F808" s="1">
        <f t="shared" si="184"/>
        <v>0.98439833775817054</v>
      </c>
      <c r="G808" s="1">
        <f t="shared" si="185"/>
        <v>0.9844688428891557</v>
      </c>
      <c r="H808" s="1">
        <f t="shared" si="193"/>
        <v>9.8446884288915566</v>
      </c>
      <c r="J808" s="2">
        <v>12.06</v>
      </c>
      <c r="K808" s="1">
        <v>8.7096358995607888E-13</v>
      </c>
      <c r="L808" s="1">
        <v>1.1596351577118538E-2</v>
      </c>
      <c r="M808" s="1">
        <v>-1.1596327680624931E-2</v>
      </c>
      <c r="N808" s="1">
        <v>5.2660546134374884E-3</v>
      </c>
      <c r="O808" s="1">
        <v>0.9999983781925329</v>
      </c>
      <c r="P808" s="1">
        <v>1.7870483686739387</v>
      </c>
      <c r="Q808" s="2">
        <v>17.870483686739387</v>
      </c>
      <c r="S808" s="2">
        <v>8.07</v>
      </c>
      <c r="T808" s="1">
        <f t="shared" si="186"/>
        <v>8.5113803820237553E-9</v>
      </c>
      <c r="U808" s="1">
        <f t="shared" si="187"/>
        <v>1.1866465304889261E-6</v>
      </c>
      <c r="V808" s="1">
        <f t="shared" si="188"/>
        <v>9.9513122580573349E-2</v>
      </c>
      <c r="W808" s="1">
        <f t="shared" si="189"/>
        <v>1.622924731422183E-4</v>
      </c>
      <c r="X808" s="1">
        <f t="shared" si="190"/>
        <v>3.2629262981314802E-3</v>
      </c>
      <c r="Y808" s="1">
        <f t="shared" si="191"/>
        <v>3.2511257953025271E-3</v>
      </c>
      <c r="Z808" s="1">
        <f t="shared" si="192"/>
        <v>0.16255628976512634</v>
      </c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</row>
    <row r="809" spans="1:44" ht="15" customHeight="1" x14ac:dyDescent="0.3">
      <c r="A809" s="2">
        <v>8.08</v>
      </c>
      <c r="B809" s="1">
        <f t="shared" si="180"/>
        <v>8.3176377110267021E-9</v>
      </c>
      <c r="C809" s="1">
        <f t="shared" si="181"/>
        <v>1.2142870789635882E-6</v>
      </c>
      <c r="D809" s="1">
        <f t="shared" si="182"/>
        <v>2.5363780176768428E-4</v>
      </c>
      <c r="E809" s="1">
        <f t="shared" si="183"/>
        <v>3.2910603663720527E-3</v>
      </c>
      <c r="F809" s="1">
        <f t="shared" si="184"/>
        <v>0.98474805841682234</v>
      </c>
      <c r="G809" s="1">
        <f t="shared" si="185"/>
        <v>0.98482023351995251</v>
      </c>
      <c r="H809" s="1">
        <f t="shared" si="193"/>
        <v>9.8482023351995238</v>
      </c>
      <c r="J809" s="2">
        <v>12.07</v>
      </c>
      <c r="K809" s="1">
        <v>8.5113803820237492E-13</v>
      </c>
      <c r="L809" s="1">
        <v>1.186646530488927E-2</v>
      </c>
      <c r="M809" s="1">
        <v>-1.1866442023695684E-2</v>
      </c>
      <c r="N809" s="1">
        <v>5.3110736706159477E-3</v>
      </c>
      <c r="O809" s="1">
        <v>0.99999841510931942</v>
      </c>
      <c r="P809" s="1">
        <v>1.8078495158599708</v>
      </c>
      <c r="Q809" s="2">
        <v>18.078495158599708</v>
      </c>
      <c r="S809" s="2">
        <v>8.08</v>
      </c>
      <c r="T809" s="1">
        <f t="shared" si="186"/>
        <v>8.3176377110267021E-9</v>
      </c>
      <c r="U809" s="1">
        <f t="shared" si="187"/>
        <v>1.2142870789635882E-6</v>
      </c>
      <c r="V809" s="1">
        <f t="shared" si="188"/>
        <v>9.952423405520705E-2</v>
      </c>
      <c r="W809" s="1">
        <f t="shared" si="189"/>
        <v>1.5858864826432279E-4</v>
      </c>
      <c r="X809" s="1">
        <f t="shared" si="190"/>
        <v>3.1888898770496316E-3</v>
      </c>
      <c r="Y809" s="1">
        <f t="shared" si="191"/>
        <v>3.1768110269520104E-3</v>
      </c>
      <c r="Z809" s="1">
        <f t="shared" si="192"/>
        <v>0.15884055134760053</v>
      </c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</row>
    <row r="810" spans="1:44" ht="15" customHeight="1" x14ac:dyDescent="0.3">
      <c r="A810" s="2">
        <v>8.09</v>
      </c>
      <c r="B810" s="1">
        <f t="shared" si="180"/>
        <v>8.1283051616409861E-9</v>
      </c>
      <c r="C810" s="1">
        <f t="shared" si="181"/>
        <v>1.2425714585205062E-6</v>
      </c>
      <c r="D810" s="1">
        <f t="shared" si="182"/>
        <v>2.4788056077423284E-4</v>
      </c>
      <c r="E810" s="1">
        <f t="shared" si="183"/>
        <v>3.2920199065376277E-3</v>
      </c>
      <c r="F810" s="1">
        <f t="shared" si="184"/>
        <v>0.98509005861067145</v>
      </c>
      <c r="G810" s="1">
        <f t="shared" si="185"/>
        <v>0.9851639420571715</v>
      </c>
      <c r="H810" s="1">
        <f t="shared" si="193"/>
        <v>9.8516394205717148</v>
      </c>
      <c r="J810" s="2">
        <v>12.08</v>
      </c>
      <c r="K810" s="1">
        <v>8.3176377110266952E-13</v>
      </c>
      <c r="L810" s="1">
        <v>1.2142870789635891E-2</v>
      </c>
      <c r="M810" s="1">
        <v>-1.2142848109736426E-2</v>
      </c>
      <c r="N810" s="1">
        <v>5.357141351622738E-3</v>
      </c>
      <c r="O810" s="1">
        <v>0.99999845118577979</v>
      </c>
      <c r="P810" s="1">
        <v>1.8292675905248945</v>
      </c>
      <c r="Q810" s="2">
        <v>18.292675905248945</v>
      </c>
      <c r="S810" s="2">
        <v>8.09</v>
      </c>
      <c r="T810" s="1">
        <f t="shared" si="186"/>
        <v>8.1283051616409861E-9</v>
      </c>
      <c r="U810" s="1">
        <f t="shared" si="187"/>
        <v>1.2425714585205062E-6</v>
      </c>
      <c r="V810" s="1">
        <f t="shared" si="188"/>
        <v>9.9535096890945932E-2</v>
      </c>
      <c r="W810" s="1">
        <f t="shared" si="189"/>
        <v>1.5496770301802376E-4</v>
      </c>
      <c r="X810" s="1">
        <f t="shared" si="190"/>
        <v>3.116528103910604E-3</v>
      </c>
      <c r="Y810" s="1">
        <f t="shared" si="191"/>
        <v>3.104164512803867E-3</v>
      </c>
      <c r="Z810" s="1">
        <f t="shared" si="192"/>
        <v>0.15520822564019338</v>
      </c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</row>
    <row r="811" spans="1:44" ht="15" customHeight="1" x14ac:dyDescent="0.3">
      <c r="A811" s="2">
        <v>8.1</v>
      </c>
      <c r="B811" s="1">
        <f t="shared" si="180"/>
        <v>7.9432823472428087E-9</v>
      </c>
      <c r="C811" s="1">
        <f t="shared" si="181"/>
        <v>1.2715146659121098E-6</v>
      </c>
      <c r="D811" s="1">
        <f t="shared" si="182"/>
        <v>2.4224985544397728E-4</v>
      </c>
      <c r="E811" s="1">
        <f t="shared" si="183"/>
        <v>3.2929583574260036E-3</v>
      </c>
      <c r="F811" s="1">
        <f t="shared" si="184"/>
        <v>0.98542450350952571</v>
      </c>
      <c r="G811" s="1">
        <f t="shared" si="185"/>
        <v>0.98550013457638952</v>
      </c>
      <c r="H811" s="1">
        <f t="shared" si="193"/>
        <v>9.8550013457638954</v>
      </c>
      <c r="J811" s="2">
        <v>12.09</v>
      </c>
      <c r="K811" s="1">
        <v>8.1283051616409777E-13</v>
      </c>
      <c r="L811" s="1">
        <v>1.2425714585205075E-2</v>
      </c>
      <c r="M811" s="1">
        <v>-1.2425692492912647E-2</v>
      </c>
      <c r="N811" s="1">
        <v>5.4042820821521079E-3</v>
      </c>
      <c r="O811" s="1">
        <v>0.99999848644104239</v>
      </c>
      <c r="P811" s="1">
        <v>1.8513245160567469</v>
      </c>
      <c r="Q811" s="2">
        <v>18.513245160567468</v>
      </c>
      <c r="S811" s="2">
        <v>8.1</v>
      </c>
      <c r="T811" s="1">
        <f t="shared" si="186"/>
        <v>7.9432823472428087E-9</v>
      </c>
      <c r="U811" s="1">
        <f t="shared" si="187"/>
        <v>1.2715146659121098E-6</v>
      </c>
      <c r="V811" s="1">
        <f t="shared" si="188"/>
        <v>9.9545716685620594E-2</v>
      </c>
      <c r="W811" s="1">
        <f t="shared" si="189"/>
        <v>1.5142777145980574E-4</v>
      </c>
      <c r="X811" s="1">
        <f t="shared" si="190"/>
        <v>3.0458033351452216E-3</v>
      </c>
      <c r="Y811" s="1">
        <f t="shared" si="191"/>
        <v>3.0331484583116029E-3</v>
      </c>
      <c r="Z811" s="1">
        <f t="shared" si="192"/>
        <v>0.15165742291558015</v>
      </c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</row>
    <row r="812" spans="1:44" ht="15" customHeight="1" x14ac:dyDescent="0.3">
      <c r="A812" s="2">
        <v>8.11</v>
      </c>
      <c r="B812" s="1">
        <f t="shared" si="180"/>
        <v>7.7624711662869124E-9</v>
      </c>
      <c r="C812" s="1">
        <f t="shared" si="181"/>
        <v>1.3011320472100661E-6</v>
      </c>
      <c r="D812" s="1">
        <f t="shared" si="182"/>
        <v>2.3674291710483008E-4</v>
      </c>
      <c r="E812" s="1">
        <f t="shared" si="183"/>
        <v>3.2938761804825285E-3</v>
      </c>
      <c r="F812" s="1">
        <f t="shared" si="184"/>
        <v>0.98575155498352174</v>
      </c>
      <c r="G812" s="1">
        <f t="shared" si="185"/>
        <v>0.98582897387434376</v>
      </c>
      <c r="H812" s="1">
        <f t="shared" si="193"/>
        <v>9.8582897387434372</v>
      </c>
      <c r="J812" s="2">
        <v>12.1</v>
      </c>
      <c r="K812" s="1">
        <v>7.9432823472428024E-13</v>
      </c>
      <c r="L812" s="1">
        <v>1.2715146659121108E-2</v>
      </c>
      <c r="M812" s="1">
        <v>-1.271512514106018E-2</v>
      </c>
      <c r="N812" s="1">
        <v>5.4525208568433634E-3</v>
      </c>
      <c r="O812" s="1">
        <v>0.99999852089379959</v>
      </c>
      <c r="P812" s="1">
        <v>1.8740431944211844</v>
      </c>
      <c r="Q812" s="2">
        <v>18.740431944211842</v>
      </c>
      <c r="S812" s="2">
        <v>8.11</v>
      </c>
      <c r="T812" s="1">
        <f t="shared" si="186"/>
        <v>7.7624711662869124E-9</v>
      </c>
      <c r="U812" s="1">
        <f t="shared" si="187"/>
        <v>1.3011320472100661E-6</v>
      </c>
      <c r="V812" s="1">
        <f t="shared" si="188"/>
        <v>9.9556098915413199E-2</v>
      </c>
      <c r="W812" s="1">
        <f t="shared" si="189"/>
        <v>1.4796702819560526E-4</v>
      </c>
      <c r="X812" s="1">
        <f t="shared" si="190"/>
        <v>2.9766787627767532E-3</v>
      </c>
      <c r="Y812" s="1">
        <f t="shared" si="191"/>
        <v>2.9637259010517544E-3</v>
      </c>
      <c r="Z812" s="1">
        <f t="shared" si="192"/>
        <v>0.14818629505258774</v>
      </c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</row>
    <row r="813" spans="1:44" ht="15" customHeight="1" x14ac:dyDescent="0.3">
      <c r="A813" s="2">
        <v>8.1199999999999992</v>
      </c>
      <c r="B813" s="1">
        <f t="shared" si="180"/>
        <v>7.585775750291834E-9</v>
      </c>
      <c r="C813" s="1">
        <f t="shared" si="181"/>
        <v>1.3314393059419718E-6</v>
      </c>
      <c r="D813" s="1">
        <f t="shared" si="182"/>
        <v>2.313570331822656E-4</v>
      </c>
      <c r="E813" s="1">
        <f t="shared" si="183"/>
        <v>3.2947738278029555E-3</v>
      </c>
      <c r="F813" s="1">
        <f t="shared" si="184"/>
        <v>0.98607137165854641</v>
      </c>
      <c r="G813" s="1">
        <f t="shared" si="185"/>
        <v>0.98615061952484551</v>
      </c>
      <c r="H813" s="1">
        <f t="shared" si="193"/>
        <v>9.8615061952484542</v>
      </c>
      <c r="J813" s="2">
        <v>12.11</v>
      </c>
      <c r="K813" s="1">
        <v>7.7624711662869047E-13</v>
      </c>
      <c r="L813" s="1">
        <v>1.3011320472100673E-2</v>
      </c>
      <c r="M813" s="1">
        <v>-1.3011299515200171E-2</v>
      </c>
      <c r="N813" s="1">
        <v>5.5018832525333614E-3</v>
      </c>
      <c r="O813" s="1">
        <v>0.99999855456231856</v>
      </c>
      <c r="P813" s="1">
        <v>1.8974475610753878</v>
      </c>
      <c r="Q813" s="2">
        <v>18.974475610753878</v>
      </c>
      <c r="S813" s="2">
        <v>8.1199999999999992</v>
      </c>
      <c r="T813" s="1">
        <f t="shared" si="186"/>
        <v>7.585775750291834E-9</v>
      </c>
      <c r="U813" s="1">
        <f t="shared" si="187"/>
        <v>1.3314393059419718E-6</v>
      </c>
      <c r="V813" s="1">
        <f t="shared" si="188"/>
        <v>9.9566248937440788E-2</v>
      </c>
      <c r="W813" s="1">
        <f t="shared" si="189"/>
        <v>1.4458368751974111E-4</v>
      </c>
      <c r="X813" s="1">
        <f t="shared" si="190"/>
        <v>2.9091183963484944E-3</v>
      </c>
      <c r="Y813" s="1">
        <f t="shared" si="191"/>
        <v>2.8958606925695738E-3</v>
      </c>
      <c r="Z813" s="1">
        <f t="shared" si="192"/>
        <v>0.1447930346284787</v>
      </c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</row>
    <row r="814" spans="1:44" ht="15" customHeight="1" x14ac:dyDescent="0.3">
      <c r="A814" s="2">
        <v>8.1300000000000008</v>
      </c>
      <c r="B814" s="1">
        <f t="shared" si="180"/>
        <v>7.4131024130091451E-9</v>
      </c>
      <c r="C814" s="1">
        <f t="shared" si="181"/>
        <v>1.3624525114175755E-6</v>
      </c>
      <c r="D814" s="1">
        <f t="shared" si="182"/>
        <v>2.2608954617460412E-4</v>
      </c>
      <c r="E814" s="1">
        <f t="shared" si="183"/>
        <v>3.2956517423042325E-3</v>
      </c>
      <c r="F814" s="1">
        <f t="shared" si="184"/>
        <v>0.98638410897121798</v>
      </c>
      <c r="G814" s="1">
        <f t="shared" si="185"/>
        <v>0.98646522793426283</v>
      </c>
      <c r="H814" s="1">
        <f t="shared" si="193"/>
        <v>9.8646522793426286</v>
      </c>
      <c r="J814" s="2">
        <v>12.12</v>
      </c>
      <c r="K814" s="1">
        <v>7.5857757502918275E-13</v>
      </c>
      <c r="L814" s="1">
        <v>1.3314393059419729E-2</v>
      </c>
      <c r="M814" s="1">
        <v>-1.3314372650906112E-2</v>
      </c>
      <c r="N814" s="1">
        <v>5.5523954418176848E-3</v>
      </c>
      <c r="O814" s="1">
        <v>0.99999858746445058</v>
      </c>
      <c r="P814" s="1">
        <v>1.9215626436401594</v>
      </c>
      <c r="Q814" s="2">
        <v>19.215626436401593</v>
      </c>
      <c r="S814" s="2">
        <v>8.1300000000000008</v>
      </c>
      <c r="T814" s="1">
        <f t="shared" si="186"/>
        <v>7.4131024130091451E-9</v>
      </c>
      <c r="U814" s="1">
        <f t="shared" si="187"/>
        <v>1.3624525114175755E-6</v>
      </c>
      <c r="V814" s="1">
        <f t="shared" si="188"/>
        <v>9.957617199228945E-2</v>
      </c>
      <c r="W814" s="1">
        <f t="shared" si="189"/>
        <v>1.4127600257017887E-4</v>
      </c>
      <c r="X814" s="1">
        <f t="shared" si="190"/>
        <v>2.8430870452207015E-3</v>
      </c>
      <c r="Y814" s="1">
        <f t="shared" si="191"/>
        <v>2.8295174805921829E-3</v>
      </c>
      <c r="Z814" s="1">
        <f t="shared" si="192"/>
        <v>0.14147587402960912</v>
      </c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</row>
    <row r="815" spans="1:44" ht="15" customHeight="1" x14ac:dyDescent="0.3">
      <c r="A815" s="2">
        <v>8.14</v>
      </c>
      <c r="B815" s="1">
        <f t="shared" si="180"/>
        <v>7.2443596007498722E-9</v>
      </c>
      <c r="C815" s="1">
        <f t="shared" si="181"/>
        <v>1.3941881072489191E-6</v>
      </c>
      <c r="D815" s="1">
        <f t="shared" si="182"/>
        <v>2.2093785263984614E-4</v>
      </c>
      <c r="E815" s="1">
        <f t="shared" si="183"/>
        <v>3.2965103578933585E-3</v>
      </c>
      <c r="F815" s="1">
        <f t="shared" si="184"/>
        <v>0.98668991922340277</v>
      </c>
      <c r="G815" s="1">
        <f t="shared" si="185"/>
        <v>0.98677295239655194</v>
      </c>
      <c r="H815" s="1">
        <f t="shared" si="193"/>
        <v>9.8677295239655187</v>
      </c>
      <c r="J815" s="2">
        <v>12.13</v>
      </c>
      <c r="K815" s="1">
        <v>7.4131024130091393E-13</v>
      </c>
      <c r="L815" s="1">
        <v>1.3624525114175766E-2</v>
      </c>
      <c r="M815" s="1">
        <v>-1.3624505241566252E-2</v>
      </c>
      <c r="N815" s="1">
        <v>5.604084206927709E-3</v>
      </c>
      <c r="O815" s="1">
        <v>0.9999986196176408</v>
      </c>
      <c r="P815" s="1">
        <v>1.9464146246342129</v>
      </c>
      <c r="Q815" s="2">
        <v>19.464146246342128</v>
      </c>
      <c r="S815" s="2">
        <v>8.14</v>
      </c>
      <c r="T815" s="1">
        <f t="shared" si="186"/>
        <v>7.2443596007498722E-9</v>
      </c>
      <c r="U815" s="1">
        <f t="shared" si="187"/>
        <v>1.3941881072489191E-6</v>
      </c>
      <c r="V815" s="1">
        <f t="shared" si="188"/>
        <v>9.9585873206500322E-2</v>
      </c>
      <c r="W815" s="1">
        <f t="shared" si="189"/>
        <v>1.3804226449989061E-4</v>
      </c>
      <c r="X815" s="1">
        <f t="shared" si="190"/>
        <v>2.7785503012303799E-3</v>
      </c>
      <c r="Y815" s="1">
        <f t="shared" si="191"/>
        <v>2.7646616916026608E-3</v>
      </c>
      <c r="Z815" s="1">
        <f t="shared" si="192"/>
        <v>0.13823308458013306</v>
      </c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</row>
    <row r="816" spans="1:44" ht="15" customHeight="1" x14ac:dyDescent="0.3">
      <c r="A816" s="2">
        <v>8.15</v>
      </c>
      <c r="B816" s="1">
        <f t="shared" si="180"/>
        <v>7.0794578438413513E-9</v>
      </c>
      <c r="C816" s="1">
        <f t="shared" si="181"/>
        <v>1.4266629200689874E-6</v>
      </c>
      <c r="D816" s="1">
        <f t="shared" si="182"/>
        <v>2.1589940219425181E-4</v>
      </c>
      <c r="E816" s="1">
        <f t="shared" si="183"/>
        <v>3.2973500996342918E-3</v>
      </c>
      <c r="F816" s="1">
        <f t="shared" si="184"/>
        <v>0.986988951636248</v>
      </c>
      <c r="G816" s="1">
        <f t="shared" si="185"/>
        <v>0.98707394314781616</v>
      </c>
      <c r="H816" s="1">
        <f t="shared" si="193"/>
        <v>9.8707394314781602</v>
      </c>
      <c r="J816" s="2">
        <v>12.14</v>
      </c>
      <c r="K816" s="1">
        <v>7.2443596007498653E-13</v>
      </c>
      <c r="L816" s="1">
        <v>1.3941881072489204E-2</v>
      </c>
      <c r="M816" s="1">
        <v>-1.3941861723585152E-2</v>
      </c>
      <c r="N816" s="1">
        <v>5.656976953930859E-3</v>
      </c>
      <c r="O816" s="1">
        <v>0.99999865103893704</v>
      </c>
      <c r="P816" s="1">
        <v>1.9720309086030556</v>
      </c>
      <c r="Q816" s="2">
        <v>19.720309086030554</v>
      </c>
      <c r="S816" s="2">
        <v>8.15</v>
      </c>
      <c r="T816" s="1">
        <f t="shared" si="186"/>
        <v>7.0794578438413513E-9</v>
      </c>
      <c r="U816" s="1">
        <f t="shared" si="187"/>
        <v>1.4266629200689874E-6</v>
      </c>
      <c r="V816" s="1">
        <f t="shared" si="188"/>
        <v>9.959535759500783E-2</v>
      </c>
      <c r="W816" s="1">
        <f t="shared" si="189"/>
        <v>1.3488080166405776E-4</v>
      </c>
      <c r="X816" s="1">
        <f t="shared" si="190"/>
        <v>2.7154745217072688E-3</v>
      </c>
      <c r="Y816" s="1">
        <f t="shared" si="191"/>
        <v>2.7012595137683531E-3</v>
      </c>
      <c r="Z816" s="1">
        <f t="shared" si="192"/>
        <v>0.13506297568841763</v>
      </c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</row>
    <row r="817" spans="1:44" ht="15" customHeight="1" x14ac:dyDescent="0.3">
      <c r="A817" s="2">
        <v>8.16</v>
      </c>
      <c r="B817" s="1">
        <f t="shared" si="180"/>
        <v>6.9183097091893386E-9</v>
      </c>
      <c r="C817" s="1">
        <f t="shared" si="181"/>
        <v>1.4598941684533922E-6</v>
      </c>
      <c r="D817" s="1">
        <f t="shared" si="182"/>
        <v>2.1097169652291417E-4</v>
      </c>
      <c r="E817" s="1">
        <f t="shared" si="183"/>
        <v>3.2981713839128472E-3</v>
      </c>
      <c r="F817" s="1">
        <f t="shared" si="184"/>
        <v>0.98728135240370929</v>
      </c>
      <c r="G817" s="1">
        <f t="shared" si="185"/>
        <v>0.98736834742037138</v>
      </c>
      <c r="H817" s="1">
        <f t="shared" si="193"/>
        <v>9.8736834742037125</v>
      </c>
      <c r="J817" s="2">
        <v>12.15</v>
      </c>
      <c r="K817" s="1">
        <v>7.0794578438413455E-13</v>
      </c>
      <c r="L817" s="1">
        <v>1.4266629200689886E-2</v>
      </c>
      <c r="M817" s="1">
        <v>-1.4266610363570334E-2</v>
      </c>
      <c r="N817" s="1">
        <v>5.7111017272617227E-3</v>
      </c>
      <c r="O817" s="1">
        <v>0.99999868174499917</v>
      </c>
      <c r="P817" s="1">
        <v>1.9984401940063869</v>
      </c>
      <c r="Q817" s="2">
        <v>19.984401940063869</v>
      </c>
      <c r="S817" s="2">
        <v>8.16</v>
      </c>
      <c r="T817" s="1">
        <f t="shared" si="186"/>
        <v>6.9183097091893386E-9</v>
      </c>
      <c r="U817" s="1">
        <f t="shared" si="187"/>
        <v>1.4598941684533922E-6</v>
      </c>
      <c r="V817" s="1">
        <f t="shared" si="188"/>
        <v>9.9604630063531333E-2</v>
      </c>
      <c r="W817" s="1">
        <f t="shared" si="189"/>
        <v>1.3178997882288759E-4</v>
      </c>
      <c r="X817" s="1">
        <f t="shared" si="190"/>
        <v>2.6538268128398312E-3</v>
      </c>
      <c r="Y817" s="1">
        <f t="shared" si="191"/>
        <v>2.6392778802171667E-3</v>
      </c>
      <c r="Z817" s="1">
        <f t="shared" si="192"/>
        <v>0.13196389401085834</v>
      </c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</row>
    <row r="818" spans="1:44" ht="15" customHeight="1" x14ac:dyDescent="0.3">
      <c r="A818" s="2">
        <v>8.17</v>
      </c>
      <c r="B818" s="1">
        <f t="shared" si="180"/>
        <v>6.7608297539198166E-9</v>
      </c>
      <c r="C818" s="1">
        <f t="shared" si="181"/>
        <v>1.4938994720498896E-6</v>
      </c>
      <c r="D818" s="1">
        <f t="shared" si="182"/>
        <v>2.0615228840238151E-4</v>
      </c>
      <c r="E818" s="1">
        <f t="shared" si="183"/>
        <v>3.2989746185996031E-3</v>
      </c>
      <c r="F818" s="1">
        <f t="shared" si="184"/>
        <v>0.98756726474555745</v>
      </c>
      <c r="G818" s="1">
        <f t="shared" si="185"/>
        <v>0.98765630949630379</v>
      </c>
      <c r="H818" s="1">
        <f t="shared" si="193"/>
        <v>9.8765630949630374</v>
      </c>
      <c r="S818" s="2">
        <v>8.17</v>
      </c>
      <c r="T818" s="1">
        <f t="shared" si="186"/>
        <v>6.7608297539198166E-9</v>
      </c>
      <c r="U818" s="1">
        <f t="shared" si="187"/>
        <v>1.4938994720498896E-6</v>
      </c>
      <c r="V818" s="1">
        <f t="shared" si="188"/>
        <v>9.9613695410920619E-2</v>
      </c>
      <c r="W818" s="1">
        <f t="shared" si="189"/>
        <v>1.2876819635978994E-4</v>
      </c>
      <c r="X818" s="1">
        <f t="shared" si="190"/>
        <v>2.5935750133847316E-3</v>
      </c>
      <c r="Y818" s="1">
        <f t="shared" si="191"/>
        <v>2.5786844526552929E-3</v>
      </c>
      <c r="Z818" s="1">
        <f t="shared" si="192"/>
        <v>0.12893422263276466</v>
      </c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</row>
    <row r="819" spans="1:44" ht="15" customHeight="1" x14ac:dyDescent="0.3">
      <c r="A819" s="2">
        <v>8.18</v>
      </c>
      <c r="B819" s="1">
        <f t="shared" si="180"/>
        <v>6.6069344800759602E-9</v>
      </c>
      <c r="C819" s="1">
        <f t="shared" si="181"/>
        <v>1.5286968609205701E-6</v>
      </c>
      <c r="D819" s="1">
        <f t="shared" si="182"/>
        <v>2.0143878073551784E-4</v>
      </c>
      <c r="E819" s="1">
        <f t="shared" si="183"/>
        <v>3.2997602032107469E-3</v>
      </c>
      <c r="F819" s="1">
        <f t="shared" si="184"/>
        <v>0.98784682895984655</v>
      </c>
      <c r="G819" s="1">
        <f t="shared" si="185"/>
        <v>0.98793797076050105</v>
      </c>
      <c r="H819" s="1">
        <f t="shared" si="193"/>
        <v>9.8793797076050094</v>
      </c>
      <c r="S819" s="2">
        <v>8.18</v>
      </c>
      <c r="T819" s="1">
        <f t="shared" si="186"/>
        <v>6.6069344800759602E-9</v>
      </c>
      <c r="U819" s="1">
        <f t="shared" si="187"/>
        <v>1.5286968609205701E-6</v>
      </c>
      <c r="V819" s="1">
        <f t="shared" si="188"/>
        <v>9.962255833145596E-2</v>
      </c>
      <c r="W819" s="1">
        <f t="shared" si="189"/>
        <v>1.2581388951467558E-4</v>
      </c>
      <c r="X819" s="1">
        <f t="shared" si="190"/>
        <v>2.5346876787135553E-3</v>
      </c>
      <c r="Y819" s="1">
        <f t="shared" si="191"/>
        <v>2.519447605320049E-3</v>
      </c>
      <c r="Z819" s="1">
        <f t="shared" si="192"/>
        <v>0.12597238026600246</v>
      </c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</row>
    <row r="820" spans="1:44" ht="15" customHeight="1" x14ac:dyDescent="0.3">
      <c r="A820" s="2">
        <v>8.19</v>
      </c>
      <c r="B820" s="1">
        <f t="shared" si="180"/>
        <v>6.456542290346555E-9</v>
      </c>
      <c r="C820" s="1">
        <f t="shared" si="181"/>
        <v>1.5643047851016061E-6</v>
      </c>
      <c r="D820" s="1">
        <f t="shared" si="182"/>
        <v>1.9682882559868327E-4</v>
      </c>
      <c r="E820" s="1">
        <f t="shared" si="183"/>
        <v>3.3005285290668863E-3</v>
      </c>
      <c r="F820" s="1">
        <f t="shared" si="184"/>
        <v>0.98812018247482847</v>
      </c>
      <c r="G820" s="1">
        <f t="shared" si="185"/>
        <v>0.98821346975314273</v>
      </c>
      <c r="H820" s="1">
        <f t="shared" si="193"/>
        <v>9.882134697531427</v>
      </c>
      <c r="S820" s="2">
        <v>8.19</v>
      </c>
      <c r="T820" s="1">
        <f t="shared" si="186"/>
        <v>6.456542290346555E-9</v>
      </c>
      <c r="U820" s="1">
        <f t="shared" si="187"/>
        <v>1.5643047851016061E-6</v>
      </c>
      <c r="V820" s="1">
        <f t="shared" si="188"/>
        <v>9.9631223417103579E-2</v>
      </c>
      <c r="W820" s="1">
        <f t="shared" si="189"/>
        <v>1.2292552763213933E-4</v>
      </c>
      <c r="X820" s="1">
        <f t="shared" si="190"/>
        <v>2.4771340651906898E-3</v>
      </c>
      <c r="Y820" s="1">
        <f t="shared" si="191"/>
        <v>2.4615364092617285E-3</v>
      </c>
      <c r="Z820" s="1">
        <f t="shared" si="192"/>
        <v>0.12307682046308642</v>
      </c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</row>
    <row r="821" spans="1:44" ht="15" customHeight="1" x14ac:dyDescent="0.3">
      <c r="A821" s="2">
        <v>8.1999999999999993</v>
      </c>
      <c r="B821" s="1">
        <f t="shared" si="180"/>
        <v>6.3095734448019329E-9</v>
      </c>
      <c r="C821" s="1">
        <f t="shared" si="181"/>
        <v>1.6007421243857243E-6</v>
      </c>
      <c r="D821" s="1">
        <f t="shared" si="182"/>
        <v>1.9232012330132426E-4</v>
      </c>
      <c r="E821" s="1">
        <f t="shared" si="183"/>
        <v>3.3012799794497794E-3</v>
      </c>
      <c r="F821" s="1">
        <f t="shared" si="184"/>
        <v>0.98838745990030241</v>
      </c>
      <c r="G821" s="1">
        <f t="shared" si="185"/>
        <v>0.98848294222164068</v>
      </c>
      <c r="H821" s="1">
        <f t="shared" si="193"/>
        <v>9.8848294222164057</v>
      </c>
      <c r="S821" s="2">
        <v>8.1999999999999993</v>
      </c>
      <c r="T821" s="1">
        <f t="shared" si="186"/>
        <v>6.3095734448019329E-9</v>
      </c>
      <c r="U821" s="1">
        <f t="shared" si="187"/>
        <v>1.6007421243857243E-6</v>
      </c>
      <c r="V821" s="1">
        <f t="shared" si="188"/>
        <v>9.9639695159727162E-2</v>
      </c>
      <c r="W821" s="1">
        <f t="shared" si="189"/>
        <v>1.2010161342427785E-4</v>
      </c>
      <c r="X821" s="1">
        <f t="shared" si="190"/>
        <v>2.4208841148760643E-3</v>
      </c>
      <c r="Y821" s="1">
        <f t="shared" si="191"/>
        <v>2.4049206169480847E-3</v>
      </c>
      <c r="Z821" s="1">
        <f t="shared" si="192"/>
        <v>0.12024603084740422</v>
      </c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</row>
    <row r="822" spans="1:44" ht="15" customHeight="1" x14ac:dyDescent="0.3">
      <c r="A822" s="2">
        <v>8.2100000000000009</v>
      </c>
      <c r="B822" s="1">
        <f t="shared" si="180"/>
        <v>6.1659500186148016E-9</v>
      </c>
      <c r="C822" s="1">
        <f t="shared" si="181"/>
        <v>1.6380281983325244E-6</v>
      </c>
      <c r="D822" s="1">
        <f t="shared" si="182"/>
        <v>1.879104214580449E-4</v>
      </c>
      <c r="E822" s="1">
        <f t="shared" si="183"/>
        <v>3.3020149297569926E-3</v>
      </c>
      <c r="F822" s="1">
        <f t="shared" si="184"/>
        <v>0.98864879307838538</v>
      </c>
      <c r="G822" s="1">
        <f t="shared" si="185"/>
        <v>0.98874652117201167</v>
      </c>
      <c r="H822" s="1">
        <f t="shared" si="193"/>
        <v>9.8874652117201158</v>
      </c>
      <c r="S822" s="2">
        <v>8.2100000000000009</v>
      </c>
      <c r="T822" s="1">
        <f t="shared" si="186"/>
        <v>6.1659500186148016E-9</v>
      </c>
      <c r="U822" s="1">
        <f t="shared" si="187"/>
        <v>1.6380281983325244E-6</v>
      </c>
      <c r="V822" s="1">
        <f t="shared" si="188"/>
        <v>9.9647977953256264E-2</v>
      </c>
      <c r="W822" s="1">
        <f t="shared" si="189"/>
        <v>1.1734068224790987E-4</v>
      </c>
      <c r="X822" s="1">
        <f t="shared" si="190"/>
        <v>2.365908440546835E-3</v>
      </c>
      <c r="Y822" s="1">
        <f t="shared" si="191"/>
        <v>2.3495706471855014E-3</v>
      </c>
      <c r="Z822" s="1">
        <f t="shared" si="192"/>
        <v>0.11747853235927506</v>
      </c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</row>
    <row r="823" spans="1:44" ht="15" customHeight="1" x14ac:dyDescent="0.3">
      <c r="A823" s="2">
        <v>8.2200000000000006</v>
      </c>
      <c r="B823" s="1">
        <f t="shared" si="180"/>
        <v>6.0255958607435582E-9</v>
      </c>
      <c r="C823" s="1">
        <f t="shared" si="181"/>
        <v>1.6761827765119416E-6</v>
      </c>
      <c r="D823" s="1">
        <f t="shared" si="182"/>
        <v>1.8359751407327551E-4</v>
      </c>
      <c r="E823" s="1">
        <f t="shared" si="183"/>
        <v>3.3027337476544539E-3</v>
      </c>
      <c r="F823" s="1">
        <f t="shared" si="184"/>
        <v>0.98890431113369226</v>
      </c>
      <c r="G823" s="1">
        <f t="shared" si="185"/>
        <v>0.98900433691967482</v>
      </c>
      <c r="H823" s="1">
        <f t="shared" si="193"/>
        <v>9.8900433691967482</v>
      </c>
      <c r="S823" s="2">
        <v>8.2200000000000006</v>
      </c>
      <c r="T823" s="1">
        <f t="shared" si="186"/>
        <v>6.0255958607435582E-9</v>
      </c>
      <c r="U823" s="1">
        <f t="shared" si="187"/>
        <v>1.6761827765119416E-6</v>
      </c>
      <c r="V823" s="1">
        <f t="shared" si="188"/>
        <v>9.9656076095812118E-2</v>
      </c>
      <c r="W823" s="1">
        <f t="shared" si="189"/>
        <v>1.1464130139595828E-4</v>
      </c>
      <c r="X823" s="1">
        <f t="shared" si="190"/>
        <v>2.3121783110320393E-3</v>
      </c>
      <c r="Y823" s="1">
        <f t="shared" si="191"/>
        <v>2.2954575703508077E-3</v>
      </c>
      <c r="Z823" s="1">
        <f t="shared" si="192"/>
        <v>0.11477287851754039</v>
      </c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</row>
    <row r="824" spans="1:44" ht="15" customHeight="1" x14ac:dyDescent="0.3">
      <c r="A824" s="2">
        <v>8.23</v>
      </c>
      <c r="B824" s="1">
        <f t="shared" si="180"/>
        <v>5.8884365535558713E-9</v>
      </c>
      <c r="C824" s="1">
        <f t="shared" si="181"/>
        <v>1.715226088986367E-6</v>
      </c>
      <c r="D824" s="1">
        <f t="shared" si="182"/>
        <v>1.7937924063843492E-4</v>
      </c>
      <c r="E824" s="1">
        <f t="shared" si="183"/>
        <v>3.3034367932269276E-3</v>
      </c>
      <c r="F824" s="1">
        <f t="shared" si="184"/>
        <v>0.98915414052291872</v>
      </c>
      <c r="G824" s="1">
        <f t="shared" si="185"/>
        <v>0.989256517139667</v>
      </c>
      <c r="H824" s="1">
        <f t="shared" si="193"/>
        <v>9.8925651713966687</v>
      </c>
      <c r="S824" s="2">
        <v>8.23</v>
      </c>
      <c r="T824" s="1">
        <f t="shared" si="186"/>
        <v>5.8884365535558713E-9</v>
      </c>
      <c r="U824" s="1">
        <f t="shared" si="187"/>
        <v>1.715226088986367E-6</v>
      </c>
      <c r="V824" s="1">
        <f t="shared" si="188"/>
        <v>9.966399379179175E-2</v>
      </c>
      <c r="W824" s="1">
        <f t="shared" si="189"/>
        <v>1.1200206940275227E-4</v>
      </c>
      <c r="X824" s="1">
        <f t="shared" si="190"/>
        <v>2.2596656368542327E-3</v>
      </c>
      <c r="Y824" s="1">
        <f t="shared" si="191"/>
        <v>2.2425530939276994E-3</v>
      </c>
      <c r="Z824" s="1">
        <f t="shared" si="192"/>
        <v>0.11212765469638497</v>
      </c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</row>
    <row r="825" spans="1:44" ht="15" customHeight="1" x14ac:dyDescent="0.3">
      <c r="A825" s="2">
        <v>8.24</v>
      </c>
      <c r="B825" s="1">
        <f t="shared" si="180"/>
        <v>5.754399373371552E-9</v>
      </c>
      <c r="C825" s="1">
        <f t="shared" si="181"/>
        <v>1.7551788370368745E-6</v>
      </c>
      <c r="D825" s="1">
        <f t="shared" si="182"/>
        <v>1.7525348524180504E-4</v>
      </c>
      <c r="E825" s="1">
        <f t="shared" si="183"/>
        <v>3.3041244191263659E-3</v>
      </c>
      <c r="F825" s="1">
        <f t="shared" si="184"/>
        <v>0.98939840508381394</v>
      </c>
      <c r="G825" s="1">
        <f t="shared" si="185"/>
        <v>0.98950318691626038</v>
      </c>
      <c r="H825" s="1">
        <f t="shared" si="193"/>
        <v>9.8950318691626027</v>
      </c>
      <c r="S825" s="2">
        <v>8.24</v>
      </c>
      <c r="T825" s="1">
        <f t="shared" si="186"/>
        <v>5.754399373371552E-9</v>
      </c>
      <c r="U825" s="1">
        <f t="shared" si="187"/>
        <v>1.7551788370368745E-6</v>
      </c>
      <c r="V825" s="1">
        <f t="shared" si="188"/>
        <v>9.9671735153910951E-2</v>
      </c>
      <c r="W825" s="1">
        <f t="shared" si="189"/>
        <v>1.0942161536302068E-4</v>
      </c>
      <c r="X825" s="1">
        <f t="shared" si="190"/>
        <v>2.2083429561724475E-3</v>
      </c>
      <c r="Y825" s="1">
        <f t="shared" si="191"/>
        <v>2.1908295483420593E-3</v>
      </c>
      <c r="Z825" s="1">
        <f t="shared" si="192"/>
        <v>0.10954147741710298</v>
      </c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</row>
    <row r="826" spans="1:44" ht="15" customHeight="1" x14ac:dyDescent="0.3">
      <c r="A826" s="2">
        <v>8.25</v>
      </c>
      <c r="B826" s="1">
        <f t="shared" si="180"/>
        <v>5.6234132519034744E-9</v>
      </c>
      <c r="C826" s="1">
        <f t="shared" si="181"/>
        <v>1.7960622041393172E-6</v>
      </c>
      <c r="D826" s="1">
        <f t="shared" si="182"/>
        <v>1.7121817569095617E-4</v>
      </c>
      <c r="E826" s="1">
        <f t="shared" si="183"/>
        <v>3.3047969707181743E-3</v>
      </c>
      <c r="F826" s="1">
        <f t="shared" si="184"/>
        <v>0.98963722608354021</v>
      </c>
      <c r="G826" s="1">
        <f t="shared" si="185"/>
        <v>0.98974446879198441</v>
      </c>
      <c r="H826" s="1">
        <f t="shared" si="193"/>
        <v>9.8974446879198439</v>
      </c>
      <c r="S826" s="2">
        <v>8.25</v>
      </c>
      <c r="T826" s="1">
        <f t="shared" si="186"/>
        <v>5.6234132519034744E-9</v>
      </c>
      <c r="U826" s="1">
        <f t="shared" si="187"/>
        <v>1.7960622041393172E-6</v>
      </c>
      <c r="V826" s="1">
        <f t="shared" si="188"/>
        <v>9.9679304205206987E-2</v>
      </c>
      <c r="W826" s="1">
        <f t="shared" si="189"/>
        <v>1.0689859826433619E-4</v>
      </c>
      <c r="X826" s="1">
        <f t="shared" si="190"/>
        <v>2.1581834210206417E-3</v>
      </c>
      <c r="Y826" s="1">
        <f t="shared" si="191"/>
        <v>2.1402598730902709E-3</v>
      </c>
      <c r="Z826" s="1">
        <f t="shared" si="192"/>
        <v>0.10701299365451356</v>
      </c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</row>
    <row r="827" spans="1:44" ht="15" customHeight="1" x14ac:dyDescent="0.3">
      <c r="A827" s="2">
        <v>8.26</v>
      </c>
      <c r="B827" s="1">
        <f t="shared" si="180"/>
        <v>5.4954087385762298E-9</v>
      </c>
      <c r="C827" s="1">
        <f t="shared" si="181"/>
        <v>1.8378978671960883E-6</v>
      </c>
      <c r="D827" s="1">
        <f t="shared" si="182"/>
        <v>1.6727128264786212E-4</v>
      </c>
      <c r="E827" s="1">
        <f t="shared" si="183"/>
        <v>3.3054547862253563E-3</v>
      </c>
      <c r="F827" s="1">
        <f t="shared" si="184"/>
        <v>0.98987072226640893</v>
      </c>
      <c r="G827" s="1">
        <f t="shared" si="185"/>
        <v>0.98998048281603712</v>
      </c>
      <c r="H827" s="1">
        <f t="shared" si="193"/>
        <v>9.8998048281603701</v>
      </c>
      <c r="S827" s="2">
        <v>8.26</v>
      </c>
      <c r="T827" s="1">
        <f t="shared" si="186"/>
        <v>5.4954087385762298E-9</v>
      </c>
      <c r="U827" s="1">
        <f t="shared" si="187"/>
        <v>1.8378978671960883E-6</v>
      </c>
      <c r="V827" s="1">
        <f t="shared" si="188"/>
        <v>9.9686704881001661E-2</v>
      </c>
      <c r="W827" s="1">
        <f t="shared" si="189"/>
        <v>1.044317063327796E-4</v>
      </c>
      <c r="X827" s="1">
        <f t="shared" si="190"/>
        <v>2.1091607838360288E-3</v>
      </c>
      <c r="Y827" s="1">
        <f t="shared" si="191"/>
        <v>2.0908176031548724E-3</v>
      </c>
      <c r="Z827" s="1">
        <f t="shared" si="192"/>
        <v>0.10454088015774363</v>
      </c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</row>
    <row r="828" spans="1:44" ht="15" customHeight="1" x14ac:dyDescent="0.3">
      <c r="A828" s="2">
        <v>8.27</v>
      </c>
      <c r="B828" s="1">
        <f t="shared" si="180"/>
        <v>5.3703179637025321E-9</v>
      </c>
      <c r="C828" s="1">
        <f t="shared" si="181"/>
        <v>1.8807080080294942E-6</v>
      </c>
      <c r="D828" s="1">
        <f t="shared" si="182"/>
        <v>1.6341081877656443E-4</v>
      </c>
      <c r="E828" s="1">
        <f t="shared" si="183"/>
        <v>3.3060981968705723E-3</v>
      </c>
      <c r="F828" s="1">
        <f t="shared" si="184"/>
        <v>0.99009900990099009</v>
      </c>
      <c r="G828" s="1">
        <f t="shared" si="185"/>
        <v>0.9902113465920872</v>
      </c>
      <c r="H828" s="1">
        <f t="shared" si="193"/>
        <v>9.9021134659208716</v>
      </c>
      <c r="S828" s="2">
        <v>8.27</v>
      </c>
      <c r="T828" s="1">
        <f t="shared" si="186"/>
        <v>5.3703179637025321E-9</v>
      </c>
      <c r="U828" s="1">
        <f t="shared" si="187"/>
        <v>1.8807080080294942E-6</v>
      </c>
      <c r="V828" s="1">
        <f t="shared" si="188"/>
        <v>9.9693941030825226E-2</v>
      </c>
      <c r="W828" s="1">
        <f t="shared" si="189"/>
        <v>1.0201965639159337E-4</v>
      </c>
      <c r="X828" s="1">
        <f t="shared" si="190"/>
        <v>2.0612493842717332E-3</v>
      </c>
      <c r="Y828" s="1">
        <f t="shared" si="191"/>
        <v>2.0424768557019322E-3</v>
      </c>
      <c r="Z828" s="1">
        <f t="shared" si="192"/>
        <v>0.10212384278509661</v>
      </c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</row>
    <row r="829" spans="1:44" ht="15" customHeight="1" x14ac:dyDescent="0.3">
      <c r="A829" s="2">
        <v>8.2799999999999994</v>
      </c>
      <c r="B829" s="1">
        <f t="shared" si="180"/>
        <v>5.2480746024977305E-9</v>
      </c>
      <c r="C829" s="1">
        <f t="shared" si="181"/>
        <v>1.9245153251428779E-6</v>
      </c>
      <c r="D829" s="1">
        <f t="shared" si="182"/>
        <v>1.5963483790347834E-4</v>
      </c>
      <c r="E829" s="1">
        <f t="shared" si="183"/>
        <v>3.3067275270160868E-3</v>
      </c>
      <c r="F829" s="1">
        <f t="shared" si="184"/>
        <v>0.99032220282658912</v>
      </c>
      <c r="G829" s="1">
        <f t="shared" si="185"/>
        <v>0.99043717532545938</v>
      </c>
      <c r="H829" s="1">
        <f t="shared" si="193"/>
        <v>9.9043717532545941</v>
      </c>
      <c r="S829" s="2">
        <v>8.2799999999999994</v>
      </c>
      <c r="T829" s="1">
        <f t="shared" si="186"/>
        <v>5.2480746024977305E-9</v>
      </c>
      <c r="U829" s="1">
        <f t="shared" si="187"/>
        <v>1.9245153251428779E-6</v>
      </c>
      <c r="V829" s="1">
        <f t="shared" si="188"/>
        <v>9.9701016420302213E-2</v>
      </c>
      <c r="W829" s="1">
        <f t="shared" si="189"/>
        <v>9.9661193232592179E-5</v>
      </c>
      <c r="X829" s="1">
        <f t="shared" si="190"/>
        <v>2.0144241362882375E-3</v>
      </c>
      <c r="Y829" s="1">
        <f t="shared" si="191"/>
        <v>1.9952123170545438E-3</v>
      </c>
      <c r="Z829" s="1">
        <f t="shared" si="192"/>
        <v>9.9760615852727177E-2</v>
      </c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</row>
    <row r="830" spans="1:44" ht="15" customHeight="1" x14ac:dyDescent="0.3">
      <c r="A830" s="2">
        <v>8.2899999999999991</v>
      </c>
      <c r="B830" s="1">
        <f t="shared" si="180"/>
        <v>5.1286138399136542E-9</v>
      </c>
      <c r="C830" s="1">
        <f t="shared" si="181"/>
        <v>1.9693430457556234E-6</v>
      </c>
      <c r="D830" s="1">
        <f t="shared" si="182"/>
        <v>1.5594143419024798E-4</v>
      </c>
      <c r="E830" s="1">
        <f t="shared" si="183"/>
        <v>3.3073430943016259E-3</v>
      </c>
      <c r="F830" s="1">
        <f t="shared" si="184"/>
        <v>0.99054041249908764</v>
      </c>
      <c r="G830" s="1">
        <f t="shared" si="185"/>
        <v>0.99065808186969839</v>
      </c>
      <c r="H830" s="1">
        <f t="shared" si="193"/>
        <v>9.9065808186969839</v>
      </c>
      <c r="S830" s="2">
        <v>8.2899999999999991</v>
      </c>
      <c r="T830" s="1">
        <f t="shared" si="186"/>
        <v>5.1286138399136542E-9</v>
      </c>
      <c r="U830" s="1">
        <f t="shared" si="187"/>
        <v>1.9693430457556234E-6</v>
      </c>
      <c r="V830" s="1">
        <f t="shared" si="188"/>
        <v>9.9707934732999673E-2</v>
      </c>
      <c r="W830" s="1">
        <f t="shared" si="189"/>
        <v>9.7355089000109331E-5</v>
      </c>
      <c r="X830" s="1">
        <f t="shared" si="190"/>
        <v>1.9686605155183365E-3</v>
      </c>
      <c r="Y830" s="1">
        <f t="shared" si="191"/>
        <v>1.9489992299371033E-3</v>
      </c>
      <c r="Z830" s="1">
        <f t="shared" si="192"/>
        <v>9.7449961496855156E-2</v>
      </c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</row>
    <row r="831" spans="1:44" ht="15" customHeight="1" x14ac:dyDescent="0.3">
      <c r="A831" s="2">
        <v>8.3000000000000007</v>
      </c>
      <c r="B831" s="1">
        <f t="shared" si="180"/>
        <v>5.0118723362727114E-9</v>
      </c>
      <c r="C831" s="1">
        <f t="shared" si="181"/>
        <v>2.0152149381185727E-6</v>
      </c>
      <c r="D831" s="1">
        <f t="shared" si="182"/>
        <v>1.5232874131906104E-4</v>
      </c>
      <c r="E831" s="1">
        <f t="shared" si="183"/>
        <v>3.3079452097801564E-3</v>
      </c>
      <c r="F831" s="1">
        <f t="shared" si="184"/>
        <v>0.99075374803614524</v>
      </c>
      <c r="G831" s="1">
        <f t="shared" si="185"/>
        <v>0.99087417677251388</v>
      </c>
      <c r="H831" s="1">
        <f t="shared" si="193"/>
        <v>9.9087417677251377</v>
      </c>
      <c r="S831" s="2">
        <v>8.3000000000000007</v>
      </c>
      <c r="T831" s="1">
        <f t="shared" si="186"/>
        <v>5.0118723362727114E-9</v>
      </c>
      <c r="U831" s="1">
        <f t="shared" si="187"/>
        <v>2.0152149381185727E-6</v>
      </c>
      <c r="V831" s="1">
        <f t="shared" si="188"/>
        <v>9.9714699572238261E-2</v>
      </c>
      <c r="W831" s="1">
        <f t="shared" si="189"/>
        <v>9.5100142587245323E-5</v>
      </c>
      <c r="X831" s="1">
        <f t="shared" si="190"/>
        <v>1.9239345469001165E-3</v>
      </c>
      <c r="Y831" s="1">
        <f t="shared" si="191"/>
        <v>1.9038133809848178E-3</v>
      </c>
      <c r="Z831" s="1">
        <f t="shared" si="192"/>
        <v>9.5190669049240895E-2</v>
      </c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</row>
    <row r="832" spans="1:44" ht="15" customHeight="1" x14ac:dyDescent="0.3">
      <c r="A832" s="2">
        <v>8.31</v>
      </c>
      <c r="B832" s="1">
        <f t="shared" si="180"/>
        <v>4.8977881936844509E-9</v>
      </c>
      <c r="C832" s="1">
        <f t="shared" si="181"/>
        <v>2.0621553241162291E-6</v>
      </c>
      <c r="D832" s="1">
        <f t="shared" si="182"/>
        <v>1.4879493169048217E-4</v>
      </c>
      <c r="E832" s="1">
        <f t="shared" si="183"/>
        <v>3.3085341780515862E-3</v>
      </c>
      <c r="F832" s="1">
        <f t="shared" si="184"/>
        <v>0.99096231626176046</v>
      </c>
      <c r="G832" s="1">
        <f t="shared" si="185"/>
        <v>0.9910855683210984</v>
      </c>
      <c r="H832" s="1">
        <f t="shared" si="193"/>
        <v>9.9108556832109826</v>
      </c>
      <c r="S832" s="2">
        <v>8.31</v>
      </c>
      <c r="T832" s="1">
        <f t="shared" si="186"/>
        <v>4.8977881936844509E-9</v>
      </c>
      <c r="U832" s="1">
        <f t="shared" si="187"/>
        <v>2.0621553241162291E-6</v>
      </c>
      <c r="V832" s="1">
        <f t="shared" si="188"/>
        <v>9.9721314462867389E-2</v>
      </c>
      <c r="W832" s="1">
        <f t="shared" si="189"/>
        <v>9.2895179044203262E-5</v>
      </c>
      <c r="X832" s="1">
        <f t="shared" si="190"/>
        <v>1.8802227925728812E-3</v>
      </c>
      <c r="Y832" s="1">
        <f t="shared" si="191"/>
        <v>1.8596310885133013E-3</v>
      </c>
      <c r="Z832" s="1">
        <f t="shared" si="192"/>
        <v>9.2981554425665067E-2</v>
      </c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</row>
    <row r="833" spans="1:44" ht="15" customHeight="1" x14ac:dyDescent="0.3">
      <c r="A833" s="2">
        <v>8.32</v>
      </c>
      <c r="B833" s="1">
        <f t="shared" si="180"/>
        <v>4.7863009232263728E-9</v>
      </c>
      <c r="C833" s="1">
        <f t="shared" si="181"/>
        <v>2.1101890921625845E-6</v>
      </c>
      <c r="D833" s="1">
        <f t="shared" si="182"/>
        <v>1.4533821563367374E-4</v>
      </c>
      <c r="E833" s="1">
        <f t="shared" si="183"/>
        <v>3.3091102973943879E-3</v>
      </c>
      <c r="F833" s="1">
        <f t="shared" si="184"/>
        <v>0.99116622175018654</v>
      </c>
      <c r="G833" s="1">
        <f t="shared" si="185"/>
        <v>0.99129236258681974</v>
      </c>
      <c r="H833" s="1">
        <f t="shared" si="193"/>
        <v>9.9129236258681974</v>
      </c>
      <c r="S833" s="2">
        <v>8.32</v>
      </c>
      <c r="T833" s="1">
        <f t="shared" si="186"/>
        <v>4.7863009232263728E-9</v>
      </c>
      <c r="U833" s="1">
        <f t="shared" si="187"/>
        <v>2.1101890921625845E-6</v>
      </c>
      <c r="V833" s="1">
        <f t="shared" si="188"/>
        <v>9.9727782853004557E-2</v>
      </c>
      <c r="W833" s="1">
        <f t="shared" si="189"/>
        <v>9.0739048998482544E-5</v>
      </c>
      <c r="X833" s="1">
        <f t="shared" si="190"/>
        <v>1.8375023400307128E-3</v>
      </c>
      <c r="Y833" s="1">
        <f t="shared" si="191"/>
        <v>1.8164291905428801E-3</v>
      </c>
      <c r="Z833" s="1">
        <f t="shared" si="192"/>
        <v>9.0821459527144016E-2</v>
      </c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</row>
    <row r="834" spans="1:44" ht="15" customHeight="1" x14ac:dyDescent="0.3">
      <c r="A834" s="2">
        <v>8.33</v>
      </c>
      <c r="B834" s="1">
        <f t="shared" si="180"/>
        <v>4.6773514128719724E-9</v>
      </c>
      <c r="C834" s="1">
        <f t="shared" si="181"/>
        <v>2.1593417103972586E-6</v>
      </c>
      <c r="D834" s="1">
        <f t="shared" si="182"/>
        <v>1.4195684062886702E-4</v>
      </c>
      <c r="E834" s="1">
        <f t="shared" si="183"/>
        <v>3.3096738598951884E-3</v>
      </c>
      <c r="F834" s="1">
        <f t="shared" si="184"/>
        <v>0.99136556686920752</v>
      </c>
      <c r="G834" s="1">
        <f t="shared" si="185"/>
        <v>0.99149466346929183</v>
      </c>
      <c r="H834" s="1">
        <f t="shared" si="193"/>
        <v>9.9149466346929174</v>
      </c>
      <c r="S834" s="2">
        <v>8.33</v>
      </c>
      <c r="T834" s="1">
        <f t="shared" si="186"/>
        <v>4.6773514128719724E-9</v>
      </c>
      <c r="U834" s="1">
        <f t="shared" si="187"/>
        <v>2.1593417103972586E-6</v>
      </c>
      <c r="V834" s="1">
        <f t="shared" si="188"/>
        <v>9.973410811573985E-2</v>
      </c>
      <c r="W834" s="1">
        <f t="shared" si="189"/>
        <v>8.8630628086718984E-5</v>
      </c>
      <c r="X834" s="1">
        <f t="shared" si="190"/>
        <v>1.795750790528741E-3</v>
      </c>
      <c r="Y834" s="1">
        <f t="shared" si="191"/>
        <v>1.7741850330726123E-3</v>
      </c>
      <c r="Z834" s="1">
        <f t="shared" si="192"/>
        <v>8.8709251653630611E-2</v>
      </c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</row>
    <row r="835" spans="1:44" ht="15" customHeight="1" x14ac:dyDescent="0.3">
      <c r="A835" s="2">
        <v>8.34</v>
      </c>
      <c r="B835" s="1">
        <f t="shared" ref="B835:B898" si="194">10^(-A835)</f>
        <v>4.570881896148741E-9</v>
      </c>
      <c r="C835" s="1">
        <f t="shared" ref="C835:C898" si="195">Kw/B835</f>
        <v>2.2096392401890523E-6</v>
      </c>
      <c r="D835" s="1">
        <f t="shared" ref="D835:D898" si="196">((WASB_Ca*WASB_Va)-(WASB_Cb*H835))/(WASB_Va+H835)</f>
        <v>1.3864909054218331E-4</v>
      </c>
      <c r="E835" s="1">
        <f t="shared" ref="E835:E898" si="197">(WASB_Ca*H835)/(WASB_Va+H835)</f>
        <v>3.3102251515763027E-3</v>
      </c>
      <c r="F835" s="1">
        <f t="shared" ref="F835:F898" si="198">WASB_Ka/(B835+WASB_Ka)</f>
        <v>0.99156045182276509</v>
      </c>
      <c r="G835" s="1">
        <f t="shared" ref="G835:G898" si="199">(F835-((B835-C835)/WASB_Ca)) / (1 + ((B835-C835)/WASB_Cb))</f>
        <v>0.99169257273981271</v>
      </c>
      <c r="H835" s="1">
        <f t="shared" si="193"/>
        <v>9.9169257273981266</v>
      </c>
      <c r="S835" s="2">
        <v>8.34</v>
      </c>
      <c r="T835" s="1">
        <f t="shared" ref="T835:T898" si="200">10^-S835</f>
        <v>4.570881896148741E-9</v>
      </c>
      <c r="U835" s="1">
        <f t="shared" ref="U835:U898" si="201">Kw/T835</f>
        <v>2.2096392401890523E-6</v>
      </c>
      <c r="V835" s="1">
        <f t="shared" ref="V835:V898" si="202">((SAWB_Cb*SAWB_Vb)-(SAWB_Ca*Z835))/(Z835+SAWB_Vb)</f>
        <v>9.9740293550806144E-2</v>
      </c>
      <c r="W835" s="1">
        <f t="shared" ref="W835:W898" si="203">(SAWB_Cb*Z835)/(Z835+SAWB_Vb)</f>
        <v>8.6568816397950113E-5</v>
      </c>
      <c r="X835" s="1">
        <f t="shared" ref="X835:X898" si="204">T835/(T835+SAWB_Ka)</f>
        <v>1.7549462477370176E-3</v>
      </c>
      <c r="Y835" s="1">
        <f t="shared" ref="Y835:Y898" si="205">(X835+((T835-U835)/SAWB_Cb))/(1-((T835-U835)/SAWB_Ca))</f>
        <v>1.73287645859885E-3</v>
      </c>
      <c r="Z835" s="1">
        <f t="shared" ref="Z835:Z898" si="206">(Y835*SAWB_Cb*SAWB_Vb)/SAWB_Ca</f>
        <v>8.6643822929942493E-2</v>
      </c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</row>
    <row r="836" spans="1:44" ht="15" customHeight="1" x14ac:dyDescent="0.3">
      <c r="A836" s="2">
        <v>8.35</v>
      </c>
      <c r="B836" s="1">
        <f t="shared" si="194"/>
        <v>4.4668359215096219E-9</v>
      </c>
      <c r="C836" s="1">
        <f t="shared" si="195"/>
        <v>2.2611083499540276E-6</v>
      </c>
      <c r="D836" s="1">
        <f t="shared" si="196"/>
        <v>1.3541328487249796E-4</v>
      </c>
      <c r="E836" s="1">
        <f t="shared" si="197"/>
        <v>3.3107644525212504E-3</v>
      </c>
      <c r="F836" s="1">
        <f t="shared" si="198"/>
        <v>0.99175097469294649</v>
      </c>
      <c r="G836" s="1">
        <f t="shared" si="199"/>
        <v>0.99188619008418555</v>
      </c>
      <c r="H836" s="1">
        <f t="shared" ref="H836:H899" si="207">G836*(WASB_Va * WASB_Ca)/WASB_Cb</f>
        <v>9.9188619008418542</v>
      </c>
      <c r="S836" s="2">
        <v>8.35</v>
      </c>
      <c r="T836" s="1">
        <f t="shared" si="200"/>
        <v>4.4668359215096219E-9</v>
      </c>
      <c r="U836" s="1">
        <f t="shared" si="201"/>
        <v>2.2611083499540276E-6</v>
      </c>
      <c r="V836" s="1">
        <f t="shared" si="202"/>
        <v>9.9746342386215714E-2</v>
      </c>
      <c r="W836" s="1">
        <f t="shared" si="203"/>
        <v>8.4552537928093209E-5</v>
      </c>
      <c r="X836" s="1">
        <f t="shared" si="204"/>
        <v>1.7150673066371261E-3</v>
      </c>
      <c r="Y836" s="1">
        <f t="shared" si="205"/>
        <v>1.6924817948734004E-3</v>
      </c>
      <c r="Z836" s="1">
        <f t="shared" si="206"/>
        <v>8.4624089743670028E-2</v>
      </c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</row>
    <row r="837" spans="1:44" ht="15" customHeight="1" x14ac:dyDescent="0.3">
      <c r="A837" s="2">
        <v>8.36</v>
      </c>
      <c r="B837" s="1">
        <f t="shared" si="194"/>
        <v>4.3651583224016521E-9</v>
      </c>
      <c r="C837" s="1">
        <f t="shared" si="195"/>
        <v>2.3137763292954546E-6</v>
      </c>
      <c r="D837" s="1">
        <f t="shared" si="196"/>
        <v>1.3224777801045245E-4</v>
      </c>
      <c r="E837" s="1">
        <f t="shared" si="197"/>
        <v>3.3112920369982577E-3</v>
      </c>
      <c r="F837" s="1">
        <f t="shared" si="198"/>
        <v>0.99193723148132651</v>
      </c>
      <c r="G837" s="1">
        <f t="shared" si="199"/>
        <v>0.99207561314490966</v>
      </c>
      <c r="H837" s="1">
        <f t="shared" si="207"/>
        <v>9.920756131449096</v>
      </c>
      <c r="S837" s="2">
        <v>8.36</v>
      </c>
      <c r="T837" s="1">
        <f t="shared" si="200"/>
        <v>4.3651583224016521E-9</v>
      </c>
      <c r="U837" s="1">
        <f t="shared" si="201"/>
        <v>2.3137763292954546E-6</v>
      </c>
      <c r="V837" s="1">
        <f t="shared" si="202"/>
        <v>9.9752257779863726E-2</v>
      </c>
      <c r="W837" s="1">
        <f t="shared" si="203"/>
        <v>8.258074004542392E-5</v>
      </c>
      <c r="X837" s="1">
        <f t="shared" si="204"/>
        <v>1.6760930426566844E-3</v>
      </c>
      <c r="Y837" s="1">
        <f t="shared" si="205"/>
        <v>1.6529798438963696E-3</v>
      </c>
      <c r="Z837" s="1">
        <f t="shared" si="206"/>
        <v>8.2648992194818485E-2</v>
      </c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</row>
    <row r="838" spans="1:44" ht="15" customHeight="1" x14ac:dyDescent="0.3">
      <c r="A838" s="2">
        <v>8.3699999999999992</v>
      </c>
      <c r="B838" s="1">
        <f t="shared" si="194"/>
        <v>4.265795188015919E-9</v>
      </c>
      <c r="C838" s="1">
        <f t="shared" si="195"/>
        <v>2.3676711034731252E-6</v>
      </c>
      <c r="D838" s="1">
        <f t="shared" si="196"/>
        <v>1.2915095850938316E-4</v>
      </c>
      <c r="E838" s="1">
        <f t="shared" si="197"/>
        <v>3.3118081735817695E-3</v>
      </c>
      <c r="F838" s="1">
        <f t="shared" si="198"/>
        <v>0.99211931614966975</v>
      </c>
      <c r="G838" s="1">
        <f t="shared" si="199"/>
        <v>0.99226093756275435</v>
      </c>
      <c r="H838" s="1">
        <f t="shared" si="207"/>
        <v>9.9226093756275429</v>
      </c>
      <c r="S838" s="2">
        <v>8.3699999999999992</v>
      </c>
      <c r="T838" s="1">
        <f t="shared" si="200"/>
        <v>4.265795188015919E-9</v>
      </c>
      <c r="U838" s="1">
        <f t="shared" si="201"/>
        <v>2.3676711034731252E-6</v>
      </c>
      <c r="V838" s="1">
        <f t="shared" si="202"/>
        <v>9.9758042821099457E-2</v>
      </c>
      <c r="W838" s="1">
        <f t="shared" si="203"/>
        <v>8.0652392966846034E-5</v>
      </c>
      <c r="X838" s="1">
        <f t="shared" si="204"/>
        <v>1.638003001036977E-3</v>
      </c>
      <c r="Y838" s="1">
        <f t="shared" si="205"/>
        <v>1.6143498711388513E-3</v>
      </c>
      <c r="Z838" s="1">
        <f t="shared" si="206"/>
        <v>8.0717493556942563E-2</v>
      </c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</row>
    <row r="839" spans="1:44" ht="15" customHeight="1" x14ac:dyDescent="0.3">
      <c r="A839" s="2">
        <v>8.3800000000000008</v>
      </c>
      <c r="B839" s="1">
        <f t="shared" si="194"/>
        <v>4.1686938347033319E-9</v>
      </c>
      <c r="C839" s="1">
        <f t="shared" si="195"/>
        <v>2.4228212482096982E-6</v>
      </c>
      <c r="D839" s="1">
        <f t="shared" si="196"/>
        <v>1.2612124836810184E-4</v>
      </c>
      <c r="E839" s="1">
        <f t="shared" si="197"/>
        <v>3.3123131252719832E-3</v>
      </c>
      <c r="F839" s="1">
        <f t="shared" si="198"/>
        <v>0.99229732065999299</v>
      </c>
      <c r="G839" s="1">
        <f t="shared" si="199"/>
        <v>0.99244225701771172</v>
      </c>
      <c r="H839" s="1">
        <f t="shared" si="207"/>
        <v>9.924422570177116</v>
      </c>
      <c r="S839" s="2">
        <v>8.3800000000000008</v>
      </c>
      <c r="T839" s="1">
        <f t="shared" si="200"/>
        <v>4.1686938347033319E-9</v>
      </c>
      <c r="U839" s="1">
        <f t="shared" si="201"/>
        <v>2.4228212482096982E-6</v>
      </c>
      <c r="V839" s="1">
        <f t="shared" si="202"/>
        <v>9.9763700532265756E-2</v>
      </c>
      <c r="W839" s="1">
        <f t="shared" si="203"/>
        <v>7.8766489244745978E-5</v>
      </c>
      <c r="X839" s="1">
        <f t="shared" si="204"/>
        <v>1.6007771864290504E-3</v>
      </c>
      <c r="Y839" s="1">
        <f t="shared" si="205"/>
        <v>1.5765715949907235E-3</v>
      </c>
      <c r="Z839" s="1">
        <f t="shared" si="206"/>
        <v>7.8828579749536179E-2</v>
      </c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</row>
    <row r="840" spans="1:44" ht="15" customHeight="1" x14ac:dyDescent="0.3">
      <c r="A840" s="2">
        <v>8.39</v>
      </c>
      <c r="B840" s="1">
        <f t="shared" si="194"/>
        <v>4.0738027780411214E-9</v>
      </c>
      <c r="C840" s="1">
        <f t="shared" si="195"/>
        <v>2.479256004841884E-6</v>
      </c>
      <c r="D840" s="1">
        <f t="shared" si="196"/>
        <v>1.2315710232542736E-4</v>
      </c>
      <c r="E840" s="1">
        <f t="shared" si="197"/>
        <v>3.3128071496124293E-3</v>
      </c>
      <c r="F840" s="1">
        <f t="shared" si="198"/>
        <v>0.99247133501399121</v>
      </c>
      <c r="G840" s="1">
        <f t="shared" si="199"/>
        <v>0.99261966326933382</v>
      </c>
      <c r="H840" s="1">
        <f t="shared" si="207"/>
        <v>9.9261966326933369</v>
      </c>
      <c r="S840" s="2">
        <v>8.39</v>
      </c>
      <c r="T840" s="1">
        <f t="shared" si="200"/>
        <v>4.0738027780411214E-9</v>
      </c>
      <c r="U840" s="1">
        <f t="shared" si="201"/>
        <v>2.479256004841884E-6</v>
      </c>
      <c r="V840" s="1">
        <f t="shared" si="202"/>
        <v>9.9769233870207322E-2</v>
      </c>
      <c r="W840" s="1">
        <f t="shared" si="203"/>
        <v>7.6922043264228469E-5</v>
      </c>
      <c r="X840" s="1">
        <f t="shared" si="204"/>
        <v>1.5643960527137E-3</v>
      </c>
      <c r="Y840" s="1">
        <f t="shared" si="205"/>
        <v>1.5396251764288891E-3</v>
      </c>
      <c r="Z840" s="1">
        <f t="shared" si="206"/>
        <v>7.6981258821444451E-2</v>
      </c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</row>
    <row r="841" spans="1:44" ht="15" customHeight="1" x14ac:dyDescent="0.3">
      <c r="A841" s="2">
        <v>8.4</v>
      </c>
      <c r="B841" s="1">
        <f t="shared" si="194"/>
        <v>3.9810717055349665E-9</v>
      </c>
      <c r="C841" s="1">
        <f t="shared" si="195"/>
        <v>2.5370052958246796E-6</v>
      </c>
      <c r="D841" s="1">
        <f t="shared" si="196"/>
        <v>1.2025700716637518E-4</v>
      </c>
      <c r="E841" s="1">
        <f t="shared" si="197"/>
        <v>3.313290498805604E-3</v>
      </c>
      <c r="F841" s="1">
        <f t="shared" si="198"/>
        <v>0.99264144729182802</v>
      </c>
      <c r="G841" s="1">
        <f t="shared" si="199"/>
        <v>0.99279324619645548</v>
      </c>
      <c r="H841" s="1">
        <f t="shared" si="207"/>
        <v>9.9279324619645539</v>
      </c>
      <c r="S841" s="2">
        <v>8.4</v>
      </c>
      <c r="T841" s="1">
        <f t="shared" si="200"/>
        <v>3.9810717055349665E-9</v>
      </c>
      <c r="U841" s="1">
        <f t="shared" si="201"/>
        <v>2.5370052958246796E-6</v>
      </c>
      <c r="V841" s="1">
        <f t="shared" si="202"/>
        <v>9.9774645727748426E-2</v>
      </c>
      <c r="W841" s="1">
        <f t="shared" si="203"/>
        <v>7.511809075052627E-5</v>
      </c>
      <c r="X841" s="1">
        <f t="shared" si="204"/>
        <v>1.5288404930407099E-3</v>
      </c>
      <c r="Y841" s="1">
        <f t="shared" si="205"/>
        <v>1.5034912089012542E-3</v>
      </c>
      <c r="Z841" s="1">
        <f t="shared" si="206"/>
        <v>7.5174560445062696E-2</v>
      </c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</row>
    <row r="842" spans="1:44" ht="15" customHeight="1" x14ac:dyDescent="0.3">
      <c r="A842" s="2">
        <v>8.41</v>
      </c>
      <c r="B842" s="1">
        <f t="shared" si="194"/>
        <v>3.8904514499428009E-9</v>
      </c>
      <c r="C842" s="1">
        <f t="shared" si="195"/>
        <v>2.5960997405965555E-6</v>
      </c>
      <c r="D842" s="1">
        <f t="shared" si="196"/>
        <v>1.1741948103977978E-4</v>
      </c>
      <c r="E842" s="1">
        <f t="shared" si="197"/>
        <v>3.3137634198267033E-3</v>
      </c>
      <c r="F842" s="1">
        <f t="shared" si="198"/>
        <v>0.99280774369029834</v>
      </c>
      <c r="G842" s="1">
        <f t="shared" si="199"/>
        <v>0.99296309383631187</v>
      </c>
      <c r="H842" s="1">
        <f t="shared" si="207"/>
        <v>9.9296309383631183</v>
      </c>
      <c r="S842" s="2">
        <v>8.41</v>
      </c>
      <c r="T842" s="1">
        <f t="shared" si="200"/>
        <v>3.8904514499428009E-9</v>
      </c>
      <c r="U842" s="1">
        <f t="shared" si="201"/>
        <v>2.5960997405965555E-6</v>
      </c>
      <c r="V842" s="1">
        <f t="shared" si="202"/>
        <v>9.9779938935140811E-2</v>
      </c>
      <c r="W842" s="1">
        <f t="shared" si="203"/>
        <v>7.3353688286395002E-5</v>
      </c>
      <c r="X842" s="1">
        <f t="shared" si="204"/>
        <v>1.4940918300831176E-3</v>
      </c>
      <c r="Y842" s="1">
        <f t="shared" si="205"/>
        <v>1.4681507084221305E-3</v>
      </c>
      <c r="Z842" s="1">
        <f t="shared" si="206"/>
        <v>7.3407535421106535E-2</v>
      </c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</row>
    <row r="843" spans="1:44" ht="15" customHeight="1" x14ac:dyDescent="0.3">
      <c r="A843" s="2">
        <v>8.42</v>
      </c>
      <c r="B843" s="1">
        <f t="shared" si="194"/>
        <v>3.8018939632056068E-9</v>
      </c>
      <c r="C843" s="1">
        <f t="shared" si="195"/>
        <v>2.6565706718143393E-6</v>
      </c>
      <c r="D843" s="1">
        <f t="shared" si="196"/>
        <v>1.1464307278736803E-4</v>
      </c>
      <c r="E843" s="1">
        <f t="shared" si="197"/>
        <v>3.3142261545354391E-3</v>
      </c>
      <c r="F843" s="1">
        <f t="shared" si="198"/>
        <v>0.99297030856036084</v>
      </c>
      <c r="G843" s="1">
        <f t="shared" si="199"/>
        <v>0.99312929242304648</v>
      </c>
      <c r="H843" s="1">
        <f t="shared" si="207"/>
        <v>9.9312929242304637</v>
      </c>
      <c r="S843" s="2">
        <v>8.42</v>
      </c>
      <c r="T843" s="1">
        <f t="shared" si="200"/>
        <v>3.8018939632056068E-9</v>
      </c>
      <c r="U843" s="1">
        <f t="shared" si="201"/>
        <v>2.6565706718143393E-6</v>
      </c>
      <c r="V843" s="1">
        <f t="shared" si="202"/>
        <v>9.9785116261482149E-2</v>
      </c>
      <c r="W843" s="1">
        <f t="shared" si="203"/>
        <v>7.1627912839285251E-5</v>
      </c>
      <c r="X843" s="1">
        <f t="shared" si="204"/>
        <v>1.4601318065019164E-3</v>
      </c>
      <c r="Y843" s="1">
        <f t="shared" si="205"/>
        <v>1.4335851038743852E-3</v>
      </c>
      <c r="Z843" s="1">
        <f t="shared" si="206"/>
        <v>7.167925519371926E-2</v>
      </c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</row>
    <row r="844" spans="1:44" ht="15" customHeight="1" x14ac:dyDescent="0.3">
      <c r="A844" s="2">
        <v>8.43</v>
      </c>
      <c r="B844" s="1">
        <f t="shared" si="194"/>
        <v>3.7153522909717206E-9</v>
      </c>
      <c r="C844" s="1">
        <f t="shared" si="195"/>
        <v>2.718450151966188E-6</v>
      </c>
      <c r="D844" s="1">
        <f t="shared" si="196"/>
        <v>1.1192636128403937E-4</v>
      </c>
      <c r="E844" s="1">
        <f t="shared" si="197"/>
        <v>3.3146789397859935E-3</v>
      </c>
      <c r="F844" s="1">
        <f t="shared" si="198"/>
        <v>0.99312922444404894</v>
      </c>
      <c r="G844" s="1">
        <f t="shared" si="199"/>
        <v>0.99329192642562181</v>
      </c>
      <c r="H844" s="1">
        <f t="shared" si="207"/>
        <v>9.932919264256217</v>
      </c>
      <c r="S844" s="2">
        <v>8.43</v>
      </c>
      <c r="T844" s="1">
        <f t="shared" si="200"/>
        <v>3.7153522909717206E-9</v>
      </c>
      <c r="U844" s="1">
        <f t="shared" si="201"/>
        <v>2.718450151966188E-6</v>
      </c>
      <c r="V844" s="1">
        <f t="shared" si="202"/>
        <v>9.9790180416105684E-2</v>
      </c>
      <c r="W844" s="1">
        <f t="shared" si="203"/>
        <v>6.9939861298105112E-5</v>
      </c>
      <c r="X844" s="1">
        <f t="shared" si="204"/>
        <v>1.4269425756170448E-3</v>
      </c>
      <c r="Y844" s="1">
        <f t="shared" si="205"/>
        <v>1.3997762275141097E-3</v>
      </c>
      <c r="Z844" s="1">
        <f t="shared" si="206"/>
        <v>6.9988811375705479E-2</v>
      </c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</row>
    <row r="845" spans="1:44" ht="15" customHeight="1" x14ac:dyDescent="0.3">
      <c r="A845" s="2">
        <v>8.44</v>
      </c>
      <c r="B845" s="1">
        <f t="shared" si="194"/>
        <v>3.6307805477010094E-9</v>
      </c>
      <c r="C845" s="1">
        <f t="shared" si="195"/>
        <v>2.7817709903715508E-6</v>
      </c>
      <c r="D845" s="1">
        <f t="shared" si="196"/>
        <v>1.0926795478927531E-4</v>
      </c>
      <c r="E845" s="1">
        <f t="shared" si="197"/>
        <v>3.3151220075351207E-3</v>
      </c>
      <c r="F845" s="1">
        <f t="shared" si="198"/>
        <v>0.99328457211076393</v>
      </c>
      <c r="G845" s="1">
        <f t="shared" si="199"/>
        <v>0.99345107858513426</v>
      </c>
      <c r="H845" s="1">
        <f t="shared" si="207"/>
        <v>9.9345107858513426</v>
      </c>
      <c r="S845" s="2">
        <v>8.44</v>
      </c>
      <c r="T845" s="1">
        <f t="shared" si="200"/>
        <v>3.6307805477010094E-9</v>
      </c>
      <c r="U845" s="1">
        <f t="shared" si="201"/>
        <v>2.7817709903715508E-6</v>
      </c>
      <c r="V845" s="1">
        <f t="shared" si="202"/>
        <v>9.9795134049941864E-2</v>
      </c>
      <c r="W845" s="1">
        <f t="shared" si="203"/>
        <v>6.8288650019378622E-5</v>
      </c>
      <c r="X845" s="1">
        <f t="shared" si="204"/>
        <v>1.3945066922803995E-3</v>
      </c>
      <c r="Y845" s="1">
        <f t="shared" si="205"/>
        <v>1.3667063056734467E-3</v>
      </c>
      <c r="Z845" s="1">
        <f t="shared" si="206"/>
        <v>6.8335315283672329E-2</v>
      </c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</row>
    <row r="846" spans="1:44" ht="15" customHeight="1" x14ac:dyDescent="0.3">
      <c r="A846" s="2">
        <v>8.4499999999999993</v>
      </c>
      <c r="B846" s="1">
        <f t="shared" si="194"/>
        <v>3.5481338923357512E-9</v>
      </c>
      <c r="C846" s="1">
        <f t="shared" si="195"/>
        <v>2.846566760577101E-6</v>
      </c>
      <c r="D846" s="1">
        <f t="shared" si="196"/>
        <v>1.0666649030954181E-4</v>
      </c>
      <c r="E846" s="1">
        <f t="shared" si="197"/>
        <v>3.3155555849484096E-3</v>
      </c>
      <c r="F846" s="1">
        <f t="shared" si="198"/>
        <v>0.99343643059295195</v>
      </c>
      <c r="G846" s="1">
        <f t="shared" si="199"/>
        <v>0.99360682995153771</v>
      </c>
      <c r="H846" s="1">
        <f t="shared" si="207"/>
        <v>9.9360682995153766</v>
      </c>
      <c r="S846" s="2">
        <v>8.4499999999999993</v>
      </c>
      <c r="T846" s="1">
        <f t="shared" si="200"/>
        <v>3.5481338923357512E-9</v>
      </c>
      <c r="U846" s="1">
        <f t="shared" si="201"/>
        <v>2.846566760577101E-6</v>
      </c>
      <c r="V846" s="1">
        <f t="shared" si="202"/>
        <v>9.9799979756852147E-2</v>
      </c>
      <c r="W846" s="1">
        <f t="shared" si="203"/>
        <v>6.6673414382612063E-5</v>
      </c>
      <c r="X846" s="1">
        <f t="shared" si="204"/>
        <v>1.3628071039467392E-3</v>
      </c>
      <c r="Y846" s="1">
        <f t="shared" si="205"/>
        <v>1.3343579496573636E-3</v>
      </c>
      <c r="Z846" s="1">
        <f t="shared" si="206"/>
        <v>6.6717897482868174E-2</v>
      </c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</row>
    <row r="847" spans="1:44" ht="15" customHeight="1" x14ac:dyDescent="0.3">
      <c r="A847" s="2">
        <v>8.4600000000000009</v>
      </c>
      <c r="B847" s="1">
        <f t="shared" si="194"/>
        <v>3.467368504525301E-9</v>
      </c>
      <c r="C847" s="1">
        <f t="shared" si="195"/>
        <v>2.912871818157885E-6</v>
      </c>
      <c r="D847" s="1">
        <f t="shared" si="196"/>
        <v>1.0412063297152011E-4</v>
      </c>
      <c r="E847" s="1">
        <f t="shared" si="197"/>
        <v>3.3159798945047465E-3</v>
      </c>
      <c r="F847" s="1">
        <f t="shared" si="198"/>
        <v>0.99358487722117284</v>
      </c>
      <c r="G847" s="1">
        <f t="shared" si="199"/>
        <v>0.99375925991978253</v>
      </c>
      <c r="H847" s="1">
        <f t="shared" si="207"/>
        <v>9.9375925991978242</v>
      </c>
      <c r="S847" s="2">
        <v>8.4600000000000009</v>
      </c>
      <c r="T847" s="1">
        <f t="shared" si="200"/>
        <v>3.467368504525301E-9</v>
      </c>
      <c r="U847" s="1">
        <f t="shared" si="201"/>
        <v>2.912871818157885E-6</v>
      </c>
      <c r="V847" s="1">
        <f t="shared" si="202"/>
        <v>9.980472007493596E-2</v>
      </c>
      <c r="W847" s="1">
        <f t="shared" si="203"/>
        <v>6.5093308354681261E-5</v>
      </c>
      <c r="X847" s="1">
        <f t="shared" si="204"/>
        <v>1.3318271419384122E-3</v>
      </c>
      <c r="Y847" s="1">
        <f t="shared" si="205"/>
        <v>1.3027141468302016E-3</v>
      </c>
      <c r="Z847" s="1">
        <f t="shared" si="206"/>
        <v>6.5135707341510071E-2</v>
      </c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</row>
    <row r="848" spans="1:44" ht="15" customHeight="1" x14ac:dyDescent="0.3">
      <c r="A848" s="2">
        <v>8.4700000000000006</v>
      </c>
      <c r="B848" s="1">
        <f t="shared" si="194"/>
        <v>3.3884415613920108E-9</v>
      </c>
      <c r="C848" s="1">
        <f t="shared" si="195"/>
        <v>2.9807213189330624E-6</v>
      </c>
      <c r="D848" s="1">
        <f t="shared" si="196"/>
        <v>1.0162907540603192E-4</v>
      </c>
      <c r="E848" s="1">
        <f t="shared" si="197"/>
        <v>3.3163951540989942E-3</v>
      </c>
      <c r="F848" s="1">
        <f t="shared" si="198"/>
        <v>0.99372998765856624</v>
      </c>
      <c r="G848" s="1">
        <f t="shared" si="199"/>
        <v>0.99390844626537644</v>
      </c>
      <c r="H848" s="1">
        <f t="shared" si="207"/>
        <v>9.9390844626537636</v>
      </c>
      <c r="S848" s="2">
        <v>8.4700000000000006</v>
      </c>
      <c r="T848" s="1">
        <f t="shared" si="200"/>
        <v>3.3884415613920108E-9</v>
      </c>
      <c r="U848" s="1">
        <f t="shared" si="201"/>
        <v>2.9807213189330624E-6</v>
      </c>
      <c r="V848" s="1">
        <f t="shared" si="202"/>
        <v>9.9809357487810821E-2</v>
      </c>
      <c r="W848" s="1">
        <f t="shared" si="203"/>
        <v>6.3547504063057888E-5</v>
      </c>
      <c r="X848" s="1">
        <f t="shared" si="204"/>
        <v>1.3015505128999422E-3</v>
      </c>
      <c r="Y848" s="1">
        <f t="shared" si="205"/>
        <v>1.2717582518879487E-3</v>
      </c>
      <c r="Z848" s="1">
        <f t="shared" si="206"/>
        <v>6.358791259439743E-2</v>
      </c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</row>
    <row r="849" spans="1:44" ht="15" customHeight="1" x14ac:dyDescent="0.3">
      <c r="A849" s="2">
        <v>8.48</v>
      </c>
      <c r="B849" s="1">
        <f t="shared" si="194"/>
        <v>3.3113112148258966E-9</v>
      </c>
      <c r="C849" s="1">
        <f t="shared" si="195"/>
        <v>3.0501512376060492E-6</v>
      </c>
      <c r="D849" s="1">
        <f t="shared" si="196"/>
        <v>9.9190537142535289E-5</v>
      </c>
      <c r="E849" s="1">
        <f t="shared" si="197"/>
        <v>3.316801577142911E-3</v>
      </c>
      <c r="F849" s="1">
        <f t="shared" si="198"/>
        <v>0.99387183593471773</v>
      </c>
      <c r="G849" s="1">
        <f t="shared" si="199"/>
        <v>0.99405446517937246</v>
      </c>
      <c r="H849" s="1">
        <f t="shared" si="207"/>
        <v>9.9405446517937239</v>
      </c>
      <c r="S849" s="2">
        <v>8.48</v>
      </c>
      <c r="T849" s="1">
        <f t="shared" si="200"/>
        <v>3.3113112148258966E-9</v>
      </c>
      <c r="U849" s="1">
        <f t="shared" si="201"/>
        <v>3.0501512376060492E-6</v>
      </c>
      <c r="V849" s="1">
        <f t="shared" si="202"/>
        <v>9.9813894425866925E-2</v>
      </c>
      <c r="W849" s="1">
        <f t="shared" si="203"/>
        <v>6.2035191377689613E-5</v>
      </c>
      <c r="X849" s="1">
        <f t="shared" si="204"/>
        <v>1.2719612904384782E-3</v>
      </c>
      <c r="Y849" s="1">
        <f t="shared" si="205"/>
        <v>1.2414739783121426E-3</v>
      </c>
      <c r="Z849" s="1">
        <f t="shared" si="206"/>
        <v>6.2073698915607121E-2</v>
      </c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</row>
    <row r="850" spans="1:44" ht="15" customHeight="1" x14ac:dyDescent="0.3">
      <c r="A850" s="2">
        <v>8.49</v>
      </c>
      <c r="B850" s="1">
        <f t="shared" si="194"/>
        <v>3.2359365692962808E-9</v>
      </c>
      <c r="C850" s="1">
        <f t="shared" si="195"/>
        <v>3.1211983868387279E-6</v>
      </c>
      <c r="D850" s="1">
        <f t="shared" si="196"/>
        <v>9.6803764014034507E-5</v>
      </c>
      <c r="E850" s="1">
        <f t="shared" si="197"/>
        <v>3.3171993726643272E-3</v>
      </c>
      <c r="F850" s="1">
        <f t="shared" si="198"/>
        <v>0.99401049447893208</v>
      </c>
      <c r="G850" s="1">
        <f t="shared" si="199"/>
        <v>0.99419739130278795</v>
      </c>
      <c r="H850" s="1">
        <f t="shared" si="207"/>
        <v>9.9419739130278781</v>
      </c>
      <c r="S850" s="2">
        <v>8.49</v>
      </c>
      <c r="T850" s="1">
        <f t="shared" si="200"/>
        <v>3.2359365692962808E-9</v>
      </c>
      <c r="U850" s="1">
        <f t="shared" si="201"/>
        <v>3.1211983868387279E-6</v>
      </c>
      <c r="V850" s="1">
        <f t="shared" si="202"/>
        <v>9.9818333267495923E-2</v>
      </c>
      <c r="W850" s="1">
        <f t="shared" si="203"/>
        <v>6.0555577501361265E-5</v>
      </c>
      <c r="X850" s="1">
        <f t="shared" si="204"/>
        <v>1.2430439069463662E-3</v>
      </c>
      <c r="Y850" s="1">
        <f t="shared" si="205"/>
        <v>1.2118453900015643E-3</v>
      </c>
      <c r="Z850" s="1">
        <f t="shared" si="206"/>
        <v>6.0592269500078212E-2</v>
      </c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</row>
    <row r="851" spans="1:44" ht="15" customHeight="1" x14ac:dyDescent="0.3">
      <c r="A851" s="2">
        <v>8.5</v>
      </c>
      <c r="B851" s="1">
        <f t="shared" si="194"/>
        <v>3.1622776601683779E-9</v>
      </c>
      <c r="C851" s="1">
        <f t="shared" si="195"/>
        <v>3.1939004367700643E-6</v>
      </c>
      <c r="D851" s="1">
        <f t="shared" si="196"/>
        <v>9.4467527572211817E-5</v>
      </c>
      <c r="E851" s="1">
        <f t="shared" si="197"/>
        <v>3.3175887454046315E-3</v>
      </c>
      <c r="F851" s="1">
        <f t="shared" si="198"/>
        <v>0.99414603415292135</v>
      </c>
      <c r="G851" s="1">
        <f t="shared" si="199"/>
        <v>0.99433729776046675</v>
      </c>
      <c r="H851" s="1">
        <f t="shared" si="207"/>
        <v>9.9433729776046675</v>
      </c>
      <c r="S851" s="2">
        <v>8.5</v>
      </c>
      <c r="T851" s="1">
        <f t="shared" si="200"/>
        <v>3.1622776601683779E-9</v>
      </c>
      <c r="U851" s="1">
        <f t="shared" si="201"/>
        <v>3.1939004367700643E-6</v>
      </c>
      <c r="V851" s="1">
        <f t="shared" si="202"/>
        <v>9.982267634029493E-2</v>
      </c>
      <c r="W851" s="1">
        <f t="shared" si="203"/>
        <v>5.9107886568355264E-5</v>
      </c>
      <c r="X851" s="1">
        <f t="shared" si="204"/>
        <v>1.2147831456019583E-3</v>
      </c>
      <c r="Y851" s="1">
        <f t="shared" si="205"/>
        <v>1.1828568930777317E-3</v>
      </c>
      <c r="Z851" s="1">
        <f t="shared" si="206"/>
        <v>5.9142844653886584E-2</v>
      </c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</row>
    <row r="852" spans="1:44" ht="15" customHeight="1" x14ac:dyDescent="0.3">
      <c r="A852" s="2">
        <v>8.51</v>
      </c>
      <c r="B852" s="1">
        <f t="shared" si="194"/>
        <v>3.0902954325135894E-9</v>
      </c>
      <c r="C852" s="1">
        <f t="shared" si="195"/>
        <v>3.2682959349892464E-6</v>
      </c>
      <c r="D852" s="1">
        <f t="shared" si="196"/>
        <v>9.2180624512738576E-5</v>
      </c>
      <c r="E852" s="1">
        <f t="shared" si="197"/>
        <v>3.3179698959145435E-3</v>
      </c>
      <c r="F852" s="1">
        <f t="shared" si="198"/>
        <v>0.99427852428290953</v>
      </c>
      <c r="G852" s="1">
        <f t="shared" si="199"/>
        <v>0.99447425619438456</v>
      </c>
      <c r="H852" s="1">
        <f t="shared" si="207"/>
        <v>9.9447425619438459</v>
      </c>
      <c r="S852" s="2">
        <v>8.51</v>
      </c>
      <c r="T852" s="1">
        <f t="shared" si="200"/>
        <v>3.0902954325135894E-9</v>
      </c>
      <c r="U852" s="1">
        <f t="shared" si="201"/>
        <v>3.2682959349892464E-6</v>
      </c>
      <c r="V852" s="1">
        <f t="shared" si="202"/>
        <v>9.9826925922246262E-2</v>
      </c>
      <c r="W852" s="1">
        <f t="shared" si="203"/>
        <v>5.769135925124392E-5</v>
      </c>
      <c r="X852" s="1">
        <f t="shared" si="204"/>
        <v>1.1871641325450542E-3</v>
      </c>
      <c r="Y852" s="1">
        <f t="shared" si="205"/>
        <v>1.1544932278604947E-3</v>
      </c>
      <c r="Z852" s="1">
        <f t="shared" si="206"/>
        <v>5.7724661393024734E-2</v>
      </c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</row>
    <row r="853" spans="1:44" ht="15" customHeight="1" x14ac:dyDescent="0.3">
      <c r="A853" s="2">
        <v>8.52</v>
      </c>
      <c r="B853" s="1">
        <f t="shared" si="194"/>
        <v>3.0199517204020151E-9</v>
      </c>
      <c r="C853" s="1">
        <f t="shared" si="195"/>
        <v>3.344424326974171E-6</v>
      </c>
      <c r="D853" s="1">
        <f t="shared" si="196"/>
        <v>8.9941876110476903E-5</v>
      </c>
      <c r="E853" s="1">
        <f t="shared" si="197"/>
        <v>3.318343020648254E-3</v>
      </c>
      <c r="F853" s="1">
        <f t="shared" si="198"/>
        <v>0.99440803269116518</v>
      </c>
      <c r="G853" s="1">
        <f t="shared" si="199"/>
        <v>0.99460833679641025</v>
      </c>
      <c r="H853" s="1">
        <f t="shared" si="207"/>
        <v>9.9460833679641016</v>
      </c>
      <c r="S853" s="2">
        <v>8.52</v>
      </c>
      <c r="T853" s="1">
        <f t="shared" si="200"/>
        <v>3.0199517204020151E-9</v>
      </c>
      <c r="U853" s="1">
        <f t="shared" si="201"/>
        <v>3.344424326974171E-6</v>
      </c>
      <c r="V853" s="1">
        <f t="shared" si="202"/>
        <v>9.9831084242873083E-2</v>
      </c>
      <c r="W853" s="1">
        <f t="shared" si="203"/>
        <v>5.6305252375636872E-5</v>
      </c>
      <c r="X853" s="1">
        <f t="shared" si="204"/>
        <v>1.1601723292232365E-3</v>
      </c>
      <c r="Y853" s="1">
        <f t="shared" si="205"/>
        <v>1.1267394610098749E-3</v>
      </c>
      <c r="Z853" s="1">
        <f t="shared" si="206"/>
        <v>5.6336973050493747E-2</v>
      </c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</row>
    <row r="854" spans="1:44" ht="15" customHeight="1" x14ac:dyDescent="0.3">
      <c r="A854" s="2">
        <v>8.5299999999999994</v>
      </c>
      <c r="B854" s="1">
        <f t="shared" si="194"/>
        <v>2.9512092266663855E-9</v>
      </c>
      <c r="C854" s="1">
        <f t="shared" si="195"/>
        <v>3.4223259770059457E-6</v>
      </c>
      <c r="D854" s="1">
        <f t="shared" si="196"/>
        <v>8.7750127664528964E-5</v>
      </c>
      <c r="E854" s="1">
        <f t="shared" si="197"/>
        <v>3.3187083120559116E-3</v>
      </c>
      <c r="F854" s="1">
        <f t="shared" si="198"/>
        <v>0.99453462572696338</v>
      </c>
      <c r="G854" s="1">
        <f t="shared" si="199"/>
        <v>0.99473960834052499</v>
      </c>
      <c r="H854" s="1">
        <f t="shared" si="207"/>
        <v>9.9473960834052502</v>
      </c>
      <c r="S854" s="2">
        <v>8.5299999999999994</v>
      </c>
      <c r="T854" s="1">
        <f t="shared" si="200"/>
        <v>2.9512092266663855E-9</v>
      </c>
      <c r="U854" s="1">
        <f t="shared" si="201"/>
        <v>3.4223259770059457E-6</v>
      </c>
      <c r="V854" s="1">
        <f t="shared" si="202"/>
        <v>9.9835153484371844E-2</v>
      </c>
      <c r="W854" s="1">
        <f t="shared" si="203"/>
        <v>5.4948838542719768E-5</v>
      </c>
      <c r="X854" s="1">
        <f t="shared" si="204"/>
        <v>1.1337935249055961E-3</v>
      </c>
      <c r="Y854" s="1">
        <f t="shared" si="205"/>
        <v>1.0995809778305498E-3</v>
      </c>
      <c r="Z854" s="1">
        <f t="shared" si="206"/>
        <v>5.4979048891527493E-2</v>
      </c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</row>
    <row r="855" spans="1:44" ht="15" customHeight="1" x14ac:dyDescent="0.3">
      <c r="A855" s="2">
        <v>8.5399999999999991</v>
      </c>
      <c r="B855" s="1">
        <f t="shared" si="194"/>
        <v>2.8840315031266055E-9</v>
      </c>
      <c r="C855" s="1">
        <f t="shared" si="195"/>
        <v>3.50204218957057E-6</v>
      </c>
      <c r="D855" s="1">
        <f t="shared" si="196"/>
        <v>8.5604247952932914E-5</v>
      </c>
      <c r="E855" s="1">
        <f t="shared" si="197"/>
        <v>3.3190659586745117E-3</v>
      </c>
      <c r="F855" s="1">
        <f t="shared" si="198"/>
        <v>0.99465836829698773</v>
      </c>
      <c r="G855" s="1">
        <f t="shared" si="199"/>
        <v>0.99486813821451148</v>
      </c>
      <c r="H855" s="1">
        <f t="shared" si="207"/>
        <v>9.9486813821451143</v>
      </c>
      <c r="S855" s="2">
        <v>8.5399999999999991</v>
      </c>
      <c r="T855" s="1">
        <f t="shared" si="200"/>
        <v>2.8840315031266055E-9</v>
      </c>
      <c r="U855" s="1">
        <f t="shared" si="201"/>
        <v>3.50204218957057E-6</v>
      </c>
      <c r="V855" s="1">
        <f t="shared" si="202"/>
        <v>9.9839135782721744E-2</v>
      </c>
      <c r="W855" s="1">
        <f t="shared" si="203"/>
        <v>5.3621405759416647E-5</v>
      </c>
      <c r="X855" s="1">
        <f t="shared" si="204"/>
        <v>1.1080138293603193E-3</v>
      </c>
      <c r="Y855" s="1">
        <f t="shared" si="205"/>
        <v>1.0730034747353334E-3</v>
      </c>
      <c r="Z855" s="1">
        <f t="shared" si="206"/>
        <v>5.3650173736766671E-2</v>
      </c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</row>
    <row r="856" spans="1:44" ht="15" customHeight="1" x14ac:dyDescent="0.3">
      <c r="A856" s="2">
        <v>8.5500000000000007</v>
      </c>
      <c r="B856" s="1">
        <f t="shared" si="194"/>
        <v>2.818382931264444E-9</v>
      </c>
      <c r="C856" s="1">
        <f t="shared" si="195"/>
        <v>3.5836152312591245E-6</v>
      </c>
      <c r="D856" s="1">
        <f t="shared" si="196"/>
        <v>8.3503128696850597E-5</v>
      </c>
      <c r="E856" s="1">
        <f t="shared" si="197"/>
        <v>3.319416145217192E-3</v>
      </c>
      <c r="F856" s="1">
        <f t="shared" si="198"/>
        <v>0.99477932389517598</v>
      </c>
      <c r="G856" s="1">
        <f t="shared" si="199"/>
        <v>0.99499399245111508</v>
      </c>
      <c r="H856" s="1">
        <f t="shared" si="207"/>
        <v>9.9499399245111508</v>
      </c>
      <c r="S856" s="2">
        <v>8.5500000000000007</v>
      </c>
      <c r="T856" s="1">
        <f t="shared" si="200"/>
        <v>2.818382931264444E-9</v>
      </c>
      <c r="U856" s="1">
        <f t="shared" si="201"/>
        <v>3.5836152312591245E-6</v>
      </c>
      <c r="V856" s="1">
        <f t="shared" si="202"/>
        <v>9.9843033228771971E-2</v>
      </c>
      <c r="W856" s="1">
        <f t="shared" si="203"/>
        <v>5.2322257076013368E-5</v>
      </c>
      <c r="X856" s="1">
        <f t="shared" si="204"/>
        <v>1.0828196656926992E-3</v>
      </c>
      <c r="Y856" s="1">
        <f t="shared" si="205"/>
        <v>1.0469929518641093E-3</v>
      </c>
      <c r="Z856" s="1">
        <f t="shared" si="206"/>
        <v>5.234964759320547E-2</v>
      </c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</row>
    <row r="857" spans="1:44" ht="15" customHeight="1" x14ac:dyDescent="0.3">
      <c r="A857" s="2">
        <v>8.56</v>
      </c>
      <c r="B857" s="1">
        <f t="shared" si="194"/>
        <v>2.7542287033381568E-9</v>
      </c>
      <c r="C857" s="1">
        <f t="shared" si="195"/>
        <v>3.6670883531780362E-6</v>
      </c>
      <c r="D857" s="1">
        <f t="shared" si="196"/>
        <v>8.1445684034097353E-5</v>
      </c>
      <c r="E857" s="1">
        <f t="shared" si="197"/>
        <v>3.3197590526609835E-3</v>
      </c>
      <c r="F857" s="1">
        <f t="shared" si="198"/>
        <v>0.99489755463201801</v>
      </c>
      <c r="G857" s="1">
        <f t="shared" si="199"/>
        <v>0.99511723575869027</v>
      </c>
      <c r="H857" s="1">
        <f t="shared" si="207"/>
        <v>9.951172357586902</v>
      </c>
      <c r="S857" s="2">
        <v>8.56</v>
      </c>
      <c r="T857" s="1">
        <f t="shared" si="200"/>
        <v>2.7542287033381568E-9</v>
      </c>
      <c r="U857" s="1">
        <f t="shared" si="201"/>
        <v>3.6670883531780362E-6</v>
      </c>
      <c r="V857" s="1">
        <f t="shared" si="202"/>
        <v>9.9846847869306768E-2</v>
      </c>
      <c r="W857" s="1">
        <f t="shared" si="203"/>
        <v>5.1050710231081623E-5</v>
      </c>
      <c r="X857" s="1">
        <f t="shared" si="204"/>
        <v>1.058197763340214E-3</v>
      </c>
      <c r="Y857" s="1">
        <f t="shared" si="205"/>
        <v>1.0215357058547354E-3</v>
      </c>
      <c r="Z857" s="1">
        <f t="shared" si="206"/>
        <v>5.1076785292736765E-2</v>
      </c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</row>
    <row r="858" spans="1:44" ht="15" customHeight="1" x14ac:dyDescent="0.3">
      <c r="A858" s="2">
        <v>8.57</v>
      </c>
      <c r="B858" s="1">
        <f t="shared" si="194"/>
        <v>2.6915348039269064E-9</v>
      </c>
      <c r="C858" s="1">
        <f t="shared" si="195"/>
        <v>3.7525058138814554E-6</v>
      </c>
      <c r="D858" s="1">
        <f t="shared" si="196"/>
        <v>7.9430850001875977E-5</v>
      </c>
      <c r="E858" s="1">
        <f t="shared" si="197"/>
        <v>3.3200948583330205E-3</v>
      </c>
      <c r="F858" s="1">
        <f t="shared" si="198"/>
        <v>0.99501312126331209</v>
      </c>
      <c r="G858" s="1">
        <f t="shared" si="199"/>
        <v>0.995237931551334</v>
      </c>
      <c r="H858" s="1">
        <f t="shared" si="207"/>
        <v>9.9523793155133387</v>
      </c>
      <c r="S858" s="2">
        <v>8.57</v>
      </c>
      <c r="T858" s="1">
        <f t="shared" si="200"/>
        <v>2.6915348039269064E-9</v>
      </c>
      <c r="U858" s="1">
        <f t="shared" si="201"/>
        <v>3.7525058138814554E-6</v>
      </c>
      <c r="V858" s="1">
        <f t="shared" si="202"/>
        <v>9.9850581708089359E-2</v>
      </c>
      <c r="W858" s="1">
        <f t="shared" si="203"/>
        <v>4.9806097303543827E-5</v>
      </c>
      <c r="X858" s="1">
        <f t="shared" si="204"/>
        <v>1.0341351512213191E-3</v>
      </c>
      <c r="Y858" s="1">
        <f t="shared" si="205"/>
        <v>9.9661832276245641E-4</v>
      </c>
      <c r="Z858" s="1">
        <f t="shared" si="206"/>
        <v>4.9830916138122822E-2</v>
      </c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</row>
    <row r="859" spans="1:44" ht="15" customHeight="1" x14ac:dyDescent="0.3">
      <c r="A859" s="2">
        <v>8.58</v>
      </c>
      <c r="B859" s="1">
        <f t="shared" si="194"/>
        <v>2.6302679918953733E-9</v>
      </c>
      <c r="C859" s="1">
        <f t="shared" si="195"/>
        <v>3.8399129028376807E-6</v>
      </c>
      <c r="D859" s="1">
        <f t="shared" si="196"/>
        <v>7.7457584028505069E-5</v>
      </c>
      <c r="E859" s="1">
        <f t="shared" si="197"/>
        <v>3.320423735995249E-3</v>
      </c>
      <c r="F859" s="1">
        <f t="shared" si="198"/>
        <v>0.99512608321838558</v>
      </c>
      <c r="G859" s="1">
        <f t="shared" si="199"/>
        <v>0.99535614197851896</v>
      </c>
      <c r="H859" s="1">
        <f t="shared" si="207"/>
        <v>9.9535614197851885</v>
      </c>
      <c r="S859" s="2">
        <v>8.58</v>
      </c>
      <c r="T859" s="1">
        <f t="shared" si="200"/>
        <v>2.6302679918953733E-9</v>
      </c>
      <c r="U859" s="1">
        <f t="shared" si="201"/>
        <v>3.8399129028376807E-6</v>
      </c>
      <c r="V859" s="1">
        <f t="shared" si="202"/>
        <v>9.9854236706884814E-2</v>
      </c>
      <c r="W859" s="1">
        <f t="shared" si="203"/>
        <v>4.8587764371725746E-5</v>
      </c>
      <c r="X859" s="1">
        <f t="shared" si="204"/>
        <v>1.0106191510347729E-3</v>
      </c>
      <c r="Y859" s="1">
        <f t="shared" si="205"/>
        <v>9.7222767112451749E-4</v>
      </c>
      <c r="Z859" s="1">
        <f t="shared" si="206"/>
        <v>4.8611383556225879E-2</v>
      </c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</row>
    <row r="860" spans="1:44" ht="15" customHeight="1" x14ac:dyDescent="0.3">
      <c r="A860" s="2">
        <v>8.59</v>
      </c>
      <c r="B860" s="1">
        <f t="shared" si="194"/>
        <v>2.5703957827688555E-9</v>
      </c>
      <c r="C860" s="1">
        <f t="shared" si="195"/>
        <v>3.929355964442246E-6</v>
      </c>
      <c r="D860" s="1">
        <f t="shared" si="196"/>
        <v>7.5524864434080269E-5</v>
      </c>
      <c r="E860" s="1">
        <f t="shared" si="197"/>
        <v>3.3207458559276538E-3</v>
      </c>
      <c r="F860" s="1">
        <f t="shared" si="198"/>
        <v>0.99523649862778929</v>
      </c>
      <c r="G860" s="1">
        <f t="shared" si="199"/>
        <v>0.99547192795422934</v>
      </c>
      <c r="H860" s="1">
        <f t="shared" si="207"/>
        <v>9.9547192795422923</v>
      </c>
      <c r="S860" s="2">
        <v>8.59</v>
      </c>
      <c r="T860" s="1">
        <f t="shared" si="200"/>
        <v>2.5703957827688555E-9</v>
      </c>
      <c r="U860" s="1">
        <f t="shared" si="201"/>
        <v>3.929355964442246E-6</v>
      </c>
      <c r="V860" s="1">
        <f t="shared" si="202"/>
        <v>9.9857814786462273E-2</v>
      </c>
      <c r="W860" s="1">
        <f t="shared" si="203"/>
        <v>4.7395071179241527E-5</v>
      </c>
      <c r="X860" s="1">
        <f t="shared" si="204"/>
        <v>9.8763737070626427E-4</v>
      </c>
      <c r="Y860" s="1">
        <f t="shared" si="205"/>
        <v>9.483508951666237E-4</v>
      </c>
      <c r="Z860" s="1">
        <f t="shared" si="206"/>
        <v>4.7417544758331182E-2</v>
      </c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</row>
    <row r="861" spans="1:44" ht="15" customHeight="1" x14ac:dyDescent="0.3">
      <c r="A861" s="2">
        <v>8.6</v>
      </c>
      <c r="B861" s="1">
        <f t="shared" si="194"/>
        <v>2.5118864315095812E-9</v>
      </c>
      <c r="C861" s="1">
        <f t="shared" si="195"/>
        <v>4.02088242259032E-6</v>
      </c>
      <c r="D861" s="1">
        <f t="shared" si="196"/>
        <v>7.363168993979605E-5</v>
      </c>
      <c r="E861" s="1">
        <f t="shared" si="197"/>
        <v>3.321061385010034E-3</v>
      </c>
      <c r="F861" s="1">
        <f t="shared" si="198"/>
        <v>0.99534442435046999</v>
      </c>
      <c r="G861" s="1">
        <f t="shared" si="199"/>
        <v>0.99558534918561192</v>
      </c>
      <c r="H861" s="1">
        <f t="shared" si="207"/>
        <v>9.9558534918561179</v>
      </c>
      <c r="S861" s="2">
        <v>8.6</v>
      </c>
      <c r="T861" s="1">
        <f t="shared" si="200"/>
        <v>2.5118864315095812E-9</v>
      </c>
      <c r="U861" s="1">
        <f t="shared" si="201"/>
        <v>4.02088242259032E-6</v>
      </c>
      <c r="V861" s="1">
        <f t="shared" si="202"/>
        <v>9.9861317827577317E-2</v>
      </c>
      <c r="W861" s="1">
        <f t="shared" si="203"/>
        <v>4.6227390807561127E-5</v>
      </c>
      <c r="X861" s="1">
        <f t="shared" si="204"/>
        <v>9.6517769797924288E-4</v>
      </c>
      <c r="Y861" s="1">
        <f t="shared" si="205"/>
        <v>9.24975408148021E-4</v>
      </c>
      <c r="Z861" s="1">
        <f t="shared" si="206"/>
        <v>4.6248770407401052E-2</v>
      </c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</row>
    <row r="862" spans="1:44" ht="15" customHeight="1" x14ac:dyDescent="0.3">
      <c r="A862" s="2">
        <v>8.61</v>
      </c>
      <c r="B862" s="1">
        <f t="shared" si="194"/>
        <v>2.4547089156850316E-9</v>
      </c>
      <c r="C862" s="1">
        <f t="shared" si="195"/>
        <v>4.1145408058215363E-6</v>
      </c>
      <c r="D862" s="1">
        <f t="shared" si="196"/>
        <v>7.1777079185837562E-5</v>
      </c>
      <c r="E862" s="1">
        <f t="shared" si="197"/>
        <v>3.3213704868023603E-3</v>
      </c>
      <c r="F862" s="1">
        <f t="shared" si="198"/>
        <v>0.99544991600043076</v>
      </c>
      <c r="G862" s="1">
        <f t="shared" si="199"/>
        <v>0.99569646420114788</v>
      </c>
      <c r="H862" s="1">
        <f t="shared" si="207"/>
        <v>9.9569646420114779</v>
      </c>
      <c r="S862" s="2">
        <v>8.61</v>
      </c>
      <c r="T862" s="1">
        <f t="shared" si="200"/>
        <v>2.4547089156850316E-9</v>
      </c>
      <c r="U862" s="1">
        <f t="shared" si="201"/>
        <v>4.1145408058215363E-6</v>
      </c>
      <c r="V862" s="1">
        <f t="shared" si="202"/>
        <v>9.9864747671934678E-2</v>
      </c>
      <c r="W862" s="1">
        <f t="shared" si="203"/>
        <v>4.5084109355110522E-5</v>
      </c>
      <c r="X862" s="1">
        <f t="shared" si="204"/>
        <v>9.4322829414687033E-4</v>
      </c>
      <c r="Y862" s="1">
        <f t="shared" si="205"/>
        <v>9.0208888584198353E-4</v>
      </c>
      <c r="Z862" s="1">
        <f t="shared" si="206"/>
        <v>4.5104444292099179E-2</v>
      </c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</row>
    <row r="863" spans="1:44" ht="15" customHeight="1" x14ac:dyDescent="0.3">
      <c r="A863" s="2">
        <v>8.6199999999999992</v>
      </c>
      <c r="B863" s="1">
        <f t="shared" si="194"/>
        <v>2.3988329190194922E-9</v>
      </c>
      <c r="C863" s="1">
        <f t="shared" si="195"/>
        <v>4.210380773050384E-6</v>
      </c>
      <c r="D863" s="1">
        <f t="shared" si="196"/>
        <v>6.9960070257725772E-5</v>
      </c>
      <c r="E863" s="1">
        <f t="shared" si="197"/>
        <v>3.3216733216237123E-3</v>
      </c>
      <c r="F863" s="1">
        <f t="shared" si="198"/>
        <v>0.99555302797288303</v>
      </c>
      <c r="G863" s="1">
        <f t="shared" si="199"/>
        <v>0.99580533037835084</v>
      </c>
      <c r="H863" s="1">
        <f t="shared" si="207"/>
        <v>9.9580533037835082</v>
      </c>
      <c r="S863" s="2">
        <v>8.6199999999999992</v>
      </c>
      <c r="T863" s="1">
        <f t="shared" si="200"/>
        <v>2.3988329190194922E-9</v>
      </c>
      <c r="U863" s="1">
        <f t="shared" si="201"/>
        <v>4.210380773050384E-6</v>
      </c>
      <c r="V863" s="1">
        <f t="shared" si="202"/>
        <v>9.9868106123131711E-2</v>
      </c>
      <c r="W863" s="1">
        <f t="shared" si="203"/>
        <v>4.3964625622761206E-5</v>
      </c>
      <c r="X863" s="1">
        <f t="shared" si="204"/>
        <v>9.2177758792214232E-4</v>
      </c>
      <c r="Y863" s="1">
        <f t="shared" si="205"/>
        <v>8.796792601486296E-4</v>
      </c>
      <c r="Z863" s="1">
        <f t="shared" si="206"/>
        <v>4.398396300743148E-2</v>
      </c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</row>
    <row r="864" spans="1:44" ht="15" customHeight="1" x14ac:dyDescent="0.3">
      <c r="A864" s="2">
        <v>8.6300000000000008</v>
      </c>
      <c r="B864" s="1">
        <f t="shared" si="194"/>
        <v>2.3442288153199155E-9</v>
      </c>
      <c r="C864" s="1">
        <f t="shared" si="195"/>
        <v>4.308453139896098E-6</v>
      </c>
      <c r="D864" s="1">
        <f t="shared" si="196"/>
        <v>6.8179720220846245E-5</v>
      </c>
      <c r="E864" s="1">
        <f t="shared" si="197"/>
        <v>3.3219700466298589E-3</v>
      </c>
      <c r="F864" s="1">
        <f t="shared" si="198"/>
        <v>0.99565381346990089</v>
      </c>
      <c r="G864" s="1">
        <f t="shared" si="199"/>
        <v>0.99591200397100443</v>
      </c>
      <c r="H864" s="1">
        <f t="shared" si="207"/>
        <v>9.9591200397100437</v>
      </c>
      <c r="S864" s="2">
        <v>8.6300000000000008</v>
      </c>
      <c r="T864" s="1">
        <f t="shared" si="200"/>
        <v>2.3442288153199155E-9</v>
      </c>
      <c r="U864" s="1">
        <f t="shared" si="201"/>
        <v>4.308453139896098E-6</v>
      </c>
      <c r="V864" s="1">
        <f t="shared" si="202"/>
        <v>9.987139494758332E-2</v>
      </c>
      <c r="W864" s="1">
        <f t="shared" si="203"/>
        <v>4.2868350805561409E-5</v>
      </c>
      <c r="X864" s="1">
        <f t="shared" si="204"/>
        <v>9.0081426944316743E-4</v>
      </c>
      <c r="Y864" s="1">
        <f t="shared" si="205"/>
        <v>8.5773471283690818E-4</v>
      </c>
      <c r="Z864" s="1">
        <f t="shared" si="206"/>
        <v>4.2886735641845405E-2</v>
      </c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</row>
    <row r="865" spans="1:44" ht="15" customHeight="1" x14ac:dyDescent="0.3">
      <c r="A865" s="2">
        <v>8.64</v>
      </c>
      <c r="B865" s="1">
        <f t="shared" si="194"/>
        <v>2.2908676527677671E-9</v>
      </c>
      <c r="C865" s="1">
        <f t="shared" si="195"/>
        <v>4.4088099056256879E-6</v>
      </c>
      <c r="D865" s="1">
        <f t="shared" si="196"/>
        <v>6.6435104663098565E-5</v>
      </c>
      <c r="E865" s="1">
        <f t="shared" si="197"/>
        <v>3.3222608158894836E-3</v>
      </c>
      <c r="F865" s="1">
        <f t="shared" si="198"/>
        <v>0.99575232452558304</v>
      </c>
      <c r="G865" s="1">
        <f t="shared" si="199"/>
        <v>0.9960165401359441</v>
      </c>
      <c r="H865" s="1">
        <f t="shared" si="207"/>
        <v>9.9601654013594398</v>
      </c>
      <c r="S865" s="2">
        <v>8.64</v>
      </c>
      <c r="T865" s="1">
        <f t="shared" si="200"/>
        <v>2.2908676527677671E-9</v>
      </c>
      <c r="U865" s="1">
        <f t="shared" si="201"/>
        <v>4.4088099056256879E-6</v>
      </c>
      <c r="V865" s="1">
        <f t="shared" si="202"/>
        <v>9.9874615875428285E-2</v>
      </c>
      <c r="W865" s="1">
        <f t="shared" si="203"/>
        <v>4.1794708190571114E-5</v>
      </c>
      <c r="X865" s="1">
        <f t="shared" si="204"/>
        <v>8.8032728441079285E-4</v>
      </c>
      <c r="Y865" s="1">
        <f t="shared" si="205"/>
        <v>8.362436694128154E-4</v>
      </c>
      <c r="Z865" s="1">
        <f t="shared" si="206"/>
        <v>4.1812183470640772E-2</v>
      </c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</row>
    <row r="866" spans="1:44" ht="15" customHeight="1" x14ac:dyDescent="0.3">
      <c r="A866" s="2">
        <v>8.65</v>
      </c>
      <c r="B866" s="1">
        <f t="shared" si="194"/>
        <v>2.2387211385683336E-9</v>
      </c>
      <c r="C866" s="1">
        <f t="shared" si="195"/>
        <v>4.5115042807247394E-6</v>
      </c>
      <c r="D866" s="1">
        <f t="shared" si="196"/>
        <v>6.4725317245474548E-5</v>
      </c>
      <c r="E866" s="1">
        <f t="shared" si="197"/>
        <v>3.3225457804590876E-3</v>
      </c>
      <c r="F866" s="1">
        <f t="shared" si="198"/>
        <v>0.99584861203072961</v>
      </c>
      <c r="G866" s="1">
        <f t="shared" si="199"/>
        <v>0.99611899295939088</v>
      </c>
      <c r="H866" s="1">
        <f t="shared" si="207"/>
        <v>9.9611899295939086</v>
      </c>
      <c r="S866" s="2">
        <v>8.65</v>
      </c>
      <c r="T866" s="1">
        <f t="shared" si="200"/>
        <v>2.2387211385683336E-9</v>
      </c>
      <c r="U866" s="1">
        <f t="shared" si="201"/>
        <v>4.5115042807247394E-6</v>
      </c>
      <c r="V866" s="1">
        <f t="shared" si="202"/>
        <v>9.9877770601418031E-2</v>
      </c>
      <c r="W866" s="1">
        <f t="shared" si="203"/>
        <v>4.0743132860658022E-5</v>
      </c>
      <c r="X866" s="1">
        <f t="shared" si="204"/>
        <v>8.6030582835567703E-4</v>
      </c>
      <c r="Y866" s="1">
        <f t="shared" si="205"/>
        <v>8.1519479311079068E-4</v>
      </c>
      <c r="Z866" s="1">
        <f t="shared" si="206"/>
        <v>4.0759739655539536E-2</v>
      </c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</row>
    <row r="867" spans="1:44" ht="15" customHeight="1" x14ac:dyDescent="0.3">
      <c r="A867" s="2">
        <v>8.66</v>
      </c>
      <c r="B867" s="1">
        <f t="shared" si="194"/>
        <v>2.1877616239495468E-9</v>
      </c>
      <c r="C867" s="1">
        <f t="shared" si="195"/>
        <v>4.6165907151102492E-6</v>
      </c>
      <c r="D867" s="1">
        <f t="shared" si="196"/>
        <v>6.3049469260441173E-5</v>
      </c>
      <c r="E867" s="1">
        <f t="shared" si="197"/>
        <v>3.3228250884565929E-3</v>
      </c>
      <c r="F867" s="1">
        <f t="shared" si="198"/>
        <v>0.99594272575704101</v>
      </c>
      <c r="G867" s="1">
        <f t="shared" si="199"/>
        <v>0.99621941548284654</v>
      </c>
      <c r="H867" s="1">
        <f t="shared" si="207"/>
        <v>9.9621941548284649</v>
      </c>
      <c r="S867" s="2">
        <v>8.66</v>
      </c>
      <c r="T867" s="1">
        <f t="shared" si="200"/>
        <v>2.1877616239495468E-9</v>
      </c>
      <c r="U867" s="1">
        <f t="shared" si="201"/>
        <v>4.6165907151102492E-6</v>
      </c>
      <c r="V867" s="1">
        <f t="shared" si="202"/>
        <v>9.9880860785787631E-2</v>
      </c>
      <c r="W867" s="1">
        <f t="shared" si="203"/>
        <v>3.9713071404121139E-5</v>
      </c>
      <c r="X867" s="1">
        <f t="shared" si="204"/>
        <v>8.4073934103211234E-4</v>
      </c>
      <c r="Y867" s="1">
        <f t="shared" si="205"/>
        <v>7.9457697900545598E-4</v>
      </c>
      <c r="Z867" s="1">
        <f t="shared" si="206"/>
        <v>3.9728848950272795E-2</v>
      </c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</row>
    <row r="868" spans="1:44" ht="15" customHeight="1" x14ac:dyDescent="0.3">
      <c r="A868" s="2">
        <v>8.67</v>
      </c>
      <c r="B868" s="1">
        <f t="shared" si="194"/>
        <v>2.137962089502227E-9</v>
      </c>
      <c r="C868" s="1">
        <f t="shared" si="195"/>
        <v>4.7241249270007129E-6</v>
      </c>
      <c r="D868" s="1">
        <f t="shared" si="196"/>
        <v>6.1406689197895668E-5</v>
      </c>
      <c r="E868" s="1">
        <f t="shared" si="197"/>
        <v>3.3230988851336838E-3</v>
      </c>
      <c r="F868" s="1">
        <f t="shared" si="198"/>
        <v>0.99603471438084767</v>
      </c>
      <c r="G868" s="1">
        <f t="shared" si="199"/>
        <v>0.99631785972855857</v>
      </c>
      <c r="H868" s="1">
        <f t="shared" si="207"/>
        <v>9.9631785972855855</v>
      </c>
      <c r="S868" s="2">
        <v>8.67</v>
      </c>
      <c r="T868" s="1">
        <f t="shared" si="200"/>
        <v>2.137962089502227E-9</v>
      </c>
      <c r="U868" s="1">
        <f t="shared" si="201"/>
        <v>4.7241249270007129E-6</v>
      </c>
      <c r="V868" s="1">
        <f t="shared" si="202"/>
        <v>9.9883888055109976E-2</v>
      </c>
      <c r="W868" s="1">
        <f t="shared" si="203"/>
        <v>3.8703981630004277E-5</v>
      </c>
      <c r="X868" s="1">
        <f t="shared" si="204"/>
        <v>8.216175009358287E-4</v>
      </c>
      <c r="Y868" s="1">
        <f t="shared" si="205"/>
        <v>7.7437934824077514E-4</v>
      </c>
      <c r="Z868" s="1">
        <f t="shared" si="206"/>
        <v>3.8718967412038757E-2</v>
      </c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</row>
    <row r="869" spans="1:44" ht="15" customHeight="1" x14ac:dyDescent="0.3">
      <c r="A869" s="2">
        <v>8.68</v>
      </c>
      <c r="B869" s="1">
        <f t="shared" si="194"/>
        <v>2.0892961308540348E-9</v>
      </c>
      <c r="C869" s="1">
        <f t="shared" si="195"/>
        <v>4.8341639324586576E-6</v>
      </c>
      <c r="D869" s="1">
        <f t="shared" si="196"/>
        <v>5.9796122318629422E-5</v>
      </c>
      <c r="E869" s="1">
        <f t="shared" si="197"/>
        <v>3.3233673129468952E-3</v>
      </c>
      <c r="F869" s="1">
        <f t="shared" si="198"/>
        <v>0.99612462550637493</v>
      </c>
      <c r="G869" s="1">
        <f t="shared" si="199"/>
        <v>0.99641437672456179</v>
      </c>
      <c r="H869" s="1">
        <f t="shared" si="207"/>
        <v>9.9641437672456181</v>
      </c>
      <c r="S869" s="2">
        <v>8.68</v>
      </c>
      <c r="T869" s="1">
        <f t="shared" si="200"/>
        <v>2.0892961308540348E-9</v>
      </c>
      <c r="U869" s="1">
        <f t="shared" si="201"/>
        <v>4.8341639324586576E-6</v>
      </c>
      <c r="V869" s="1">
        <f t="shared" si="202"/>
        <v>9.9886854003133088E-2</v>
      </c>
      <c r="W869" s="1">
        <f t="shared" si="203"/>
        <v>3.771533228896805E-5</v>
      </c>
      <c r="X869" s="1">
        <f t="shared" si="204"/>
        <v>8.029302199431391E-4</v>
      </c>
      <c r="Y869" s="1">
        <f t="shared" si="205"/>
        <v>7.545912423738457E-4</v>
      </c>
      <c r="Z869" s="1">
        <f t="shared" si="206"/>
        <v>3.7729562118692286E-2</v>
      </c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</row>
    <row r="870" spans="1:44" ht="15" customHeight="1" x14ac:dyDescent="0.3">
      <c r="A870" s="2">
        <v>8.69</v>
      </c>
      <c r="B870" s="1">
        <f t="shared" si="194"/>
        <v>2.0417379446695247E-9</v>
      </c>
      <c r="C870" s="1">
        <f t="shared" si="195"/>
        <v>4.9467660756213178E-6</v>
      </c>
      <c r="D870" s="1">
        <f t="shared" si="196"/>
        <v>5.8216930235127337E-5</v>
      </c>
      <c r="E870" s="1">
        <f t="shared" si="197"/>
        <v>3.3236305116274788E-3</v>
      </c>
      <c r="F870" s="1">
        <f t="shared" si="198"/>
        <v>0.9962125056885528</v>
      </c>
      <c r="G870" s="1">
        <f t="shared" si="199"/>
        <v>0.99650901652930401</v>
      </c>
      <c r="H870" s="1">
        <f t="shared" si="207"/>
        <v>9.9650901652930397</v>
      </c>
      <c r="S870" s="2">
        <v>8.69</v>
      </c>
      <c r="T870" s="1">
        <f t="shared" si="200"/>
        <v>2.0417379446695247E-9</v>
      </c>
      <c r="U870" s="1">
        <f t="shared" si="201"/>
        <v>4.9467660756213178E-6</v>
      </c>
      <c r="V870" s="1">
        <f t="shared" si="202"/>
        <v>9.9889760191601229E-2</v>
      </c>
      <c r="W870" s="1">
        <f t="shared" si="203"/>
        <v>3.6746602799589653E-5</v>
      </c>
      <c r="X870" s="1">
        <f t="shared" si="204"/>
        <v>7.8466763806881747E-4</v>
      </c>
      <c r="Y870" s="1">
        <f t="shared" si="205"/>
        <v>7.3520221783055298E-4</v>
      </c>
      <c r="Z870" s="1">
        <f t="shared" si="206"/>
        <v>3.6760110891527649E-2</v>
      </c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</row>
    <row r="871" spans="1:44" ht="15" customHeight="1" x14ac:dyDescent="0.3">
      <c r="A871" s="2">
        <v>8.6999999999999993</v>
      </c>
      <c r="B871" s="1">
        <f t="shared" si="194"/>
        <v>1.9952623149688824E-9</v>
      </c>
      <c r="C871" s="1">
        <f t="shared" si="195"/>
        <v>5.0619910596354431E-6</v>
      </c>
      <c r="D871" s="1">
        <f t="shared" si="196"/>
        <v>5.6668290499453831E-5</v>
      </c>
      <c r="E871" s="1">
        <f t="shared" si="197"/>
        <v>3.3238886182500914E-3</v>
      </c>
      <c r="F871" s="1">
        <f t="shared" si="198"/>
        <v>0.99629840045537665</v>
      </c>
      <c r="G871" s="1">
        <f t="shared" si="199"/>
        <v>0.9966018282558684</v>
      </c>
      <c r="H871" s="1">
        <f t="shared" si="207"/>
        <v>9.966018282558684</v>
      </c>
      <c r="S871" s="2">
        <v>8.6999999999999993</v>
      </c>
      <c r="T871" s="1">
        <f t="shared" si="200"/>
        <v>1.9952623149688824E-9</v>
      </c>
      <c r="U871" s="1">
        <f t="shared" si="201"/>
        <v>5.0619910596354431E-6</v>
      </c>
      <c r="V871" s="1">
        <f t="shared" si="202"/>
        <v>9.9892608151060117E-2</v>
      </c>
      <c r="W871" s="1">
        <f t="shared" si="203"/>
        <v>3.5797282979961949E-5</v>
      </c>
      <c r="X871" s="1">
        <f t="shared" si="204"/>
        <v>7.6682011834015319E-4</v>
      </c>
      <c r="Y871" s="1">
        <f t="shared" si="205"/>
        <v>7.1620204047037432E-4</v>
      </c>
      <c r="Z871" s="1">
        <f t="shared" si="206"/>
        <v>3.5810102023518718E-2</v>
      </c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</row>
    <row r="872" spans="1:44" ht="15" customHeight="1" x14ac:dyDescent="0.3">
      <c r="A872" s="2">
        <v>8.7100000000000009</v>
      </c>
      <c r="B872" s="1">
        <f t="shared" si="194"/>
        <v>1.9498445997580341E-9</v>
      </c>
      <c r="C872" s="1">
        <f t="shared" si="195"/>
        <v>5.1798999783128142E-6</v>
      </c>
      <c r="D872" s="1">
        <f t="shared" si="196"/>
        <v>5.5149396198235051E-5</v>
      </c>
      <c r="E872" s="1">
        <f t="shared" si="197"/>
        <v>3.3241417673002941E-3</v>
      </c>
      <c r="F872" s="1">
        <f t="shared" si="198"/>
        <v>0.9963823543298268</v>
      </c>
      <c r="G872" s="1">
        <f t="shared" si="199"/>
        <v>0.9966928600957945</v>
      </c>
      <c r="H872" s="1">
        <f t="shared" si="207"/>
        <v>9.9669286009579441</v>
      </c>
      <c r="S872" s="2">
        <v>8.7100000000000009</v>
      </c>
      <c r="T872" s="1">
        <f t="shared" si="200"/>
        <v>1.9498445997580341E-9</v>
      </c>
      <c r="U872" s="1">
        <f t="shared" si="201"/>
        <v>5.1798999783128142E-6</v>
      </c>
      <c r="V872" s="1">
        <f t="shared" si="202"/>
        <v>9.9895399381646613E-2</v>
      </c>
      <c r="W872" s="1">
        <f t="shared" si="203"/>
        <v>3.4866872784464555E-5</v>
      </c>
      <c r="X872" s="1">
        <f t="shared" si="204"/>
        <v>7.4937824178465922E-4</v>
      </c>
      <c r="Y872" s="1">
        <f t="shared" si="205"/>
        <v>6.9758068025764551E-4</v>
      </c>
      <c r="Z872" s="1">
        <f t="shared" si="206"/>
        <v>3.4879034012882275E-2</v>
      </c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</row>
    <row r="873" spans="1:44" ht="15" customHeight="1" x14ac:dyDescent="0.3">
      <c r="A873" s="2">
        <v>8.7200000000000006</v>
      </c>
      <c r="B873" s="1">
        <f t="shared" si="194"/>
        <v>1.9054607179632436E-9</v>
      </c>
      <c r="C873" s="1">
        <f t="shared" si="195"/>
        <v>5.3005553485227133E-6</v>
      </c>
      <c r="D873" s="1">
        <f t="shared" si="196"/>
        <v>5.3659455554462184E-5</v>
      </c>
      <c r="E873" s="1">
        <f t="shared" si="197"/>
        <v>3.324390090740923E-3</v>
      </c>
      <c r="F873" s="1">
        <f t="shared" si="198"/>
        <v>0.99646441085135185</v>
      </c>
      <c r="G873" s="1">
        <f t="shared" si="199"/>
        <v>0.99678215934250969</v>
      </c>
      <c r="H873" s="1">
        <f t="shared" si="207"/>
        <v>9.9678215934250964</v>
      </c>
      <c r="S873" s="2">
        <v>8.7200000000000006</v>
      </c>
      <c r="T873" s="1">
        <f t="shared" si="200"/>
        <v>1.9054607179632436E-9</v>
      </c>
      <c r="U873" s="1">
        <f t="shared" si="201"/>
        <v>5.3005553485227133E-6</v>
      </c>
      <c r="V873" s="1">
        <f t="shared" si="202"/>
        <v>9.9898135353863243E-2</v>
      </c>
      <c r="W873" s="1">
        <f t="shared" si="203"/>
        <v>3.3954882045586493E-5</v>
      </c>
      <c r="X873" s="1">
        <f t="shared" si="204"/>
        <v>7.3233280252905713E-4</v>
      </c>
      <c r="Y873" s="1">
        <f t="shared" si="205"/>
        <v>6.7932830603674693E-4</v>
      </c>
      <c r="Z873" s="1">
        <f t="shared" si="206"/>
        <v>3.3966415301837347E-2</v>
      </c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</row>
    <row r="874" spans="1:44" ht="15" customHeight="1" x14ac:dyDescent="0.3">
      <c r="A874" s="2">
        <v>8.73</v>
      </c>
      <c r="B874" s="1">
        <f t="shared" si="194"/>
        <v>1.8620871366628641E-9</v>
      </c>
      <c r="C874" s="1">
        <f t="shared" si="195"/>
        <v>5.4240211433395622E-6</v>
      </c>
      <c r="D874" s="1">
        <f t="shared" si="196"/>
        <v>5.2197691535980533E-5</v>
      </c>
      <c r="E874" s="1">
        <f t="shared" si="197"/>
        <v>3.3246337180773368E-3</v>
      </c>
      <c r="F874" s="1">
        <f t="shared" si="198"/>
        <v>0.99654461259692706</v>
      </c>
      <c r="G874" s="1">
        <f t="shared" si="199"/>
        <v>0.99686977241438068</v>
      </c>
      <c r="H874" s="1">
        <f t="shared" si="207"/>
        <v>9.9686977241438068</v>
      </c>
      <c r="S874" s="2">
        <v>8.73</v>
      </c>
      <c r="T874" s="1">
        <f t="shared" si="200"/>
        <v>1.8620871366628641E-9</v>
      </c>
      <c r="U874" s="1">
        <f t="shared" si="201"/>
        <v>5.4240211433395622E-6</v>
      </c>
      <c r="V874" s="1">
        <f t="shared" si="202"/>
        <v>9.9900817509337991E-2</v>
      </c>
      <c r="W874" s="1">
        <f t="shared" si="203"/>
        <v>3.3060830220669893E-5</v>
      </c>
      <c r="X874" s="1">
        <f t="shared" si="204"/>
        <v>7.1567480300698113E-4</v>
      </c>
      <c r="Y874" s="1">
        <f t="shared" si="205"/>
        <v>6.6143528040847339E-4</v>
      </c>
      <c r="Z874" s="1">
        <f t="shared" si="206"/>
        <v>3.3071764020423666E-2</v>
      </c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</row>
    <row r="875" spans="1:44" ht="15" customHeight="1" x14ac:dyDescent="0.3">
      <c r="A875" s="2">
        <v>8.74</v>
      </c>
      <c r="B875" s="1">
        <f t="shared" si="194"/>
        <v>1.8197008586099804E-9</v>
      </c>
      <c r="C875" s="1">
        <f t="shared" si="195"/>
        <v>5.5503628259620172E-6</v>
      </c>
      <c r="D875" s="1">
        <f t="shared" si="196"/>
        <v>5.0763341470607211E-5</v>
      </c>
      <c r="E875" s="1">
        <f t="shared" si="197"/>
        <v>3.324872776421565E-3</v>
      </c>
      <c r="F875" s="1">
        <f t="shared" si="198"/>
        <v>0.9966230012016889</v>
      </c>
      <c r="G875" s="1">
        <f t="shared" si="199"/>
        <v>0.9969557448773867</v>
      </c>
      <c r="H875" s="1">
        <f t="shared" si="207"/>
        <v>9.9695574487738661</v>
      </c>
      <c r="S875" s="2">
        <v>8.74</v>
      </c>
      <c r="T875" s="1">
        <f t="shared" si="200"/>
        <v>1.8197008586099804E-9</v>
      </c>
      <c r="U875" s="1">
        <f t="shared" si="201"/>
        <v>5.5503628259620172E-6</v>
      </c>
      <c r="V875" s="1">
        <f t="shared" si="202"/>
        <v>9.9903447261569606E-2</v>
      </c>
      <c r="W875" s="1">
        <f t="shared" si="203"/>
        <v>3.2184246143464899E-5</v>
      </c>
      <c r="X875" s="1">
        <f t="shared" si="204"/>
        <v>6.9939544927324231E-4</v>
      </c>
      <c r="Y875" s="1">
        <f t="shared" si="205"/>
        <v>6.4389215470526679E-4</v>
      </c>
      <c r="Z875" s="1">
        <f t="shared" si="206"/>
        <v>3.2194607735263336E-2</v>
      </c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</row>
    <row r="876" spans="1:44" ht="15" customHeight="1" x14ac:dyDescent="0.3">
      <c r="A876" s="2">
        <v>8.75</v>
      </c>
      <c r="B876" s="1">
        <f t="shared" si="194"/>
        <v>1.7782794100389197E-9</v>
      </c>
      <c r="C876" s="1">
        <f t="shared" si="195"/>
        <v>5.6796473844225353E-6</v>
      </c>
      <c r="D876" s="1">
        <f t="shared" si="196"/>
        <v>4.9355656667576765E-5</v>
      </c>
      <c r="E876" s="1">
        <f t="shared" si="197"/>
        <v>3.3251073905554039E-3</v>
      </c>
      <c r="F876" s="1">
        <f t="shared" si="198"/>
        <v>0.99669961737915969</v>
      </c>
      <c r="G876" s="1">
        <f t="shared" si="199"/>
        <v>0.99704012146743171</v>
      </c>
      <c r="H876" s="1">
        <f t="shared" si="207"/>
        <v>9.9704012146743164</v>
      </c>
      <c r="S876" s="2">
        <v>8.75</v>
      </c>
      <c r="T876" s="1">
        <f t="shared" si="200"/>
        <v>1.7782794100389197E-9</v>
      </c>
      <c r="U876" s="1">
        <f t="shared" si="201"/>
        <v>5.6796473844225353E-6</v>
      </c>
      <c r="V876" s="1">
        <f t="shared" si="202"/>
        <v>9.990602599665889E-2</v>
      </c>
      <c r="W876" s="1">
        <f t="shared" si="203"/>
        <v>3.13246677803686E-5</v>
      </c>
      <c r="X876" s="1">
        <f t="shared" si="204"/>
        <v>6.8348614642218847E-4</v>
      </c>
      <c r="Y876" s="1">
        <f t="shared" si="205"/>
        <v>6.2668966406265343E-4</v>
      </c>
      <c r="Z876" s="1">
        <f t="shared" si="206"/>
        <v>3.1334483203132674E-2</v>
      </c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</row>
    <row r="877" spans="1:44" ht="15" customHeight="1" x14ac:dyDescent="0.3">
      <c r="A877" s="2">
        <v>8.76</v>
      </c>
      <c r="B877" s="1">
        <f t="shared" si="194"/>
        <v>1.7378008287493727E-9</v>
      </c>
      <c r="C877" s="1">
        <f t="shared" si="195"/>
        <v>5.8119433671052935E-6</v>
      </c>
      <c r="D877" s="1">
        <f t="shared" si="196"/>
        <v>4.7973902045325475E-5</v>
      </c>
      <c r="E877" s="1">
        <f t="shared" si="197"/>
        <v>3.3253376829924458E-3</v>
      </c>
      <c r="F877" s="1">
        <f t="shared" si="198"/>
        <v>0.99677450094106279</v>
      </c>
      <c r="G877" s="1">
        <f t="shared" si="199"/>
        <v>0.99712294611229435</v>
      </c>
      <c r="H877" s="1">
        <f t="shared" si="207"/>
        <v>9.9712294611229435</v>
      </c>
      <c r="S877" s="2">
        <v>8.76</v>
      </c>
      <c r="T877" s="1">
        <f t="shared" si="200"/>
        <v>1.7378008287493727E-9</v>
      </c>
      <c r="U877" s="1">
        <f t="shared" si="201"/>
        <v>5.8119433671052935E-6</v>
      </c>
      <c r="V877" s="1">
        <f t="shared" si="202"/>
        <v>9.9908555074026295E-2</v>
      </c>
      <c r="W877" s="1">
        <f t="shared" si="203"/>
        <v>3.0481641991236144E-5</v>
      </c>
      <c r="X877" s="1">
        <f t="shared" si="204"/>
        <v>6.6793849410798389E-4</v>
      </c>
      <c r="Y877" s="1">
        <f t="shared" si="205"/>
        <v>6.0981872258453662E-4</v>
      </c>
      <c r="Z877" s="1">
        <f t="shared" si="206"/>
        <v>3.049093612922683E-2</v>
      </c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</row>
    <row r="878" spans="1:44" ht="15" customHeight="1" x14ac:dyDescent="0.3">
      <c r="A878" s="2">
        <v>8.77</v>
      </c>
      <c r="B878" s="1">
        <f t="shared" si="194"/>
        <v>1.6982436524617417E-9</v>
      </c>
      <c r="C878" s="1">
        <f t="shared" si="195"/>
        <v>5.9473209190914575E-6</v>
      </c>
      <c r="D878" s="1">
        <f t="shared" si="196"/>
        <v>4.6617355765344428E-5</v>
      </c>
      <c r="E878" s="1">
        <f t="shared" si="197"/>
        <v>3.325563774039109E-3</v>
      </c>
      <c r="F878" s="1">
        <f t="shared" si="198"/>
        <v>0.99684769081673974</v>
      </c>
      <c r="G878" s="1">
        <f t="shared" si="199"/>
        <v>0.99720426195323086</v>
      </c>
      <c r="H878" s="1">
        <f t="shared" si="207"/>
        <v>9.9720426195323082</v>
      </c>
      <c r="S878" s="2">
        <v>8.77</v>
      </c>
      <c r="T878" s="1">
        <f t="shared" si="200"/>
        <v>1.6982436524617417E-9</v>
      </c>
      <c r="U878" s="1">
        <f t="shared" si="201"/>
        <v>5.9473209190914575E-6</v>
      </c>
      <c r="V878" s="1">
        <f t="shared" si="202"/>
        <v>9.9911035827116051E-2</v>
      </c>
      <c r="W878" s="1">
        <f t="shared" si="203"/>
        <v>2.9654724294647615E-5</v>
      </c>
      <c r="X878" s="1">
        <f t="shared" si="204"/>
        <v>6.5274428216456723E-4</v>
      </c>
      <c r="Y878" s="1">
        <f t="shared" si="205"/>
        <v>5.9327041859990985E-4</v>
      </c>
      <c r="Z878" s="1">
        <f t="shared" si="206"/>
        <v>2.9663520929995493E-2</v>
      </c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</row>
    <row r="879" spans="1:44" ht="15" customHeight="1" x14ac:dyDescent="0.3">
      <c r="A879" s="2">
        <v>8.7799999999999994</v>
      </c>
      <c r="B879" s="1">
        <f t="shared" si="194"/>
        <v>1.6595869074375584E-9</v>
      </c>
      <c r="C879" s="1">
        <f t="shared" si="195"/>
        <v>6.0858518193510209E-6</v>
      </c>
      <c r="D879" s="1">
        <f t="shared" si="196"/>
        <v>4.5285308872011387E-5</v>
      </c>
      <c r="E879" s="1">
        <f t="shared" si="197"/>
        <v>3.3257857818546647E-3</v>
      </c>
      <c r="F879" s="1">
        <f t="shared" si="198"/>
        <v>0.99691922507217445</v>
      </c>
      <c r="G879" s="1">
        <f t="shared" si="199"/>
        <v>0.99728411136623574</v>
      </c>
      <c r="H879" s="1">
        <f t="shared" si="207"/>
        <v>9.9728411136623567</v>
      </c>
      <c r="S879" s="2">
        <v>8.7799999999999994</v>
      </c>
      <c r="T879" s="1">
        <f t="shared" si="200"/>
        <v>1.6595869074375584E-9</v>
      </c>
      <c r="U879" s="1">
        <f t="shared" si="201"/>
        <v>6.0858518193510209E-6</v>
      </c>
      <c r="V879" s="1">
        <f t="shared" si="202"/>
        <v>9.9913469564087448E-2</v>
      </c>
      <c r="W879" s="1">
        <f t="shared" si="203"/>
        <v>2.8843478637518442E-5</v>
      </c>
      <c r="X879" s="1">
        <f t="shared" si="204"/>
        <v>6.3789548632313192E-4</v>
      </c>
      <c r="Y879" s="1">
        <f t="shared" si="205"/>
        <v>5.7703601000864643E-4</v>
      </c>
      <c r="Z879" s="1">
        <f t="shared" si="206"/>
        <v>2.8851800500432321E-2</v>
      </c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</row>
    <row r="880" spans="1:44" ht="15" customHeight="1" x14ac:dyDescent="0.3">
      <c r="A880" s="2">
        <v>8.7899999999999991</v>
      </c>
      <c r="B880" s="1">
        <f t="shared" si="194"/>
        <v>1.6218100973589279E-9</v>
      </c>
      <c r="C880" s="1">
        <f t="shared" si="195"/>
        <v>6.2276095188009775E-6</v>
      </c>
      <c r="D880" s="1">
        <f t="shared" si="196"/>
        <v>4.3977064938271532E-5</v>
      </c>
      <c r="E880" s="1">
        <f t="shared" si="197"/>
        <v>3.3260038225102887E-3</v>
      </c>
      <c r="F880" s="1">
        <f t="shared" si="198"/>
        <v>0.99698914092863045</v>
      </c>
      <c r="G880" s="1">
        <f t="shared" si="199"/>
        <v>0.9973625359829672</v>
      </c>
      <c r="H880" s="1">
        <f t="shared" si="207"/>
        <v>9.973625359829672</v>
      </c>
      <c r="S880" s="2">
        <v>8.7899999999999991</v>
      </c>
      <c r="T880" s="1">
        <f t="shared" si="200"/>
        <v>1.6218100973589279E-9</v>
      </c>
      <c r="U880" s="1">
        <f t="shared" si="201"/>
        <v>6.2276095188009775E-6</v>
      </c>
      <c r="V880" s="1">
        <f t="shared" si="202"/>
        <v>9.9915857568493166E-2</v>
      </c>
      <c r="W880" s="1">
        <f t="shared" si="203"/>
        <v>2.8047477168941774E-5</v>
      </c>
      <c r="X880" s="1">
        <f t="shared" si="204"/>
        <v>6.2338426402499896E-4</v>
      </c>
      <c r="Y880" s="1">
        <f t="shared" si="205"/>
        <v>5.6110691971403563E-4</v>
      </c>
      <c r="Z880" s="1">
        <f t="shared" si="206"/>
        <v>2.8055345985701783E-2</v>
      </c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</row>
    <row r="881" spans="1:44" ht="15" customHeight="1" x14ac:dyDescent="0.3">
      <c r="A881" s="2">
        <v>8.8000000000000007</v>
      </c>
      <c r="B881" s="1">
        <f t="shared" si="194"/>
        <v>1.584893192461106E-9</v>
      </c>
      <c r="C881" s="1">
        <f t="shared" si="195"/>
        <v>6.3726691792499815E-6</v>
      </c>
      <c r="D881" s="1">
        <f t="shared" si="196"/>
        <v>4.2691939716989338E-5</v>
      </c>
      <c r="E881" s="1">
        <f t="shared" si="197"/>
        <v>3.3262180100471681E-3</v>
      </c>
      <c r="F881" s="1">
        <f t="shared" si="198"/>
        <v>0.99705747478090989</v>
      </c>
      <c r="G881" s="1">
        <f t="shared" si="199"/>
        <v>0.99743957671134753</v>
      </c>
      <c r="H881" s="1">
        <f t="shared" si="207"/>
        <v>9.9743957671134744</v>
      </c>
      <c r="S881" s="2">
        <v>8.8000000000000007</v>
      </c>
      <c r="T881" s="1">
        <f t="shared" si="200"/>
        <v>1.584893192461106E-9</v>
      </c>
      <c r="U881" s="1">
        <f t="shared" si="201"/>
        <v>6.3726691792499815E-6</v>
      </c>
      <c r="V881" s="1">
        <f t="shared" si="202"/>
        <v>9.991820109994555E-2</v>
      </c>
      <c r="W881" s="1">
        <f t="shared" si="203"/>
        <v>2.7266300018153919E-5</v>
      </c>
      <c r="X881" s="1">
        <f t="shared" si="204"/>
        <v>6.0920295032780927E-4</v>
      </c>
      <c r="Y881" s="1">
        <f t="shared" si="205"/>
        <v>5.4547473113979411E-4</v>
      </c>
      <c r="Z881" s="1">
        <f t="shared" si="206"/>
        <v>2.7273736556989708E-2</v>
      </c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</row>
    <row r="882" spans="1:44" ht="15" customHeight="1" x14ac:dyDescent="0.3">
      <c r="A882" s="2">
        <v>8.81</v>
      </c>
      <c r="B882" s="1">
        <f t="shared" si="194"/>
        <v>1.5488166189124741E-9</v>
      </c>
      <c r="C882" s="1">
        <f t="shared" si="195"/>
        <v>6.5211077132500505E-6</v>
      </c>
      <c r="D882" s="1">
        <f t="shared" si="196"/>
        <v>4.1429260797823949E-5</v>
      </c>
      <c r="E882" s="1">
        <f t="shared" si="197"/>
        <v>3.3264284565336965E-3</v>
      </c>
      <c r="F882" s="1">
        <f t="shared" si="198"/>
        <v>0.99712426221523931</v>
      </c>
      <c r="G882" s="1">
        <f t="shared" si="199"/>
        <v>0.99751527375584637</v>
      </c>
      <c r="H882" s="1">
        <f t="shared" si="207"/>
        <v>9.9751527375584637</v>
      </c>
      <c r="S882" s="2">
        <v>8.81</v>
      </c>
      <c r="T882" s="1">
        <f t="shared" si="200"/>
        <v>1.5488166189124741E-9</v>
      </c>
      <c r="U882" s="1">
        <f t="shared" si="201"/>
        <v>6.5211077132500505E-6</v>
      </c>
      <c r="V882" s="1">
        <f t="shared" si="202"/>
        <v>9.9920501394770461E-2</v>
      </c>
      <c r="W882" s="1">
        <f t="shared" si="203"/>
        <v>2.6499535076515286E-5</v>
      </c>
      <c r="X882" s="1">
        <f t="shared" si="204"/>
        <v>5.9534405390300699E-4</v>
      </c>
      <c r="Y882" s="1">
        <f t="shared" si="205"/>
        <v>5.3013118382931612E-4</v>
      </c>
      <c r="Z882" s="1">
        <f t="shared" si="206"/>
        <v>2.6506559191465804E-2</v>
      </c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</row>
    <row r="883" spans="1:44" ht="15" customHeight="1" x14ac:dyDescent="0.3">
      <c r="A883" s="2">
        <v>8.82</v>
      </c>
      <c r="B883" s="1">
        <f t="shared" si="194"/>
        <v>1.5135612484362064E-9</v>
      </c>
      <c r="C883" s="1">
        <f t="shared" si="195"/>
        <v>6.6730038248767263E-6</v>
      </c>
      <c r="D883" s="1">
        <f t="shared" si="196"/>
        <v>4.0188367269536583E-5</v>
      </c>
      <c r="E883" s="1">
        <f t="shared" si="197"/>
        <v>3.3266352721217436E-3</v>
      </c>
      <c r="F883" s="1">
        <f t="shared" si="198"/>
        <v>0.99718953802678978</v>
      </c>
      <c r="G883" s="1">
        <f t="shared" si="199"/>
        <v>0.99758966663745186</v>
      </c>
      <c r="H883" s="1">
        <f t="shared" si="207"/>
        <v>9.9758966663745188</v>
      </c>
      <c r="S883" s="2">
        <v>8.82</v>
      </c>
      <c r="T883" s="1">
        <f t="shared" si="200"/>
        <v>1.5135612484362064E-9</v>
      </c>
      <c r="U883" s="1">
        <f t="shared" si="201"/>
        <v>6.6730038248767263E-6</v>
      </c>
      <c r="V883" s="1">
        <f t="shared" si="202"/>
        <v>9.9922759666649791E-2</v>
      </c>
      <c r="W883" s="1">
        <f t="shared" si="203"/>
        <v>2.5746777783399918E-5</v>
      </c>
      <c r="X883" s="1">
        <f t="shared" si="204"/>
        <v>5.8180025312259596E-4</v>
      </c>
      <c r="Y883" s="1">
        <f t="shared" si="205"/>
        <v>5.1506816912493599E-4</v>
      </c>
      <c r="Z883" s="1">
        <f t="shared" si="206"/>
        <v>2.5753408456246803E-2</v>
      </c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</row>
    <row r="884" spans="1:44" ht="15" customHeight="1" x14ac:dyDescent="0.3">
      <c r="A884" s="2">
        <v>8.83</v>
      </c>
      <c r="B884" s="1">
        <f t="shared" si="194"/>
        <v>1.479108388168206E-9</v>
      </c>
      <c r="C884" s="1">
        <f t="shared" si="195"/>
        <v>6.8284380514590222E-6</v>
      </c>
      <c r="D884" s="1">
        <f t="shared" si="196"/>
        <v>3.8968609387533324E-5</v>
      </c>
      <c r="E884" s="1">
        <f t="shared" si="197"/>
        <v>3.3268385651020779E-3</v>
      </c>
      <c r="F884" s="1">
        <f t="shared" si="198"/>
        <v>0.99725333623683676</v>
      </c>
      <c r="G884" s="1">
        <f t="shared" si="199"/>
        <v>0.99766279421334159</v>
      </c>
      <c r="H884" s="1">
        <f t="shared" si="207"/>
        <v>9.9766279421334154</v>
      </c>
      <c r="S884" s="2">
        <v>8.83</v>
      </c>
      <c r="T884" s="1">
        <f t="shared" si="200"/>
        <v>1.479108388168206E-9</v>
      </c>
      <c r="U884" s="1">
        <f t="shared" si="201"/>
        <v>6.8284380514590222E-6</v>
      </c>
      <c r="V884" s="1">
        <f t="shared" si="202"/>
        <v>9.9924977107252344E-2</v>
      </c>
      <c r="W884" s="1">
        <f t="shared" si="203"/>
        <v>2.5007630915890444E-5</v>
      </c>
      <c r="X884" s="1">
        <f t="shared" si="204"/>
        <v>5.6856439223324623E-4</v>
      </c>
      <c r="Y884" s="1">
        <f t="shared" si="205"/>
        <v>5.0027772592506261E-4</v>
      </c>
      <c r="Z884" s="1">
        <f t="shared" si="206"/>
        <v>2.5013886296253129E-2</v>
      </c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</row>
    <row r="885" spans="1:44" ht="15" customHeight="1" x14ac:dyDescent="0.3">
      <c r="A885" s="2">
        <v>8.84</v>
      </c>
      <c r="B885" s="1">
        <f t="shared" si="194"/>
        <v>1.4454397707459262E-9</v>
      </c>
      <c r="C885" s="1">
        <f t="shared" si="195"/>
        <v>6.987492806281264E-6</v>
      </c>
      <c r="D885" s="1">
        <f t="shared" si="196"/>
        <v>3.7769348246535914E-5</v>
      </c>
      <c r="E885" s="1">
        <f t="shared" si="197"/>
        <v>3.3270384419589101E-3</v>
      </c>
      <c r="F885" s="1">
        <f t="shared" si="198"/>
        <v>0.99731569010956767</v>
      </c>
      <c r="G885" s="1">
        <f t="shared" si="199"/>
        <v>0.99773469469625675</v>
      </c>
      <c r="H885" s="1">
        <f t="shared" si="207"/>
        <v>9.9773469469625677</v>
      </c>
      <c r="S885" s="2">
        <v>8.84</v>
      </c>
      <c r="T885" s="1">
        <f t="shared" si="200"/>
        <v>1.4454397707459262E-9</v>
      </c>
      <c r="U885" s="1">
        <f t="shared" si="201"/>
        <v>6.987492806281264E-6</v>
      </c>
      <c r="V885" s="1">
        <f t="shared" si="202"/>
        <v>9.992715488685347E-2</v>
      </c>
      <c r="W885" s="1">
        <f t="shared" si="203"/>
        <v>2.4281704382175949E-5</v>
      </c>
      <c r="X885" s="1">
        <f t="shared" si="204"/>
        <v>5.55629477615839E-4</v>
      </c>
      <c r="Y885" s="1">
        <f t="shared" si="205"/>
        <v>4.8575203651705641E-4</v>
      </c>
      <c r="Z885" s="1">
        <f t="shared" si="206"/>
        <v>2.4287601825852823E-2</v>
      </c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</row>
    <row r="886" spans="1:44" ht="15" customHeight="1" x14ac:dyDescent="0.3">
      <c r="A886" s="2">
        <v>8.85</v>
      </c>
      <c r="B886" s="1">
        <f t="shared" si="194"/>
        <v>1.4125375446227532E-9</v>
      </c>
      <c r="C886" s="1">
        <f t="shared" si="195"/>
        <v>7.1502524222797982E-6</v>
      </c>
      <c r="D886" s="1">
        <f t="shared" si="196"/>
        <v>3.6589955458240275E-5</v>
      </c>
      <c r="E886" s="1">
        <f t="shared" si="197"/>
        <v>3.3272350074236268E-3</v>
      </c>
      <c r="F886" s="1">
        <f t="shared" si="198"/>
        <v>0.99737663216854267</v>
      </c>
      <c r="G886" s="1">
        <f t="shared" si="199"/>
        <v>0.99780540567359211</v>
      </c>
      <c r="H886" s="1">
        <f t="shared" si="207"/>
        <v>9.9780540567359211</v>
      </c>
      <c r="S886" s="2">
        <v>8.85</v>
      </c>
      <c r="T886" s="1">
        <f t="shared" si="200"/>
        <v>1.4125375446227532E-9</v>
      </c>
      <c r="U886" s="1">
        <f t="shared" si="201"/>
        <v>7.1502524222797982E-6</v>
      </c>
      <c r="V886" s="1">
        <f t="shared" si="202"/>
        <v>9.9929294154944365E-2</v>
      </c>
      <c r="W886" s="1">
        <f t="shared" si="203"/>
        <v>2.3568615018550151E-5</v>
      </c>
      <c r="X886" s="1">
        <f t="shared" si="204"/>
        <v>5.4298867412855441E-4</v>
      </c>
      <c r="Y886" s="1">
        <f t="shared" si="205"/>
        <v>4.7148342248372446E-4</v>
      </c>
      <c r="Z886" s="1">
        <f t="shared" si="206"/>
        <v>2.3574171124186222E-2</v>
      </c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</row>
    <row r="887" spans="1:44" ht="15" customHeight="1" x14ac:dyDescent="0.3">
      <c r="A887" s="2">
        <v>8.86</v>
      </c>
      <c r="B887" s="1">
        <f t="shared" si="194"/>
        <v>1.380384264602884E-9</v>
      </c>
      <c r="C887" s="1">
        <f t="shared" si="195"/>
        <v>7.3168031967574034E-6</v>
      </c>
      <c r="D887" s="1">
        <f t="shared" si="196"/>
        <v>3.5429812833800799E-5</v>
      </c>
      <c r="E887" s="1">
        <f t="shared" si="197"/>
        <v>3.3274283645276996E-3</v>
      </c>
      <c r="F887" s="1">
        <f t="shared" si="198"/>
        <v>0.99743619421281426</v>
      </c>
      <c r="G887" s="1">
        <f t="shared" si="199"/>
        <v>0.9978749641262048</v>
      </c>
      <c r="H887" s="1">
        <f t="shared" si="207"/>
        <v>9.9787496412620467</v>
      </c>
      <c r="S887" s="2">
        <v>8.86</v>
      </c>
      <c r="T887" s="1">
        <f t="shared" si="200"/>
        <v>1.380384264602884E-9</v>
      </c>
      <c r="U887" s="1">
        <f t="shared" si="201"/>
        <v>7.3168031967574034E-6</v>
      </c>
      <c r="V887" s="1">
        <f t="shared" si="202"/>
        <v>9.9931396040830262E-2</v>
      </c>
      <c r="W887" s="1">
        <f t="shared" si="203"/>
        <v>2.2867986389911631E-5</v>
      </c>
      <c r="X887" s="1">
        <f t="shared" si="204"/>
        <v>5.3063530153169491E-4</v>
      </c>
      <c r="Y887" s="1">
        <f t="shared" si="205"/>
        <v>4.5746434068139833E-4</v>
      </c>
      <c r="Z887" s="1">
        <f t="shared" si="206"/>
        <v>2.2873217034069915E-2</v>
      </c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</row>
    <row r="888" spans="1:44" ht="15" customHeight="1" x14ac:dyDescent="0.3">
      <c r="A888" s="2">
        <v>8.8699999999999992</v>
      </c>
      <c r="B888" s="1">
        <f t="shared" si="194"/>
        <v>1.3489628825916529E-9</v>
      </c>
      <c r="C888" s="1">
        <f t="shared" si="195"/>
        <v>7.4872334371392701E-6</v>
      </c>
      <c r="D888" s="1">
        <f t="shared" si="196"/>
        <v>3.4288312071052682E-5</v>
      </c>
      <c r="E888" s="1">
        <f t="shared" si="197"/>
        <v>3.3276186146548241E-3</v>
      </c>
      <c r="F888" s="1">
        <f t="shared" si="198"/>
        <v>0.99749440733271433</v>
      </c>
      <c r="G888" s="1">
        <f t="shared" si="199"/>
        <v>0.99794340644695223</v>
      </c>
      <c r="H888" s="1">
        <f t="shared" si="207"/>
        <v>9.9794340644695225</v>
      </c>
      <c r="S888" s="2">
        <v>8.8699999999999992</v>
      </c>
      <c r="T888" s="1">
        <f t="shared" si="200"/>
        <v>1.3489628825916529E-9</v>
      </c>
      <c r="U888" s="1">
        <f t="shared" si="201"/>
        <v>7.4872334371392701E-6</v>
      </c>
      <c r="V888" s="1">
        <f t="shared" si="202"/>
        <v>9.9933461654218986E-2</v>
      </c>
      <c r="W888" s="1">
        <f t="shared" si="203"/>
        <v>2.2179448593667532E-5</v>
      </c>
      <c r="X888" s="1">
        <f t="shared" si="204"/>
        <v>5.1856283099244323E-4</v>
      </c>
      <c r="Y888" s="1">
        <f t="shared" si="205"/>
        <v>4.4368737928755629E-4</v>
      </c>
      <c r="Z888" s="1">
        <f t="shared" si="206"/>
        <v>2.2184368964377813E-2</v>
      </c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</row>
    <row r="889" spans="1:44" ht="15" customHeight="1" x14ac:dyDescent="0.3">
      <c r="A889" s="2">
        <v>8.8800000000000008</v>
      </c>
      <c r="B889" s="1">
        <f t="shared" si="194"/>
        <v>1.3182567385564018E-9</v>
      </c>
      <c r="C889" s="1">
        <f t="shared" si="195"/>
        <v>7.6616335077947864E-6</v>
      </c>
      <c r="D889" s="1">
        <f t="shared" si="196"/>
        <v>3.316485444630359E-5</v>
      </c>
      <c r="E889" s="1">
        <f t="shared" si="197"/>
        <v>3.3278058575922824E-3</v>
      </c>
      <c r="F889" s="1">
        <f t="shared" si="198"/>
        <v>0.99755130192531061</v>
      </c>
      <c r="G889" s="1">
        <f t="shared" si="199"/>
        <v>0.99801076845896686</v>
      </c>
      <c r="H889" s="1">
        <f t="shared" si="207"/>
        <v>9.9801076845896688</v>
      </c>
      <c r="S889" s="2">
        <v>8.8800000000000008</v>
      </c>
      <c r="T889" s="1">
        <f t="shared" si="200"/>
        <v>1.3182567385564018E-9</v>
      </c>
      <c r="U889" s="1">
        <f t="shared" si="201"/>
        <v>7.6616335077947864E-6</v>
      </c>
      <c r="V889" s="1">
        <f t="shared" si="202"/>
        <v>9.993549208579916E-2</v>
      </c>
      <c r="W889" s="1">
        <f t="shared" si="203"/>
        <v>2.1502638066944108E-5</v>
      </c>
      <c r="X889" s="1">
        <f t="shared" si="204"/>
        <v>5.0676488166779979E-4</v>
      </c>
      <c r="Y889" s="1">
        <f t="shared" si="205"/>
        <v>4.301452539159938E-4</v>
      </c>
      <c r="Z889" s="1">
        <f t="shared" si="206"/>
        <v>2.1507262695799691E-2</v>
      </c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</row>
    <row r="890" spans="1:44" ht="15" customHeight="1" x14ac:dyDescent="0.3">
      <c r="A890" s="2">
        <v>8.89</v>
      </c>
      <c r="B890" s="1">
        <f t="shared" si="194"/>
        <v>1.2882495516931289E-9</v>
      </c>
      <c r="C890" s="1">
        <f t="shared" si="195"/>
        <v>7.8400958779498169E-6</v>
      </c>
      <c r="D890" s="1">
        <f t="shared" si="196"/>
        <v>3.2058850510517093E-5</v>
      </c>
      <c r="E890" s="1">
        <f t="shared" si="197"/>
        <v>3.3279901915815803E-3</v>
      </c>
      <c r="F890" s="1">
        <f t="shared" si="198"/>
        <v>0.99760690770954508</v>
      </c>
      <c r="G890" s="1">
        <f t="shared" si="199"/>
        <v>0.99807708543367524</v>
      </c>
      <c r="H890" s="1">
        <f t="shared" si="207"/>
        <v>9.9807708543367522</v>
      </c>
      <c r="S890" s="2">
        <v>8.89</v>
      </c>
      <c r="T890" s="1">
        <f t="shared" si="200"/>
        <v>1.2882495516931289E-9</v>
      </c>
      <c r="U890" s="1">
        <f t="shared" si="201"/>
        <v>7.8400958779498169E-6</v>
      </c>
      <c r="V890" s="1">
        <f t="shared" si="202"/>
        <v>9.9937488407808972E-2</v>
      </c>
      <c r="W890" s="1">
        <f t="shared" si="203"/>
        <v>2.0837197397009417E-5</v>
      </c>
      <c r="X890" s="1">
        <f t="shared" si="204"/>
        <v>4.9523521736399118E-4</v>
      </c>
      <c r="Y890" s="1">
        <f t="shared" si="205"/>
        <v>4.1683080379758717E-4</v>
      </c>
      <c r="Z890" s="1">
        <f t="shared" si="206"/>
        <v>2.0841540189879357E-2</v>
      </c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</row>
    <row r="891" spans="1:44" ht="15" customHeight="1" x14ac:dyDescent="0.3">
      <c r="A891" s="2">
        <v>8.9</v>
      </c>
      <c r="B891" s="1">
        <f t="shared" si="194"/>
        <v>1.2589254117941623E-9</v>
      </c>
      <c r="C891" s="1">
        <f t="shared" si="195"/>
        <v>8.0227151707152736E-6</v>
      </c>
      <c r="D891" s="1">
        <f t="shared" si="196"/>
        <v>3.0969719789877103E-5</v>
      </c>
      <c r="E891" s="1">
        <f t="shared" si="197"/>
        <v>3.3281717133683535E-3</v>
      </c>
      <c r="F891" s="1">
        <f t="shared" si="198"/>
        <v>0.99766125374105208</v>
      </c>
      <c r="G891" s="1">
        <f t="shared" si="199"/>
        <v>0.99814239210856603</v>
      </c>
      <c r="H891" s="1">
        <f t="shared" si="207"/>
        <v>9.9814239210856606</v>
      </c>
      <c r="S891" s="2">
        <v>8.9</v>
      </c>
      <c r="T891" s="1">
        <f t="shared" si="200"/>
        <v>1.2589254117941623E-9</v>
      </c>
      <c r="U891" s="1">
        <f t="shared" si="201"/>
        <v>8.0227151707152736E-6</v>
      </c>
      <c r="V891" s="1">
        <f t="shared" si="202"/>
        <v>9.9939451674595559E-2</v>
      </c>
      <c r="W891" s="1">
        <f t="shared" si="203"/>
        <v>2.0182775134812914E-5</v>
      </c>
      <c r="X891" s="1">
        <f t="shared" si="204"/>
        <v>4.8396774327064238E-4</v>
      </c>
      <c r="Y891" s="1">
        <f t="shared" si="205"/>
        <v>4.0373698802468732E-4</v>
      </c>
      <c r="Z891" s="1">
        <f t="shared" si="206"/>
        <v>2.0186849401234365E-2</v>
      </c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</row>
    <row r="892" spans="1:44" ht="15" customHeight="1" x14ac:dyDescent="0.3">
      <c r="A892" s="2">
        <v>8.91</v>
      </c>
      <c r="B892" s="1">
        <f t="shared" si="194"/>
        <v>1.230268770812377E-9</v>
      </c>
      <c r="C892" s="1">
        <f t="shared" si="195"/>
        <v>8.2095882132574316E-6</v>
      </c>
      <c r="D892" s="1">
        <f t="shared" si="196"/>
        <v>2.9896890490495344E-5</v>
      </c>
      <c r="E892" s="1">
        <f t="shared" si="197"/>
        <v>3.3283505182515843E-3</v>
      </c>
      <c r="F892" s="1">
        <f t="shared" si="198"/>
        <v>0.99771436842666972</v>
      </c>
      <c r="G892" s="1">
        <f t="shared" si="199"/>
        <v>0.99820672270471955</v>
      </c>
      <c r="H892" s="1">
        <f t="shared" si="207"/>
        <v>9.9820672270471942</v>
      </c>
      <c r="S892" s="2">
        <v>8.91</v>
      </c>
      <c r="T892" s="1">
        <f t="shared" si="200"/>
        <v>1.230268770812377E-9</v>
      </c>
      <c r="U892" s="1">
        <f t="shared" si="201"/>
        <v>8.2095882132574316E-6</v>
      </c>
      <c r="V892" s="1">
        <f t="shared" si="202"/>
        <v>9.9941382923165331E-2</v>
      </c>
      <c r="W892" s="1">
        <f t="shared" si="203"/>
        <v>1.9539025611551481E-5</v>
      </c>
      <c r="X892" s="1">
        <f t="shared" si="204"/>
        <v>4.7295650276810332E-4</v>
      </c>
      <c r="Y892" s="1">
        <f t="shared" si="205"/>
        <v>3.9085688185728031E-4</v>
      </c>
      <c r="Z892" s="1">
        <f t="shared" si="206"/>
        <v>1.9542844092864012E-2</v>
      </c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</row>
    <row r="893" spans="1:44" ht="15" customHeight="1" x14ac:dyDescent="0.3">
      <c r="A893" s="2">
        <v>8.92</v>
      </c>
      <c r="B893" s="1">
        <f t="shared" si="194"/>
        <v>1.2022644346174128E-9</v>
      </c>
      <c r="C893" s="1">
        <f t="shared" si="195"/>
        <v>8.4008140881369775E-6</v>
      </c>
      <c r="D893" s="1">
        <f t="shared" si="196"/>
        <v>2.8839799207127747E-5</v>
      </c>
      <c r="E893" s="1">
        <f t="shared" si="197"/>
        <v>3.3285267001321459E-3</v>
      </c>
      <c r="F893" s="1">
        <f t="shared" si="198"/>
        <v>0.99776627953864616</v>
      </c>
      <c r="G893" s="1">
        <f t="shared" si="199"/>
        <v>0.99827011094410267</v>
      </c>
      <c r="H893" s="1">
        <f t="shared" si="207"/>
        <v>9.9827011094410256</v>
      </c>
      <c r="S893" s="2">
        <v>8.92</v>
      </c>
      <c r="T893" s="1">
        <f t="shared" si="200"/>
        <v>1.2022644346174128E-9</v>
      </c>
      <c r="U893" s="1">
        <f t="shared" si="201"/>
        <v>8.4008140881369775E-6</v>
      </c>
      <c r="V893" s="1">
        <f t="shared" si="202"/>
        <v>9.9943283173725486E-2</v>
      </c>
      <c r="W893" s="1">
        <f t="shared" si="203"/>
        <v>1.8905608758169368E-5</v>
      </c>
      <c r="X893" s="1">
        <f t="shared" si="204"/>
        <v>4.6219567430629238E-4</v>
      </c>
      <c r="Y893" s="1">
        <f t="shared" si="205"/>
        <v>3.7818367308900877E-4</v>
      </c>
      <c r="Z893" s="1">
        <f t="shared" si="206"/>
        <v>1.8909183654450441E-2</v>
      </c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</row>
    <row r="894" spans="1:44" ht="15" customHeight="1" x14ac:dyDescent="0.3">
      <c r="A894" s="2">
        <v>8.93</v>
      </c>
      <c r="B894" s="1">
        <f t="shared" si="194"/>
        <v>1.1748975549395295E-9</v>
      </c>
      <c r="C894" s="1">
        <f t="shared" si="195"/>
        <v>8.5964941858440024E-6</v>
      </c>
      <c r="D894" s="1">
        <f t="shared" si="196"/>
        <v>2.7797890635886315E-5</v>
      </c>
      <c r="E894" s="1">
        <f t="shared" si="197"/>
        <v>3.3287003515606855E-3</v>
      </c>
      <c r="F894" s="1">
        <f t="shared" si="198"/>
        <v>0.99781701422854685</v>
      </c>
      <c r="G894" s="1">
        <f t="shared" si="199"/>
        <v>0.99833259006663655</v>
      </c>
      <c r="H894" s="1">
        <f t="shared" si="207"/>
        <v>9.9833259006663653</v>
      </c>
      <c r="S894" s="2">
        <v>8.93</v>
      </c>
      <c r="T894" s="1">
        <f t="shared" si="200"/>
        <v>1.1748975549395295E-9</v>
      </c>
      <c r="U894" s="1">
        <f t="shared" si="201"/>
        <v>8.5964941858440024E-6</v>
      </c>
      <c r="V894" s="1">
        <f t="shared" si="202"/>
        <v>9.9945153430216899E-2</v>
      </c>
      <c r="W894" s="1">
        <f t="shared" si="203"/>
        <v>1.828218992770205E-5</v>
      </c>
      <c r="X894" s="1">
        <f t="shared" si="204"/>
        <v>4.5167956835348263E-4</v>
      </c>
      <c r="Y894" s="1">
        <f t="shared" si="205"/>
        <v>3.6571065847120854E-4</v>
      </c>
      <c r="Z894" s="1">
        <f t="shared" si="206"/>
        <v>1.8285532923560426E-2</v>
      </c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</row>
    <row r="895" spans="1:44" ht="15" customHeight="1" x14ac:dyDescent="0.3">
      <c r="A895" s="2">
        <v>8.94</v>
      </c>
      <c r="B895" s="1">
        <f t="shared" si="194"/>
        <v>1.1481536214968828E-9</v>
      </c>
      <c r="C895" s="1">
        <f t="shared" si="195"/>
        <v>8.7967322585564133E-6</v>
      </c>
      <c r="D895" s="1">
        <f t="shared" si="196"/>
        <v>2.6770617290664954E-5</v>
      </c>
      <c r="E895" s="1">
        <f t="shared" si="197"/>
        <v>3.3288715637848892E-3</v>
      </c>
      <c r="F895" s="1">
        <f t="shared" si="198"/>
        <v>0.99786659904087005</v>
      </c>
      <c r="G895" s="1">
        <f t="shared" si="199"/>
        <v>0.99839419284704745</v>
      </c>
      <c r="H895" s="1">
        <f t="shared" si="207"/>
        <v>9.9839419284704736</v>
      </c>
      <c r="S895" s="2">
        <v>8.94</v>
      </c>
      <c r="T895" s="1">
        <f t="shared" si="200"/>
        <v>1.1481536214968828E-9</v>
      </c>
      <c r="U895" s="1">
        <f t="shared" si="201"/>
        <v>8.7967322585564133E-6</v>
      </c>
      <c r="V895" s="1">
        <f t="shared" si="202"/>
        <v>9.9946994680838869E-2</v>
      </c>
      <c r="W895" s="1">
        <f t="shared" si="203"/>
        <v>1.7668439720377075E-5</v>
      </c>
      <c r="X895" s="1">
        <f t="shared" si="204"/>
        <v>4.4140262441350931E-4</v>
      </c>
      <c r="Y895" s="1">
        <f t="shared" si="205"/>
        <v>3.5343124019316806E-4</v>
      </c>
      <c r="Z895" s="1">
        <f t="shared" si="206"/>
        <v>1.7671562009658401E-2</v>
      </c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</row>
    <row r="896" spans="1:44" ht="15" customHeight="1" x14ac:dyDescent="0.3">
      <c r="A896" s="2">
        <v>8.9499999999999993</v>
      </c>
      <c r="B896" s="1">
        <f t="shared" si="194"/>
        <v>1.1220184543019636E-9</v>
      </c>
      <c r="C896" s="1">
        <f t="shared" si="195"/>
        <v>9.0016344751508279E-6</v>
      </c>
      <c r="D896" s="1">
        <f t="shared" si="196"/>
        <v>2.5757439223266276E-5</v>
      </c>
      <c r="E896" s="1">
        <f t="shared" si="197"/>
        <v>3.329040426796122E-3</v>
      </c>
      <c r="F896" s="1">
        <f t="shared" si="198"/>
        <v>0.99791505992637475</v>
      </c>
      <c r="G896" s="1">
        <f t="shared" si="199"/>
        <v>0.99845495161150377</v>
      </c>
      <c r="H896" s="1">
        <f t="shared" si="207"/>
        <v>9.9845495161150364</v>
      </c>
      <c r="S896" s="2">
        <v>8.9499999999999993</v>
      </c>
      <c r="T896" s="1">
        <f t="shared" si="200"/>
        <v>1.1220184543019636E-9</v>
      </c>
      <c r="U896" s="1">
        <f t="shared" si="201"/>
        <v>9.0016344751508279E-6</v>
      </c>
      <c r="V896" s="1">
        <f t="shared" si="202"/>
        <v>9.9948807898565861E-2</v>
      </c>
      <c r="W896" s="1">
        <f t="shared" si="203"/>
        <v>1.7064033811382159E-5</v>
      </c>
      <c r="X896" s="1">
        <f t="shared" si="204"/>
        <v>4.3135940810985681E-4</v>
      </c>
      <c r="Y896" s="1">
        <f t="shared" si="205"/>
        <v>3.4133892241677572E-4</v>
      </c>
      <c r="Z896" s="1">
        <f t="shared" si="206"/>
        <v>1.7066946120838786E-2</v>
      </c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</row>
    <row r="897" spans="1:44" ht="15" customHeight="1" x14ac:dyDescent="0.3">
      <c r="A897" s="2">
        <v>8.9600000000000009</v>
      </c>
      <c r="B897" s="1">
        <f t="shared" si="194"/>
        <v>1.0964781961431814E-9</v>
      </c>
      <c r="C897" s="1">
        <f t="shared" si="195"/>
        <v>9.2113094774947178E-6</v>
      </c>
      <c r="D897" s="1">
        <f t="shared" si="196"/>
        <v>2.4757823747024365E-5</v>
      </c>
      <c r="E897" s="1">
        <f t="shared" si="197"/>
        <v>3.3292070293754958E-3</v>
      </c>
      <c r="F897" s="1">
        <f t="shared" si="198"/>
        <v>0.99796242225512732</v>
      </c>
      <c r="G897" s="1">
        <f t="shared" si="199"/>
        <v>0.99851489825405115</v>
      </c>
      <c r="H897" s="1">
        <f t="shared" si="207"/>
        <v>9.9851489825405118</v>
      </c>
      <c r="S897" s="2">
        <v>8.9600000000000009</v>
      </c>
      <c r="T897" s="1">
        <f t="shared" si="200"/>
        <v>1.0964781961431814E-9</v>
      </c>
      <c r="U897" s="1">
        <f t="shared" si="201"/>
        <v>9.2113094774947178E-6</v>
      </c>
      <c r="V897" s="1">
        <f t="shared" si="202"/>
        <v>9.9950594041656363E-2</v>
      </c>
      <c r="W897" s="1">
        <f t="shared" si="203"/>
        <v>1.6468652781215949E-5</v>
      </c>
      <c r="X897" s="1">
        <f t="shared" si="204"/>
        <v>4.2154460833516928E-4</v>
      </c>
      <c r="Y897" s="1">
        <f t="shared" si="205"/>
        <v>3.2942730786381753E-4</v>
      </c>
      <c r="Z897" s="1">
        <f t="shared" si="206"/>
        <v>1.6471365393190877E-2</v>
      </c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</row>
    <row r="898" spans="1:44" ht="15" customHeight="1" x14ac:dyDescent="0.3">
      <c r="A898" s="2">
        <v>8.9700000000000006</v>
      </c>
      <c r="B898" s="1">
        <f t="shared" si="194"/>
        <v>1.071519305237603E-9</v>
      </c>
      <c r="C898" s="1">
        <f t="shared" si="195"/>
        <v>9.4258684380496394E-6</v>
      </c>
      <c r="D898" s="1">
        <f t="shared" si="196"/>
        <v>2.3771245163907377E-5</v>
      </c>
      <c r="E898" s="1">
        <f t="shared" si="197"/>
        <v>3.3293714591393487E-3</v>
      </c>
      <c r="F898" s="1">
        <f t="shared" si="198"/>
        <v>0.99800871082927156</v>
      </c>
      <c r="G898" s="1">
        <f t="shared" si="199"/>
        <v>0.99857406425284789</v>
      </c>
      <c r="H898" s="1">
        <f t="shared" si="207"/>
        <v>9.9857406425284783</v>
      </c>
      <c r="S898" s="2">
        <v>8.9700000000000006</v>
      </c>
      <c r="T898" s="1">
        <f t="shared" si="200"/>
        <v>1.071519305237603E-9</v>
      </c>
      <c r="U898" s="1">
        <f t="shared" si="201"/>
        <v>9.4258684380496394E-6</v>
      </c>
      <c r="V898" s="1">
        <f t="shared" si="202"/>
        <v>9.9952354054154396E-2</v>
      </c>
      <c r="W898" s="1">
        <f t="shared" si="203"/>
        <v>1.5881981948536276E-5</v>
      </c>
      <c r="X898" s="1">
        <f t="shared" si="204"/>
        <v>4.1195303446473955E-4</v>
      </c>
      <c r="Y898" s="1">
        <f t="shared" si="205"/>
        <v>3.1769009445417894E-4</v>
      </c>
      <c r="Z898" s="1">
        <f t="shared" si="206"/>
        <v>1.5884504722708949E-2</v>
      </c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</row>
    <row r="899" spans="1:44" ht="15" customHeight="1" x14ac:dyDescent="0.3">
      <c r="A899" s="2">
        <v>8.98</v>
      </c>
      <c r="B899" s="1">
        <f t="shared" ref="B899:B962" si="208">10^(-A899)</f>
        <v>1.0471285480508964E-9</v>
      </c>
      <c r="C899" s="1">
        <f t="shared" ref="C899:C962" si="209">Kw/B899</f>
        <v>9.6454251188165312E-6</v>
      </c>
      <c r="D899" s="1">
        <f t="shared" ref="D899:D962" si="210">((WASB_Ca*WASB_Va)-(WASB_Cb*H899))/(WASB_Va+H899)</f>
        <v>2.2797184494795403E-5</v>
      </c>
      <c r="E899" s="1">
        <f t="shared" ref="E899:E962" si="211">(WASB_Ca*H899)/(WASB_Va+H899)</f>
        <v>3.3295338025842013E-3</v>
      </c>
      <c r="F899" s="1">
        <f t="shared" ref="F899:F962" si="212">WASB_Ka/(B899+WASB_Ka)</f>
        <v>0.99805394989552898</v>
      </c>
      <c r="G899" s="1">
        <f t="shared" ref="G899:G962" si="213">(F899-((B899-C899)/WASB_Ca)) / (1 + ((B899-C899)/WASB_Cb))</f>
        <v>0.99863248068621335</v>
      </c>
      <c r="H899" s="1">
        <f t="shared" si="207"/>
        <v>9.9863248068621324</v>
      </c>
      <c r="S899" s="2">
        <v>8.98</v>
      </c>
      <c r="T899" s="1">
        <f t="shared" ref="T899:T962" si="214">10^-S899</f>
        <v>1.0471285480508964E-9</v>
      </c>
      <c r="U899" s="1">
        <f t="shared" ref="U899:U962" si="215">Kw/T899</f>
        <v>9.6454251188165312E-6</v>
      </c>
      <c r="V899" s="1">
        <f t="shared" ref="V899:V962" si="216">((SAWB_Cb*SAWB_Vb)-(SAWB_Ca*Z899))/(Z899+SAWB_Vb)</f>
        <v>9.9954088866383739E-2</v>
      </c>
      <c r="W899" s="1">
        <f t="shared" ref="W899:W962" si="217">(SAWB_Cb*Z899)/(Z899+SAWB_Vb)</f>
        <v>1.5303711205420544E-5</v>
      </c>
      <c r="X899" s="1">
        <f t="shared" ref="X899:X962" si="218">T899/(T899+SAWB_Ka)</f>
        <v>4.0257961363253782E-4</v>
      </c>
      <c r="Y899" s="1">
        <f t="shared" ref="Y899:Y962" si="219">(X899+((T899-U899)/SAWB_Cb))/(1-((T899-U899)/SAWB_Ca))</f>
        <v>3.0612107199320758E-4</v>
      </c>
      <c r="Z899" s="1">
        <f t="shared" ref="Z899:Z962" si="220">(Y899*SAWB_Cb*SAWB_Vb)/SAWB_Ca</f>
        <v>1.530605359966038E-2</v>
      </c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</row>
    <row r="900" spans="1:44" ht="15" customHeight="1" x14ac:dyDescent="0.3">
      <c r="A900" s="2">
        <v>8.99</v>
      </c>
      <c r="B900" s="1">
        <f t="shared" si="208"/>
        <v>1.0232929922807512E-9</v>
      </c>
      <c r="C900" s="1">
        <f t="shared" si="209"/>
        <v>9.8700959316537158E-6</v>
      </c>
      <c r="D900" s="1">
        <f t="shared" si="210"/>
        <v>2.1835129213001325E-5</v>
      </c>
      <c r="E900" s="1">
        <f t="shared" si="211"/>
        <v>3.329694145131166E-3</v>
      </c>
      <c r="F900" s="1">
        <f t="shared" si="212"/>
        <v>0.99809816315743227</v>
      </c>
      <c r="G900" s="1">
        <f t="shared" si="213"/>
        <v>0.99869017824849182</v>
      </c>
      <c r="H900" s="1">
        <f t="shared" ref="H900:H963" si="221">G900*(WASB_Va * WASB_Ca)/WASB_Cb</f>
        <v>9.9869017824849173</v>
      </c>
      <c r="S900" s="2">
        <v>8.99</v>
      </c>
      <c r="T900" s="1">
        <f t="shared" si="214"/>
        <v>1.0232929922807512E-9</v>
      </c>
      <c r="U900" s="1">
        <f t="shared" si="215"/>
        <v>9.8700959316537158E-6</v>
      </c>
      <c r="V900" s="1">
        <f t="shared" si="216"/>
        <v>9.9955799395435127E-2</v>
      </c>
      <c r="W900" s="1">
        <f t="shared" si="217"/>
        <v>1.4733534854957329E-5</v>
      </c>
      <c r="X900" s="1">
        <f t="shared" si="218"/>
        <v>3.9341938806842819E-4</v>
      </c>
      <c r="Y900" s="1">
        <f t="shared" si="219"/>
        <v>2.9471411890657817E-4</v>
      </c>
      <c r="Z900" s="1">
        <f t="shared" si="220"/>
        <v>1.4735705945328907E-2</v>
      </c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</row>
    <row r="901" spans="1:44" ht="15" customHeight="1" x14ac:dyDescent="0.3">
      <c r="A901" s="2">
        <v>9</v>
      </c>
      <c r="B901" s="1">
        <f t="shared" si="208"/>
        <v>1.0000000000000001E-9</v>
      </c>
      <c r="C901" s="1">
        <f t="shared" si="209"/>
        <v>1.0099999999999998E-5</v>
      </c>
      <c r="D901" s="1">
        <f t="shared" si="210"/>
        <v>2.088457298080279E-5</v>
      </c>
      <c r="E901" s="1">
        <f t="shared" si="211"/>
        <v>3.3298525711698661E-3</v>
      </c>
      <c r="F901" s="1">
        <f t="shared" si="212"/>
        <v>0.99814137378729972</v>
      </c>
      <c r="G901" s="1">
        <f t="shared" si="213"/>
        <v>0.99874718726574163</v>
      </c>
      <c r="H901" s="1">
        <f t="shared" si="221"/>
        <v>9.9874718726574159</v>
      </c>
      <c r="S901" s="2">
        <v>9</v>
      </c>
      <c r="T901" s="1">
        <f t="shared" si="214"/>
        <v>1.0000000000000001E-9</v>
      </c>
      <c r="U901" s="1">
        <f t="shared" si="215"/>
        <v>1.0099999999999998E-5</v>
      </c>
      <c r="V901" s="1">
        <f t="shared" si="216"/>
        <v>9.9957486545646748E-2</v>
      </c>
      <c r="W901" s="1">
        <f t="shared" si="217"/>
        <v>1.4171151451085916E-5</v>
      </c>
      <c r="X901" s="1">
        <f t="shared" si="218"/>
        <v>3.8446751249519417E-4</v>
      </c>
      <c r="Y901" s="1">
        <f t="shared" si="219"/>
        <v>2.8346319902095962E-4</v>
      </c>
      <c r="Z901" s="1">
        <f t="shared" si="220"/>
        <v>1.4173159951047981E-2</v>
      </c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</row>
    <row r="902" spans="1:44" ht="15" customHeight="1" x14ac:dyDescent="0.3">
      <c r="A902" s="2">
        <v>9.01</v>
      </c>
      <c r="B902" s="1">
        <f t="shared" si="208"/>
        <v>9.7723722095580808E-10</v>
      </c>
      <c r="C902" s="1">
        <f t="shared" si="209"/>
        <v>1.0335259222035644E-5</v>
      </c>
      <c r="D902" s="1">
        <f t="shared" si="210"/>
        <v>1.9945015388858979E-5</v>
      </c>
      <c r="E902" s="1">
        <f t="shared" si="211"/>
        <v>3.3300091641018568E-3</v>
      </c>
      <c r="F902" s="1">
        <f t="shared" si="212"/>
        <v>0.99818360443795384</v>
      </c>
      <c r="G902" s="1">
        <f t="shared" si="213"/>
        <v>0.99880353771125596</v>
      </c>
      <c r="H902" s="1">
        <f t="shared" si="221"/>
        <v>9.9880353771125598</v>
      </c>
      <c r="S902" s="2">
        <v>9.01</v>
      </c>
      <c r="T902" s="1">
        <f t="shared" si="214"/>
        <v>9.7723722095580808E-10</v>
      </c>
      <c r="U902" s="1">
        <f t="shared" si="215"/>
        <v>1.0335259222035644E-5</v>
      </c>
      <c r="V902" s="1">
        <f t="shared" si="216"/>
        <v>9.9959151209078195E-2</v>
      </c>
      <c r="W902" s="1">
        <f t="shared" si="217"/>
        <v>1.3616263640602959E-5</v>
      </c>
      <c r="X902" s="1">
        <f t="shared" si="218"/>
        <v>3.757192515840502E-4</v>
      </c>
      <c r="Y902" s="1">
        <f t="shared" si="219"/>
        <v>2.7236235838883511E-4</v>
      </c>
      <c r="Z902" s="1">
        <f t="shared" si="220"/>
        <v>1.3618117919441756E-2</v>
      </c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</row>
    <row r="903" spans="1:44" ht="15" customHeight="1" x14ac:dyDescent="0.3">
      <c r="A903" s="2">
        <v>9.02</v>
      </c>
      <c r="B903" s="1">
        <f t="shared" si="208"/>
        <v>9.5499258602143329E-10</v>
      </c>
      <c r="C903" s="1">
        <f t="shared" si="209"/>
        <v>1.0575998335314114E-5</v>
      </c>
      <c r="D903" s="1">
        <f t="shared" si="210"/>
        <v>1.901596169845858E-5</v>
      </c>
      <c r="E903" s="1">
        <f t="shared" si="211"/>
        <v>3.3301640063835899E-3</v>
      </c>
      <c r="F903" s="1">
        <f t="shared" si="212"/>
        <v>0.99822487725419029</v>
      </c>
      <c r="G903" s="1">
        <f t="shared" si="213"/>
        <v>0.99885925922092222</v>
      </c>
      <c r="H903" s="1">
        <f t="shared" si="221"/>
        <v>9.9885925922092209</v>
      </c>
      <c r="S903" s="2">
        <v>9.02</v>
      </c>
      <c r="T903" s="1">
        <f t="shared" si="214"/>
        <v>9.5499258602143329E-10</v>
      </c>
      <c r="U903" s="1">
        <f t="shared" si="215"/>
        <v>1.0575998335314114E-5</v>
      </c>
      <c r="V903" s="1">
        <f t="shared" si="216"/>
        <v>9.9960794265978231E-2</v>
      </c>
      <c r="W903" s="1">
        <f t="shared" si="217"/>
        <v>1.306857800725785E-5</v>
      </c>
      <c r="X903" s="1">
        <f t="shared" si="218"/>
        <v>3.6716997746736246E-4</v>
      </c>
      <c r="Y903" s="1">
        <f t="shared" si="219"/>
        <v>2.6140572215587236E-4</v>
      </c>
      <c r="Z903" s="1">
        <f t="shared" si="220"/>
        <v>1.3070286107793616E-2</v>
      </c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</row>
    <row r="904" spans="1:44" ht="15" customHeight="1" x14ac:dyDescent="0.3">
      <c r="A904" s="2">
        <v>9.0299999999999994</v>
      </c>
      <c r="B904" s="1">
        <f t="shared" si="208"/>
        <v>9.3325430079699202E-10</v>
      </c>
      <c r="C904" s="1">
        <f t="shared" si="209"/>
        <v>1.0822344982899812E-5</v>
      </c>
      <c r="D904" s="1">
        <f t="shared" si="210"/>
        <v>1.8096922586395281E-5</v>
      </c>
      <c r="E904" s="1">
        <f t="shared" si="211"/>
        <v>3.3303171795689341E-3</v>
      </c>
      <c r="F904" s="1">
        <f t="shared" si="212"/>
        <v>0.9982652138840008</v>
      </c>
      <c r="G904" s="1">
        <f t="shared" si="213"/>
        <v>0.99891438110842667</v>
      </c>
      <c r="H904" s="1">
        <f t="shared" si="221"/>
        <v>9.9891438110842667</v>
      </c>
      <c r="S904" s="2">
        <v>9.0299999999999994</v>
      </c>
      <c r="T904" s="1">
        <f t="shared" si="214"/>
        <v>9.3325430079699202E-10</v>
      </c>
      <c r="U904" s="1">
        <f t="shared" si="215"/>
        <v>1.0822344982899812E-5</v>
      </c>
      <c r="V904" s="1">
        <f t="shared" si="216"/>
        <v>9.9962416585246433E-2</v>
      </c>
      <c r="W904" s="1">
        <f t="shared" si="217"/>
        <v>1.2527804917855372E-5</v>
      </c>
      <c r="X904" s="1">
        <f t="shared" si="218"/>
        <v>3.5881516730727357E-4</v>
      </c>
      <c r="Y904" s="1">
        <f t="shared" si="219"/>
        <v>2.5058749146918726E-4</v>
      </c>
      <c r="Z904" s="1">
        <f t="shared" si="220"/>
        <v>1.2529374573459363E-2</v>
      </c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</row>
    <row r="905" spans="1:44" ht="15" customHeight="1" x14ac:dyDescent="0.3">
      <c r="A905" s="2">
        <v>9.0399999999999991</v>
      </c>
      <c r="B905" s="1">
        <f t="shared" si="208"/>
        <v>9.1201083935591081E-10</v>
      </c>
      <c r="C905" s="1">
        <f t="shared" si="209"/>
        <v>1.1074429781046155E-5</v>
      </c>
      <c r="D905" s="1">
        <f t="shared" si="210"/>
        <v>1.7187413892437857E-5</v>
      </c>
      <c r="E905" s="1">
        <f t="shared" si="211"/>
        <v>3.3304687643512603E-3</v>
      </c>
      <c r="F905" s="1">
        <f t="shared" si="212"/>
        <v>0.99830463548955684</v>
      </c>
      <c r="G905" s="1">
        <f t="shared" si="213"/>
        <v>0.99896893238031315</v>
      </c>
      <c r="H905" s="1">
        <f t="shared" si="221"/>
        <v>9.9896893238031303</v>
      </c>
      <c r="S905" s="2">
        <v>9.0399999999999991</v>
      </c>
      <c r="T905" s="1">
        <f t="shared" si="214"/>
        <v>9.1201083935591081E-10</v>
      </c>
      <c r="U905" s="1">
        <f t="shared" si="215"/>
        <v>1.1074429781046155E-5</v>
      </c>
      <c r="V905" s="1">
        <f t="shared" si="216"/>
        <v>9.9964019024889134E-2</v>
      </c>
      <c r="W905" s="1">
        <f t="shared" si="217"/>
        <v>1.1993658370289515E-5</v>
      </c>
      <c r="X905" s="1">
        <f t="shared" si="218"/>
        <v>3.5065040091901851E-4</v>
      </c>
      <c r="Y905" s="1">
        <f t="shared" si="219"/>
        <v>2.3990194042494852E-4</v>
      </c>
      <c r="Z905" s="1">
        <f t="shared" si="220"/>
        <v>1.1995097021247427E-2</v>
      </c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</row>
    <row r="906" spans="1:44" ht="15" customHeight="1" x14ac:dyDescent="0.3">
      <c r="A906" s="2">
        <v>9.0500000000000007</v>
      </c>
      <c r="B906" s="1">
        <f t="shared" si="208"/>
        <v>8.9125093813374338E-10</v>
      </c>
      <c r="C906" s="1">
        <f t="shared" si="209"/>
        <v>1.1332386388449857E-5</v>
      </c>
      <c r="D906" s="1">
        <f t="shared" si="210"/>
        <v>1.6286956369182466E-5</v>
      </c>
      <c r="E906" s="1">
        <f t="shared" si="211"/>
        <v>3.3306188406051359E-3</v>
      </c>
      <c r="F906" s="1">
        <f t="shared" si="212"/>
        <v>0.99834316275795709</v>
      </c>
      <c r="G906" s="1">
        <f t="shared" si="213"/>
        <v>0.99902294175089978</v>
      </c>
      <c r="H906" s="1">
        <f t="shared" si="221"/>
        <v>9.9902294175089974</v>
      </c>
      <c r="S906" s="2">
        <v>9.0500000000000007</v>
      </c>
      <c r="T906" s="1">
        <f t="shared" si="214"/>
        <v>8.9125093813374338E-10</v>
      </c>
      <c r="U906" s="1">
        <f t="shared" si="215"/>
        <v>1.1332386388449857E-5</v>
      </c>
      <c r="V906" s="1">
        <f t="shared" si="216"/>
        <v>9.99656024324697E-2</v>
      </c>
      <c r="W906" s="1">
        <f t="shared" si="217"/>
        <v>1.1465855843431001E-5</v>
      </c>
      <c r="X906" s="1">
        <f t="shared" si="218"/>
        <v>3.4267135844771358E-4</v>
      </c>
      <c r="Y906" s="1">
        <f t="shared" si="219"/>
        <v>2.2934341305374717E-4</v>
      </c>
      <c r="Z906" s="1">
        <f t="shared" si="220"/>
        <v>1.146717065268736E-2</v>
      </c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</row>
    <row r="907" spans="1:44" ht="15" customHeight="1" x14ac:dyDescent="0.3">
      <c r="A907" s="2">
        <v>9.06</v>
      </c>
      <c r="B907" s="1">
        <f t="shared" si="208"/>
        <v>8.709635899560787E-10</v>
      </c>
      <c r="C907" s="1">
        <f t="shared" si="209"/>
        <v>1.159635157711854E-5</v>
      </c>
      <c r="D907" s="1">
        <f t="shared" si="210"/>
        <v>1.5395075434256319E-5</v>
      </c>
      <c r="E907" s="1">
        <f t="shared" si="211"/>
        <v>3.3307674874276244E-3</v>
      </c>
      <c r="F907" s="1">
        <f t="shared" si="212"/>
        <v>0.99838081591174488</v>
      </c>
      <c r="G907" s="1">
        <f t="shared" si="213"/>
        <v>0.99907643765706411</v>
      </c>
      <c r="H907" s="1">
        <f t="shared" si="221"/>
        <v>9.99076437657064</v>
      </c>
      <c r="S907" s="2">
        <v>9.06</v>
      </c>
      <c r="T907" s="1">
        <f t="shared" si="214"/>
        <v>8.709635899560787E-10</v>
      </c>
      <c r="U907" s="1">
        <f t="shared" si="215"/>
        <v>1.159635157711854E-5</v>
      </c>
      <c r="V907" s="1">
        <f t="shared" si="216"/>
        <v>9.9967167645553606E-2</v>
      </c>
      <c r="W907" s="1">
        <f t="shared" si="217"/>
        <v>1.09441181487915E-5</v>
      </c>
      <c r="X907" s="1">
        <f t="shared" si="218"/>
        <v>3.3487381809741779E-4</v>
      </c>
      <c r="Y907" s="1">
        <f t="shared" si="219"/>
        <v>2.1890632034216343E-4</v>
      </c>
      <c r="Z907" s="1">
        <f t="shared" si="220"/>
        <v>1.0945316017108171E-2</v>
      </c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</row>
    <row r="908" spans="1:44" ht="15" customHeight="1" x14ac:dyDescent="0.3">
      <c r="A908" s="2">
        <v>9.07</v>
      </c>
      <c r="B908" s="1">
        <f t="shared" si="208"/>
        <v>8.5113803820237469E-10</v>
      </c>
      <c r="C908" s="1">
        <f t="shared" si="209"/>
        <v>1.1866465304889272E-5</v>
      </c>
      <c r="D908" s="1">
        <f t="shared" si="210"/>
        <v>1.451130092467744E-5</v>
      </c>
      <c r="E908" s="1">
        <f t="shared" si="211"/>
        <v>3.3309147831792202E-3</v>
      </c>
      <c r="F908" s="1">
        <f t="shared" si="212"/>
        <v>0.99841761471919821</v>
      </c>
      <c r="G908" s="1">
        <f t="shared" si="213"/>
        <v>0.99912944827290018</v>
      </c>
      <c r="H908" s="1">
        <f t="shared" si="221"/>
        <v>9.9912944827290016</v>
      </c>
      <c r="S908" s="2">
        <v>9.07</v>
      </c>
      <c r="T908" s="1">
        <f t="shared" si="214"/>
        <v>8.5113803820237469E-10</v>
      </c>
      <c r="U908" s="1">
        <f t="shared" si="215"/>
        <v>1.1866465304889272E-5</v>
      </c>
      <c r="V908" s="1">
        <f t="shared" si="216"/>
        <v>9.9968715492148336E-2</v>
      </c>
      <c r="W908" s="1">
        <f t="shared" si="217"/>
        <v>1.0428169283888779E-5</v>
      </c>
      <c r="X908" s="1">
        <f t="shared" si="218"/>
        <v>3.2725365391130385E-4</v>
      </c>
      <c r="Y908" s="1">
        <f t="shared" si="219"/>
        <v>2.0858513728899309E-4</v>
      </c>
      <c r="Z908" s="1">
        <f t="shared" si="220"/>
        <v>1.0429256864449656E-2</v>
      </c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</row>
    <row r="909" spans="1:44" ht="15" customHeight="1" x14ac:dyDescent="0.3">
      <c r="A909" s="2">
        <v>9.08</v>
      </c>
      <c r="B909" s="1">
        <f t="shared" si="208"/>
        <v>8.3176377110266926E-10</v>
      </c>
      <c r="C909" s="1">
        <f t="shared" si="209"/>
        <v>1.2142870789635896E-5</v>
      </c>
      <c r="D909" s="1">
        <f t="shared" si="210"/>
        <v>1.3635166853327061E-5</v>
      </c>
      <c r="E909" s="1">
        <f t="shared" si="211"/>
        <v>3.3310608055244456E-3</v>
      </c>
      <c r="F909" s="1">
        <f t="shared" si="212"/>
        <v>0.99845357850439975</v>
      </c>
      <c r="G909" s="1">
        <f t="shared" si="213"/>
        <v>0.9991820015242574</v>
      </c>
      <c r="H909" s="1">
        <f t="shared" si="221"/>
        <v>9.991820015242574</v>
      </c>
      <c r="S909" s="2">
        <v>9.08</v>
      </c>
      <c r="T909" s="1">
        <f t="shared" si="214"/>
        <v>8.3176377110266926E-10</v>
      </c>
      <c r="U909" s="1">
        <f t="shared" si="215"/>
        <v>1.2142870789635896E-5</v>
      </c>
      <c r="V909" s="1">
        <f t="shared" si="216"/>
        <v>9.9970246791138279E-2</v>
      </c>
      <c r="W909" s="1">
        <f t="shared" si="217"/>
        <v>9.9177362872392724E-6</v>
      </c>
      <c r="X909" s="1">
        <f t="shared" si="218"/>
        <v>3.1980683360181855E-4</v>
      </c>
      <c r="Y909" s="1">
        <f t="shared" si="219"/>
        <v>1.9837439999463829E-4</v>
      </c>
      <c r="Z909" s="1">
        <f t="shared" si="220"/>
        <v>9.9187199997319148E-3</v>
      </c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</row>
    <row r="910" spans="1:44" ht="15" customHeight="1" x14ac:dyDescent="0.3">
      <c r="A910" s="2">
        <v>9.09</v>
      </c>
      <c r="B910" s="1">
        <f t="shared" si="208"/>
        <v>8.1283051616409768E-10</v>
      </c>
      <c r="C910" s="1">
        <f t="shared" si="209"/>
        <v>1.2425714585205077E-5</v>
      </c>
      <c r="D910" s="1">
        <f t="shared" si="210"/>
        <v>1.2766211167343387E-5</v>
      </c>
      <c r="E910" s="1">
        <f t="shared" si="211"/>
        <v>3.3312056314721093E-3</v>
      </c>
      <c r="F910" s="1">
        <f t="shared" si="212"/>
        <v>0.99848872615708817</v>
      </c>
      <c r="G910" s="1">
        <f t="shared" si="213"/>
        <v>0.999234125103166</v>
      </c>
      <c r="H910" s="1">
        <f t="shared" si="221"/>
        <v>9.9923412510316592</v>
      </c>
      <c r="S910" s="2">
        <v>9.09</v>
      </c>
      <c r="T910" s="1">
        <f t="shared" si="214"/>
        <v>8.1283051616409768E-10</v>
      </c>
      <c r="U910" s="1">
        <f t="shared" si="215"/>
        <v>1.2425714585205077E-5</v>
      </c>
      <c r="V910" s="1">
        <f t="shared" si="216"/>
        <v>9.9971762352715293E-2</v>
      </c>
      <c r="W910" s="1">
        <f t="shared" si="217"/>
        <v>9.4125490949027615E-6</v>
      </c>
      <c r="X910" s="1">
        <f t="shared" si="218"/>
        <v>3.1252941642970179E-4</v>
      </c>
      <c r="Y910" s="1">
        <f t="shared" si="219"/>
        <v>1.882687027821349E-4</v>
      </c>
      <c r="Z910" s="1">
        <f t="shared" si="220"/>
        <v>9.4134351391067465E-3</v>
      </c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</row>
    <row r="911" spans="1:44" ht="15" customHeight="1" x14ac:dyDescent="0.3">
      <c r="A911" s="2">
        <v>9.1</v>
      </c>
      <c r="B911" s="1">
        <f t="shared" si="208"/>
        <v>7.9432823472428E-10</v>
      </c>
      <c r="C911" s="1">
        <f t="shared" si="209"/>
        <v>1.2715146659121113E-5</v>
      </c>
      <c r="D911" s="1">
        <f t="shared" si="210"/>
        <v>1.1903975508377001E-5</v>
      </c>
      <c r="E911" s="1">
        <f t="shared" si="211"/>
        <v>3.3313493374152701E-3</v>
      </c>
      <c r="F911" s="1">
        <f t="shared" si="212"/>
        <v>0.9985230761422984</v>
      </c>
      <c r="G911" s="1">
        <f t="shared" si="213"/>
        <v>0.99928584648215724</v>
      </c>
      <c r="H911" s="1">
        <f t="shared" si="221"/>
        <v>9.9928584648215715</v>
      </c>
      <c r="S911" s="2">
        <v>9.1</v>
      </c>
      <c r="T911" s="1">
        <f t="shared" si="214"/>
        <v>7.9432823472428E-10</v>
      </c>
      <c r="U911" s="1">
        <f t="shared" si="215"/>
        <v>1.2715146659121113E-5</v>
      </c>
      <c r="V911" s="1">
        <f t="shared" si="216"/>
        <v>9.9973262978804489E-2</v>
      </c>
      <c r="W911" s="1">
        <f t="shared" si="217"/>
        <v>8.9123403985062932E-6</v>
      </c>
      <c r="X911" s="1">
        <f t="shared" si="218"/>
        <v>3.0541755113078326E-4</v>
      </c>
      <c r="Y911" s="1">
        <f t="shared" si="219"/>
        <v>1.7826269534833883E-4</v>
      </c>
      <c r="Z911" s="1">
        <f t="shared" si="220"/>
        <v>8.9131347674169421E-3</v>
      </c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</row>
    <row r="912" spans="1:44" ht="15" customHeight="1" x14ac:dyDescent="0.3">
      <c r="A912" s="2">
        <v>9.11</v>
      </c>
      <c r="B912" s="1">
        <f t="shared" si="208"/>
        <v>7.7624711662869035E-10</v>
      </c>
      <c r="C912" s="1">
        <f t="shared" si="209"/>
        <v>1.3011320472100676E-5</v>
      </c>
      <c r="D912" s="1">
        <f t="shared" si="210"/>
        <v>1.1048004974570596E-5</v>
      </c>
      <c r="E912" s="1">
        <f t="shared" si="211"/>
        <v>3.3314919991709047E-3</v>
      </c>
      <c r="F912" s="1">
        <f t="shared" si="212"/>
        <v>0.99855664650979203</v>
      </c>
      <c r="G912" s="1">
        <f t="shared" si="213"/>
        <v>0.999337192928484</v>
      </c>
      <c r="H912" s="1">
        <f t="shared" si="221"/>
        <v>9.9933719292848391</v>
      </c>
      <c r="S912" s="2">
        <v>9.11</v>
      </c>
      <c r="T912" s="1">
        <f t="shared" si="214"/>
        <v>7.7624711662869035E-10</v>
      </c>
      <c r="U912" s="1">
        <f t="shared" si="215"/>
        <v>1.3011320472100676E-5</v>
      </c>
      <c r="V912" s="1">
        <f t="shared" si="216"/>
        <v>9.9974749463485973E-2</v>
      </c>
      <c r="W912" s="1">
        <f t="shared" si="217"/>
        <v>8.4168455046745681E-6</v>
      </c>
      <c r="X912" s="1">
        <f t="shared" si="218"/>
        <v>2.9846747388949081E-4</v>
      </c>
      <c r="Y912" s="1">
        <f t="shared" si="219"/>
        <v>1.6835107994379566E-4</v>
      </c>
      <c r="Z912" s="1">
        <f t="shared" si="220"/>
        <v>8.4175539971897834E-3</v>
      </c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</row>
    <row r="913" spans="1:44" ht="15" customHeight="1" x14ac:dyDescent="0.3">
      <c r="A913" s="2">
        <v>9.1199999999999992</v>
      </c>
      <c r="B913" s="1">
        <f t="shared" si="208"/>
        <v>7.5857757502918245E-10</v>
      </c>
      <c r="C913" s="1">
        <f t="shared" si="209"/>
        <v>1.3314393059419734E-5</v>
      </c>
      <c r="D913" s="1">
        <f t="shared" si="210"/>
        <v>1.0197847884133305E-5</v>
      </c>
      <c r="E913" s="1">
        <f t="shared" si="211"/>
        <v>3.3316336920193113E-3</v>
      </c>
      <c r="F913" s="1">
        <f t="shared" si="212"/>
        <v>0.99858945490328466</v>
      </c>
      <c r="G913" s="1">
        <f t="shared" si="213"/>
        <v>0.99938819151825031</v>
      </c>
      <c r="H913" s="1">
        <f t="shared" si="221"/>
        <v>9.9938819151825022</v>
      </c>
      <c r="S913" s="2">
        <v>9.1199999999999992</v>
      </c>
      <c r="T913" s="1">
        <f t="shared" si="214"/>
        <v>7.5857757502918245E-10</v>
      </c>
      <c r="U913" s="1">
        <f t="shared" si="215"/>
        <v>1.3314393059419734E-5</v>
      </c>
      <c r="V913" s="1">
        <f t="shared" si="216"/>
        <v>9.99762225934126E-2</v>
      </c>
      <c r="W913" s="1">
        <f t="shared" si="217"/>
        <v>7.9258021957946965E-6</v>
      </c>
      <c r="X913" s="1">
        <f t="shared" si="218"/>
        <v>2.9167550635802845E-4</v>
      </c>
      <c r="Y913" s="1">
        <f t="shared" si="219"/>
        <v>1.585286085798337E-4</v>
      </c>
      <c r="Z913" s="1">
        <f t="shared" si="220"/>
        <v>7.9264304289916859E-3</v>
      </c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</row>
    <row r="914" spans="1:44" ht="15" customHeight="1" x14ac:dyDescent="0.3">
      <c r="A914" s="2">
        <v>9.1300000000000008</v>
      </c>
      <c r="B914" s="1">
        <f t="shared" si="208"/>
        <v>7.413102413009137E-10</v>
      </c>
      <c r="C914" s="1">
        <f t="shared" si="209"/>
        <v>1.362452511417577E-5</v>
      </c>
      <c r="D914" s="1">
        <f t="shared" si="210"/>
        <v>9.3530555404133499E-6</v>
      </c>
      <c r="E914" s="1">
        <f t="shared" si="211"/>
        <v>3.3317744907432642E-3</v>
      </c>
      <c r="F914" s="1">
        <f t="shared" si="212"/>
        <v>0.9986215185694729</v>
      </c>
      <c r="G914" s="1">
        <f t="shared" si="213"/>
        <v>0.99943886915045532</v>
      </c>
      <c r="H914" s="1">
        <f t="shared" si="221"/>
        <v>9.9943886915045521</v>
      </c>
      <c r="S914" s="2">
        <v>9.1300000000000008</v>
      </c>
      <c r="T914" s="1">
        <f t="shared" si="214"/>
        <v>7.413102413009137E-10</v>
      </c>
      <c r="U914" s="1">
        <f t="shared" si="215"/>
        <v>1.362452511417577E-5</v>
      </c>
      <c r="V914" s="1">
        <f t="shared" si="216"/>
        <v>9.9977683148223861E-2</v>
      </c>
      <c r="W914" s="1">
        <f t="shared" si="217"/>
        <v>7.4389505920437261E-6</v>
      </c>
      <c r="X914" s="1">
        <f t="shared" si="218"/>
        <v>2.85038053720204E-4</v>
      </c>
      <c r="Y914" s="1">
        <f t="shared" si="219"/>
        <v>1.4879008026143104E-4</v>
      </c>
      <c r="Z914" s="1">
        <f t="shared" si="220"/>
        <v>7.4395040130715521E-3</v>
      </c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</row>
    <row r="915" spans="1:44" ht="15" customHeight="1" x14ac:dyDescent="0.3">
      <c r="A915" s="2">
        <v>9.14</v>
      </c>
      <c r="B915" s="1">
        <f t="shared" si="208"/>
        <v>7.2443596007498633E-10</v>
      </c>
      <c r="C915" s="1">
        <f t="shared" si="209"/>
        <v>1.3941881072489208E-5</v>
      </c>
      <c r="D915" s="1">
        <f t="shared" si="210"/>
        <v>8.5131819983802875E-6</v>
      </c>
      <c r="E915" s="1">
        <f t="shared" si="211"/>
        <v>3.3319144696669365E-3</v>
      </c>
      <c r="F915" s="1">
        <f t="shared" si="212"/>
        <v>0.99865285436686491</v>
      </c>
      <c r="G915" s="1">
        <f t="shared" si="213"/>
        <v>0.99948925256095622</v>
      </c>
      <c r="H915" s="1">
        <f t="shared" si="221"/>
        <v>9.9948925256095613</v>
      </c>
      <c r="S915" s="2">
        <v>9.14</v>
      </c>
      <c r="T915" s="1">
        <f t="shared" si="214"/>
        <v>7.2443596007498633E-10</v>
      </c>
      <c r="U915" s="1">
        <f t="shared" si="215"/>
        <v>1.3941881072489208E-5</v>
      </c>
      <c r="V915" s="1">
        <f t="shared" si="216"/>
        <v>9.997913190095617E-2</v>
      </c>
      <c r="W915" s="1">
        <f t="shared" si="217"/>
        <v>6.9560330146085751E-6</v>
      </c>
      <c r="X915" s="1">
        <f t="shared" si="218"/>
        <v>2.7855160279891623E-4</v>
      </c>
      <c r="Y915" s="1">
        <f t="shared" si="219"/>
        <v>1.3913033824443312E-4</v>
      </c>
      <c r="Z915" s="1">
        <f t="shared" si="220"/>
        <v>6.9565169122216552E-3</v>
      </c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</row>
    <row r="916" spans="1:44" ht="15" customHeight="1" x14ac:dyDescent="0.3">
      <c r="A916" s="2">
        <v>9.15</v>
      </c>
      <c r="B916" s="1">
        <f t="shared" si="208"/>
        <v>7.079457843841369E-10</v>
      </c>
      <c r="C916" s="1">
        <f t="shared" si="209"/>
        <v>1.4266629200689838E-5</v>
      </c>
      <c r="D916" s="1">
        <f t="shared" si="210"/>
        <v>7.6777838323153616E-6</v>
      </c>
      <c r="E916" s="1">
        <f t="shared" si="211"/>
        <v>3.3320537026946141E-3</v>
      </c>
      <c r="F916" s="1">
        <f t="shared" si="212"/>
        <v>0.99868347877442065</v>
      </c>
      <c r="G916" s="1">
        <f t="shared" si="213"/>
        <v>0.99953936833636459</v>
      </c>
      <c r="H916" s="1">
        <f t="shared" si="221"/>
        <v>9.9953936833636448</v>
      </c>
      <c r="S916" s="2">
        <v>9.15</v>
      </c>
      <c r="T916" s="1">
        <f t="shared" si="214"/>
        <v>7.079457843841369E-10</v>
      </c>
      <c r="U916" s="1">
        <f t="shared" si="215"/>
        <v>1.4266629200689838E-5</v>
      </c>
      <c r="V916" s="1">
        <f t="shared" si="216"/>
        <v>9.9980569618449908E-2</v>
      </c>
      <c r="W916" s="1">
        <f t="shared" si="217"/>
        <v>6.4767938500268085E-6</v>
      </c>
      <c r="X916" s="1">
        <f t="shared" si="218"/>
        <v>2.7221272020631199E-4</v>
      </c>
      <c r="Y916" s="1">
        <f t="shared" si="219"/>
        <v>1.2954426731567471E-4</v>
      </c>
      <c r="Z916" s="1">
        <f t="shared" si="220"/>
        <v>6.4772133657837365E-3</v>
      </c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</row>
    <row r="917" spans="1:44" ht="15" customHeight="1" x14ac:dyDescent="0.3">
      <c r="A917" s="2">
        <v>9.16</v>
      </c>
      <c r="B917" s="1">
        <f t="shared" si="208"/>
        <v>6.9183097091893558E-10</v>
      </c>
      <c r="C917" s="1">
        <f t="shared" si="209"/>
        <v>1.4598941684533887E-5</v>
      </c>
      <c r="D917" s="1">
        <f t="shared" si="210"/>
        <v>6.8464199046826073E-6</v>
      </c>
      <c r="E917" s="1">
        <f t="shared" si="211"/>
        <v>3.3321922633492199E-3</v>
      </c>
      <c r="F917" s="1">
        <f t="shared" si="212"/>
        <v>0.99871340790000296</v>
      </c>
      <c r="G917" s="1">
        <f t="shared" si="213"/>
        <v>0.99958924292787299</v>
      </c>
      <c r="H917" s="1">
        <f t="shared" si="221"/>
        <v>9.9958924292787295</v>
      </c>
      <c r="S917" s="2">
        <v>9.16</v>
      </c>
      <c r="T917" s="1">
        <f t="shared" si="214"/>
        <v>6.9183097091893558E-10</v>
      </c>
      <c r="U917" s="1">
        <f t="shared" si="215"/>
        <v>1.4598941684533887E-5</v>
      </c>
      <c r="V917" s="1">
        <f t="shared" si="216"/>
        <v>9.9981997061753272E-2</v>
      </c>
      <c r="W917" s="1">
        <f t="shared" si="217"/>
        <v>6.0009794155794809E-6</v>
      </c>
      <c r="X917" s="1">
        <f t="shared" si="218"/>
        <v>2.6601805053567365E-4</v>
      </c>
      <c r="Y917" s="1">
        <f t="shared" si="219"/>
        <v>1.2002679109461637E-4</v>
      </c>
      <c r="Z917" s="1">
        <f t="shared" si="220"/>
        <v>6.0013395547308191E-3</v>
      </c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</row>
    <row r="918" spans="1:44" ht="15" customHeight="1" x14ac:dyDescent="0.3">
      <c r="A918" s="2">
        <v>9.17</v>
      </c>
      <c r="B918" s="1">
        <f t="shared" si="208"/>
        <v>6.7608297539198086E-10</v>
      </c>
      <c r="C918" s="1">
        <f t="shared" si="209"/>
        <v>1.4938994720498914E-5</v>
      </c>
      <c r="D918" s="1">
        <f t="shared" si="210"/>
        <v>6.0186511360572368E-6</v>
      </c>
      <c r="E918" s="1">
        <f t="shared" si="211"/>
        <v>3.3323302248106572E-3</v>
      </c>
      <c r="F918" s="1">
        <f t="shared" si="212"/>
        <v>0.99874265748864466</v>
      </c>
      <c r="G918" s="1">
        <f t="shared" si="213"/>
        <v>0.99963890266502553</v>
      </c>
      <c r="H918" s="1">
        <f t="shared" si="221"/>
        <v>9.9963890266502542</v>
      </c>
      <c r="S918" s="2">
        <v>9.17</v>
      </c>
      <c r="T918" s="1">
        <f t="shared" si="214"/>
        <v>6.7608297539198086E-10</v>
      </c>
      <c r="U918" s="1">
        <f t="shared" si="215"/>
        <v>1.4938994720498914E-5</v>
      </c>
      <c r="V918" s="1">
        <f t="shared" si="216"/>
        <v>9.9983414986522995E-2</v>
      </c>
      <c r="W918" s="1">
        <f t="shared" si="217"/>
        <v>5.5283378256666687E-6</v>
      </c>
      <c r="X918" s="1">
        <f t="shared" si="218"/>
        <v>2.5996431459410549E-4</v>
      </c>
      <c r="Y918" s="1">
        <f t="shared" si="219"/>
        <v>1.1057286935509484E-4</v>
      </c>
      <c r="Z918" s="1">
        <f t="shared" si="220"/>
        <v>5.5286434677547418E-3</v>
      </c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</row>
    <row r="919" spans="1:44" ht="15" customHeight="1" x14ac:dyDescent="0.3">
      <c r="A919" s="2">
        <v>9.18</v>
      </c>
      <c r="B919" s="1">
        <f t="shared" si="208"/>
        <v>6.6069344800759527E-10</v>
      </c>
      <c r="C919" s="1">
        <f t="shared" si="209"/>
        <v>1.5286968609205717E-5</v>
      </c>
      <c r="D919" s="1">
        <f t="shared" si="210"/>
        <v>5.1940402759084007E-6</v>
      </c>
      <c r="E919" s="1">
        <f t="shared" si="211"/>
        <v>3.332467659954015E-3</v>
      </c>
      <c r="F919" s="1">
        <f t="shared" si="212"/>
        <v>0.99877124293063702</v>
      </c>
      <c r="G919" s="1">
        <f t="shared" si="213"/>
        <v>0.99968837376943742</v>
      </c>
      <c r="H919" s="1">
        <f t="shared" si="221"/>
        <v>9.9968837376943736</v>
      </c>
      <c r="S919" s="2">
        <v>9.18</v>
      </c>
      <c r="T919" s="1">
        <f t="shared" si="214"/>
        <v>6.6069344800759527E-10</v>
      </c>
      <c r="U919" s="1">
        <f t="shared" si="215"/>
        <v>1.5286968609205717E-5</v>
      </c>
      <c r="V919" s="1">
        <f t="shared" si="216"/>
        <v>9.9984824143422718E-2</v>
      </c>
      <c r="W919" s="1">
        <f t="shared" si="217"/>
        <v>5.0586188590955394E-6</v>
      </c>
      <c r="X919" s="1">
        <f t="shared" si="218"/>
        <v>2.5404830767509112E-4</v>
      </c>
      <c r="Y919" s="1">
        <f t="shared" si="219"/>
        <v>1.0117749536577253E-4</v>
      </c>
      <c r="Z919" s="1">
        <f t="shared" si="220"/>
        <v>5.058874768288626E-3</v>
      </c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</row>
    <row r="920" spans="1:44" ht="15" customHeight="1" x14ac:dyDescent="0.3">
      <c r="A920" s="2">
        <v>9.19</v>
      </c>
      <c r="B920" s="1">
        <f t="shared" si="208"/>
        <v>6.4565422903465485E-10</v>
      </c>
      <c r="C920" s="1">
        <f t="shared" si="209"/>
        <v>1.5643047851016077E-5</v>
      </c>
      <c r="D920" s="1">
        <f t="shared" si="210"/>
        <v>4.3721516742852139E-6</v>
      </c>
      <c r="E920" s="1">
        <f t="shared" si="211"/>
        <v>3.3326046413876191E-3</v>
      </c>
      <c r="F920" s="1">
        <f t="shared" si="212"/>
        <v>0.99879917926943917</v>
      </c>
      <c r="G920" s="1">
        <f t="shared" si="213"/>
        <v>0.9997376823684675</v>
      </c>
      <c r="H920" s="1">
        <f t="shared" si="221"/>
        <v>9.9973768236846752</v>
      </c>
      <c r="S920" s="2">
        <v>9.19</v>
      </c>
      <c r="T920" s="1">
        <f t="shared" si="214"/>
        <v>6.4565422903465485E-10</v>
      </c>
      <c r="U920" s="1">
        <f t="shared" si="215"/>
        <v>1.5643047851016077E-5</v>
      </c>
      <c r="V920" s="1">
        <f t="shared" si="216"/>
        <v>9.9986225278518373E-2</v>
      </c>
      <c r="W920" s="1">
        <f t="shared" si="217"/>
        <v>4.5915738272134941E-6</v>
      </c>
      <c r="X920" s="1">
        <f t="shared" si="218"/>
        <v>2.4826689787004451E-4</v>
      </c>
      <c r="Y920" s="1">
        <f t="shared" si="219"/>
        <v>9.183569324792508E-5</v>
      </c>
      <c r="Z920" s="1">
        <f t="shared" si="220"/>
        <v>4.591784662396254E-3</v>
      </c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</row>
    <row r="921" spans="1:44" ht="15" customHeight="1" x14ac:dyDescent="0.3">
      <c r="A921" s="2">
        <v>9.1999999999999993</v>
      </c>
      <c r="B921" s="1">
        <f t="shared" si="208"/>
        <v>6.309573444801927E-10</v>
      </c>
      <c r="C921" s="1">
        <f t="shared" si="209"/>
        <v>1.6007421243857258E-5</v>
      </c>
      <c r="D921" s="1">
        <f t="shared" si="210"/>
        <v>3.5525510540831509E-6</v>
      </c>
      <c r="E921" s="1">
        <f t="shared" si="211"/>
        <v>3.3327412414909862E-3</v>
      </c>
      <c r="F921" s="1">
        <f t="shared" si="212"/>
        <v>0.9988264812094183</v>
      </c>
      <c r="G921" s="1">
        <f t="shared" si="213"/>
        <v>0.9997868545088574</v>
      </c>
      <c r="H921" s="1">
        <f t="shared" si="221"/>
        <v>9.9978685450885738</v>
      </c>
      <c r="S921" s="2">
        <v>9.1999999999999993</v>
      </c>
      <c r="T921" s="1">
        <f t="shared" si="214"/>
        <v>6.309573444801927E-10</v>
      </c>
      <c r="U921" s="1">
        <f t="shared" si="215"/>
        <v>1.6007421243857258E-5</v>
      </c>
      <c r="V921" s="1">
        <f t="shared" si="216"/>
        <v>9.9987619133671546E-2</v>
      </c>
      <c r="W921" s="1">
        <f t="shared" si="217"/>
        <v>4.1269554428177421E-6</v>
      </c>
      <c r="X921" s="1">
        <f t="shared" si="218"/>
        <v>2.4261702441797701E-4</v>
      </c>
      <c r="Y921" s="1">
        <f t="shared" si="219"/>
        <v>8.2542515349184669E-5</v>
      </c>
      <c r="Z921" s="1">
        <f t="shared" si="220"/>
        <v>4.1271257674592339E-3</v>
      </c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</row>
    <row r="922" spans="1:44" ht="15" customHeight="1" x14ac:dyDescent="0.3">
      <c r="A922" s="2">
        <v>9.2100000000000009</v>
      </c>
      <c r="B922" s="1">
        <f t="shared" si="208"/>
        <v>6.1659500186147947E-10</v>
      </c>
      <c r="C922" s="1">
        <f t="shared" si="209"/>
        <v>1.6380281983325262E-5</v>
      </c>
      <c r="D922" s="1">
        <f t="shared" si="210"/>
        <v>2.7348052839973108E-6</v>
      </c>
      <c r="E922" s="1">
        <f t="shared" si="211"/>
        <v>3.3328775324526672E-3</v>
      </c>
      <c r="F922" s="1">
        <f t="shared" si="212"/>
        <v>0.99885316312341632</v>
      </c>
      <c r="G922" s="1">
        <f t="shared" si="213"/>
        <v>0.99983591617033352</v>
      </c>
      <c r="H922" s="1">
        <f t="shared" si="221"/>
        <v>9.9983591617033341</v>
      </c>
      <c r="S922" s="2">
        <v>9.2100000000000009</v>
      </c>
      <c r="T922" s="1">
        <f t="shared" si="214"/>
        <v>6.1659500186147947E-10</v>
      </c>
      <c r="U922" s="1">
        <f t="shared" si="215"/>
        <v>1.6380281983325262E-5</v>
      </c>
      <c r="V922" s="1">
        <f t="shared" si="216"/>
        <v>9.9989006446930678E-2</v>
      </c>
      <c r="W922" s="1">
        <f t="shared" si="217"/>
        <v>3.6645176897733181E-6</v>
      </c>
      <c r="X922" s="1">
        <f t="shared" si="218"/>
        <v>2.3709569609242537E-4</v>
      </c>
      <c r="Y922" s="1">
        <f t="shared" si="219"/>
        <v>7.3293039631869039E-5</v>
      </c>
      <c r="Z922" s="1">
        <f t="shared" si="220"/>
        <v>3.664651981593452E-3</v>
      </c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</row>
    <row r="923" spans="1:44" ht="15" customHeight="1" x14ac:dyDescent="0.3">
      <c r="A923" s="2">
        <v>9.2200000000000006</v>
      </c>
      <c r="B923" s="1">
        <f t="shared" si="208"/>
        <v>6.0255958607435515E-10</v>
      </c>
      <c r="C923" s="1">
        <f t="shared" si="209"/>
        <v>1.6761827765119433E-5</v>
      </c>
      <c r="D923" s="1">
        <f t="shared" si="210"/>
        <v>1.9184821518565575E-6</v>
      </c>
      <c r="E923" s="1">
        <f t="shared" si="211"/>
        <v>3.3330135863080244E-3</v>
      </c>
      <c r="F923" s="1">
        <f t="shared" si="212"/>
        <v>0.9988792390601553</v>
      </c>
      <c r="G923" s="1">
        <f t="shared" si="213"/>
        <v>0.9998848932791905</v>
      </c>
      <c r="H923" s="1">
        <f t="shared" si="221"/>
        <v>9.9988489327919048</v>
      </c>
      <c r="S923" s="2">
        <v>9.2200000000000006</v>
      </c>
      <c r="T923" s="1">
        <f t="shared" si="214"/>
        <v>6.0255958607435515E-10</v>
      </c>
      <c r="U923" s="1">
        <f t="shared" si="215"/>
        <v>1.6761827765119433E-5</v>
      </c>
      <c r="V923" s="1">
        <f t="shared" si="216"/>
        <v>9.9990387952920201E-2</v>
      </c>
      <c r="W923" s="1">
        <f t="shared" si="217"/>
        <v>3.2040156932725183E-6</v>
      </c>
      <c r="X923" s="1">
        <f t="shared" si="218"/>
        <v>2.3169998962481282E-4</v>
      </c>
      <c r="Y923" s="1">
        <f t="shared" si="219"/>
        <v>6.4082367074548045E-5</v>
      </c>
      <c r="Z923" s="1">
        <f t="shared" si="220"/>
        <v>3.2041183537274026E-3</v>
      </c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</row>
    <row r="924" spans="1:44" ht="15" customHeight="1" x14ac:dyDescent="0.3">
      <c r="A924" s="2">
        <v>9.23</v>
      </c>
      <c r="B924" s="1">
        <f t="shared" si="208"/>
        <v>5.8884365535558649E-10</v>
      </c>
      <c r="C924" s="1">
        <f t="shared" si="209"/>
        <v>1.7152260889863689E-5</v>
      </c>
      <c r="D924" s="1">
        <f t="shared" si="210"/>
        <v>1.1031501383583352E-6</v>
      </c>
      <c r="E924" s="1">
        <f t="shared" si="211"/>
        <v>3.3331494749769407E-3</v>
      </c>
      <c r="F924" s="1">
        <f t="shared" si="212"/>
        <v>0.99890472275147857</v>
      </c>
      <c r="G924" s="1">
        <f t="shared" si="213"/>
        <v>0.99993381172185469</v>
      </c>
      <c r="H924" s="1">
        <f t="shared" si="221"/>
        <v>9.9993381172185458</v>
      </c>
      <c r="S924" s="2">
        <v>9.23</v>
      </c>
      <c r="T924" s="1">
        <f t="shared" si="214"/>
        <v>5.8884365535558649E-10</v>
      </c>
      <c r="U924" s="1">
        <f t="shared" si="215"/>
        <v>1.7152260889863689E-5</v>
      </c>
      <c r="V924" s="1">
        <f t="shared" si="216"/>
        <v>9.9991764383228002E-2</v>
      </c>
      <c r="W924" s="1">
        <f t="shared" si="217"/>
        <v>2.7452055906672491E-6</v>
      </c>
      <c r="X924" s="1">
        <f t="shared" si="218"/>
        <v>2.2642704816341327E-4</v>
      </c>
      <c r="Y924" s="1">
        <f t="shared" si="219"/>
        <v>5.4905619085469707E-5</v>
      </c>
      <c r="Z924" s="1">
        <f t="shared" si="220"/>
        <v>2.7452809542734854E-3</v>
      </c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</row>
    <row r="925" spans="1:44" ht="15" customHeight="1" x14ac:dyDescent="0.3">
      <c r="A925" s="2">
        <v>9.24</v>
      </c>
      <c r="B925" s="1">
        <f t="shared" si="208"/>
        <v>5.7543993733715462E-10</v>
      </c>
      <c r="C925" s="1">
        <f t="shared" si="209"/>
        <v>1.7551788370368762E-5</v>
      </c>
      <c r="D925" s="1">
        <f t="shared" si="210"/>
        <v>2.8837819104274165E-7</v>
      </c>
      <c r="E925" s="1">
        <f t="shared" si="211"/>
        <v>3.3332852703014926E-3</v>
      </c>
      <c r="F925" s="1">
        <f t="shared" si="212"/>
        <v>0.99892962761943205</v>
      </c>
      <c r="G925" s="1">
        <f t="shared" si="213"/>
        <v>0.99998269735843448</v>
      </c>
      <c r="H925" s="1">
        <f t="shared" si="221"/>
        <v>9.9998269735843444</v>
      </c>
      <c r="S925" s="2">
        <v>9.24</v>
      </c>
      <c r="T925" s="1">
        <f t="shared" si="214"/>
        <v>5.7543993733715462E-10</v>
      </c>
      <c r="U925" s="1">
        <f t="shared" si="215"/>
        <v>1.7551788370368762E-5</v>
      </c>
      <c r="V925" s="1">
        <f t="shared" si="216"/>
        <v>9.9993136466791588E-2</v>
      </c>
      <c r="W925" s="1">
        <f t="shared" si="217"/>
        <v>2.287844402808752E-6</v>
      </c>
      <c r="X925" s="1">
        <f t="shared" si="218"/>
        <v>2.2127407976713808E-4</v>
      </c>
      <c r="Y925" s="1">
        <f t="shared" si="219"/>
        <v>4.5757934926528091E-5</v>
      </c>
      <c r="Z925" s="1">
        <f t="shared" si="220"/>
        <v>2.2878967463264045E-3</v>
      </c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</row>
    <row r="926" spans="1:44" ht="15" customHeight="1" x14ac:dyDescent="0.3">
      <c r="A926" s="2">
        <v>9.25</v>
      </c>
      <c r="B926" s="1">
        <f t="shared" si="208"/>
        <v>5.6234132519034889E-10</v>
      </c>
      <c r="C926" s="1">
        <f t="shared" si="209"/>
        <v>1.7960622041393124E-5</v>
      </c>
      <c r="D926" s="1">
        <f t="shared" si="210"/>
        <v>-5.2626450163692603E-7</v>
      </c>
      <c r="E926" s="1">
        <f t="shared" si="211"/>
        <v>3.3334210440836057E-3</v>
      </c>
      <c r="F926" s="1">
        <f t="shared" si="212"/>
        <v>0.99895396678319259</v>
      </c>
      <c r="G926" s="1">
        <f t="shared" si="213"/>
        <v>1.0000315760362717</v>
      </c>
      <c r="H926" s="1">
        <f t="shared" si="221"/>
        <v>10.000315760362716</v>
      </c>
      <c r="S926" s="2">
        <v>9.25</v>
      </c>
      <c r="T926" s="1">
        <f t="shared" si="214"/>
        <v>5.6234132519034889E-10</v>
      </c>
      <c r="U926" s="1">
        <f t="shared" si="215"/>
        <v>1.7960622041393124E-5</v>
      </c>
      <c r="V926" s="1">
        <f t="shared" si="216"/>
        <v>9.999450493028253E-2</v>
      </c>
      <c r="W926" s="1">
        <f t="shared" si="217"/>
        <v>1.8316899058267485E-6</v>
      </c>
      <c r="X926" s="1">
        <f t="shared" si="218"/>
        <v>2.1623835593335242E-4</v>
      </c>
      <c r="Y926" s="1">
        <f t="shared" si="219"/>
        <v>3.6634469146408369E-5</v>
      </c>
      <c r="Z926" s="1">
        <f t="shared" si="220"/>
        <v>1.8317234573204187E-3</v>
      </c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</row>
    <row r="927" spans="1:44" ht="15" customHeight="1" x14ac:dyDescent="0.3">
      <c r="A927" s="2">
        <v>9.26</v>
      </c>
      <c r="B927" s="1">
        <f t="shared" si="208"/>
        <v>5.495408738576243E-10</v>
      </c>
      <c r="C927" s="1">
        <f t="shared" si="209"/>
        <v>1.837897867196084E-5</v>
      </c>
      <c r="D927" s="1">
        <f t="shared" si="210"/>
        <v>-1.3412087362287532E-6</v>
      </c>
      <c r="E927" s="1">
        <f t="shared" si="211"/>
        <v>3.3335568681227049E-3</v>
      </c>
      <c r="F927" s="1">
        <f t="shared" si="212"/>
        <v>0.99897775306584335</v>
      </c>
      <c r="G927" s="1">
        <f t="shared" si="213"/>
        <v>1.0000804736034927</v>
      </c>
      <c r="H927" s="1">
        <f t="shared" si="221"/>
        <v>10.000804736034926</v>
      </c>
      <c r="S927" s="2">
        <v>9.26</v>
      </c>
      <c r="T927" s="1">
        <f t="shared" si="214"/>
        <v>5.495408738576243E-10</v>
      </c>
      <c r="U927" s="1">
        <f t="shared" si="215"/>
        <v>1.837897867196084E-5</v>
      </c>
      <c r="V927" s="1">
        <f t="shared" si="216"/>
        <v>9.9995870498490139E-2</v>
      </c>
      <c r="W927" s="1">
        <f t="shared" si="217"/>
        <v>1.376500503281372E-6</v>
      </c>
      <c r="X927" s="1">
        <f t="shared" si="218"/>
        <v>2.113172101589586E-4</v>
      </c>
      <c r="Y927" s="1">
        <f t="shared" si="219"/>
        <v>2.7530389021570876E-5</v>
      </c>
      <c r="Z927" s="1">
        <f t="shared" si="220"/>
        <v>1.3765194510785438E-3</v>
      </c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</row>
    <row r="928" spans="1:44" ht="15" customHeight="1" x14ac:dyDescent="0.3">
      <c r="A928" s="2">
        <v>9.27</v>
      </c>
      <c r="B928" s="1">
        <f t="shared" si="208"/>
        <v>5.3703179637025259E-10</v>
      </c>
      <c r="C928" s="1">
        <f t="shared" si="209"/>
        <v>1.8807080080294966E-5</v>
      </c>
      <c r="D928" s="1">
        <f t="shared" si="210"/>
        <v>-2.1568855202818943E-6</v>
      </c>
      <c r="E928" s="1">
        <f t="shared" si="211"/>
        <v>3.3336928142533801E-3</v>
      </c>
      <c r="F928" s="1">
        <f t="shared" si="212"/>
        <v>0.99900099900099903</v>
      </c>
      <c r="G928" s="1">
        <f t="shared" si="213"/>
        <v>1.0001294159225702</v>
      </c>
      <c r="H928" s="1">
        <f t="shared" si="221"/>
        <v>10.001294159225701</v>
      </c>
      <c r="S928" s="2">
        <v>9.27</v>
      </c>
      <c r="T928" s="1">
        <f t="shared" si="214"/>
        <v>5.3703179637025259E-10</v>
      </c>
      <c r="U928" s="1">
        <f t="shared" si="215"/>
        <v>1.8807080080294966E-5</v>
      </c>
      <c r="V928" s="1">
        <f t="shared" si="216"/>
        <v>9.9997233894704135E-2</v>
      </c>
      <c r="W928" s="1">
        <f t="shared" si="217"/>
        <v>9.220350986223209E-7</v>
      </c>
      <c r="X928" s="1">
        <f t="shared" si="218"/>
        <v>2.065080365340107E-4</v>
      </c>
      <c r="Y928" s="1">
        <f t="shared" si="219"/>
        <v>1.8440872003758785E-5</v>
      </c>
      <c r="Z928" s="1">
        <f t="shared" si="220"/>
        <v>9.2204360018793916E-4</v>
      </c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</row>
    <row r="929" spans="1:44" ht="15" customHeight="1" x14ac:dyDescent="0.3">
      <c r="A929" s="2">
        <v>9.2799999999999994</v>
      </c>
      <c r="B929" s="1">
        <f t="shared" si="208"/>
        <v>5.2480746024977249E-10</v>
      </c>
      <c r="C929" s="1">
        <f t="shared" si="209"/>
        <v>1.9245153251428799E-5</v>
      </c>
      <c r="D929" s="1">
        <f t="shared" si="210"/>
        <v>-2.973726298570081E-6</v>
      </c>
      <c r="E929" s="1">
        <f t="shared" si="211"/>
        <v>3.3338289543830956E-3</v>
      </c>
      <c r="F929" s="1">
        <f t="shared" si="212"/>
        <v>0.99902371683928703</v>
      </c>
      <c r="G929" s="1">
        <f t="shared" si="213"/>
        <v>1.0001784288839008</v>
      </c>
      <c r="H929" s="1">
        <f t="shared" si="221"/>
        <v>10.001784288839008</v>
      </c>
      <c r="S929" s="2">
        <v>9.2799999999999994</v>
      </c>
      <c r="T929" s="1">
        <f t="shared" si="214"/>
        <v>5.2480746024977249E-10</v>
      </c>
      <c r="U929" s="1">
        <f t="shared" si="215"/>
        <v>1.9245153251428799E-5</v>
      </c>
      <c r="V929" s="1">
        <f t="shared" si="216"/>
        <v>9.9998595841096341E-2</v>
      </c>
      <c r="W929" s="1">
        <f t="shared" si="217"/>
        <v>4.6805296788728208E-7</v>
      </c>
      <c r="X929" s="1">
        <f t="shared" si="218"/>
        <v>2.0180828836711428E-4</v>
      </c>
      <c r="Y929" s="1">
        <f t="shared" si="219"/>
        <v>9.3611031726668675E-6</v>
      </c>
      <c r="Z929" s="1">
        <f t="shared" si="220"/>
        <v>4.6805515863334338E-4</v>
      </c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</row>
    <row r="930" spans="1:44" ht="15" customHeight="1" x14ac:dyDescent="0.3">
      <c r="A930" s="2">
        <v>9.2899999999999991</v>
      </c>
      <c r="B930" s="1">
        <f t="shared" si="208"/>
        <v>5.128613839913648E-10</v>
      </c>
      <c r="C930" s="1">
        <f t="shared" si="209"/>
        <v>1.9693430457556257E-5</v>
      </c>
      <c r="D930" s="1">
        <f t="shared" si="210"/>
        <v>-3.792163179677536E-6</v>
      </c>
      <c r="E930" s="1">
        <f t="shared" si="211"/>
        <v>3.3339653605299461E-3</v>
      </c>
      <c r="F930" s="1">
        <f t="shared" si="212"/>
        <v>0.99904591855468527</v>
      </c>
      <c r="G930" s="1">
        <f t="shared" si="213"/>
        <v>1.0002275384194088</v>
      </c>
      <c r="H930" s="1">
        <f t="shared" si="221"/>
        <v>10.002275384194087</v>
      </c>
      <c r="S930" s="2">
        <v>9.2899999999999991</v>
      </c>
      <c r="T930" s="1">
        <f t="shared" si="214"/>
        <v>5.128613839913648E-10</v>
      </c>
      <c r="U930" s="1">
        <f t="shared" si="215"/>
        <v>1.9693430457556257E-5</v>
      </c>
      <c r="V930" s="1">
        <f t="shared" si="216"/>
        <v>9.9999957059102279E-2</v>
      </c>
      <c r="W930" s="1">
        <f t="shared" si="217"/>
        <v>1.4313632574452896E-8</v>
      </c>
      <c r="X930" s="1">
        <f t="shared" si="218"/>
        <v>1.9721547684191045E-4</v>
      </c>
      <c r="Y930" s="1">
        <f t="shared" si="219"/>
        <v>2.8627269246507927E-7</v>
      </c>
      <c r="Z930" s="1">
        <f t="shared" si="220"/>
        <v>1.4313634623253964E-5</v>
      </c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</row>
    <row r="931" spans="1:44" ht="15" customHeight="1" x14ac:dyDescent="0.3">
      <c r="A931" s="2">
        <v>9.3000000000000007</v>
      </c>
      <c r="B931" s="1">
        <f t="shared" si="208"/>
        <v>5.011872336272705E-10</v>
      </c>
      <c r="C931" s="1">
        <f t="shared" si="209"/>
        <v>2.0152149381185755E-5</v>
      </c>
      <c r="D931" s="1">
        <f t="shared" si="210"/>
        <v>-4.6126291630098947E-6</v>
      </c>
      <c r="E931" s="1">
        <f t="shared" si="211"/>
        <v>3.3341021048605012E-3</v>
      </c>
      <c r="F931" s="1">
        <f t="shared" si="212"/>
        <v>0.99906761585072035</v>
      </c>
      <c r="G931" s="1">
        <f t="shared" si="213"/>
        <v>1.0002767705161781</v>
      </c>
      <c r="H931" s="1">
        <f t="shared" si="221"/>
        <v>10.00276770516178</v>
      </c>
      <c r="S931" s="2">
        <v>9.3000000000000007</v>
      </c>
      <c r="T931" s="1">
        <f t="shared" si="214"/>
        <v>5.011872336272705E-10</v>
      </c>
      <c r="U931" s="1">
        <f t="shared" si="215"/>
        <v>2.0152149381185755E-5</v>
      </c>
      <c r="V931" s="1">
        <f t="shared" si="216"/>
        <v>0.10000131826980212</v>
      </c>
      <c r="W931" s="1">
        <f t="shared" si="217"/>
        <v>-4.3942326737779463E-7</v>
      </c>
      <c r="X931" s="1">
        <f t="shared" si="218"/>
        <v>1.9272716970393912E-4</v>
      </c>
      <c r="Y931" s="1">
        <f t="shared" si="219"/>
        <v>-8.7884267291640079E-6</v>
      </c>
      <c r="Z931" s="1">
        <f t="shared" si="220"/>
        <v>-4.3942133645820045E-4</v>
      </c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</row>
    <row r="932" spans="1:44" ht="15" customHeight="1" x14ac:dyDescent="0.3">
      <c r="A932" s="2">
        <v>9.31</v>
      </c>
      <c r="B932" s="1">
        <f t="shared" si="208"/>
        <v>4.8977881936844456E-10</v>
      </c>
      <c r="C932" s="1">
        <f t="shared" si="209"/>
        <v>2.0621553241162315E-5</v>
      </c>
      <c r="D932" s="1">
        <f t="shared" si="210"/>
        <v>-5.4355583663518228E-6</v>
      </c>
      <c r="E932" s="1">
        <f t="shared" si="211"/>
        <v>3.3342392597277251E-3</v>
      </c>
      <c r="F932" s="1">
        <f t="shared" si="212"/>
        <v>0.99908882016652878</v>
      </c>
      <c r="G932" s="1">
        <f t="shared" si="213"/>
        <v>1.0003261512301216</v>
      </c>
      <c r="H932" s="1">
        <f t="shared" si="221"/>
        <v>10.003261512301215</v>
      </c>
      <c r="S932" s="2">
        <v>9.31</v>
      </c>
      <c r="T932" s="1">
        <f t="shared" si="214"/>
        <v>4.8977881936844456E-10</v>
      </c>
      <c r="U932" s="1">
        <f t="shared" si="215"/>
        <v>2.0621553241162315E-5</v>
      </c>
      <c r="V932" s="1">
        <f t="shared" si="216"/>
        <v>0.10000268019430171</v>
      </c>
      <c r="W932" s="1">
        <f t="shared" si="217"/>
        <v>-8.9339810056983621E-7</v>
      </c>
      <c r="X932" s="1">
        <f t="shared" si="218"/>
        <v>1.8834098997720568E-4</v>
      </c>
      <c r="Y932" s="1">
        <f t="shared" si="219"/>
        <v>-1.7867802380789639E-5</v>
      </c>
      <c r="Z932" s="1">
        <f t="shared" si="220"/>
        <v>-8.9339011903948192E-4</v>
      </c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</row>
    <row r="933" spans="1:44" ht="15" customHeight="1" x14ac:dyDescent="0.3">
      <c r="A933" s="2">
        <v>9.32</v>
      </c>
      <c r="B933" s="1">
        <f t="shared" si="208"/>
        <v>4.7863009232263674E-10</v>
      </c>
      <c r="C933" s="1">
        <f t="shared" si="209"/>
        <v>2.1101890921625868E-5</v>
      </c>
      <c r="D933" s="1">
        <f t="shared" si="210"/>
        <v>-6.261386254166892E-6</v>
      </c>
      <c r="E933" s="1">
        <f t="shared" si="211"/>
        <v>3.3343768977090273E-3</v>
      </c>
      <c r="F933" s="1">
        <f t="shared" si="212"/>
        <v>0.99910954268278573</v>
      </c>
      <c r="G933" s="1">
        <f t="shared" si="213"/>
        <v>1.0003757066996977</v>
      </c>
      <c r="H933" s="1">
        <f t="shared" si="221"/>
        <v>10.003757066996975</v>
      </c>
      <c r="S933" s="2">
        <v>9.32</v>
      </c>
      <c r="T933" s="1">
        <f t="shared" si="214"/>
        <v>4.7863009232263674E-10</v>
      </c>
      <c r="U933" s="1">
        <f t="shared" si="215"/>
        <v>2.1101890921625868E-5</v>
      </c>
      <c r="V933" s="1">
        <f t="shared" si="216"/>
        <v>0.10000404355411345</v>
      </c>
      <c r="W933" s="1">
        <f t="shared" si="217"/>
        <v>-1.3478513711457999E-6</v>
      </c>
      <c r="X933" s="1">
        <f t="shared" si="218"/>
        <v>1.8405461470977143E-4</v>
      </c>
      <c r="Y933" s="1">
        <f t="shared" si="219"/>
        <v>-2.6956664087149476E-5</v>
      </c>
      <c r="Z933" s="1">
        <f t="shared" si="220"/>
        <v>-1.347833204357474E-3</v>
      </c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</row>
    <row r="934" spans="1:44" ht="15" customHeight="1" x14ac:dyDescent="0.3">
      <c r="A934" s="2">
        <v>9.33</v>
      </c>
      <c r="B934" s="1">
        <f t="shared" si="208"/>
        <v>4.6773514128719668E-10</v>
      </c>
      <c r="C934" s="1">
        <f t="shared" si="209"/>
        <v>2.1593417103972612E-5</v>
      </c>
      <c r="D934" s="1">
        <f t="shared" si="210"/>
        <v>-7.0905498666242306E-6</v>
      </c>
      <c r="E934" s="1">
        <f t="shared" si="211"/>
        <v>3.3345150916444374E-3</v>
      </c>
      <c r="F934" s="1">
        <f t="shared" si="212"/>
        <v>0.99912979432750038</v>
      </c>
      <c r="G934" s="1">
        <f t="shared" si="213"/>
        <v>1.000425463159675</v>
      </c>
      <c r="H934" s="1">
        <f t="shared" si="221"/>
        <v>10.00425463159675</v>
      </c>
      <c r="S934" s="2">
        <v>9.33</v>
      </c>
      <c r="T934" s="1">
        <f t="shared" si="214"/>
        <v>4.6773514128719668E-10</v>
      </c>
      <c r="U934" s="1">
        <f t="shared" si="215"/>
        <v>2.1593417103972612E-5</v>
      </c>
      <c r="V934" s="1">
        <f t="shared" si="216"/>
        <v>0.10000540907153767</v>
      </c>
      <c r="W934" s="1">
        <f t="shared" si="217"/>
        <v>-1.8030238458895586E-6</v>
      </c>
      <c r="X934" s="1">
        <f t="shared" si="218"/>
        <v>1.7986577374773079E-4</v>
      </c>
      <c r="Y934" s="1">
        <f t="shared" si="219"/>
        <v>-3.6059826750516072E-5</v>
      </c>
      <c r="Z934" s="1">
        <f t="shared" si="220"/>
        <v>-1.8029913375258034E-3</v>
      </c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</row>
    <row r="935" spans="1:44" ht="15" customHeight="1" x14ac:dyDescent="0.3">
      <c r="A935" s="2">
        <v>9.34</v>
      </c>
      <c r="B935" s="1">
        <f t="shared" si="208"/>
        <v>4.5708818961487362E-10</v>
      </c>
      <c r="C935" s="1">
        <f t="shared" si="209"/>
        <v>2.2096392401890546E-5</v>
      </c>
      <c r="D935" s="1">
        <f t="shared" si="210"/>
        <v>-7.9234880496323751E-6</v>
      </c>
      <c r="E935" s="1">
        <f t="shared" si="211"/>
        <v>3.3346539146749386E-3</v>
      </c>
      <c r="F935" s="1">
        <f t="shared" si="212"/>
        <v>0.999149585781687</v>
      </c>
      <c r="G935" s="1">
        <f t="shared" si="213"/>
        <v>1.0004754469549606</v>
      </c>
      <c r="H935" s="1">
        <f t="shared" si="221"/>
        <v>10.004754469549605</v>
      </c>
      <c r="S935" s="2">
        <v>9.34</v>
      </c>
      <c r="T935" s="1">
        <f t="shared" si="214"/>
        <v>4.5708818961487362E-10</v>
      </c>
      <c r="U935" s="1">
        <f t="shared" si="215"/>
        <v>2.2096392401890546E-5</v>
      </c>
      <c r="V935" s="1">
        <f t="shared" si="216"/>
        <v>0.10000677747004443</v>
      </c>
      <c r="W935" s="1">
        <f t="shared" si="217"/>
        <v>-2.2591566814793586E-6</v>
      </c>
      <c r="X935" s="1">
        <f t="shared" si="218"/>
        <v>1.7577224853692513E-4</v>
      </c>
      <c r="Y935" s="1">
        <f t="shared" si="219"/>
        <v>-4.5182112894864872E-5</v>
      </c>
      <c r="Z935" s="1">
        <f t="shared" si="220"/>
        <v>-2.2591056447432436E-3</v>
      </c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</row>
    <row r="936" spans="1:44" ht="15" customHeight="1" x14ac:dyDescent="0.3">
      <c r="A936" s="2">
        <v>9.35</v>
      </c>
      <c r="B936" s="1">
        <f t="shared" si="208"/>
        <v>4.4668359215096336E-10</v>
      </c>
      <c r="C936" s="1">
        <f t="shared" si="209"/>
        <v>2.2611083499540216E-5</v>
      </c>
      <c r="D936" s="1">
        <f t="shared" si="210"/>
        <v>-8.7606416858090426E-6</v>
      </c>
      <c r="E936" s="1">
        <f t="shared" si="211"/>
        <v>3.3347934402809679E-3</v>
      </c>
      <c r="F936" s="1">
        <f t="shared" si="212"/>
        <v>0.9991689274849066</v>
      </c>
      <c r="G936" s="1">
        <f t="shared" si="213"/>
        <v>1.0005256845544888</v>
      </c>
      <c r="H936" s="1">
        <f t="shared" si="221"/>
        <v>10.005256845544887</v>
      </c>
      <c r="S936" s="2">
        <v>9.35</v>
      </c>
      <c r="T936" s="1">
        <f t="shared" si="214"/>
        <v>4.4668359215096336E-10</v>
      </c>
      <c r="U936" s="1">
        <f t="shared" si="215"/>
        <v>2.2611083499540216E-5</v>
      </c>
      <c r="V936" s="1">
        <f t="shared" si="216"/>
        <v>0.1000081494746559</v>
      </c>
      <c r="W936" s="1">
        <f t="shared" si="217"/>
        <v>-2.7164915519671093E-6</v>
      </c>
      <c r="X936" s="1">
        <f t="shared" si="218"/>
        <v>1.7177187095177541E-4</v>
      </c>
      <c r="Y936" s="1">
        <f t="shared" si="219"/>
        <v>-5.4328355214162465E-5</v>
      </c>
      <c r="Z936" s="1">
        <f t="shared" si="220"/>
        <v>-2.7164177607081233E-3</v>
      </c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</row>
    <row r="937" spans="1:44" ht="15" customHeight="1" x14ac:dyDescent="0.3">
      <c r="A937" s="2">
        <v>9.36</v>
      </c>
      <c r="B937" s="1">
        <f t="shared" si="208"/>
        <v>4.3651583224016624E-10</v>
      </c>
      <c r="C937" s="1">
        <f t="shared" si="209"/>
        <v>2.3137763292954493E-5</v>
      </c>
      <c r="D937" s="1">
        <f t="shared" si="210"/>
        <v>-9.6024539266670324E-6</v>
      </c>
      <c r="E937" s="1">
        <f t="shared" si="211"/>
        <v>3.3349337423211108E-3</v>
      </c>
      <c r="F937" s="1">
        <f t="shared" si="212"/>
        <v>0.9991878296406882</v>
      </c>
      <c r="G937" s="1">
        <f t="shared" si="213"/>
        <v>1.0005762025651859</v>
      </c>
      <c r="H937" s="1">
        <f t="shared" si="221"/>
        <v>10.005762025651858</v>
      </c>
      <c r="S937" s="2">
        <v>9.36</v>
      </c>
      <c r="T937" s="1">
        <f t="shared" si="214"/>
        <v>4.3651583224016624E-10</v>
      </c>
      <c r="U937" s="1">
        <f t="shared" si="215"/>
        <v>2.3137763292954493E-5</v>
      </c>
      <c r="V937" s="1">
        <f t="shared" si="216"/>
        <v>0.10000952581232964</v>
      </c>
      <c r="W937" s="1">
        <f t="shared" si="217"/>
        <v>-3.175270776549678E-6</v>
      </c>
      <c r="X937" s="1">
        <f t="shared" si="218"/>
        <v>1.6786252215061836E-4</v>
      </c>
      <c r="Y937" s="1">
        <f t="shared" si="219"/>
        <v>-6.3503399126118987E-5</v>
      </c>
      <c r="Z937" s="1">
        <f t="shared" si="220"/>
        <v>-3.1751699563059492E-3</v>
      </c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</row>
    <row r="938" spans="1:44" ht="15" customHeight="1" x14ac:dyDescent="0.3">
      <c r="A938" s="2">
        <v>9.3699999999999992</v>
      </c>
      <c r="B938" s="1">
        <f t="shared" si="208"/>
        <v>4.2657951880159295E-10</v>
      </c>
      <c r="C938" s="1">
        <f t="shared" si="209"/>
        <v>2.3676711034731197E-5</v>
      </c>
      <c r="D938" s="1">
        <f t="shared" si="210"/>
        <v>-1.0449370426074184E-5</v>
      </c>
      <c r="E938" s="1">
        <f t="shared" si="211"/>
        <v>3.335074895071012E-3</v>
      </c>
      <c r="F938" s="1">
        <f t="shared" si="212"/>
        <v>0.99920630222183071</v>
      </c>
      <c r="G938" s="1">
        <f t="shared" si="213"/>
        <v>1.0006270277460163</v>
      </c>
      <c r="H938" s="1">
        <f t="shared" si="221"/>
        <v>10.006270277460162</v>
      </c>
      <c r="S938" s="2">
        <v>9.3699999999999992</v>
      </c>
      <c r="T938" s="1">
        <f t="shared" si="214"/>
        <v>4.2657951880159295E-10</v>
      </c>
      <c r="U938" s="1">
        <f t="shared" si="215"/>
        <v>2.3676711034731197E-5</v>
      </c>
      <c r="V938" s="1">
        <f t="shared" si="216"/>
        <v>0.1000109072123431</v>
      </c>
      <c r="W938" s="1">
        <f t="shared" si="217"/>
        <v>-3.6357374476980892E-6</v>
      </c>
      <c r="X938" s="1">
        <f t="shared" si="218"/>
        <v>1.6404213145695878E-4</v>
      </c>
      <c r="Y938" s="1">
        <f t="shared" si="219"/>
        <v>-7.2712105332719182E-5</v>
      </c>
      <c r="Z938" s="1">
        <f t="shared" si="220"/>
        <v>-3.6356052666359595E-3</v>
      </c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</row>
    <row r="939" spans="1:44" ht="15" customHeight="1" x14ac:dyDescent="0.3">
      <c r="A939" s="2">
        <v>9.3800000000000008</v>
      </c>
      <c r="B939" s="1">
        <f t="shared" si="208"/>
        <v>4.1686938347033427E-10</v>
      </c>
      <c r="C939" s="1">
        <f t="shared" si="209"/>
        <v>2.4228212482096919E-5</v>
      </c>
      <c r="D939" s="1">
        <f t="shared" si="210"/>
        <v>-1.1301839575067496E-5</v>
      </c>
      <c r="E939" s="1">
        <f t="shared" si="211"/>
        <v>3.3352169732625112E-3</v>
      </c>
      <c r="F939" s="1">
        <f t="shared" si="212"/>
        <v>0.99922435497558493</v>
      </c>
      <c r="G939" s="1">
        <f t="shared" si="213"/>
        <v>1.0006781870221133</v>
      </c>
      <c r="H939" s="1">
        <f t="shared" si="221"/>
        <v>10.006781870221133</v>
      </c>
      <c r="S939" s="2">
        <v>9.3800000000000008</v>
      </c>
      <c r="T939" s="1">
        <f t="shared" si="214"/>
        <v>4.1686938347033427E-10</v>
      </c>
      <c r="U939" s="1">
        <f t="shared" si="215"/>
        <v>2.4228212482096919E-5</v>
      </c>
      <c r="V939" s="1">
        <f t="shared" si="216"/>
        <v>0.10001229440667915</v>
      </c>
      <c r="W939" s="1">
        <f t="shared" si="217"/>
        <v>-4.0981355597132658E-6</v>
      </c>
      <c r="X939" s="1">
        <f t="shared" si="218"/>
        <v>1.6030867526604277E-4</v>
      </c>
      <c r="Y939" s="1">
        <f t="shared" si="219"/>
        <v>-8.195935238890055E-5</v>
      </c>
      <c r="Z939" s="1">
        <f t="shared" si="220"/>
        <v>-4.0979676194450275E-3</v>
      </c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</row>
    <row r="940" spans="1:44" ht="15" customHeight="1" x14ac:dyDescent="0.3">
      <c r="A940" s="2">
        <v>9.39</v>
      </c>
      <c r="B940" s="1">
        <f t="shared" si="208"/>
        <v>4.073802778041116E-10</v>
      </c>
      <c r="C940" s="1">
        <f t="shared" si="209"/>
        <v>2.4792560048418874E-5</v>
      </c>
      <c r="D940" s="1">
        <f t="shared" si="210"/>
        <v>-1.2160312738245628E-5</v>
      </c>
      <c r="E940" s="1">
        <f t="shared" si="211"/>
        <v>3.3353600521230406E-3</v>
      </c>
      <c r="F940" s="1">
        <f t="shared" si="212"/>
        <v>0.99924199742872311</v>
      </c>
      <c r="G940" s="1">
        <f t="shared" si="213"/>
        <v>1.0007297074990087</v>
      </c>
      <c r="H940" s="1">
        <f t="shared" si="221"/>
        <v>10.007297074990086</v>
      </c>
      <c r="S940" s="2">
        <v>9.39</v>
      </c>
      <c r="T940" s="1">
        <f t="shared" si="214"/>
        <v>4.073802778041116E-10</v>
      </c>
      <c r="U940" s="1">
        <f t="shared" si="215"/>
        <v>2.4792560048418874E-5</v>
      </c>
      <c r="V940" s="1">
        <f t="shared" si="216"/>
        <v>0.10001368813041332</v>
      </c>
      <c r="W940" s="1">
        <f t="shared" si="217"/>
        <v>-4.5627101377743323E-6</v>
      </c>
      <c r="X940" s="1">
        <f t="shared" si="218"/>
        <v>1.5666017597619291E-4</v>
      </c>
      <c r="Y940" s="1">
        <f t="shared" si="219"/>
        <v>-9.125003928069367E-5</v>
      </c>
      <c r="Z940" s="1">
        <f t="shared" si="220"/>
        <v>-4.5625019640346829E-3</v>
      </c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</row>
    <row r="941" spans="1:44" ht="15" customHeight="1" x14ac:dyDescent="0.3">
      <c r="A941" s="2">
        <v>9.4</v>
      </c>
      <c r="B941" s="1">
        <f t="shared" si="208"/>
        <v>3.9810717055349621E-10</v>
      </c>
      <c r="C941" s="1">
        <f t="shared" si="209"/>
        <v>2.5370052958246823E-5</v>
      </c>
      <c r="D941" s="1">
        <f t="shared" si="210"/>
        <v>-1.3025244491738131E-5</v>
      </c>
      <c r="E941" s="1">
        <f t="shared" si="211"/>
        <v>3.3355042074152894E-3</v>
      </c>
      <c r="F941" s="1">
        <f t="shared" si="212"/>
        <v>0.99925923889249435</v>
      </c>
      <c r="G941" s="1">
        <f t="shared" si="213"/>
        <v>1.0007816164769614</v>
      </c>
      <c r="H941" s="1">
        <f t="shared" si="221"/>
        <v>10.007816164769613</v>
      </c>
      <c r="S941" s="2">
        <v>9.4</v>
      </c>
      <c r="T941" s="1">
        <f t="shared" si="214"/>
        <v>3.9810717055349621E-10</v>
      </c>
      <c r="U941" s="1">
        <f t="shared" si="215"/>
        <v>2.5370052958246823E-5</v>
      </c>
      <c r="V941" s="1">
        <f t="shared" si="216"/>
        <v>0.10001508912210265</v>
      </c>
      <c r="W941" s="1">
        <f t="shared" si="217"/>
        <v>-5.0297073675486415E-6</v>
      </c>
      <c r="X941" s="1">
        <f t="shared" si="218"/>
        <v>1.5309470094433713E-4</v>
      </c>
      <c r="Y941" s="1">
        <f t="shared" si="219"/>
        <v>-1.0058908801420201E-4</v>
      </c>
      <c r="Z941" s="1">
        <f t="shared" si="220"/>
        <v>-5.0294544007101006E-3</v>
      </c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</row>
    <row r="942" spans="1:44" ht="15" customHeight="1" x14ac:dyDescent="0.3">
      <c r="A942" s="2">
        <v>9.41</v>
      </c>
      <c r="B942" s="1">
        <f t="shared" si="208"/>
        <v>3.8904514499427963E-10</v>
      </c>
      <c r="C942" s="1">
        <f t="shared" si="209"/>
        <v>2.5960997405965588E-5</v>
      </c>
      <c r="D942" s="1">
        <f t="shared" si="210"/>
        <v>-1.3897092862971665E-5</v>
      </c>
      <c r="E942" s="1">
        <f t="shared" si="211"/>
        <v>3.3356495154771618E-3</v>
      </c>
      <c r="F942" s="1">
        <f t="shared" si="212"/>
        <v>0.99927608846747118</v>
      </c>
      <c r="G942" s="1">
        <f t="shared" si="213"/>
        <v>1.0008339414653982</v>
      </c>
      <c r="H942" s="1">
        <f t="shared" si="221"/>
        <v>10.008339414653982</v>
      </c>
      <c r="S942" s="2">
        <v>9.41</v>
      </c>
      <c r="T942" s="1">
        <f t="shared" si="214"/>
        <v>3.8904514499427963E-10</v>
      </c>
      <c r="U942" s="1">
        <f t="shared" si="215"/>
        <v>2.5960997405965588E-5</v>
      </c>
      <c r="V942" s="1">
        <f t="shared" si="216"/>
        <v>0.10001649812417629</v>
      </c>
      <c r="W942" s="1">
        <f t="shared" si="217"/>
        <v>-5.4993747254302215E-6</v>
      </c>
      <c r="X942" s="1">
        <f t="shared" si="218"/>
        <v>1.4961036146519645E-4</v>
      </c>
      <c r="Y942" s="1">
        <f t="shared" si="219"/>
        <v>-1.0998144621674852E-4</v>
      </c>
      <c r="Z942" s="1">
        <f t="shared" si="220"/>
        <v>-5.4990723108374259E-3</v>
      </c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</row>
    <row r="943" spans="1:44" ht="15" customHeight="1" x14ac:dyDescent="0.3">
      <c r="A943" s="2">
        <v>9.42</v>
      </c>
      <c r="B943" s="1">
        <f t="shared" si="208"/>
        <v>3.801893963205603E-10</v>
      </c>
      <c r="C943" s="1">
        <f t="shared" si="209"/>
        <v>2.6565706718143418E-5</v>
      </c>
      <c r="D943" s="1">
        <f t="shared" si="210"/>
        <v>-1.4776319572316369E-5</v>
      </c>
      <c r="E943" s="1">
        <f t="shared" si="211"/>
        <v>3.3357960532620526E-3</v>
      </c>
      <c r="F943" s="1">
        <f t="shared" si="212"/>
        <v>0.99929255504828718</v>
      </c>
      <c r="G943" s="1">
        <f t="shared" si="213"/>
        <v>1.0008867101974714</v>
      </c>
      <c r="H943" s="1">
        <f t="shared" si="221"/>
        <v>10.008867101974714</v>
      </c>
      <c r="S943" s="2">
        <v>9.42</v>
      </c>
      <c r="T943" s="1">
        <f t="shared" si="214"/>
        <v>3.801893963205603E-10</v>
      </c>
      <c r="U943" s="1">
        <f t="shared" si="215"/>
        <v>2.6565706718143418E-5</v>
      </c>
      <c r="V943" s="1">
        <f t="shared" si="216"/>
        <v>0.10001791588332844</v>
      </c>
      <c r="W943" s="1">
        <f t="shared" si="217"/>
        <v>-5.971961109476013E-6</v>
      </c>
      <c r="X943" s="1">
        <f t="shared" si="218"/>
        <v>1.4620531177359164E-4</v>
      </c>
      <c r="Y943" s="1">
        <f t="shared" si="219"/>
        <v>-1.1943208975156805E-4</v>
      </c>
      <c r="Z943" s="1">
        <f t="shared" si="220"/>
        <v>-5.9716044875784023E-3</v>
      </c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</row>
    <row r="944" spans="1:44" ht="15" customHeight="1" x14ac:dyDescent="0.3">
      <c r="A944" s="2">
        <v>9.43</v>
      </c>
      <c r="B944" s="1">
        <f t="shared" si="208"/>
        <v>3.7153522909717169E-10</v>
      </c>
      <c r="C944" s="1">
        <f t="shared" si="209"/>
        <v>2.7184501519661909E-5</v>
      </c>
      <c r="D944" s="1">
        <f t="shared" si="210"/>
        <v>-1.5663390276736092E-5</v>
      </c>
      <c r="E944" s="1">
        <f t="shared" si="211"/>
        <v>3.3359438983794555E-3</v>
      </c>
      <c r="F944" s="1">
        <f t="shared" si="212"/>
        <v>0.99930864732827107</v>
      </c>
      <c r="G944" s="1">
        <f t="shared" si="213"/>
        <v>1.0009399506447421</v>
      </c>
      <c r="H944" s="1">
        <f t="shared" si="221"/>
        <v>10.009399506447419</v>
      </c>
      <c r="S944" s="2">
        <v>9.43</v>
      </c>
      <c r="T944" s="1">
        <f t="shared" si="214"/>
        <v>3.7153522909717169E-10</v>
      </c>
      <c r="U944" s="1">
        <f t="shared" si="215"/>
        <v>2.7184501519661909E-5</v>
      </c>
      <c r="V944" s="1">
        <f t="shared" si="216"/>
        <v>0.10001934315091333</v>
      </c>
      <c r="W944" s="1">
        <f t="shared" si="217"/>
        <v>-6.447716971108399E-6</v>
      </c>
      <c r="X944" s="1">
        <f t="shared" si="218"/>
        <v>1.4287774806934995E-4</v>
      </c>
      <c r="Y944" s="1">
        <f t="shared" si="219"/>
        <v>-1.2894602534740807E-4</v>
      </c>
      <c r="Z944" s="1">
        <f t="shared" si="220"/>
        <v>-6.4473012673704035E-3</v>
      </c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</row>
    <row r="945" spans="1:44" ht="15" customHeight="1" x14ac:dyDescent="0.3">
      <c r="A945" s="2">
        <v>9.44</v>
      </c>
      <c r="B945" s="1">
        <f t="shared" si="208"/>
        <v>3.6307805477010058E-10</v>
      </c>
      <c r="C945" s="1">
        <f t="shared" si="209"/>
        <v>2.7817709903715539E-5</v>
      </c>
      <c r="D945" s="1">
        <f t="shared" si="210"/>
        <v>-1.6558774815614168E-5</v>
      </c>
      <c r="E945" s="1">
        <f t="shared" si="211"/>
        <v>3.3360931291359355E-3</v>
      </c>
      <c r="F945" s="1">
        <f t="shared" si="212"/>
        <v>0.99932437380397676</v>
      </c>
      <c r="G945" s="1">
        <f t="shared" si="213"/>
        <v>1.0009936910319972</v>
      </c>
      <c r="H945" s="1">
        <f t="shared" si="221"/>
        <v>10.009936910319972</v>
      </c>
      <c r="S945" s="2">
        <v>9.44</v>
      </c>
      <c r="T945" s="1">
        <f t="shared" si="214"/>
        <v>3.6307805477010058E-10</v>
      </c>
      <c r="U945" s="1">
        <f t="shared" si="215"/>
        <v>2.7817709903715539E-5</v>
      </c>
      <c r="V945" s="1">
        <f t="shared" si="216"/>
        <v>0.10002078068334296</v>
      </c>
      <c r="W945" s="1">
        <f t="shared" si="217"/>
        <v>-6.9268944476533305E-6</v>
      </c>
      <c r="X945" s="1">
        <f t="shared" si="218"/>
        <v>1.3962590756430254E-4</v>
      </c>
      <c r="Y945" s="1">
        <f t="shared" si="219"/>
        <v>-1.3852829324441344E-4</v>
      </c>
      <c r="Z945" s="1">
        <f t="shared" si="220"/>
        <v>-6.9264146622206712E-3</v>
      </c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</row>
    <row r="946" spans="1:44" ht="15" customHeight="1" x14ac:dyDescent="0.3">
      <c r="A946" s="2">
        <v>9.4499999999999993</v>
      </c>
      <c r="B946" s="1">
        <f t="shared" si="208"/>
        <v>3.5481338923357471E-10</v>
      </c>
      <c r="C946" s="1">
        <f t="shared" si="209"/>
        <v>2.8465667605771042E-5</v>
      </c>
      <c r="D946" s="1">
        <f t="shared" si="210"/>
        <v>-1.7462947458770798E-5</v>
      </c>
      <c r="E946" s="1">
        <f t="shared" si="211"/>
        <v>3.3362438245764623E-3</v>
      </c>
      <c r="F946" s="1">
        <f t="shared" si="212"/>
        <v>0.99933974277961191</v>
      </c>
      <c r="G946" s="1">
        <f t="shared" si="213"/>
        <v>1.0010479598522046</v>
      </c>
      <c r="H946" s="1">
        <f t="shared" si="221"/>
        <v>10.010479598522046</v>
      </c>
      <c r="S946" s="2">
        <v>9.4499999999999993</v>
      </c>
      <c r="T946" s="1">
        <f t="shared" si="214"/>
        <v>3.5481338923357471E-10</v>
      </c>
      <c r="U946" s="1">
        <f t="shared" si="215"/>
        <v>2.8465667605771042E-5</v>
      </c>
      <c r="V946" s="1">
        <f t="shared" si="216"/>
        <v>0.10002222924248735</v>
      </c>
      <c r="W946" s="1">
        <f t="shared" si="217"/>
        <v>-7.4097474957837786E-6</v>
      </c>
      <c r="X946" s="1">
        <f t="shared" si="218"/>
        <v>1.3644806755087408E-4</v>
      </c>
      <c r="Y946" s="1">
        <f t="shared" si="219"/>
        <v>-1.481839698576799E-4</v>
      </c>
      <c r="Z946" s="1">
        <f t="shared" si="220"/>
        <v>-7.4091984928839946E-3</v>
      </c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</row>
    <row r="947" spans="1:44" ht="15" customHeight="1" x14ac:dyDescent="0.3">
      <c r="A947" s="2">
        <v>9.4600000000000009</v>
      </c>
      <c r="B947" s="1">
        <f t="shared" si="208"/>
        <v>3.4673685045252974E-10</v>
      </c>
      <c r="C947" s="1">
        <f t="shared" si="209"/>
        <v>2.9128718181578877E-5</v>
      </c>
      <c r="D947" s="1">
        <f t="shared" si="210"/>
        <v>-1.8376387156954399E-5</v>
      </c>
      <c r="E947" s="1">
        <f t="shared" si="211"/>
        <v>3.3363960645261589E-3</v>
      </c>
      <c r="F947" s="1">
        <f t="shared" si="212"/>
        <v>0.99935476237136889</v>
      </c>
      <c r="G947" s="1">
        <f t="shared" si="213"/>
        <v>1.0011027858816204</v>
      </c>
      <c r="H947" s="1">
        <f t="shared" si="221"/>
        <v>10.011027858816202</v>
      </c>
      <c r="S947" s="2">
        <v>9.4600000000000009</v>
      </c>
      <c r="T947" s="1">
        <f t="shared" si="214"/>
        <v>3.4673685045252974E-10</v>
      </c>
      <c r="U947" s="1">
        <f t="shared" si="215"/>
        <v>2.9128718181578877E-5</v>
      </c>
      <c r="V947" s="1">
        <f t="shared" si="216"/>
        <v>0.10002368959607782</v>
      </c>
      <c r="W947" s="1">
        <f t="shared" si="217"/>
        <v>-7.8965320259388379E-6</v>
      </c>
      <c r="X947" s="1">
        <f t="shared" si="218"/>
        <v>1.3334254449177743E-4</v>
      </c>
      <c r="Y947" s="1">
        <f t="shared" si="219"/>
        <v>-1.5791817045987162E-4</v>
      </c>
      <c r="Z947" s="1">
        <f t="shared" si="220"/>
        <v>-7.8959085229935808E-3</v>
      </c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</row>
    <row r="948" spans="1:44" ht="15" customHeight="1" x14ac:dyDescent="0.3">
      <c r="A948" s="2">
        <v>9.4700000000000006</v>
      </c>
      <c r="B948" s="1">
        <f t="shared" si="208"/>
        <v>3.3884415613920192E-10</v>
      </c>
      <c r="C948" s="1">
        <f t="shared" si="209"/>
        <v>2.980721318933055E-5</v>
      </c>
      <c r="D948" s="1">
        <f t="shared" si="210"/>
        <v>-1.929957779482633E-5</v>
      </c>
      <c r="E948" s="1">
        <f t="shared" si="211"/>
        <v>3.3365499296324711E-3</v>
      </c>
      <c r="F948" s="1">
        <f t="shared" si="212"/>
        <v>0.9993694405116601</v>
      </c>
      <c r="G948" s="1">
        <f t="shared" si="213"/>
        <v>1.0011581981950513</v>
      </c>
      <c r="H948" s="1">
        <f t="shared" si="221"/>
        <v>10.011581981950512</v>
      </c>
      <c r="S948" s="2">
        <v>9.4700000000000006</v>
      </c>
      <c r="T948" s="1">
        <f t="shared" si="214"/>
        <v>3.3884415613920192E-10</v>
      </c>
      <c r="U948" s="1">
        <f t="shared" si="215"/>
        <v>2.980721318933055E-5</v>
      </c>
      <c r="V948" s="1">
        <f t="shared" si="216"/>
        <v>0.10002516251811336</v>
      </c>
      <c r="W948" s="1">
        <f t="shared" si="217"/>
        <v>-8.3875060377887388E-6</v>
      </c>
      <c r="X948" s="1">
        <f t="shared" si="218"/>
        <v>1.3030769313034028E-4</v>
      </c>
      <c r="Y948" s="1">
        <f t="shared" si="219"/>
        <v>-1.6773605188429545E-4</v>
      </c>
      <c r="Z948" s="1">
        <f t="shared" si="220"/>
        <v>-8.3868025942147716E-3</v>
      </c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</row>
    <row r="949" spans="1:44" ht="15" customHeight="1" x14ac:dyDescent="0.3">
      <c r="A949" s="2">
        <v>9.48</v>
      </c>
      <c r="B949" s="1">
        <f t="shared" si="208"/>
        <v>3.3113112148259045E-10</v>
      </c>
      <c r="C949" s="1">
        <f t="shared" si="209"/>
        <v>3.0501512376060422E-5</v>
      </c>
      <c r="D949" s="1">
        <f t="shared" si="210"/>
        <v>-2.023300844658778E-5</v>
      </c>
      <c r="E949" s="1">
        <f t="shared" si="211"/>
        <v>3.3367055014077644E-3</v>
      </c>
      <c r="F949" s="1">
        <f t="shared" si="212"/>
        <v>0.99938378495325642</v>
      </c>
      <c r="G949" s="1">
        <f t="shared" si="213"/>
        <v>1.0012142261812811</v>
      </c>
      <c r="H949" s="1">
        <f t="shared" si="221"/>
        <v>10.01214226181281</v>
      </c>
      <c r="S949" s="2">
        <v>9.48</v>
      </c>
      <c r="T949" s="1">
        <f t="shared" si="214"/>
        <v>3.3113112148259045E-10</v>
      </c>
      <c r="U949" s="1">
        <f t="shared" si="215"/>
        <v>3.0501512376060422E-5</v>
      </c>
      <c r="V949" s="1">
        <f t="shared" si="216"/>
        <v>0.10002664878927045</v>
      </c>
      <c r="W949" s="1">
        <f t="shared" si="217"/>
        <v>-8.8829297568186735E-6</v>
      </c>
      <c r="X949" s="1">
        <f t="shared" si="218"/>
        <v>1.2734190562098863E-4</v>
      </c>
      <c r="Y949" s="1">
        <f t="shared" si="219"/>
        <v>-1.7764281524987679E-4</v>
      </c>
      <c r="Z949" s="1">
        <f t="shared" si="220"/>
        <v>-8.8821407624938391E-3</v>
      </c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</row>
    <row r="950" spans="1:44" ht="15" customHeight="1" x14ac:dyDescent="0.3">
      <c r="A950" s="2">
        <v>9.49</v>
      </c>
      <c r="B950" s="1">
        <f t="shared" si="208"/>
        <v>3.2359365692962771E-10</v>
      </c>
      <c r="C950" s="1">
        <f t="shared" si="209"/>
        <v>3.1211983868387318E-5</v>
      </c>
      <c r="D950" s="1">
        <f t="shared" si="210"/>
        <v>-2.117717363443809E-5</v>
      </c>
      <c r="E950" s="1">
        <f t="shared" si="211"/>
        <v>3.3368628622724066E-3</v>
      </c>
      <c r="F950" s="1">
        <f t="shared" si="212"/>
        <v>0.99939780327333605</v>
      </c>
      <c r="G950" s="1">
        <f t="shared" si="213"/>
        <v>1.0012708995586725</v>
      </c>
      <c r="H950" s="1">
        <f t="shared" si="221"/>
        <v>10.012708995586724</v>
      </c>
      <c r="S950" s="2">
        <v>9.49</v>
      </c>
      <c r="T950" s="1">
        <f t="shared" si="214"/>
        <v>3.2359365692962771E-10</v>
      </c>
      <c r="U950" s="1">
        <f t="shared" si="215"/>
        <v>3.1211983868387318E-5</v>
      </c>
      <c r="V950" s="1">
        <f t="shared" si="216"/>
        <v>0.10002814919731631</v>
      </c>
      <c r="W950" s="1">
        <f t="shared" si="217"/>
        <v>-9.3830657721008036E-6</v>
      </c>
      <c r="X950" s="1">
        <f t="shared" si="218"/>
        <v>1.2444361067944862E-4</v>
      </c>
      <c r="Y950" s="1">
        <f t="shared" si="219"/>
        <v>-1.8764370870941063E-4</v>
      </c>
      <c r="Z950" s="1">
        <f t="shared" si="220"/>
        <v>-9.3821854354705324E-3</v>
      </c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</row>
    <row r="951" spans="1:44" ht="15" customHeight="1" x14ac:dyDescent="0.3">
      <c r="A951" s="2">
        <v>9.5</v>
      </c>
      <c r="B951" s="1">
        <f t="shared" si="208"/>
        <v>3.1622776601683744E-10</v>
      </c>
      <c r="C951" s="1">
        <f t="shared" si="209"/>
        <v>3.193900436770068E-5</v>
      </c>
      <c r="D951" s="1">
        <f t="shared" si="210"/>
        <v>-2.2132573589935173E-5</v>
      </c>
      <c r="E951" s="1">
        <f t="shared" si="211"/>
        <v>3.3370220955983229E-3</v>
      </c>
      <c r="F951" s="1">
        <f t="shared" si="212"/>
        <v>0.99941150287744129</v>
      </c>
      <c r="G951" s="1">
        <f t="shared" si="213"/>
        <v>1.0013282483909487</v>
      </c>
      <c r="H951" s="1">
        <f t="shared" si="221"/>
        <v>10.013282483909487</v>
      </c>
      <c r="S951" s="2">
        <v>9.5</v>
      </c>
      <c r="T951" s="1">
        <f t="shared" si="214"/>
        <v>3.1622776601683744E-10</v>
      </c>
      <c r="U951" s="1">
        <f t="shared" si="215"/>
        <v>3.193900436770068E-5</v>
      </c>
      <c r="V951" s="1">
        <f t="shared" si="216"/>
        <v>0.10002966453752599</v>
      </c>
      <c r="W951" s="1">
        <f t="shared" si="217"/>
        <v>-9.8881791753297321E-6</v>
      </c>
      <c r="X951" s="1">
        <f t="shared" si="218"/>
        <v>1.2161127275220483E-4</v>
      </c>
      <c r="Y951" s="1">
        <f t="shared" si="219"/>
        <v>-1.9774403022257769E-4</v>
      </c>
      <c r="Z951" s="1">
        <f t="shared" si="220"/>
        <v>-9.887201511128884E-3</v>
      </c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</row>
    <row r="952" spans="1:44" ht="15" customHeight="1" x14ac:dyDescent="0.3">
      <c r="A952" s="2">
        <v>9.51</v>
      </c>
      <c r="B952" s="1">
        <f t="shared" si="208"/>
        <v>3.090295432513586E-10</v>
      </c>
      <c r="C952" s="1">
        <f t="shared" si="209"/>
        <v>3.2682959349892498E-5</v>
      </c>
      <c r="D952" s="1">
        <f t="shared" si="210"/>
        <v>-2.3099714518421061E-5</v>
      </c>
      <c r="E952" s="1">
        <f t="shared" si="211"/>
        <v>3.3371832857530702E-3</v>
      </c>
      <c r="F952" s="1">
        <f t="shared" si="212"/>
        <v>0.99942489100334797</v>
      </c>
      <c r="G952" s="1">
        <f t="shared" si="213"/>
        <v>1.0013863031031645</v>
      </c>
      <c r="H952" s="1">
        <f t="shared" si="221"/>
        <v>10.013863031031644</v>
      </c>
      <c r="S952" s="2">
        <v>9.51</v>
      </c>
      <c r="T952" s="1">
        <f t="shared" si="214"/>
        <v>3.090295432513586E-10</v>
      </c>
      <c r="U952" s="1">
        <f t="shared" si="215"/>
        <v>3.2682959349892498E-5</v>
      </c>
      <c r="V952" s="1">
        <f t="shared" si="216"/>
        <v>0.10003119561310357</v>
      </c>
      <c r="W952" s="1">
        <f t="shared" si="217"/>
        <v>-1.0398537701193091E-5</v>
      </c>
      <c r="X952" s="1">
        <f t="shared" si="218"/>
        <v>1.1884339120479082E-4</v>
      </c>
      <c r="Y952" s="1">
        <f t="shared" si="219"/>
        <v>-2.0794913035514253E-4</v>
      </c>
      <c r="Z952" s="1">
        <f t="shared" si="220"/>
        <v>-1.0397456517757126E-2</v>
      </c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</row>
    <row r="953" spans="1:44" ht="15" customHeight="1" x14ac:dyDescent="0.3">
      <c r="A953" s="2">
        <v>9.52</v>
      </c>
      <c r="B953" s="1">
        <f t="shared" si="208"/>
        <v>3.0199517204020115E-10</v>
      </c>
      <c r="C953" s="1">
        <f t="shared" si="209"/>
        <v>3.3444243269741747E-5</v>
      </c>
      <c r="D953" s="1">
        <f t="shared" si="210"/>
        <v>-2.4079108866664159E-5</v>
      </c>
      <c r="E953" s="1">
        <f t="shared" si="211"/>
        <v>3.3373465181444437E-3</v>
      </c>
      <c r="F953" s="1">
        <f t="shared" si="212"/>
        <v>0.99943797472484774</v>
      </c>
      <c r="G953" s="1">
        <f t="shared" si="213"/>
        <v>1.0014450944978772</v>
      </c>
      <c r="H953" s="1">
        <f t="shared" si="221"/>
        <v>10.014450944978771</v>
      </c>
      <c r="S953" s="2">
        <v>9.52</v>
      </c>
      <c r="T953" s="1">
        <f t="shared" si="214"/>
        <v>3.0199517204020115E-10</v>
      </c>
      <c r="U953" s="1">
        <f t="shared" si="215"/>
        <v>3.3444243269741747E-5</v>
      </c>
      <c r="V953" s="1">
        <f t="shared" si="216"/>
        <v>0.10003274323560744</v>
      </c>
      <c r="W953" s="1">
        <f t="shared" si="217"/>
        <v>-1.0914411869151849E-5</v>
      </c>
      <c r="X953" s="1">
        <f t="shared" si="218"/>
        <v>1.161384995284829E-4</v>
      </c>
      <c r="Y953" s="1">
        <f t="shared" si="219"/>
        <v>-2.1826441510580853E-4</v>
      </c>
      <c r="Z953" s="1">
        <f t="shared" si="220"/>
        <v>-1.0913220755290427E-2</v>
      </c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</row>
    <row r="954" spans="1:44" ht="15" customHeight="1" x14ac:dyDescent="0.3">
      <c r="A954" s="2">
        <v>9.5299999999999994</v>
      </c>
      <c r="B954" s="1">
        <f t="shared" si="208"/>
        <v>2.9512092266663821E-10</v>
      </c>
      <c r="C954" s="1">
        <f t="shared" si="209"/>
        <v>3.4223259770059495E-5</v>
      </c>
      <c r="D954" s="1">
        <f t="shared" si="210"/>
        <v>-2.5071275593825343E-5</v>
      </c>
      <c r="E954" s="1">
        <f t="shared" si="211"/>
        <v>3.3375118792656373E-3</v>
      </c>
      <c r="F954" s="1">
        <f t="shared" si="212"/>
        <v>0.99945076095544683</v>
      </c>
      <c r="G954" s="1">
        <f t="shared" si="213"/>
        <v>1.0015046537715233</v>
      </c>
      <c r="H954" s="1">
        <f t="shared" si="221"/>
        <v>10.015046537715232</v>
      </c>
      <c r="S954" s="2">
        <v>9.5299999999999994</v>
      </c>
      <c r="T954" s="1">
        <f t="shared" si="214"/>
        <v>2.9512092266663821E-10</v>
      </c>
      <c r="U954" s="1">
        <f t="shared" si="215"/>
        <v>3.4223259770059495E-5</v>
      </c>
      <c r="V954" s="1">
        <f t="shared" si="216"/>
        <v>0.10003430822538012</v>
      </c>
      <c r="W954" s="1">
        <f t="shared" si="217"/>
        <v>-1.1436075126705062E-5</v>
      </c>
      <c r="X954" s="1">
        <f t="shared" si="218"/>
        <v>1.1349516456498215E-4</v>
      </c>
      <c r="Y954" s="1">
        <f t="shared" si="219"/>
        <v>-2.2869534876220551E-4</v>
      </c>
      <c r="Z954" s="1">
        <f t="shared" si="220"/>
        <v>-1.1434767438110276E-2</v>
      </c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</row>
    <row r="955" spans="1:44" ht="15" customHeight="1" x14ac:dyDescent="0.3">
      <c r="A955" s="2">
        <v>9.5399999999999991</v>
      </c>
      <c r="B955" s="1">
        <f t="shared" si="208"/>
        <v>2.8840315031266024E-10</v>
      </c>
      <c r="C955" s="1">
        <f t="shared" si="209"/>
        <v>3.5020421895705736E-5</v>
      </c>
      <c r="D955" s="1">
        <f t="shared" si="210"/>
        <v>-2.6076740445943463E-5</v>
      </c>
      <c r="E955" s="1">
        <f t="shared" si="211"/>
        <v>3.3376794567409906E-3</v>
      </c>
      <c r="F955" s="1">
        <f t="shared" si="212"/>
        <v>0.99946325645198153</v>
      </c>
      <c r="G955" s="1">
        <f t="shared" si="213"/>
        <v>1.0015650125310123</v>
      </c>
      <c r="H955" s="1">
        <f t="shared" si="221"/>
        <v>10.015650125310122</v>
      </c>
      <c r="S955" s="2">
        <v>9.5399999999999991</v>
      </c>
      <c r="T955" s="1">
        <f t="shared" si="214"/>
        <v>2.8840315031266024E-10</v>
      </c>
      <c r="U955" s="1">
        <f t="shared" si="215"/>
        <v>3.5020421895705736E-5</v>
      </c>
      <c r="V955" s="1">
        <f t="shared" si="216"/>
        <v>0.10003589141198264</v>
      </c>
      <c r="W955" s="1">
        <f t="shared" si="217"/>
        <v>-1.1963803994214755E-5</v>
      </c>
      <c r="X955" s="1">
        <f t="shared" si="218"/>
        <v>1.1091198574867803E-4</v>
      </c>
      <c r="Y955" s="1">
        <f t="shared" si="219"/>
        <v>-2.3924745678750389E-4</v>
      </c>
      <c r="Z955" s="1">
        <f t="shared" si="220"/>
        <v>-1.1962372839375195E-2</v>
      </c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</row>
    <row r="956" spans="1:44" ht="15" customHeight="1" x14ac:dyDescent="0.3">
      <c r="A956" s="2">
        <v>9.5500000000000007</v>
      </c>
      <c r="B956" s="1">
        <f t="shared" si="208"/>
        <v>2.8183829312644407E-10</v>
      </c>
      <c r="C956" s="1">
        <f t="shared" si="209"/>
        <v>3.5836152312591285E-5</v>
      </c>
      <c r="D956" s="1">
        <f t="shared" si="210"/>
        <v>-2.7096036234006175E-5</v>
      </c>
      <c r="E956" s="1">
        <f t="shared" si="211"/>
        <v>3.337849339372334E-3</v>
      </c>
      <c r="F956" s="1">
        <f t="shared" si="212"/>
        <v>0.99947546781815244</v>
      </c>
      <c r="G956" s="1">
        <f t="shared" si="213"/>
        <v>1.0016262028105432</v>
      </c>
      <c r="H956" s="1">
        <f t="shared" si="221"/>
        <v>10.01626202810543</v>
      </c>
      <c r="S956" s="2">
        <v>9.5500000000000007</v>
      </c>
      <c r="T956" s="1">
        <f t="shared" si="214"/>
        <v>2.8183829312644407E-10</v>
      </c>
      <c r="U956" s="1">
        <f t="shared" si="215"/>
        <v>3.5836152312591285E-5</v>
      </c>
      <c r="V956" s="1">
        <f t="shared" si="216"/>
        <v>0.1000374936346341</v>
      </c>
      <c r="W956" s="1">
        <f t="shared" si="217"/>
        <v>-1.2497878211367227E-5</v>
      </c>
      <c r="X956" s="1">
        <f t="shared" si="218"/>
        <v>1.0838759436609686E-4</v>
      </c>
      <c r="Y956" s="1">
        <f t="shared" si="219"/>
        <v>-2.499263287391606E-4</v>
      </c>
      <c r="Z956" s="1">
        <f t="shared" si="220"/>
        <v>-1.2496316436958029E-2</v>
      </c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</row>
    <row r="957" spans="1:44" ht="15" customHeight="1" x14ac:dyDescent="0.3">
      <c r="A957" s="2">
        <v>9.56</v>
      </c>
      <c r="B957" s="1">
        <f t="shared" si="208"/>
        <v>2.7542287033381539E-10</v>
      </c>
      <c r="C957" s="1">
        <f t="shared" si="209"/>
        <v>3.6670883531780398E-5</v>
      </c>
      <c r="D957" s="1">
        <f t="shared" si="210"/>
        <v>-2.8129703115823408E-5</v>
      </c>
      <c r="E957" s="1">
        <f t="shared" si="211"/>
        <v>3.3380216171859703E-3</v>
      </c>
      <c r="F957" s="1">
        <f t="shared" si="212"/>
        <v>0.99948740150798077</v>
      </c>
      <c r="G957" s="1">
        <f t="shared" si="213"/>
        <v>1.0016882570886563</v>
      </c>
      <c r="H957" s="1">
        <f t="shared" si="221"/>
        <v>10.016882570886562</v>
      </c>
      <c r="S957" s="2">
        <v>9.56</v>
      </c>
      <c r="T957" s="1">
        <f t="shared" si="214"/>
        <v>2.7542287033381539E-10</v>
      </c>
      <c r="U957" s="1">
        <f t="shared" si="215"/>
        <v>3.6670883531780398E-5</v>
      </c>
      <c r="V957" s="1">
        <f t="shared" si="216"/>
        <v>0.10003911574265605</v>
      </c>
      <c r="W957" s="1">
        <f t="shared" si="217"/>
        <v>-1.3038580885347943E-5</v>
      </c>
      <c r="X957" s="1">
        <f t="shared" si="218"/>
        <v>1.0592065283214796E-4</v>
      </c>
      <c r="Y957" s="1">
        <f t="shared" si="219"/>
        <v>-2.6073762122131737E-4</v>
      </c>
      <c r="Z957" s="1">
        <f t="shared" si="220"/>
        <v>-1.303688106106587E-2</v>
      </c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</row>
    <row r="958" spans="1:44" ht="15" customHeight="1" x14ac:dyDescent="0.3">
      <c r="A958" s="2">
        <v>9.57</v>
      </c>
      <c r="B958" s="1">
        <f t="shared" si="208"/>
        <v>2.6915348039269034E-10</v>
      </c>
      <c r="C958" s="1">
        <f t="shared" si="209"/>
        <v>3.7525058138814595E-5</v>
      </c>
      <c r="D958" s="1">
        <f t="shared" si="210"/>
        <v>-2.9178288881824407E-5</v>
      </c>
      <c r="E958" s="1">
        <f t="shared" si="211"/>
        <v>3.3381963814803038E-3</v>
      </c>
      <c r="F958" s="1">
        <f t="shared" si="212"/>
        <v>0.99949906382918652</v>
      </c>
      <c r="G958" s="1">
        <f t="shared" si="213"/>
        <v>1.0017512083055278</v>
      </c>
      <c r="H958" s="1">
        <f t="shared" si="221"/>
        <v>10.017512083055276</v>
      </c>
      <c r="S958" s="2">
        <v>9.57</v>
      </c>
      <c r="T958" s="1">
        <f t="shared" si="214"/>
        <v>2.6915348039269034E-10</v>
      </c>
      <c r="U958" s="1">
        <f t="shared" si="215"/>
        <v>3.7525058138814595E-5</v>
      </c>
      <c r="V958" s="1">
        <f t="shared" si="216"/>
        <v>0.10004075859592243</v>
      </c>
      <c r="W958" s="1">
        <f t="shared" si="217"/>
        <v>-1.3586198640809203E-5</v>
      </c>
      <c r="X958" s="1">
        <f t="shared" si="218"/>
        <v>1.0350985398278305E-4</v>
      </c>
      <c r="Y958" s="1">
        <f t="shared" si="219"/>
        <v>-2.7168706087241253E-4</v>
      </c>
      <c r="Z958" s="1">
        <f t="shared" si="220"/>
        <v>-1.3584353043620627E-2</v>
      </c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</row>
    <row r="959" spans="1:44" ht="15" customHeight="1" x14ac:dyDescent="0.3">
      <c r="A959" s="2">
        <v>9.58</v>
      </c>
      <c r="B959" s="1">
        <f t="shared" si="208"/>
        <v>2.6302679918953798E-10</v>
      </c>
      <c r="C959" s="1">
        <f t="shared" si="209"/>
        <v>3.8399129028376711E-5</v>
      </c>
      <c r="D959" s="1">
        <f t="shared" si="210"/>
        <v>-3.0242349244939591E-5</v>
      </c>
      <c r="E959" s="1">
        <f t="shared" si="211"/>
        <v>3.3383737248741563E-3</v>
      </c>
      <c r="F959" s="1">
        <f t="shared" si="212"/>
        <v>0.99951046094649132</v>
      </c>
      <c r="G959" s="1">
        <f t="shared" si="213"/>
        <v>1.0018150898805172</v>
      </c>
      <c r="H959" s="1">
        <f t="shared" si="221"/>
        <v>10.018150898805171</v>
      </c>
      <c r="S959" s="2">
        <v>9.58</v>
      </c>
      <c r="T959" s="1">
        <f t="shared" si="214"/>
        <v>2.6302679918953798E-10</v>
      </c>
      <c r="U959" s="1">
        <f t="shared" si="215"/>
        <v>3.8399129028376711E-5</v>
      </c>
      <c r="V959" s="1">
        <f t="shared" si="216"/>
        <v>0.10004242306531512</v>
      </c>
      <c r="W959" s="1">
        <f t="shared" si="217"/>
        <v>-1.4141021771708274E-5</v>
      </c>
      <c r="X959" s="1">
        <f t="shared" si="218"/>
        <v>1.0115392038370536E-4</v>
      </c>
      <c r="Y959" s="1">
        <f t="shared" si="219"/>
        <v>-2.8278044738953395E-4</v>
      </c>
      <c r="Z959" s="1">
        <f t="shared" si="220"/>
        <v>-1.4139022369476699E-2</v>
      </c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</row>
    <row r="960" spans="1:44" ht="15" customHeight="1" x14ac:dyDescent="0.3">
      <c r="A960" s="2">
        <v>9.59</v>
      </c>
      <c r="B960" s="1">
        <f t="shared" si="208"/>
        <v>2.5703957827688617E-10</v>
      </c>
      <c r="C960" s="1">
        <f t="shared" si="209"/>
        <v>3.9293559644422369E-5</v>
      </c>
      <c r="D960" s="1">
        <f t="shared" si="210"/>
        <v>-3.1322448134654367E-5</v>
      </c>
      <c r="E960" s="1">
        <f t="shared" si="211"/>
        <v>3.338553741355776E-3</v>
      </c>
      <c r="F960" s="1">
        <f t="shared" si="212"/>
        <v>0.99952159888484737</v>
      </c>
      <c r="G960" s="1">
        <f t="shared" si="213"/>
        <v>1.0018799357299732</v>
      </c>
      <c r="H960" s="1">
        <f t="shared" si="221"/>
        <v>10.018799357299732</v>
      </c>
      <c r="S960" s="2">
        <v>9.59</v>
      </c>
      <c r="T960" s="1">
        <f t="shared" si="214"/>
        <v>2.5703957827688617E-10</v>
      </c>
      <c r="U960" s="1">
        <f t="shared" si="215"/>
        <v>3.9293559644422369E-5</v>
      </c>
      <c r="V960" s="1">
        <f t="shared" si="216"/>
        <v>0.10004411003318528</v>
      </c>
      <c r="W960" s="1">
        <f t="shared" si="217"/>
        <v>-1.4703344395097875E-5</v>
      </c>
      <c r="X960" s="1">
        <f t="shared" si="218"/>
        <v>9.8851603654757982E-5</v>
      </c>
      <c r="Y960" s="1">
        <f t="shared" si="219"/>
        <v>-2.9402365659112584E-4</v>
      </c>
      <c r="Z960" s="1">
        <f t="shared" si="220"/>
        <v>-1.4701182829556292E-2</v>
      </c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</row>
    <row r="961" spans="1:44" ht="15" customHeight="1" x14ac:dyDescent="0.3">
      <c r="A961" s="2">
        <v>9.6</v>
      </c>
      <c r="B961" s="1">
        <f t="shared" si="208"/>
        <v>2.5118864315095784E-10</v>
      </c>
      <c r="C961" s="1">
        <f t="shared" si="209"/>
        <v>4.0208824225903246E-5</v>
      </c>
      <c r="D961" s="1">
        <f t="shared" si="210"/>
        <v>-3.2419157995525045E-5</v>
      </c>
      <c r="E961" s="1">
        <f t="shared" si="211"/>
        <v>3.338736526332587E-3</v>
      </c>
      <c r="F961" s="1">
        <f t="shared" si="212"/>
        <v>0.99953248353259372</v>
      </c>
      <c r="G961" s="1">
        <f t="shared" si="213"/>
        <v>1.0019457802853164</v>
      </c>
      <c r="H961" s="1">
        <f t="shared" si="221"/>
        <v>10.019457802853164</v>
      </c>
      <c r="S961" s="2">
        <v>9.6</v>
      </c>
      <c r="T961" s="1">
        <f t="shared" si="214"/>
        <v>2.5118864315095784E-10</v>
      </c>
      <c r="U961" s="1">
        <f t="shared" si="215"/>
        <v>4.0208824225903246E-5</v>
      </c>
      <c r="V961" s="1">
        <f t="shared" si="216"/>
        <v>0.10004582039382084</v>
      </c>
      <c r="W961" s="1">
        <f t="shared" si="217"/>
        <v>-1.5273464606948503E-5</v>
      </c>
      <c r="X961" s="1">
        <f t="shared" si="218"/>
        <v>9.6601683809644453E-5</v>
      </c>
      <c r="Y961" s="1">
        <f t="shared" si="219"/>
        <v>-3.054226435196105E-4</v>
      </c>
      <c r="Z961" s="1">
        <f t="shared" si="220"/>
        <v>-1.5271132175980525E-2</v>
      </c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</row>
    <row r="962" spans="1:44" ht="15" customHeight="1" x14ac:dyDescent="0.3">
      <c r="A962" s="2">
        <v>9.61</v>
      </c>
      <c r="B962" s="1">
        <f t="shared" si="208"/>
        <v>2.4547089156850289E-10</v>
      </c>
      <c r="C962" s="1">
        <f t="shared" si="209"/>
        <v>4.1145408058215405E-5</v>
      </c>
      <c r="D962" s="1">
        <f t="shared" si="210"/>
        <v>-3.3533060090184211E-5</v>
      </c>
      <c r="E962" s="1">
        <f t="shared" si="211"/>
        <v>3.3389221766816973E-3</v>
      </c>
      <c r="F962" s="1">
        <f t="shared" si="212"/>
        <v>0.99954312064454265</v>
      </c>
      <c r="G962" s="1">
        <f t="shared" si="213"/>
        <v>1.0020126585113991</v>
      </c>
      <c r="H962" s="1">
        <f t="shared" si="221"/>
        <v>10.02012658511399</v>
      </c>
      <c r="S962" s="2">
        <v>9.61</v>
      </c>
      <c r="T962" s="1">
        <f t="shared" si="214"/>
        <v>2.4547089156850289E-10</v>
      </c>
      <c r="U962" s="1">
        <f t="shared" si="215"/>
        <v>4.1145408058215405E-5</v>
      </c>
      <c r="V962" s="1">
        <f t="shared" si="216"/>
        <v>0.10004755505392025</v>
      </c>
      <c r="W962" s="1">
        <f t="shared" si="217"/>
        <v>-1.5851684640086795E-5</v>
      </c>
      <c r="X962" s="1">
        <f t="shared" si="218"/>
        <v>9.4402968610627424E-5</v>
      </c>
      <c r="Y962" s="1">
        <f t="shared" si="219"/>
        <v>-3.1698344558558043E-4</v>
      </c>
      <c r="Z962" s="1">
        <f t="shared" si="220"/>
        <v>-1.5849172279279022E-2</v>
      </c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</row>
    <row r="963" spans="1:44" ht="15" customHeight="1" x14ac:dyDescent="0.3">
      <c r="A963" s="2">
        <v>9.6199999999999992</v>
      </c>
      <c r="B963" s="1">
        <f t="shared" ref="B963:B1026" si="222">10^(-A963)</f>
        <v>2.3988329190194892E-10</v>
      </c>
      <c r="C963" s="1">
        <f t="shared" ref="C963:C1026" si="223">Kw/B963</f>
        <v>4.2103807730503895E-5</v>
      </c>
      <c r="D963" s="1">
        <f t="shared" ref="D963:D1026" si="224">((WASB_Ca*WASB_Va)-(WASB_Cb*H963))/(WASB_Va+H963)</f>
        <v>-3.4664744807017844E-5</v>
      </c>
      <c r="E963" s="1">
        <f t="shared" ref="E963:E1026" si="225">(WASB_Ca*H963)/(WASB_Va+H963)</f>
        <v>3.3391107908011695E-3</v>
      </c>
      <c r="F963" s="1">
        <f t="shared" ref="F963:F1026" si="226">WASB_Ka/(B963+WASB_Ka)</f>
        <v>0.9995535158449953</v>
      </c>
      <c r="G963" s="1">
        <f t="shared" ref="G963:G1026" si="227">(F963-((B963-C963)/WASB_Ca)) / (1 + ((B963-C963)/WASB_Cb))</f>
        <v>1.0020806059251555</v>
      </c>
      <c r="H963" s="1">
        <f t="shared" si="221"/>
        <v>10.020806059251553</v>
      </c>
      <c r="S963" s="2">
        <v>9.6199999999999992</v>
      </c>
      <c r="T963" s="1">
        <f t="shared" ref="T963:T1026" si="228">10^-S963</f>
        <v>2.3988329190194892E-10</v>
      </c>
      <c r="U963" s="1">
        <f t="shared" ref="U963:U1026" si="229">Kw/T963</f>
        <v>4.2103807730503895E-5</v>
      </c>
      <c r="V963" s="1">
        <f t="shared" ref="V963:V1026" si="230">((SAWB_Cb*SAWB_Vb)-(SAWB_Ca*Z963))/(Z963+SAWB_Vb)</f>
        <v>0.10004931493307299</v>
      </c>
      <c r="W963" s="1">
        <f t="shared" ref="W963:W1026" si="231">(SAWB_Cb*Z963)/(Z963+SAWB_Vb)</f>
        <v>-1.643831102433208E-5</v>
      </c>
      <c r="X963" s="1">
        <f t="shared" ref="X963:X1026" si="232">T963/(T963+SAWB_Ka)</f>
        <v>9.2254292937871878E-5</v>
      </c>
      <c r="Y963" s="1">
        <f t="shared" ref="Y963:Y1026" si="233">(X963+((T963-U963)/SAWB_Cb))/(1-((T963-U963)/SAWB_Ca))</f>
        <v>-3.287121857551723E-4</v>
      </c>
      <c r="Z963" s="1">
        <f t="shared" ref="Z963:Z1026" si="234">(Y963*SAWB_Cb*SAWB_Vb)/SAWB_Ca</f>
        <v>-1.6435609287758616E-2</v>
      </c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</row>
    <row r="964" spans="1:44" ht="15" customHeight="1" x14ac:dyDescent="0.3">
      <c r="A964" s="2">
        <v>9.6300000000000008</v>
      </c>
      <c r="B964" s="1">
        <f t="shared" si="222"/>
        <v>2.3442288153199129E-10</v>
      </c>
      <c r="C964" s="1">
        <f t="shared" si="223"/>
        <v>4.3084531398961024E-5</v>
      </c>
      <c r="D964" s="1">
        <f t="shared" si="224"/>
        <v>-3.5814811972784968E-5</v>
      </c>
      <c r="E964" s="1">
        <f t="shared" si="225"/>
        <v>3.339302468662131E-3</v>
      </c>
      <c r="F964" s="1">
        <f t="shared" si="226"/>
        <v>0.99956367463069151</v>
      </c>
      <c r="G964" s="1">
        <f t="shared" si="227"/>
        <v>1.002149658614558</v>
      </c>
      <c r="H964" s="1">
        <f t="shared" ref="H964:H1027" si="235">G964*(WASB_Va * WASB_Ca)/WASB_Cb</f>
        <v>10.021496586145579</v>
      </c>
      <c r="S964" s="2">
        <v>9.6300000000000008</v>
      </c>
      <c r="T964" s="1">
        <f t="shared" si="228"/>
        <v>2.3442288153199129E-10</v>
      </c>
      <c r="U964" s="1">
        <f t="shared" si="229"/>
        <v>4.3084531398961024E-5</v>
      </c>
      <c r="V964" s="1">
        <f t="shared" si="230"/>
        <v>0.10005110096424674</v>
      </c>
      <c r="W964" s="1">
        <f t="shared" si="231"/>
        <v>-1.7033654748916476E-5</v>
      </c>
      <c r="X964" s="1">
        <f t="shared" si="232"/>
        <v>9.0154518173099241E-5</v>
      </c>
      <c r="Y964" s="1">
        <f t="shared" si="233"/>
        <v>-3.4061507578229798E-4</v>
      </c>
      <c r="Z964" s="1">
        <f t="shared" si="234"/>
        <v>-1.7030753789114898E-2</v>
      </c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</row>
    <row r="965" spans="1:44" ht="15" customHeight="1" x14ac:dyDescent="0.3">
      <c r="A965" s="2">
        <v>9.64</v>
      </c>
      <c r="B965" s="1">
        <f t="shared" si="222"/>
        <v>2.2908676527677644E-10</v>
      </c>
      <c r="C965" s="1">
        <f t="shared" si="223"/>
        <v>4.4088099056256926E-5</v>
      </c>
      <c r="D965" s="1">
        <f t="shared" si="224"/>
        <v>-3.698387117018398E-5</v>
      </c>
      <c r="E965" s="1">
        <f t="shared" si="225"/>
        <v>3.3394973118616974E-3</v>
      </c>
      <c r="F965" s="1">
        <f t="shared" si="226"/>
        <v>0.99957360237369264</v>
      </c>
      <c r="G965" s="1">
        <f t="shared" si="227"/>
        <v>1.0022198532578801</v>
      </c>
      <c r="H965" s="1">
        <f t="shared" si="235"/>
        <v>10.0221985325788</v>
      </c>
      <c r="S965" s="2">
        <v>9.64</v>
      </c>
      <c r="T965" s="1">
        <f t="shared" si="228"/>
        <v>2.2908676527677644E-10</v>
      </c>
      <c r="U965" s="1">
        <f t="shared" si="229"/>
        <v>4.4088099056256926E-5</v>
      </c>
      <c r="V965" s="1">
        <f t="shared" si="230"/>
        <v>0.10005291409428183</v>
      </c>
      <c r="W965" s="1">
        <f t="shared" si="231"/>
        <v>-1.7638031427273716E-5</v>
      </c>
      <c r="X965" s="1">
        <f t="shared" si="232"/>
        <v>8.8102531597230812E-5</v>
      </c>
      <c r="Y965" s="1">
        <f t="shared" si="233"/>
        <v>-3.5269841948740161E-4</v>
      </c>
      <c r="Z965" s="1">
        <f t="shared" si="234"/>
        <v>-1.763492097437008E-2</v>
      </c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</row>
    <row r="966" spans="1:44" ht="15" customHeight="1" x14ac:dyDescent="0.3">
      <c r="A966" s="2">
        <v>9.65</v>
      </c>
      <c r="B966" s="1">
        <f t="shared" si="222"/>
        <v>2.238721138568331E-10</v>
      </c>
      <c r="C966" s="1">
        <f t="shared" si="223"/>
        <v>4.5115042807247443E-5</v>
      </c>
      <c r="D966" s="1">
        <f t="shared" si="224"/>
        <v>-3.8172542060654155E-5</v>
      </c>
      <c r="E966" s="1">
        <f t="shared" si="225"/>
        <v>3.3396954236767757E-3</v>
      </c>
      <c r="F966" s="1">
        <f t="shared" si="226"/>
        <v>0.99958330432419917</v>
      </c>
      <c r="G966" s="1">
        <f t="shared" si="227"/>
        <v>1.0022912271432842</v>
      </c>
      <c r="H966" s="1">
        <f t="shared" si="235"/>
        <v>10.022912271432842</v>
      </c>
      <c r="S966" s="2">
        <v>9.65</v>
      </c>
      <c r="T966" s="1">
        <f t="shared" si="228"/>
        <v>2.238721138568331E-10</v>
      </c>
      <c r="U966" s="1">
        <f t="shared" si="229"/>
        <v>4.5115042807247443E-5</v>
      </c>
      <c r="V966" s="1">
        <f t="shared" si="230"/>
        <v>0.10005475528439285</v>
      </c>
      <c r="W966" s="1">
        <f t="shared" si="231"/>
        <v>-1.8251761464285271E-5</v>
      </c>
      <c r="X966" s="1">
        <f t="shared" si="232"/>
        <v>8.609724580169932E-5</v>
      </c>
      <c r="Y966" s="1">
        <f t="shared" si="233"/>
        <v>-3.6496861608447821E-4</v>
      </c>
      <c r="Z966" s="1">
        <f t="shared" si="234"/>
        <v>-1.8248430804223909E-2</v>
      </c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</row>
    <row r="967" spans="1:44" ht="15" customHeight="1" x14ac:dyDescent="0.3">
      <c r="A967" s="2">
        <v>9.66</v>
      </c>
      <c r="B967" s="1">
        <f t="shared" si="222"/>
        <v>2.1877616239495448E-10</v>
      </c>
      <c r="C967" s="1">
        <f t="shared" si="223"/>
        <v>4.6165907151102537E-5</v>
      </c>
      <c r="D967" s="1">
        <f t="shared" si="224"/>
        <v>-3.9381454712523143E-5</v>
      </c>
      <c r="E967" s="1">
        <f t="shared" si="225"/>
        <v>3.3398969091187536E-3</v>
      </c>
      <c r="F967" s="1">
        <f t="shared" si="226"/>
        <v>0.99959278561330578</v>
      </c>
      <c r="G967" s="1">
        <f t="shared" si="227"/>
        <v>1.0023638181887409</v>
      </c>
      <c r="H967" s="1">
        <f t="shared" si="235"/>
        <v>10.023638181887408</v>
      </c>
      <c r="S967" s="2">
        <v>9.66</v>
      </c>
      <c r="T967" s="1">
        <f t="shared" si="228"/>
        <v>2.1877616239495448E-10</v>
      </c>
      <c r="U967" s="1">
        <f t="shared" si="229"/>
        <v>4.6165907151102537E-5</v>
      </c>
      <c r="V967" s="1">
        <f t="shared" si="230"/>
        <v>0.1000566255106782</v>
      </c>
      <c r="W967" s="1">
        <f t="shared" si="231"/>
        <v>-1.88751702260704E-5</v>
      </c>
      <c r="X967" s="1">
        <f t="shared" si="232"/>
        <v>8.4137598113125445E-5</v>
      </c>
      <c r="Y967" s="1">
        <f t="shared" si="233"/>
        <v>-3.7743216355804848E-4</v>
      </c>
      <c r="Z967" s="1">
        <f t="shared" si="234"/>
        <v>-1.8871608177902423E-2</v>
      </c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</row>
    <row r="968" spans="1:44" ht="15" customHeight="1" x14ac:dyDescent="0.3">
      <c r="A968" s="2">
        <v>9.67</v>
      </c>
      <c r="B968" s="1">
        <f t="shared" si="222"/>
        <v>2.1379620895022245E-10</v>
      </c>
      <c r="C968" s="1">
        <f t="shared" si="223"/>
        <v>4.724124927000718E-5</v>
      </c>
      <c r="D968" s="1">
        <f t="shared" si="224"/>
        <v>-4.061124993470296E-5</v>
      </c>
      <c r="E968" s="1">
        <f t="shared" si="225"/>
        <v>3.340101874989117E-3</v>
      </c>
      <c r="F968" s="1">
        <f t="shared" si="226"/>
        <v>0.99960205125569512</v>
      </c>
      <c r="G968" s="1">
        <f t="shared" si="227"/>
        <v>1.0024376649622926</v>
      </c>
      <c r="H968" s="1">
        <f t="shared" si="235"/>
        <v>10.024376649622925</v>
      </c>
      <c r="S968" s="2">
        <v>9.67</v>
      </c>
      <c r="T968" s="1">
        <f t="shared" si="228"/>
        <v>2.1379620895022245E-10</v>
      </c>
      <c r="U968" s="1">
        <f t="shared" si="229"/>
        <v>4.724124927000718E-5</v>
      </c>
      <c r="V968" s="1">
        <f t="shared" si="230"/>
        <v>0.10005852576463724</v>
      </c>
      <c r="W968" s="1">
        <f t="shared" si="231"/>
        <v>-1.9508588212411345E-5</v>
      </c>
      <c r="X968" s="1">
        <f t="shared" si="232"/>
        <v>8.2222550031052144E-5</v>
      </c>
      <c r="Y968" s="1">
        <f t="shared" si="233"/>
        <v>-3.9009566209187489E-4</v>
      </c>
      <c r="Z968" s="1">
        <f t="shared" si="234"/>
        <v>-1.9504783104593745E-2</v>
      </c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</row>
    <row r="969" spans="1:44" ht="15" customHeight="1" x14ac:dyDescent="0.3">
      <c r="A969" s="2">
        <v>9.68</v>
      </c>
      <c r="B969" s="1">
        <f t="shared" si="222"/>
        <v>2.0892961308540397E-10</v>
      </c>
      <c r="C969" s="1">
        <f t="shared" si="223"/>
        <v>4.8341639324586466E-5</v>
      </c>
      <c r="D969" s="1">
        <f t="shared" si="224"/>
        <v>-4.1862579616066799E-5</v>
      </c>
      <c r="E969" s="1">
        <f t="shared" si="225"/>
        <v>3.3403104299360108E-3</v>
      </c>
      <c r="F969" s="1">
        <f t="shared" si="226"/>
        <v>0.99961110615226911</v>
      </c>
      <c r="G969" s="1">
        <f t="shared" si="227"/>
        <v>1.0025128067026705</v>
      </c>
      <c r="H969" s="1">
        <f t="shared" si="235"/>
        <v>10.025128067026705</v>
      </c>
      <c r="S969" s="2">
        <v>9.68</v>
      </c>
      <c r="T969" s="1">
        <f t="shared" si="228"/>
        <v>2.0892961308540397E-10</v>
      </c>
      <c r="U969" s="1">
        <f t="shared" si="229"/>
        <v>4.8341639324586466E-5</v>
      </c>
      <c r="V969" s="1">
        <f t="shared" si="230"/>
        <v>0.10006045705369571</v>
      </c>
      <c r="W969" s="1">
        <f t="shared" si="231"/>
        <v>-2.0152351231904207E-5</v>
      </c>
      <c r="X969" s="1">
        <f t="shared" si="232"/>
        <v>8.0351086678443547E-5</v>
      </c>
      <c r="Y969" s="1">
        <f t="shared" si="233"/>
        <v>-4.0296581755118672E-4</v>
      </c>
      <c r="Z969" s="1">
        <f t="shared" si="234"/>
        <v>-2.0148290877559337E-2</v>
      </c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</row>
    <row r="970" spans="1:44" ht="15" customHeight="1" x14ac:dyDescent="0.3">
      <c r="A970" s="2">
        <v>9.69</v>
      </c>
      <c r="B970" s="1">
        <f t="shared" si="222"/>
        <v>2.0417379446695298E-10</v>
      </c>
      <c r="C970" s="1">
        <f t="shared" si="223"/>
        <v>4.9467660756213049E-5</v>
      </c>
      <c r="D970" s="1">
        <f t="shared" si="224"/>
        <v>-4.313610707077491E-5</v>
      </c>
      <c r="E970" s="1">
        <f t="shared" si="225"/>
        <v>3.3405226845117956E-3</v>
      </c>
      <c r="F970" s="1">
        <f t="shared" si="226"/>
        <v>0.99961995509272328</v>
      </c>
      <c r="G970" s="1">
        <f t="shared" si="227"/>
        <v>1.0025892833402805</v>
      </c>
      <c r="H970" s="1">
        <f t="shared" si="235"/>
        <v>10.025892833402805</v>
      </c>
      <c r="S970" s="2">
        <v>9.69</v>
      </c>
      <c r="T970" s="1">
        <f t="shared" si="228"/>
        <v>2.0417379446695298E-10</v>
      </c>
      <c r="U970" s="1">
        <f t="shared" si="229"/>
        <v>4.9467660756213049E-5</v>
      </c>
      <c r="V970" s="1">
        <f t="shared" si="230"/>
        <v>0.10006242040173978</v>
      </c>
      <c r="W970" s="1">
        <f t="shared" si="231"/>
        <v>-2.0806800579928977E-5</v>
      </c>
      <c r="X970" s="1">
        <f t="shared" si="232"/>
        <v>7.8522216264657012E-5</v>
      </c>
      <c r="Y970" s="1">
        <f t="shared" si="233"/>
        <v>-4.1604944502024032E-4</v>
      </c>
      <c r="Z970" s="1">
        <f t="shared" si="234"/>
        <v>-2.0802472251012012E-2</v>
      </c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</row>
    <row r="971" spans="1:44" ht="15" customHeight="1" x14ac:dyDescent="0.3">
      <c r="A971" s="2">
        <v>9.6999999999999993</v>
      </c>
      <c r="B971" s="1">
        <f t="shared" si="222"/>
        <v>1.9952623149688802E-10</v>
      </c>
      <c r="C971" s="1">
        <f t="shared" si="223"/>
        <v>5.0619910596354482E-5</v>
      </c>
      <c r="D971" s="1">
        <f t="shared" si="224"/>
        <v>-4.443250738961061E-5</v>
      </c>
      <c r="E971" s="1">
        <f t="shared" si="225"/>
        <v>3.3407387512316014E-3</v>
      </c>
      <c r="F971" s="1">
        <f t="shared" si="226"/>
        <v>0.99962860275806231</v>
      </c>
      <c r="G971" s="1">
        <f t="shared" si="227"/>
        <v>1.002667135518563</v>
      </c>
      <c r="H971" s="1">
        <f t="shared" si="235"/>
        <v>10.026671355185629</v>
      </c>
      <c r="S971" s="2">
        <v>9.6999999999999993</v>
      </c>
      <c r="T971" s="1">
        <f t="shared" si="228"/>
        <v>1.9952623149688802E-10</v>
      </c>
      <c r="U971" s="1">
        <f t="shared" si="229"/>
        <v>5.0619910596354482E-5</v>
      </c>
      <c r="V971" s="1">
        <f t="shared" si="230"/>
        <v>0.1000644168496586</v>
      </c>
      <c r="W971" s="1">
        <f t="shared" si="231"/>
        <v>-2.1472283219531344E-5</v>
      </c>
      <c r="X971" s="1">
        <f t="shared" si="232"/>
        <v>7.6734969560610604E-5</v>
      </c>
      <c r="Y971" s="1">
        <f t="shared" si="233"/>
        <v>-4.2935347239702085E-4</v>
      </c>
      <c r="Z971" s="1">
        <f t="shared" si="234"/>
        <v>-2.1467673619851045E-2</v>
      </c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</row>
    <row r="972" spans="1:44" ht="15" customHeight="1" x14ac:dyDescent="0.3">
      <c r="A972" s="2">
        <v>9.7100000000000009</v>
      </c>
      <c r="B972" s="1">
        <f t="shared" si="222"/>
        <v>1.949844599758039E-10</v>
      </c>
      <c r="C972" s="1">
        <f t="shared" si="223"/>
        <v>5.1798999783128012E-5</v>
      </c>
      <c r="D972" s="1">
        <f t="shared" si="224"/>
        <v>-4.575246779761246E-5</v>
      </c>
      <c r="E972" s="1">
        <f t="shared" si="225"/>
        <v>3.3409587446329354E-3</v>
      </c>
      <c r="F972" s="1">
        <f t="shared" si="226"/>
        <v>0.99963705372305822</v>
      </c>
      <c r="G972" s="1">
        <f t="shared" si="227"/>
        <v>1.0027464046157442</v>
      </c>
      <c r="H972" s="1">
        <f t="shared" si="235"/>
        <v>10.027464046157441</v>
      </c>
      <c r="S972" s="2">
        <v>9.7100000000000009</v>
      </c>
      <c r="T972" s="1">
        <f t="shared" si="228"/>
        <v>1.949844599758039E-10</v>
      </c>
      <c r="U972" s="1">
        <f t="shared" si="229"/>
        <v>5.1798999783128012E-5</v>
      </c>
      <c r="V972" s="1">
        <f t="shared" si="230"/>
        <v>0.10006644745589595</v>
      </c>
      <c r="W972" s="1">
        <f t="shared" si="231"/>
        <v>-2.2149151965314021E-5</v>
      </c>
      <c r="X972" s="1">
        <f t="shared" si="232"/>
        <v>7.4988399385863541E-5</v>
      </c>
      <c r="Y972" s="1">
        <f t="shared" si="233"/>
        <v>-4.4288494404699194E-4</v>
      </c>
      <c r="Z972" s="1">
        <f t="shared" si="234"/>
        <v>-2.2144247202349598E-2</v>
      </c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</row>
    <row r="973" spans="1:44" ht="15" customHeight="1" x14ac:dyDescent="0.3">
      <c r="A973" s="2">
        <v>9.7200000000000006</v>
      </c>
      <c r="B973" s="1">
        <f t="shared" si="222"/>
        <v>1.9054607179632416E-10</v>
      </c>
      <c r="C973" s="1">
        <f t="shared" si="223"/>
        <v>5.3005553485227185E-5</v>
      </c>
      <c r="D973" s="1">
        <f t="shared" si="224"/>
        <v>-4.7096688018151292E-5</v>
      </c>
      <c r="E973" s="1">
        <f t="shared" si="225"/>
        <v>3.3411827813363583E-3</v>
      </c>
      <c r="F973" s="1">
        <f t="shared" si="226"/>
        <v>0.99964531245865507</v>
      </c>
      <c r="G973" s="1">
        <f t="shared" si="227"/>
        <v>1.0028271327669882</v>
      </c>
      <c r="H973" s="1">
        <f t="shared" si="235"/>
        <v>10.028271327669881</v>
      </c>
      <c r="S973" s="2">
        <v>9.7200000000000006</v>
      </c>
      <c r="T973" s="1">
        <f t="shared" si="228"/>
        <v>1.9054607179632416E-10</v>
      </c>
      <c r="U973" s="1">
        <f t="shared" si="229"/>
        <v>5.3005553485227185E-5</v>
      </c>
      <c r="V973" s="1">
        <f t="shared" si="230"/>
        <v>0.1000685132970113</v>
      </c>
      <c r="W973" s="1">
        <f t="shared" si="231"/>
        <v>-2.2837765670433172E-5</v>
      </c>
      <c r="X973" s="1">
        <f t="shared" si="232"/>
        <v>7.3281580107346022E-5</v>
      </c>
      <c r="Y973" s="1">
        <f t="shared" si="233"/>
        <v>-4.5665102451775239E-4</v>
      </c>
      <c r="Z973" s="1">
        <f t="shared" si="234"/>
        <v>-2.2832551225887621E-2</v>
      </c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</row>
    <row r="974" spans="1:44" ht="15" customHeight="1" x14ac:dyDescent="0.3">
      <c r="A974" s="2">
        <v>9.73</v>
      </c>
      <c r="B974" s="1">
        <f t="shared" si="222"/>
        <v>1.862087136662862E-10</v>
      </c>
      <c r="C974" s="1">
        <f t="shared" si="223"/>
        <v>5.4240211433395683E-5</v>
      </c>
      <c r="D974" s="1">
        <f t="shared" si="224"/>
        <v>-4.8465880643644797E-5</v>
      </c>
      <c r="E974" s="1">
        <f t="shared" si="225"/>
        <v>3.3414109801072739E-3</v>
      </c>
      <c r="F974" s="1">
        <f t="shared" si="226"/>
        <v>0.99965338333431841</v>
      </c>
      <c r="G974" s="1">
        <f t="shared" si="227"/>
        <v>1.002909362886963</v>
      </c>
      <c r="H974" s="1">
        <f t="shared" si="235"/>
        <v>10.02909362886963</v>
      </c>
      <c r="S974" s="2">
        <v>9.73</v>
      </c>
      <c r="T974" s="1">
        <f t="shared" si="228"/>
        <v>1.862087136662862E-10</v>
      </c>
      <c r="U974" s="1">
        <f t="shared" si="229"/>
        <v>5.4240211433395683E-5</v>
      </c>
      <c r="V974" s="1">
        <f t="shared" si="230"/>
        <v>0.10007061546825038</v>
      </c>
      <c r="W974" s="1">
        <f t="shared" si="231"/>
        <v>-2.3538489416800598E-5</v>
      </c>
      <c r="X974" s="1">
        <f t="shared" si="232"/>
        <v>7.1613607149468417E-5</v>
      </c>
      <c r="Y974" s="1">
        <f t="shared" si="233"/>
        <v>-4.7065900231656242E-4</v>
      </c>
      <c r="Z974" s="1">
        <f t="shared" si="234"/>
        <v>-2.3532950115828122E-2</v>
      </c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</row>
    <row r="975" spans="1:44" ht="15" customHeight="1" x14ac:dyDescent="0.3">
      <c r="A975" s="2">
        <v>9.74</v>
      </c>
      <c r="B975" s="1">
        <f t="shared" si="222"/>
        <v>1.8197008586099781E-10</v>
      </c>
      <c r="C975" s="1">
        <f t="shared" si="223"/>
        <v>5.5503628259620238E-5</v>
      </c>
      <c r="D975" s="1">
        <f t="shared" si="224"/>
        <v>-4.9860771513094215E-5</v>
      </c>
      <c r="E975" s="1">
        <f t="shared" si="225"/>
        <v>3.3416434619188487E-3</v>
      </c>
      <c r="F975" s="1">
        <f t="shared" si="226"/>
        <v>0.99966127062033161</v>
      </c>
      <c r="G975" s="1">
        <f t="shared" si="227"/>
        <v>1.0029931386928304</v>
      </c>
      <c r="H975" s="1">
        <f t="shared" si="235"/>
        <v>10.029931386928302</v>
      </c>
      <c r="S975" s="2">
        <v>9.74</v>
      </c>
      <c r="T975" s="1">
        <f t="shared" si="228"/>
        <v>1.8197008586099781E-10</v>
      </c>
      <c r="U975" s="1">
        <f t="shared" si="229"/>
        <v>5.5503628259620238E-5</v>
      </c>
      <c r="V975" s="1">
        <f t="shared" si="230"/>
        <v>0.10007275508412578</v>
      </c>
      <c r="W975" s="1">
        <f t="shared" si="231"/>
        <v>-2.425169470859063E-5</v>
      </c>
      <c r="X975" s="1">
        <f t="shared" si="232"/>
        <v>6.9983596515358102E-5</v>
      </c>
      <c r="Y975" s="1">
        <f t="shared" si="233"/>
        <v>-4.8491629375265952E-4</v>
      </c>
      <c r="Z975" s="1">
        <f t="shared" si="234"/>
        <v>-2.4245814687632976E-2</v>
      </c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</row>
    <row r="976" spans="1:44" ht="15" customHeight="1" x14ac:dyDescent="0.3">
      <c r="A976" s="2">
        <v>9.75</v>
      </c>
      <c r="B976" s="1">
        <f t="shared" si="222"/>
        <v>1.778279410038918E-10</v>
      </c>
      <c r="C976" s="1">
        <f t="shared" si="223"/>
        <v>5.6796473844225409E-5</v>
      </c>
      <c r="D976" s="1">
        <f t="shared" si="224"/>
        <v>-5.1282100096671777E-5</v>
      </c>
      <c r="E976" s="1">
        <f t="shared" si="225"/>
        <v>3.3418803500161118E-3</v>
      </c>
      <c r="F976" s="1">
        <f t="shared" si="226"/>
        <v>0.99966897849004122</v>
      </c>
      <c r="G976" s="1">
        <f t="shared" si="227"/>
        <v>1.0030785047276762</v>
      </c>
      <c r="H976" s="1">
        <f t="shared" si="235"/>
        <v>10.030785047276762</v>
      </c>
      <c r="S976" s="2">
        <v>9.75</v>
      </c>
      <c r="T976" s="1">
        <f t="shared" si="228"/>
        <v>1.778279410038918E-10</v>
      </c>
      <c r="U976" s="1">
        <f t="shared" si="229"/>
        <v>5.6796473844225409E-5</v>
      </c>
      <c r="V976" s="1">
        <f t="shared" si="230"/>
        <v>0.10007493327900746</v>
      </c>
      <c r="W976" s="1">
        <f t="shared" si="231"/>
        <v>-2.4977759669155559E-5</v>
      </c>
      <c r="X976" s="1">
        <f t="shared" si="232"/>
        <v>6.83906843189675E-5</v>
      </c>
      <c r="Y976" s="1">
        <f t="shared" si="233"/>
        <v>-4.9943044684638328E-4</v>
      </c>
      <c r="Z976" s="1">
        <f t="shared" si="234"/>
        <v>-2.4971522342319166E-2</v>
      </c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</row>
    <row r="977" spans="1:44" ht="15" customHeight="1" x14ac:dyDescent="0.3">
      <c r="A977" s="2">
        <v>9.76</v>
      </c>
      <c r="B977" s="1">
        <f t="shared" si="222"/>
        <v>1.7378008287493709E-10</v>
      </c>
      <c r="C977" s="1">
        <f t="shared" si="223"/>
        <v>5.8119433671052997E-5</v>
      </c>
      <c r="D977" s="1">
        <f t="shared" si="224"/>
        <v>-5.2730619887553504E-5</v>
      </c>
      <c r="E977" s="1">
        <f t="shared" si="225"/>
        <v>3.3421217699812593E-3</v>
      </c>
      <c r="F977" s="1">
        <f t="shared" si="226"/>
        <v>0.99967651102205168</v>
      </c>
      <c r="G977" s="1">
        <f t="shared" si="227"/>
        <v>1.0031655063843923</v>
      </c>
      <c r="H977" s="1">
        <f t="shared" si="235"/>
        <v>10.031655063843923</v>
      </c>
      <c r="S977" s="2">
        <v>9.76</v>
      </c>
      <c r="T977" s="1">
        <f t="shared" si="228"/>
        <v>1.7378008287493709E-10</v>
      </c>
      <c r="U977" s="1">
        <f t="shared" si="229"/>
        <v>5.8119433671052997E-5</v>
      </c>
      <c r="V977" s="1">
        <f t="shared" si="230"/>
        <v>0.10007715120772437</v>
      </c>
      <c r="W977" s="1">
        <f t="shared" si="231"/>
        <v>-2.5717069241453243E-5</v>
      </c>
      <c r="X977" s="1">
        <f t="shared" si="232"/>
        <v>6.6834026327808834E-5</v>
      </c>
      <c r="Y977" s="1">
        <f t="shared" si="233"/>
        <v>-5.1420914530712035E-4</v>
      </c>
      <c r="Z977" s="1">
        <f t="shared" si="234"/>
        <v>-2.5710457265356017E-2</v>
      </c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</row>
    <row r="978" spans="1:44" ht="15" customHeight="1" x14ac:dyDescent="0.3">
      <c r="A978" s="2">
        <v>9.77</v>
      </c>
      <c r="B978" s="1">
        <f t="shared" si="222"/>
        <v>1.6982436524617399E-10</v>
      </c>
      <c r="C978" s="1">
        <f t="shared" si="223"/>
        <v>5.9473209190914636E-5</v>
      </c>
      <c r="D978" s="1">
        <f t="shared" si="224"/>
        <v>-5.4207098801183887E-5</v>
      </c>
      <c r="E978" s="1">
        <f t="shared" si="225"/>
        <v>3.3423678498001974E-3</v>
      </c>
      <c r="F978" s="1">
        <f t="shared" si="226"/>
        <v>0.99968387220237043</v>
      </c>
      <c r="G978" s="1">
        <f t="shared" si="227"/>
        <v>1.0032541899300216</v>
      </c>
      <c r="H978" s="1">
        <f t="shared" si="235"/>
        <v>10.032541899300215</v>
      </c>
      <c r="S978" s="2">
        <v>9.77</v>
      </c>
      <c r="T978" s="1">
        <f t="shared" si="228"/>
        <v>1.6982436524617399E-10</v>
      </c>
      <c r="U978" s="1">
        <f t="shared" si="229"/>
        <v>5.9473209190914636E-5</v>
      </c>
      <c r="V978" s="1">
        <f t="shared" si="230"/>
        <v>0.10007941004617628</v>
      </c>
      <c r="W978" s="1">
        <f t="shared" si="231"/>
        <v>-2.6470015392093205E-5</v>
      </c>
      <c r="X978" s="1">
        <f t="shared" si="232"/>
        <v>6.5312797516074367E-5</v>
      </c>
      <c r="Y978" s="1">
        <f t="shared" si="233"/>
        <v>-5.2926021258212935E-4</v>
      </c>
      <c r="Z978" s="1">
        <f t="shared" si="234"/>
        <v>-2.6463010629106467E-2</v>
      </c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</row>
    <row r="979" spans="1:44" ht="15" customHeight="1" x14ac:dyDescent="0.3">
      <c r="A979" s="2">
        <v>9.7799999999999994</v>
      </c>
      <c r="B979" s="1">
        <f t="shared" si="222"/>
        <v>1.6595869074375624E-10</v>
      </c>
      <c r="C979" s="1">
        <f t="shared" si="223"/>
        <v>6.0858518193510067E-5</v>
      </c>
      <c r="D979" s="1">
        <f t="shared" si="224"/>
        <v>-5.5712319582199332E-5</v>
      </c>
      <c r="E979" s="1">
        <f t="shared" si="225"/>
        <v>3.3426187199303669E-3</v>
      </c>
      <c r="F979" s="1">
        <f t="shared" si="226"/>
        <v>0.99969106592650436</v>
      </c>
      <c r="G979" s="1">
        <f t="shared" si="227"/>
        <v>1.0033446025305826</v>
      </c>
      <c r="H979" s="1">
        <f t="shared" si="235"/>
        <v>10.033446025305825</v>
      </c>
      <c r="S979" s="2">
        <v>9.7799999999999994</v>
      </c>
      <c r="T979" s="1">
        <f t="shared" si="228"/>
        <v>1.6595869074375624E-10</v>
      </c>
      <c r="U979" s="1">
        <f t="shared" si="229"/>
        <v>6.0858518193510067E-5</v>
      </c>
      <c r="V979" s="1">
        <f t="shared" si="230"/>
        <v>0.10008171099195733</v>
      </c>
      <c r="W979" s="1">
        <f t="shared" si="231"/>
        <v>-2.7236997319109172E-5</v>
      </c>
      <c r="X979" s="1">
        <f t="shared" si="232"/>
        <v>6.3826191627907114E-5</v>
      </c>
      <c r="Y979" s="1">
        <f t="shared" si="233"/>
        <v>-5.4459161597833928E-4</v>
      </c>
      <c r="Z979" s="1">
        <f t="shared" si="234"/>
        <v>-2.7229580798916967E-2</v>
      </c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</row>
    <row r="980" spans="1:44" ht="15" customHeight="1" x14ac:dyDescent="0.3">
      <c r="A980" s="2">
        <v>9.7899999999999991</v>
      </c>
      <c r="B980" s="1">
        <f t="shared" si="222"/>
        <v>1.6218100973589318E-10</v>
      </c>
      <c r="C980" s="1">
        <f t="shared" si="223"/>
        <v>6.2276095188009626E-5</v>
      </c>
      <c r="D980" s="1">
        <f t="shared" si="224"/>
        <v>-5.7247080219232504E-5</v>
      </c>
      <c r="E980" s="1">
        <f t="shared" si="225"/>
        <v>3.3428745133698718E-3</v>
      </c>
      <c r="F980" s="1">
        <f t="shared" si="226"/>
        <v>0.99969809600150983</v>
      </c>
      <c r="G980" s="1">
        <f t="shared" si="227"/>
        <v>1.0034367922763854</v>
      </c>
      <c r="H980" s="1">
        <f t="shared" si="235"/>
        <v>10.034367922763852</v>
      </c>
      <c r="S980" s="2">
        <v>9.7899999999999991</v>
      </c>
      <c r="T980" s="1">
        <f t="shared" si="228"/>
        <v>1.6218100973589318E-10</v>
      </c>
      <c r="U980" s="1">
        <f t="shared" si="229"/>
        <v>6.2276095188009626E-5</v>
      </c>
      <c r="V980" s="1">
        <f t="shared" si="230"/>
        <v>0.1000840552649907</v>
      </c>
      <c r="W980" s="1">
        <f t="shared" si="231"/>
        <v>-2.801842166356883E-5</v>
      </c>
      <c r="X980" s="1">
        <f t="shared" si="232"/>
        <v>6.237342075059045E-5</v>
      </c>
      <c r="Y980" s="1">
        <f t="shared" si="233"/>
        <v>-5.602114708592636E-4</v>
      </c>
      <c r="Z980" s="1">
        <f t="shared" si="234"/>
        <v>-2.8010573542963178E-2</v>
      </c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</row>
    <row r="981" spans="1:44" ht="15" customHeight="1" x14ac:dyDescent="0.3">
      <c r="A981" s="2">
        <v>9.8000000000000007</v>
      </c>
      <c r="B981" s="1">
        <f t="shared" si="222"/>
        <v>1.5848931924611098E-10</v>
      </c>
      <c r="C981" s="1">
        <f t="shared" si="223"/>
        <v>6.3726691792499661E-5</v>
      </c>
      <c r="D981" s="1">
        <f t="shared" si="224"/>
        <v>-5.881219436782303E-5</v>
      </c>
      <c r="E981" s="1">
        <f t="shared" si="225"/>
        <v>3.3431353657279706E-3</v>
      </c>
      <c r="F981" s="1">
        <f t="shared" si="226"/>
        <v>0.99970496614799609</v>
      </c>
      <c r="G981" s="1">
        <f t="shared" si="227"/>
        <v>1.0035308082078553</v>
      </c>
      <c r="H981" s="1">
        <f t="shared" si="235"/>
        <v>10.035308082078553</v>
      </c>
      <c r="S981" s="2">
        <v>9.8000000000000007</v>
      </c>
      <c r="T981" s="1">
        <f t="shared" si="228"/>
        <v>1.5848931924611098E-10</v>
      </c>
      <c r="U981" s="1">
        <f t="shared" si="229"/>
        <v>6.3726691792499661E-5</v>
      </c>
      <c r="V981" s="1">
        <f t="shared" si="230"/>
        <v>0.10008644410817541</v>
      </c>
      <c r="W981" s="1">
        <f t="shared" si="231"/>
        <v>-2.8814702725131072E-5</v>
      </c>
      <c r="X981" s="1">
        <f t="shared" si="232"/>
        <v>6.0953714897435145E-5</v>
      </c>
      <c r="Y981" s="1">
        <f t="shared" si="233"/>
        <v>-5.7612804491916178E-4</v>
      </c>
      <c r="Z981" s="1">
        <f t="shared" si="234"/>
        <v>-2.8806402245958092E-2</v>
      </c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</row>
    <row r="982" spans="1:44" ht="15" customHeight="1" x14ac:dyDescent="0.3">
      <c r="A982" s="2">
        <v>9.81</v>
      </c>
      <c r="B982" s="1">
        <f t="shared" si="222"/>
        <v>1.548816618912478E-10</v>
      </c>
      <c r="C982" s="1">
        <f t="shared" si="223"/>
        <v>6.5211077132500348E-5</v>
      </c>
      <c r="D982" s="1">
        <f t="shared" si="224"/>
        <v>-6.0408491781592474E-5</v>
      </c>
      <c r="E982" s="1">
        <f t="shared" si="225"/>
        <v>3.343401415296932E-3</v>
      </c>
      <c r="F982" s="1">
        <f t="shared" si="226"/>
        <v>0.99971168000208299</v>
      </c>
      <c r="G982" s="1">
        <f t="shared" si="227"/>
        <v>1.0036267003418735</v>
      </c>
      <c r="H982" s="1">
        <f t="shared" si="235"/>
        <v>10.036267003418734</v>
      </c>
      <c r="S982" s="2">
        <v>9.81</v>
      </c>
      <c r="T982" s="1">
        <f t="shared" si="228"/>
        <v>1.548816618912478E-10</v>
      </c>
      <c r="U982" s="1">
        <f t="shared" si="229"/>
        <v>6.5211077132500348E-5</v>
      </c>
      <c r="V982" s="1">
        <f t="shared" si="230"/>
        <v>0.10008887878804501</v>
      </c>
      <c r="W982" s="1">
        <f t="shared" si="231"/>
        <v>-2.9626262681666838E-5</v>
      </c>
      <c r="X982" s="1">
        <f t="shared" si="232"/>
        <v>5.9566321600140621E-5</v>
      </c>
      <c r="Y982" s="1">
        <f t="shared" si="233"/>
        <v>-5.9234976253669345E-4</v>
      </c>
      <c r="Z982" s="1">
        <f t="shared" si="234"/>
        <v>-2.9617488126834669E-2</v>
      </c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</row>
    <row r="983" spans="1:44" ht="15" customHeight="1" x14ac:dyDescent="0.3">
      <c r="A983" s="2">
        <v>9.82</v>
      </c>
      <c r="B983" s="1">
        <f t="shared" si="222"/>
        <v>1.5135612484362048E-10</v>
      </c>
      <c r="C983" s="1">
        <f t="shared" si="223"/>
        <v>6.6730038248767333E-5</v>
      </c>
      <c r="D983" s="1">
        <f t="shared" si="224"/>
        <v>-6.203681875203698E-5</v>
      </c>
      <c r="E983" s="1">
        <f t="shared" si="225"/>
        <v>3.3436728031253395E-3</v>
      </c>
      <c r="F983" s="1">
        <f t="shared" si="226"/>
        <v>0.99971824111731611</v>
      </c>
      <c r="G983" s="1">
        <f t="shared" si="227"/>
        <v>1.0037245196986571</v>
      </c>
      <c r="H983" s="1">
        <f t="shared" si="235"/>
        <v>10.03724519698657</v>
      </c>
      <c r="S983" s="2">
        <v>9.82</v>
      </c>
      <c r="T983" s="1">
        <f t="shared" si="228"/>
        <v>1.5135612484362048E-10</v>
      </c>
      <c r="U983" s="1">
        <f t="shared" si="229"/>
        <v>6.6730038248767333E-5</v>
      </c>
      <c r="V983" s="1">
        <f t="shared" si="230"/>
        <v>0.10009136059543919</v>
      </c>
      <c r="W983" s="1">
        <f t="shared" si="231"/>
        <v>-3.0453531813059737E-5</v>
      </c>
      <c r="X983" s="1">
        <f t="shared" si="232"/>
        <v>5.8210505510415862E-5</v>
      </c>
      <c r="Y983" s="1">
        <f t="shared" si="233"/>
        <v>-6.0888520921030282E-4</v>
      </c>
      <c r="Z983" s="1">
        <f t="shared" si="234"/>
        <v>-3.0444260460515144E-2</v>
      </c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</row>
    <row r="984" spans="1:44" ht="15" customHeight="1" x14ac:dyDescent="0.3">
      <c r="A984" s="2">
        <v>9.83</v>
      </c>
      <c r="B984" s="1">
        <f t="shared" si="222"/>
        <v>1.4791083881682045E-10</v>
      </c>
      <c r="C984" s="1">
        <f t="shared" si="223"/>
        <v>6.8284380514590295E-5</v>
      </c>
      <c r="D984" s="1">
        <f t="shared" si="224"/>
        <v>-6.3698038557019894E-5</v>
      </c>
      <c r="E984" s="1">
        <f t="shared" si="225"/>
        <v>3.3439496730928364E-3</v>
      </c>
      <c r="F984" s="1">
        <f t="shared" si="226"/>
        <v>0.99972465296653656</v>
      </c>
      <c r="G984" s="1">
        <f t="shared" si="227"/>
        <v>1.0038243183291851</v>
      </c>
      <c r="H984" s="1">
        <f t="shared" si="235"/>
        <v>10.038243183291851</v>
      </c>
      <c r="S984" s="2">
        <v>9.83</v>
      </c>
      <c r="T984" s="1">
        <f t="shared" si="228"/>
        <v>1.4791083881682045E-10</v>
      </c>
      <c r="U984" s="1">
        <f t="shared" si="229"/>
        <v>6.8284380514590295E-5</v>
      </c>
      <c r="V984" s="1">
        <f t="shared" si="230"/>
        <v>0.10009389084618792</v>
      </c>
      <c r="W984" s="1">
        <f t="shared" si="231"/>
        <v>-3.1296948729303329E-5</v>
      </c>
      <c r="X984" s="1">
        <f t="shared" si="232"/>
        <v>5.6885548010652938E-5</v>
      </c>
      <c r="Y984" s="1">
        <f t="shared" si="233"/>
        <v>-6.2574313607759115E-4</v>
      </c>
      <c r="Z984" s="1">
        <f t="shared" si="234"/>
        <v>-3.1287156803879557E-2</v>
      </c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</row>
    <row r="985" spans="1:44" ht="15" customHeight="1" x14ac:dyDescent="0.3">
      <c r="A985" s="2">
        <v>9.84</v>
      </c>
      <c r="B985" s="1">
        <f t="shared" si="222"/>
        <v>1.4454397707459247E-10</v>
      </c>
      <c r="C985" s="1">
        <f t="shared" si="223"/>
        <v>6.9874928062812718E-5</v>
      </c>
      <c r="D985" s="1">
        <f t="shared" si="224"/>
        <v>-6.5393031918356944E-5</v>
      </c>
      <c r="E985" s="1">
        <f t="shared" si="225"/>
        <v>3.3442321719863929E-3</v>
      </c>
      <c r="F985" s="1">
        <f t="shared" si="226"/>
        <v>0.99973091894371025</v>
      </c>
      <c r="G985" s="1">
        <f t="shared" si="227"/>
        <v>1.0039261493431946</v>
      </c>
      <c r="H985" s="1">
        <f t="shared" si="235"/>
        <v>10.039261493431946</v>
      </c>
      <c r="S985" s="2">
        <v>9.84</v>
      </c>
      <c r="T985" s="1">
        <f t="shared" si="228"/>
        <v>1.4454397707459247E-10</v>
      </c>
      <c r="U985" s="1">
        <f t="shared" si="229"/>
        <v>6.9874928062812718E-5</v>
      </c>
      <c r="V985" s="1">
        <f t="shared" si="230"/>
        <v>0.10009647088180906</v>
      </c>
      <c r="W985" s="1">
        <f t="shared" si="231"/>
        <v>-3.2156960603017671E-5</v>
      </c>
      <c r="X985" s="1">
        <f t="shared" si="232"/>
        <v>5.5590746833444854E-5</v>
      </c>
      <c r="Y985" s="1">
        <f t="shared" si="233"/>
        <v>-6.4293246452103343E-4</v>
      </c>
      <c r="Z985" s="1">
        <f t="shared" si="234"/>
        <v>-3.214662322605167E-2</v>
      </c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</row>
    <row r="986" spans="1:44" ht="15" customHeight="1" x14ac:dyDescent="0.3">
      <c r="A986" s="2">
        <v>9.85</v>
      </c>
      <c r="B986" s="1">
        <f t="shared" si="222"/>
        <v>1.4125375446227517E-10</v>
      </c>
      <c r="C986" s="1">
        <f t="shared" si="223"/>
        <v>7.1502524222798059E-5</v>
      </c>
      <c r="D986" s="1">
        <f t="shared" si="224"/>
        <v>-6.7122697468589203E-5</v>
      </c>
      <c r="E986" s="1">
        <f t="shared" si="225"/>
        <v>3.344520449578098E-3</v>
      </c>
      <c r="F986" s="1">
        <f t="shared" si="226"/>
        <v>0.99973704236571537</v>
      </c>
      <c r="G986" s="1">
        <f t="shared" si="227"/>
        <v>1.0040300669377538</v>
      </c>
      <c r="H986" s="1">
        <f t="shared" si="235"/>
        <v>10.040300669377537</v>
      </c>
      <c r="S986" s="2">
        <v>9.85</v>
      </c>
      <c r="T986" s="1">
        <f t="shared" si="228"/>
        <v>1.4125375446227517E-10</v>
      </c>
      <c r="U986" s="1">
        <f t="shared" si="229"/>
        <v>7.1502524222798059E-5</v>
      </c>
      <c r="V986" s="1">
        <f t="shared" si="230"/>
        <v>0.10009910207021952</v>
      </c>
      <c r="W986" s="1">
        <f t="shared" si="231"/>
        <v>-3.3034023406507644E-5</v>
      </c>
      <c r="X986" s="1">
        <f t="shared" si="232"/>
        <v>5.4325415689748566E-5</v>
      </c>
      <c r="Y986" s="1">
        <f t="shared" si="233"/>
        <v>-6.6046229086239808E-4</v>
      </c>
      <c r="Z986" s="1">
        <f t="shared" si="234"/>
        <v>-3.3023114543119909E-2</v>
      </c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</row>
    <row r="987" spans="1:44" ht="15" customHeight="1" x14ac:dyDescent="0.3">
      <c r="A987" s="2">
        <v>9.86</v>
      </c>
      <c r="B987" s="1">
        <f t="shared" si="222"/>
        <v>1.3803842646028825E-10</v>
      </c>
      <c r="C987" s="1">
        <f t="shared" si="223"/>
        <v>7.3168031967574111E-5</v>
      </c>
      <c r="D987" s="1">
        <f t="shared" si="224"/>
        <v>-6.8887952227308905E-5</v>
      </c>
      <c r="E987" s="1">
        <f t="shared" si="225"/>
        <v>3.3448146587045507E-3</v>
      </c>
      <c r="F987" s="1">
        <f t="shared" si="226"/>
        <v>0.99974302647408986</v>
      </c>
      <c r="G987" s="1">
        <f t="shared" si="227"/>
        <v>1.0041361264264352</v>
      </c>
      <c r="H987" s="1">
        <f t="shared" si="235"/>
        <v>10.041361264264351</v>
      </c>
      <c r="S987" s="2">
        <v>9.86</v>
      </c>
      <c r="T987" s="1">
        <f t="shared" si="228"/>
        <v>1.3803842646028825E-10</v>
      </c>
      <c r="U987" s="1">
        <f t="shared" si="229"/>
        <v>7.3168031967574111E-5</v>
      </c>
      <c r="V987" s="1">
        <f t="shared" si="230"/>
        <v>0.10010178580646047</v>
      </c>
      <c r="W987" s="1">
        <f t="shared" si="231"/>
        <v>-3.3928602153488588E-5</v>
      </c>
      <c r="X987" s="1">
        <f t="shared" si="232"/>
        <v>5.3088883905496692E-5</v>
      </c>
      <c r="Y987" s="1">
        <f t="shared" si="233"/>
        <v>-6.7834189114828359E-4</v>
      </c>
      <c r="Z987" s="1">
        <f t="shared" si="234"/>
        <v>-3.3917094557414179E-2</v>
      </c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</row>
    <row r="988" spans="1:44" ht="15" customHeight="1" x14ac:dyDescent="0.3">
      <c r="A988" s="2">
        <v>9.8699999999999992</v>
      </c>
      <c r="B988" s="1">
        <f t="shared" si="222"/>
        <v>1.3489628825916514E-10</v>
      </c>
      <c r="C988" s="1">
        <f t="shared" si="223"/>
        <v>7.4872334371392781E-5</v>
      </c>
      <c r="D988" s="1">
        <f t="shared" si="224"/>
        <v>-7.068973208721271E-5</v>
      </c>
      <c r="E988" s="1">
        <f t="shared" si="225"/>
        <v>3.3451149553478682E-3</v>
      </c>
      <c r="F988" s="1">
        <f t="shared" si="226"/>
        <v>0.99974887443673854</v>
      </c>
      <c r="G988" s="1">
        <f t="shared" si="227"/>
        <v>1.0042443842691013</v>
      </c>
      <c r="H988" s="1">
        <f t="shared" si="235"/>
        <v>10.042443842691013</v>
      </c>
      <c r="S988" s="2">
        <v>9.8699999999999992</v>
      </c>
      <c r="T988" s="1">
        <f t="shared" si="228"/>
        <v>1.3489628825916514E-10</v>
      </c>
      <c r="U988" s="1">
        <f t="shared" si="229"/>
        <v>7.4872334371392781E-5</v>
      </c>
      <c r="V988" s="1">
        <f t="shared" si="230"/>
        <v>0.10010452351343681</v>
      </c>
      <c r="W988" s="1">
        <f t="shared" si="231"/>
        <v>-3.4841171145607656E-5</v>
      </c>
      <c r="X988" s="1">
        <f t="shared" si="232"/>
        <v>5.188049606646644E-5</v>
      </c>
      <c r="Y988" s="1">
        <f t="shared" si="233"/>
        <v>-6.9658072602922993E-4</v>
      </c>
      <c r="Z988" s="1">
        <f t="shared" si="234"/>
        <v>-3.4829036301461495E-2</v>
      </c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</row>
    <row r="989" spans="1:44" ht="15" customHeight="1" x14ac:dyDescent="0.3">
      <c r="A989" s="2">
        <v>9.8800000000000008</v>
      </c>
      <c r="B989" s="1">
        <f t="shared" si="222"/>
        <v>1.3182567385564002E-10</v>
      </c>
      <c r="C989" s="1">
        <f t="shared" si="223"/>
        <v>7.6616335077947959E-5</v>
      </c>
      <c r="D989" s="1">
        <f t="shared" si="224"/>
        <v>-7.2528992310182585E-5</v>
      </c>
      <c r="E989" s="1">
        <f t="shared" si="225"/>
        <v>3.3454214987183642E-3</v>
      </c>
      <c r="F989" s="1">
        <f t="shared" si="226"/>
        <v>0.99975458934960271</v>
      </c>
      <c r="G989" s="1">
        <f t="shared" si="227"/>
        <v>1.0043548981023207</v>
      </c>
      <c r="H989" s="1">
        <f t="shared" si="235"/>
        <v>10.043548981023207</v>
      </c>
      <c r="S989" s="2">
        <v>9.8800000000000008</v>
      </c>
      <c r="T989" s="1">
        <f t="shared" si="228"/>
        <v>1.3182567385564002E-10</v>
      </c>
      <c r="U989" s="1">
        <f t="shared" si="229"/>
        <v>7.6616335077947959E-5</v>
      </c>
      <c r="V989" s="1">
        <f t="shared" si="230"/>
        <v>0.10010731664267167</v>
      </c>
      <c r="W989" s="1">
        <f t="shared" si="231"/>
        <v>-3.5772214223891246E-5</v>
      </c>
      <c r="X989" s="1">
        <f t="shared" si="232"/>
        <v>5.0699611671218169E-5</v>
      </c>
      <c r="Y989" s="1">
        <f t="shared" si="233"/>
        <v>-7.1518844573491226E-4</v>
      </c>
      <c r="Z989" s="1">
        <f t="shared" si="234"/>
        <v>-3.5759422286745605E-2</v>
      </c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</row>
    <row r="990" spans="1:44" ht="15" customHeight="1" x14ac:dyDescent="0.3">
      <c r="A990" s="2">
        <v>9.89</v>
      </c>
      <c r="B990" s="1">
        <f t="shared" si="222"/>
        <v>1.2882495516931275E-10</v>
      </c>
      <c r="C990" s="1">
        <f t="shared" si="223"/>
        <v>7.8400958779498254E-5</v>
      </c>
      <c r="D990" s="1">
        <f t="shared" si="224"/>
        <v>-7.4406708033637354E-5</v>
      </c>
      <c r="E990" s="1">
        <f t="shared" si="225"/>
        <v>3.3457344513389393E-3</v>
      </c>
      <c r="F990" s="1">
        <f t="shared" si="226"/>
        <v>0.99976017423829133</v>
      </c>
      <c r="G990" s="1">
        <f t="shared" si="227"/>
        <v>1.0044677267704321</v>
      </c>
      <c r="H990" s="1">
        <f t="shared" si="235"/>
        <v>10.044677267704319</v>
      </c>
      <c r="S990" s="2">
        <v>9.89</v>
      </c>
      <c r="T990" s="1">
        <f t="shared" si="228"/>
        <v>1.2882495516931275E-10</v>
      </c>
      <c r="U990" s="1">
        <f t="shared" si="229"/>
        <v>7.8400958779498254E-5</v>
      </c>
      <c r="V990" s="1">
        <f t="shared" si="230"/>
        <v>0.10011016667507575</v>
      </c>
      <c r="W990" s="1">
        <f t="shared" si="231"/>
        <v>-3.6722225025251367E-5</v>
      </c>
      <c r="X990" s="1">
        <f t="shared" si="232"/>
        <v>4.9545604791921771E-5</v>
      </c>
      <c r="Y990" s="1">
        <f t="shared" si="233"/>
        <v>-7.3417489514795216E-4</v>
      </c>
      <c r="Z990" s="1">
        <f t="shared" si="234"/>
        <v>-3.6708744757397611E-2</v>
      </c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</row>
    <row r="991" spans="1:44" ht="15" customHeight="1" x14ac:dyDescent="0.3">
      <c r="A991" s="2">
        <v>9.9</v>
      </c>
      <c r="B991" s="1">
        <f t="shared" si="222"/>
        <v>1.2589254117941656E-10</v>
      </c>
      <c r="C991" s="1">
        <f t="shared" si="223"/>
        <v>8.0227151707152526E-5</v>
      </c>
      <c r="D991" s="1">
        <f t="shared" si="224"/>
        <v>-7.6323874787430449E-5</v>
      </c>
      <c r="E991" s="1">
        <f t="shared" si="225"/>
        <v>3.3460539791312386E-3</v>
      </c>
      <c r="F991" s="1">
        <f t="shared" si="226"/>
        <v>0.99976563205967595</v>
      </c>
      <c r="G991" s="1">
        <f t="shared" si="227"/>
        <v>1.0045829303572733</v>
      </c>
      <c r="H991" s="1">
        <f t="shared" si="235"/>
        <v>10.045829303572733</v>
      </c>
      <c r="S991" s="2">
        <v>9.9</v>
      </c>
      <c r="T991" s="1">
        <f t="shared" si="228"/>
        <v>1.2589254117941656E-10</v>
      </c>
      <c r="U991" s="1">
        <f t="shared" si="229"/>
        <v>8.0227151707152526E-5</v>
      </c>
      <c r="V991" s="1">
        <f t="shared" si="230"/>
        <v>0.10011307512173255</v>
      </c>
      <c r="W991" s="1">
        <f t="shared" si="231"/>
        <v>-3.7691707244188427E-5</v>
      </c>
      <c r="X991" s="1">
        <f t="shared" si="232"/>
        <v>4.8417863742889035E-5</v>
      </c>
      <c r="Y991" s="1">
        <f t="shared" si="233"/>
        <v>-7.5355011897898473E-4</v>
      </c>
      <c r="Z991" s="1">
        <f t="shared" si="234"/>
        <v>-3.7677505948949239E-2</v>
      </c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</row>
    <row r="992" spans="1:44" ht="15" customHeight="1" x14ac:dyDescent="0.3">
      <c r="A992" s="2">
        <v>9.91</v>
      </c>
      <c r="B992" s="1">
        <f t="shared" si="222"/>
        <v>1.2302687708123799E-10</v>
      </c>
      <c r="C992" s="1">
        <f t="shared" si="223"/>
        <v>8.2095882132574133E-5</v>
      </c>
      <c r="D992" s="1">
        <f t="shared" si="224"/>
        <v>-7.8281509021575573E-5</v>
      </c>
      <c r="E992" s="1">
        <f t="shared" si="225"/>
        <v>3.3463802515035957E-3</v>
      </c>
      <c r="F992" s="1">
        <f t="shared" si="226"/>
        <v>0.99977096570344937</v>
      </c>
      <c r="G992" s="1">
        <f t="shared" si="227"/>
        <v>1.0047005702185943</v>
      </c>
      <c r="H992" s="1">
        <f t="shared" si="235"/>
        <v>10.047005702185942</v>
      </c>
      <c r="S992" s="2">
        <v>9.91</v>
      </c>
      <c r="T992" s="1">
        <f t="shared" si="228"/>
        <v>1.2302687708123799E-10</v>
      </c>
      <c r="U992" s="1">
        <f t="shared" si="229"/>
        <v>8.2095882132574133E-5</v>
      </c>
      <c r="V992" s="1">
        <f t="shared" si="230"/>
        <v>0.10011604352469948</v>
      </c>
      <c r="W992" s="1">
        <f t="shared" si="231"/>
        <v>-3.8681174899827617E-5</v>
      </c>
      <c r="X992" s="1">
        <f t="shared" si="232"/>
        <v>4.7315790756640218E-5</v>
      </c>
      <c r="Y992" s="1">
        <f t="shared" si="233"/>
        <v>-7.7332436704559253E-4</v>
      </c>
      <c r="Z992" s="1">
        <f t="shared" si="234"/>
        <v>-3.8666218352279624E-2</v>
      </c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</row>
    <row r="993" spans="1:44" ht="15" customHeight="1" x14ac:dyDescent="0.3">
      <c r="A993" s="2">
        <v>9.92</v>
      </c>
      <c r="B993" s="1">
        <f t="shared" si="222"/>
        <v>1.2022644346174114E-10</v>
      </c>
      <c r="C993" s="1">
        <f t="shared" si="223"/>
        <v>8.400814088136987E-5</v>
      </c>
      <c r="D993" s="1">
        <f t="shared" si="224"/>
        <v>-8.028064864504738E-5</v>
      </c>
      <c r="E993" s="1">
        <f t="shared" si="225"/>
        <v>3.3467134414408408E-3</v>
      </c>
      <c r="F993" s="1">
        <f t="shared" si="226"/>
        <v>0.99977617799364882</v>
      </c>
      <c r="G993" s="1">
        <f t="shared" si="227"/>
        <v>1.0048207090151695</v>
      </c>
      <c r="H993" s="1">
        <f t="shared" si="235"/>
        <v>10.048207090151694</v>
      </c>
      <c r="S993" s="2">
        <v>9.92</v>
      </c>
      <c r="T993" s="1">
        <f t="shared" si="228"/>
        <v>1.2022644346174114E-10</v>
      </c>
      <c r="U993" s="1">
        <f t="shared" si="229"/>
        <v>8.400814088136987E-5</v>
      </c>
      <c r="V993" s="1">
        <f t="shared" si="230"/>
        <v>0.10011907345782529</v>
      </c>
      <c r="W993" s="1">
        <f t="shared" si="231"/>
        <v>-3.9691152608429837E-5</v>
      </c>
      <c r="X993" s="1">
        <f t="shared" si="232"/>
        <v>4.623880166733336E-5</v>
      </c>
      <c r="Y993" s="1">
        <f t="shared" si="233"/>
        <v>-7.9350809965780128E-4</v>
      </c>
      <c r="Z993" s="1">
        <f t="shared" si="234"/>
        <v>-3.9675404982890065E-2</v>
      </c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</row>
    <row r="994" spans="1:44" ht="15" customHeight="1" x14ac:dyDescent="0.3">
      <c r="A994" s="2">
        <v>9.93</v>
      </c>
      <c r="B994" s="1">
        <f t="shared" si="222"/>
        <v>1.1748975549395284E-10</v>
      </c>
      <c r="C994" s="1">
        <f t="shared" si="223"/>
        <v>8.5964941858440109E-5</v>
      </c>
      <c r="D994" s="1">
        <f t="shared" si="224"/>
        <v>-8.2322353575984506E-5</v>
      </c>
      <c r="E994" s="1">
        <f t="shared" si="225"/>
        <v>3.3470537255959974E-3</v>
      </c>
      <c r="F994" s="1">
        <f t="shared" si="226"/>
        <v>0.99978127169014541</v>
      </c>
      <c r="G994" s="1">
        <f t="shared" si="227"/>
        <v>1.0049434107466326</v>
      </c>
      <c r="H994" s="1">
        <f t="shared" si="235"/>
        <v>10.049434107466325</v>
      </c>
      <c r="S994" s="2">
        <v>9.93</v>
      </c>
      <c r="T994" s="1">
        <f t="shared" si="228"/>
        <v>1.1748975549395284E-10</v>
      </c>
      <c r="U994" s="1">
        <f t="shared" si="229"/>
        <v>8.5964941858440109E-5</v>
      </c>
      <c r="V994" s="1">
        <f t="shared" si="230"/>
        <v>0.10012216652758459</v>
      </c>
      <c r="W994" s="1">
        <f t="shared" si="231"/>
        <v>-4.0722175861524122E-5</v>
      </c>
      <c r="X994" s="1">
        <f t="shared" si="232"/>
        <v>4.5186325601387016E-5</v>
      </c>
      <c r="Y994" s="1">
        <f t="shared" si="233"/>
        <v>-8.1411199311293711E-4</v>
      </c>
      <c r="Z994" s="1">
        <f t="shared" si="234"/>
        <v>-4.0705599655646858E-2</v>
      </c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</row>
    <row r="995" spans="1:44" ht="15" customHeight="1" x14ac:dyDescent="0.3">
      <c r="A995" s="2">
        <v>9.94</v>
      </c>
      <c r="B995" s="1">
        <f t="shared" si="222"/>
        <v>1.1481536214968818E-10</v>
      </c>
      <c r="C995" s="1">
        <f t="shared" si="223"/>
        <v>8.7967322585564211E-5</v>
      </c>
      <c r="D995" s="1">
        <f t="shared" si="224"/>
        <v>-8.4407706303554414E-5</v>
      </c>
      <c r="E995" s="1">
        <f t="shared" si="225"/>
        <v>3.3474012843839255E-3</v>
      </c>
      <c r="F995" s="1">
        <f t="shared" si="226"/>
        <v>0.99978624949009853</v>
      </c>
      <c r="G995" s="1">
        <f t="shared" si="227"/>
        <v>1.0050687407860492</v>
      </c>
      <c r="H995" s="1">
        <f t="shared" si="235"/>
        <v>10.050687407860492</v>
      </c>
      <c r="S995" s="2">
        <v>9.94</v>
      </c>
      <c r="T995" s="1">
        <f t="shared" si="228"/>
        <v>1.1481536214968818E-10</v>
      </c>
      <c r="U995" s="1">
        <f t="shared" si="229"/>
        <v>8.7967322585564211E-5</v>
      </c>
      <c r="V995" s="1">
        <f t="shared" si="230"/>
        <v>0.10012532437392943</v>
      </c>
      <c r="W995" s="1">
        <f t="shared" si="231"/>
        <v>-4.1774791309806746E-5</v>
      </c>
      <c r="X995" s="1">
        <f t="shared" si="232"/>
        <v>4.4157804675135637E-5</v>
      </c>
      <c r="Y995" s="1">
        <f t="shared" si="233"/>
        <v>-8.3514694530260447E-4</v>
      </c>
      <c r="Z995" s="1">
        <f t="shared" si="234"/>
        <v>-4.1757347265130224E-2</v>
      </c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</row>
    <row r="996" spans="1:44" ht="15" customHeight="1" x14ac:dyDescent="0.3">
      <c r="A996" s="2">
        <v>9.9499999999999993</v>
      </c>
      <c r="B996" s="1">
        <f t="shared" si="222"/>
        <v>1.1220184543019624E-10</v>
      </c>
      <c r="C996" s="1">
        <f t="shared" si="223"/>
        <v>9.0016344751508374E-5</v>
      </c>
      <c r="D996" s="1">
        <f t="shared" si="224"/>
        <v>-8.6537812461815613E-5</v>
      </c>
      <c r="E996" s="1">
        <f t="shared" si="225"/>
        <v>3.3477563020769688E-3</v>
      </c>
      <c r="F996" s="1">
        <f t="shared" si="226"/>
        <v>0.9997911140293797</v>
      </c>
      <c r="G996" s="1">
        <f t="shared" si="227"/>
        <v>1.0051967659152508</v>
      </c>
      <c r="H996" s="1">
        <f t="shared" si="235"/>
        <v>10.051967659152506</v>
      </c>
      <c r="S996" s="2">
        <v>9.9499999999999993</v>
      </c>
      <c r="T996" s="1">
        <f t="shared" si="228"/>
        <v>1.1220184543019624E-10</v>
      </c>
      <c r="U996" s="1">
        <f t="shared" si="229"/>
        <v>9.0016344751508374E-5</v>
      </c>
      <c r="V996" s="1">
        <f t="shared" si="230"/>
        <v>0.10012854867115888</v>
      </c>
      <c r="W996" s="1">
        <f t="shared" si="231"/>
        <v>-4.2849557052958288E-5</v>
      </c>
      <c r="X996" s="1">
        <f t="shared" si="232"/>
        <v>4.3152693699356878E-5</v>
      </c>
      <c r="Y996" s="1">
        <f t="shared" si="233"/>
        <v>-8.5662408143466202E-4</v>
      </c>
      <c r="Z996" s="1">
        <f t="shared" si="234"/>
        <v>-4.2831204071733103E-2</v>
      </c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</row>
    <row r="997" spans="1:44" ht="15" customHeight="1" x14ac:dyDescent="0.3">
      <c r="A997" s="2">
        <v>9.9600000000000009</v>
      </c>
      <c r="B997" s="1">
        <f t="shared" si="222"/>
        <v>1.0964781961431802E-10</v>
      </c>
      <c r="C997" s="1">
        <f t="shared" si="223"/>
        <v>9.211309477494728E-5</v>
      </c>
      <c r="D997" s="1">
        <f t="shared" si="224"/>
        <v>-8.8713801415822718E-5</v>
      </c>
      <c r="E997" s="1">
        <f t="shared" si="225"/>
        <v>3.3481189669026371E-3</v>
      </c>
      <c r="F997" s="1">
        <f t="shared" si="226"/>
        <v>0.99979586788396169</v>
      </c>
      <c r="G997" s="1">
        <f t="shared" si="227"/>
        <v>1.0053275543609455</v>
      </c>
      <c r="H997" s="1">
        <f t="shared" si="235"/>
        <v>10.053275543609454</v>
      </c>
      <c r="S997" s="2">
        <v>9.9600000000000009</v>
      </c>
      <c r="T997" s="1">
        <f t="shared" si="228"/>
        <v>1.0964781961431802E-10</v>
      </c>
      <c r="U997" s="1">
        <f t="shared" si="229"/>
        <v>9.211309477494728E-5</v>
      </c>
      <c r="V997" s="1">
        <f t="shared" si="230"/>
        <v>0.10013184112880659</v>
      </c>
      <c r="W997" s="1">
        <f t="shared" si="231"/>
        <v>-4.3947042935532372E-5</v>
      </c>
      <c r="X997" s="1">
        <f t="shared" si="232"/>
        <v>4.2170459890514957E-5</v>
      </c>
      <c r="Y997" s="1">
        <f t="shared" si="233"/>
        <v>-8.7855475987311368E-4</v>
      </c>
      <c r="Z997" s="1">
        <f t="shared" si="234"/>
        <v>-4.3927737993655694E-2</v>
      </c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</row>
    <row r="998" spans="1:44" ht="15" customHeight="1" x14ac:dyDescent="0.3">
      <c r="A998" s="2">
        <v>9.9700000000000006</v>
      </c>
      <c r="B998" s="1">
        <f t="shared" si="222"/>
        <v>1.0715193052376019E-10</v>
      </c>
      <c r="C998" s="1">
        <f t="shared" si="223"/>
        <v>9.4258684380496479E-5</v>
      </c>
      <c r="D998" s="1">
        <f t="shared" si="224"/>
        <v>-9.0936826860347754E-5</v>
      </c>
      <c r="E998" s="1">
        <f t="shared" si="225"/>
        <v>3.3484894711433917E-3</v>
      </c>
      <c r="F998" s="1">
        <f t="shared" si="226"/>
        <v>0.99980051357127853</v>
      </c>
      <c r="G998" s="1">
        <f t="shared" si="227"/>
        <v>1.0054611758316314</v>
      </c>
      <c r="H998" s="1">
        <f t="shared" si="235"/>
        <v>10.054611758316314</v>
      </c>
      <c r="S998" s="2">
        <v>9.9700000000000006</v>
      </c>
      <c r="T998" s="1">
        <f t="shared" si="228"/>
        <v>1.0715193052376019E-10</v>
      </c>
      <c r="U998" s="1">
        <f t="shared" si="229"/>
        <v>9.4258684380496479E-5</v>
      </c>
      <c r="V998" s="1">
        <f t="shared" si="230"/>
        <v>0.10013520349254723</v>
      </c>
      <c r="W998" s="1">
        <f t="shared" si="231"/>
        <v>-4.5067830849071909E-5</v>
      </c>
      <c r="X998" s="1">
        <f t="shared" si="232"/>
        <v>4.1210582588568391E-5</v>
      </c>
      <c r="Y998" s="1">
        <f t="shared" si="233"/>
        <v>-9.0095057809886682E-4</v>
      </c>
      <c r="Z998" s="1">
        <f t="shared" si="234"/>
        <v>-4.5047528904943339E-2</v>
      </c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</row>
    <row r="999" spans="1:44" ht="15" customHeight="1" x14ac:dyDescent="0.3">
      <c r="A999" s="2">
        <v>9.98</v>
      </c>
      <c r="B999" s="1">
        <f t="shared" si="222"/>
        <v>1.0471285480508951E-10</v>
      </c>
      <c r="C999" s="1">
        <f t="shared" si="223"/>
        <v>9.6454251188165423E-5</v>
      </c>
      <c r="D999" s="1">
        <f t="shared" si="224"/>
        <v>-9.3208067431467453E-5</v>
      </c>
      <c r="E999" s="1">
        <f t="shared" si="225"/>
        <v>3.3488680112385783E-3</v>
      </c>
      <c r="F999" s="1">
        <f t="shared" si="226"/>
        <v>0.99980505355155225</v>
      </c>
      <c r="G999" s="1">
        <f t="shared" si="227"/>
        <v>1.0055977015553283</v>
      </c>
      <c r="H999" s="1">
        <f t="shared" si="235"/>
        <v>10.055977015553283</v>
      </c>
      <c r="S999" s="2">
        <v>9.98</v>
      </c>
      <c r="T999" s="1">
        <f t="shared" si="228"/>
        <v>1.0471285480508951E-10</v>
      </c>
      <c r="U999" s="1">
        <f t="shared" si="229"/>
        <v>9.6454251188165423E-5</v>
      </c>
      <c r="V999" s="1">
        <f t="shared" si="230"/>
        <v>0.10013863754512184</v>
      </c>
      <c r="W999" s="1">
        <f t="shared" si="231"/>
        <v>-4.6212515040615582E-5</v>
      </c>
      <c r="X999" s="1">
        <f t="shared" si="232"/>
        <v>4.0272552981190979E-5</v>
      </c>
      <c r="Y999" s="1">
        <f t="shared" si="233"/>
        <v>-9.2382337879443738E-4</v>
      </c>
      <c r="Z999" s="1">
        <f t="shared" si="234"/>
        <v>-4.6191168939721874E-2</v>
      </c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</row>
    <row r="1000" spans="1:44" ht="15" customHeight="1" x14ac:dyDescent="0.3">
      <c r="A1000" s="2">
        <v>9.99</v>
      </c>
      <c r="B1000" s="1">
        <f t="shared" si="222"/>
        <v>1.0232929922807501E-10</v>
      </c>
      <c r="C1000" s="1">
        <f t="shared" si="223"/>
        <v>9.870095931653726E-5</v>
      </c>
      <c r="D1000" s="1">
        <f t="shared" si="224"/>
        <v>-9.5528727331434512E-5</v>
      </c>
      <c r="E1000" s="1">
        <f t="shared" si="225"/>
        <v>3.3492547878885724E-3</v>
      </c>
      <c r="F1000" s="1">
        <f t="shared" si="226"/>
        <v>0.99980949022909227</v>
      </c>
      <c r="G1000" s="1">
        <f t="shared" si="227"/>
        <v>1.0057372043181556</v>
      </c>
      <c r="H1000" s="1">
        <f t="shared" si="235"/>
        <v>10.057372043181555</v>
      </c>
      <c r="S1000" s="2">
        <v>9.99</v>
      </c>
      <c r="T1000" s="1">
        <f t="shared" si="228"/>
        <v>1.0232929922807501E-10</v>
      </c>
      <c r="U1000" s="1">
        <f t="shared" si="229"/>
        <v>9.870095931653726E-5</v>
      </c>
      <c r="V1000" s="1">
        <f t="shared" si="230"/>
        <v>0.10014214510728327</v>
      </c>
      <c r="W1000" s="1">
        <f t="shared" si="231"/>
        <v>-4.7381702427754464E-5</v>
      </c>
      <c r="X1000" s="1">
        <f t="shared" si="232"/>
        <v>3.9355873834263478E-5</v>
      </c>
      <c r="Y1000" s="1">
        <f t="shared" si="233"/>
        <v>-9.4718525605562518E-4</v>
      </c>
      <c r="Z1000" s="1">
        <f t="shared" si="234"/>
        <v>-4.7359262802781264E-2</v>
      </c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</row>
    <row r="1001" spans="1:44" ht="15" customHeight="1" x14ac:dyDescent="0.3">
      <c r="A1001" s="2">
        <v>10</v>
      </c>
      <c r="B1001" s="1">
        <f t="shared" si="222"/>
        <v>1E-10</v>
      </c>
      <c r="C1001" s="1">
        <f t="shared" si="223"/>
        <v>1.0099999999999999E-4</v>
      </c>
      <c r="D1001" s="1">
        <f t="shared" si="224"/>
        <v>-9.7900036967060971E-5</v>
      </c>
      <c r="E1001" s="1">
        <f t="shared" si="225"/>
        <v>3.3496500061611766E-3</v>
      </c>
      <c r="F1001" s="1">
        <f t="shared" si="226"/>
        <v>0.99981382595356338</v>
      </c>
      <c r="G1001" s="1">
        <f t="shared" si="227"/>
        <v>1.0058797585037724</v>
      </c>
      <c r="H1001" s="1">
        <f t="shared" si="235"/>
        <v>10.058797585037723</v>
      </c>
      <c r="S1001" s="2">
        <v>10</v>
      </c>
      <c r="T1001" s="1">
        <f t="shared" si="228"/>
        <v>1E-10</v>
      </c>
      <c r="U1001" s="1">
        <f t="shared" si="229"/>
        <v>1.0099999999999999E-4</v>
      </c>
      <c r="V1001" s="1">
        <f t="shared" si="230"/>
        <v>0.10014572803876122</v>
      </c>
      <c r="W1001" s="1">
        <f t="shared" si="231"/>
        <v>-4.857601292040844E-5</v>
      </c>
      <c r="X1001" s="1">
        <f t="shared" si="232"/>
        <v>3.8460059228491213E-5</v>
      </c>
      <c r="Y1001" s="1">
        <f t="shared" si="233"/>
        <v>-9.7104856173335771E-4</v>
      </c>
      <c r="Z1001" s="1">
        <f t="shared" si="234"/>
        <v>-4.855242808666789E-2</v>
      </c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</row>
    <row r="1002" spans="1:44" ht="15" customHeight="1" x14ac:dyDescent="0.3">
      <c r="A1002" s="2">
        <v>10.01</v>
      </c>
      <c r="B1002" s="1">
        <f t="shared" si="222"/>
        <v>9.7723722095581033E-11</v>
      </c>
      <c r="C1002" s="1">
        <f t="shared" si="223"/>
        <v>1.0335259222035619E-4</v>
      </c>
      <c r="D1002" s="1">
        <f t="shared" si="224"/>
        <v>-1.0032325360202047E-4</v>
      </c>
      <c r="E1002" s="1">
        <f t="shared" si="225"/>
        <v>3.3500538756003366E-3</v>
      </c>
      <c r="F1002" s="1">
        <f t="shared" si="226"/>
        <v>0.99981806302122667</v>
      </c>
      <c r="G1002" s="1">
        <f t="shared" si="227"/>
        <v>1.0060254401337072</v>
      </c>
      <c r="H1002" s="1">
        <f t="shared" si="235"/>
        <v>10.060254401337071</v>
      </c>
      <c r="S1002" s="2">
        <v>10.01</v>
      </c>
      <c r="T1002" s="1">
        <f t="shared" si="228"/>
        <v>9.7723722095581033E-11</v>
      </c>
      <c r="U1002" s="1">
        <f t="shared" si="229"/>
        <v>1.0335259222035619E-4</v>
      </c>
      <c r="V1002" s="1">
        <f t="shared" si="230"/>
        <v>0.10014938823924849</v>
      </c>
      <c r="W1002" s="1">
        <f t="shared" si="231"/>
        <v>-4.9796079749493077E-5</v>
      </c>
      <c r="X1002" s="1">
        <f t="shared" si="232"/>
        <v>3.7584634302009014E-5</v>
      </c>
      <c r="Y1002" s="1">
        <f t="shared" si="233"/>
        <v>-9.9542591190892021E-4</v>
      </c>
      <c r="Z1002" s="1">
        <f t="shared" si="234"/>
        <v>-4.9771295595446005E-2</v>
      </c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</row>
    <row r="1003" spans="1:44" ht="15" customHeight="1" x14ac:dyDescent="0.3">
      <c r="A1003" s="2">
        <v>10.02</v>
      </c>
      <c r="B1003" s="1">
        <f t="shared" si="222"/>
        <v>9.5499258602143585E-11</v>
      </c>
      <c r="C1003" s="1">
        <f t="shared" si="223"/>
        <v>1.0575998335314086E-4</v>
      </c>
      <c r="D1003" s="1">
        <f t="shared" si="224"/>
        <v>-1.0279966202338617E-4</v>
      </c>
      <c r="E1003" s="1">
        <f t="shared" si="225"/>
        <v>3.3504666103372307E-3</v>
      </c>
      <c r="F1003" s="1">
        <f t="shared" si="226"/>
        <v>0.99982220367615038</v>
      </c>
      <c r="G1003" s="1">
        <f t="shared" si="227"/>
        <v>1.0061743269085974</v>
      </c>
      <c r="H1003" s="1">
        <f t="shared" si="235"/>
        <v>10.061743269085973</v>
      </c>
      <c r="S1003" s="2">
        <v>10.02</v>
      </c>
      <c r="T1003" s="1">
        <f t="shared" si="228"/>
        <v>9.5499258602143585E-11</v>
      </c>
      <c r="U1003" s="1">
        <f t="shared" si="229"/>
        <v>1.0575998335314086E-4</v>
      </c>
      <c r="V1003" s="1">
        <f t="shared" si="230"/>
        <v>0.10015312764940794</v>
      </c>
      <c r="W1003" s="1">
        <f t="shared" si="231"/>
        <v>-5.1042549802647972E-5</v>
      </c>
      <c r="X1003" s="1">
        <f t="shared" si="232"/>
        <v>3.6729134998839263E-5</v>
      </c>
      <c r="Y1003" s="1">
        <f t="shared" si="233"/>
        <v>-1.0203301935057878E-3</v>
      </c>
      <c r="Z1003" s="1">
        <f t="shared" si="234"/>
        <v>-5.1016509675289388E-2</v>
      </c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</row>
    <row r="1004" spans="1:44" ht="15" customHeight="1" x14ac:dyDescent="0.3">
      <c r="A1004" s="2">
        <v>10.029999999999999</v>
      </c>
      <c r="B1004" s="1">
        <f t="shared" si="222"/>
        <v>9.3325430079699086E-11</v>
      </c>
      <c r="C1004" s="1">
        <f t="shared" si="223"/>
        <v>1.0822344982899827E-4</v>
      </c>
      <c r="D1004" s="1">
        <f t="shared" si="224"/>
        <v>-1.0533057522277051E-4</v>
      </c>
      <c r="E1004" s="1">
        <f t="shared" si="225"/>
        <v>3.3508884292037951E-3</v>
      </c>
      <c r="F1004" s="1">
        <f t="shared" si="226"/>
        <v>0.99982625011139503</v>
      </c>
      <c r="G1004" s="1">
        <f t="shared" si="227"/>
        <v>1.0063264982503648</v>
      </c>
      <c r="H1004" s="1">
        <f t="shared" si="235"/>
        <v>10.063264982503647</v>
      </c>
      <c r="S1004" s="2">
        <v>10.029999999999999</v>
      </c>
      <c r="T1004" s="1">
        <f t="shared" si="228"/>
        <v>9.3325430079699086E-11</v>
      </c>
      <c r="U1004" s="1">
        <f t="shared" si="229"/>
        <v>1.0822344982899827E-4</v>
      </c>
      <c r="V1004" s="1">
        <f t="shared" si="230"/>
        <v>0.10015694825190162</v>
      </c>
      <c r="W1004" s="1">
        <f t="shared" si="231"/>
        <v>-5.2316083967209378E-5</v>
      </c>
      <c r="X1004" s="1">
        <f t="shared" si="232"/>
        <v>3.5893107823067149E-5</v>
      </c>
      <c r="Y1004" s="1">
        <f t="shared" si="233"/>
        <v>-1.0457745710414938E-3</v>
      </c>
      <c r="Z1004" s="1">
        <f t="shared" si="234"/>
        <v>-5.2288728552074684E-2</v>
      </c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</row>
    <row r="1005" spans="1:44" ht="15" customHeight="1" x14ac:dyDescent="0.3">
      <c r="A1005" s="2">
        <v>10.039999999999999</v>
      </c>
      <c r="B1005" s="1">
        <f t="shared" si="222"/>
        <v>9.1201083935590972E-11</v>
      </c>
      <c r="C1005" s="1">
        <f t="shared" si="223"/>
        <v>1.1074429781046168E-4</v>
      </c>
      <c r="D1005" s="1">
        <f t="shared" si="224"/>
        <v>-1.0791733509242344E-4</v>
      </c>
      <c r="E1005" s="1">
        <f t="shared" si="225"/>
        <v>3.3513195558487374E-3</v>
      </c>
      <c r="F1005" s="1">
        <f t="shared" si="226"/>
        <v>0.99983020447017179</v>
      </c>
      <c r="G1005" s="1">
        <f t="shared" si="227"/>
        <v>1.0064820353453499</v>
      </c>
      <c r="H1005" s="1">
        <f t="shared" si="235"/>
        <v>10.064820353453499</v>
      </c>
      <c r="S1005" s="2">
        <v>10.039999999999999</v>
      </c>
      <c r="T1005" s="1">
        <f t="shared" si="228"/>
        <v>9.1201083935590972E-11</v>
      </c>
      <c r="U1005" s="1">
        <f t="shared" si="229"/>
        <v>1.1074429781046168E-4</v>
      </c>
      <c r="V1005" s="1">
        <f t="shared" si="230"/>
        <v>0.1001608520724418</v>
      </c>
      <c r="W1005" s="1">
        <f t="shared" si="231"/>
        <v>-5.361735748060489E-5</v>
      </c>
      <c r="X1005" s="1">
        <f t="shared" si="232"/>
        <v>3.5076109598605901E-5</v>
      </c>
      <c r="Y1005" s="1">
        <f t="shared" si="233"/>
        <v>-1.0717724935228668E-3</v>
      </c>
      <c r="Z1005" s="1">
        <f t="shared" si="234"/>
        <v>-5.3588624676143337E-2</v>
      </c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</row>
    <row r="1006" spans="1:44" ht="15" customHeight="1" x14ac:dyDescent="0.3">
      <c r="A1006" s="2">
        <v>10.050000000000001</v>
      </c>
      <c r="B1006" s="1">
        <f t="shared" si="222"/>
        <v>8.9125093813374255E-11</v>
      </c>
      <c r="C1006" s="1">
        <f t="shared" si="223"/>
        <v>1.1332386388449867E-4</v>
      </c>
      <c r="D1006" s="1">
        <f t="shared" si="224"/>
        <v>-1.1056131313665121E-4</v>
      </c>
      <c r="E1006" s="1">
        <f t="shared" si="225"/>
        <v>3.3517602188561087E-3</v>
      </c>
      <c r="F1006" s="1">
        <f t="shared" si="226"/>
        <v>0.99983406884697312</v>
      </c>
      <c r="G1006" s="1">
        <f t="shared" si="227"/>
        <v>1.0066410211884307</v>
      </c>
      <c r="H1006" s="1">
        <f t="shared" si="235"/>
        <v>10.066410211884307</v>
      </c>
      <c r="S1006" s="2">
        <v>10.050000000000001</v>
      </c>
      <c r="T1006" s="1">
        <f t="shared" si="228"/>
        <v>8.9125093813374255E-11</v>
      </c>
      <c r="U1006" s="1">
        <f t="shared" si="229"/>
        <v>1.1332386388449867E-4</v>
      </c>
      <c r="V1006" s="1">
        <f t="shared" si="230"/>
        <v>0.10016484118086506</v>
      </c>
      <c r="W1006" s="1">
        <f t="shared" si="231"/>
        <v>-5.4947060288358277E-5</v>
      </c>
      <c r="X1006" s="1">
        <f t="shared" si="232"/>
        <v>3.4277707234423569E-5</v>
      </c>
      <c r="Y1006" s="1">
        <f t="shared" si="233"/>
        <v>-1.098337701488159E-3</v>
      </c>
      <c r="Z1006" s="1">
        <f t="shared" si="234"/>
        <v>-5.4916885074407958E-2</v>
      </c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</row>
    <row r="1007" spans="1:44" ht="15" customHeight="1" x14ac:dyDescent="0.3">
      <c r="A1007" s="2">
        <v>10.06</v>
      </c>
      <c r="B1007" s="1">
        <f t="shared" si="222"/>
        <v>8.7096358995607774E-11</v>
      </c>
      <c r="C1007" s="1">
        <f t="shared" si="223"/>
        <v>1.1596351577118554E-4</v>
      </c>
      <c r="D1007" s="1">
        <f t="shared" si="224"/>
        <v>-1.1326391119894472E-4</v>
      </c>
      <c r="E1007" s="1">
        <f t="shared" si="225"/>
        <v>3.3522106518664905E-3</v>
      </c>
      <c r="F1007" s="1">
        <f t="shared" si="226"/>
        <v>0.99983784528867881</v>
      </c>
      <c r="G1007" s="1">
        <f t="shared" si="227"/>
        <v>1.0068035406281521</v>
      </c>
      <c r="H1007" s="1">
        <f t="shared" si="235"/>
        <v>10.06803540628152</v>
      </c>
      <c r="S1007" s="2">
        <v>10.06</v>
      </c>
      <c r="T1007" s="1">
        <f t="shared" si="228"/>
        <v>8.7096358995607774E-11</v>
      </c>
      <c r="U1007" s="1">
        <f t="shared" si="229"/>
        <v>1.1596351577118554E-4</v>
      </c>
      <c r="V1007" s="1">
        <f t="shared" si="230"/>
        <v>0.10016891769222967</v>
      </c>
      <c r="W1007" s="1">
        <f t="shared" si="231"/>
        <v>-5.6305897409892177E-5</v>
      </c>
      <c r="X1007" s="1">
        <f t="shared" si="232"/>
        <v>3.3497477495108619E-5</v>
      </c>
      <c r="Y1007" s="1">
        <f t="shared" si="233"/>
        <v>-1.1254842341995707E-3</v>
      </c>
      <c r="Z1007" s="1">
        <f t="shared" si="234"/>
        <v>-5.6274211709978532E-2</v>
      </c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</row>
    <row r="1008" spans="1:44" ht="15" customHeight="1" x14ac:dyDescent="0.3">
      <c r="A1008" s="2">
        <v>10.07</v>
      </c>
      <c r="B1008" s="1">
        <f t="shared" si="222"/>
        <v>8.511380382023737E-11</v>
      </c>
      <c r="C1008" s="1">
        <f t="shared" si="223"/>
        <v>1.1866465304889286E-4</v>
      </c>
      <c r="D1008" s="1">
        <f t="shared" si="224"/>
        <v>-1.1602656220519701E-4</v>
      </c>
      <c r="E1008" s="1">
        <f t="shared" si="225"/>
        <v>3.3526710937008659E-3</v>
      </c>
      <c r="F1008" s="1">
        <f t="shared" si="226"/>
        <v>0.99984153579563784</v>
      </c>
      <c r="G1008" s="1">
        <f t="shared" si="227"/>
        <v>1.0069696804128916</v>
      </c>
      <c r="H1008" s="1">
        <f t="shared" si="235"/>
        <v>10.069696804128915</v>
      </c>
      <c r="S1008" s="2">
        <v>10.07</v>
      </c>
      <c r="T1008" s="1">
        <f t="shared" si="228"/>
        <v>8.511380382023737E-11</v>
      </c>
      <c r="U1008" s="1">
        <f t="shared" si="229"/>
        <v>1.1866465304889286E-4</v>
      </c>
      <c r="V1008" s="1">
        <f t="shared" si="230"/>
        <v>0.10017308376793699</v>
      </c>
      <c r="W1008" s="1">
        <f t="shared" si="231"/>
        <v>-5.7694589312325908E-5</v>
      </c>
      <c r="X1008" s="1">
        <f t="shared" si="232"/>
        <v>3.2735006776650974E-5</v>
      </c>
      <c r="Y1008" s="1">
        <f t="shared" si="233"/>
        <v>-1.1532264369898556E-3</v>
      </c>
      <c r="Z1008" s="1">
        <f t="shared" si="234"/>
        <v>-5.7661321849492783E-2</v>
      </c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</row>
    <row r="1009" spans="1:44" ht="15" customHeight="1" x14ac:dyDescent="0.3">
      <c r="A1009" s="2">
        <v>10.08</v>
      </c>
      <c r="B1009" s="1">
        <f t="shared" si="222"/>
        <v>8.3176377110266833E-11</v>
      </c>
      <c r="C1009" s="1">
        <f t="shared" si="223"/>
        <v>1.2142870789635909E-4</v>
      </c>
      <c r="D1009" s="1">
        <f t="shared" si="224"/>
        <v>-1.1885073092339009E-4</v>
      </c>
      <c r="E1009" s="1">
        <f t="shared" si="225"/>
        <v>3.3531417884872313E-3</v>
      </c>
      <c r="F1009" s="1">
        <f t="shared" si="226"/>
        <v>0.99984514232272315</v>
      </c>
      <c r="G1009" s="1">
        <f t="shared" si="227"/>
        <v>1.0071395292380874</v>
      </c>
      <c r="H1009" s="1">
        <f t="shared" si="235"/>
        <v>10.071395292380872</v>
      </c>
      <c r="S1009" s="2">
        <v>10.08</v>
      </c>
      <c r="T1009" s="1">
        <f t="shared" si="228"/>
        <v>8.3176377110266833E-11</v>
      </c>
      <c r="U1009" s="1">
        <f t="shared" si="229"/>
        <v>1.2142870789635909E-4</v>
      </c>
      <c r="V1009" s="1">
        <f t="shared" si="230"/>
        <v>0.10017734161687739</v>
      </c>
      <c r="W1009" s="1">
        <f t="shared" si="231"/>
        <v>-5.9113872292462587E-5</v>
      </c>
      <c r="X1009" s="1">
        <f t="shared" si="232"/>
        <v>3.1989890887322567E-5</v>
      </c>
      <c r="Y1009" s="1">
        <f t="shared" si="233"/>
        <v>-1.1815789687666205E-3</v>
      </c>
      <c r="Z1009" s="1">
        <f t="shared" si="234"/>
        <v>-5.9078948438331023E-2</v>
      </c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</row>
    <row r="1010" spans="1:44" ht="15" customHeight="1" x14ac:dyDescent="0.3">
      <c r="A1010" s="2">
        <v>10.09</v>
      </c>
      <c r="B1010" s="1">
        <f t="shared" si="222"/>
        <v>8.1283051616409667E-11</v>
      </c>
      <c r="C1010" s="1">
        <f t="shared" si="223"/>
        <v>1.2425714585205091E-4</v>
      </c>
      <c r="D1010" s="1">
        <f t="shared" si="224"/>
        <v>-1.2173791474019948E-4</v>
      </c>
      <c r="E1010" s="1">
        <f t="shared" si="225"/>
        <v>3.3536229857900331E-3</v>
      </c>
      <c r="F1010" s="1">
        <f t="shared" si="226"/>
        <v>0.9998486667803661</v>
      </c>
      <c r="G1010" s="1">
        <f t="shared" si="227"/>
        <v>1.0073131777945603</v>
      </c>
      <c r="H1010" s="1">
        <f t="shared" si="235"/>
        <v>10.073131777945603</v>
      </c>
      <c r="S1010" s="2">
        <v>10.09</v>
      </c>
      <c r="T1010" s="1">
        <f t="shared" si="228"/>
        <v>8.1283051616409667E-11</v>
      </c>
      <c r="U1010" s="1">
        <f t="shared" si="229"/>
        <v>1.2425714585205091E-4</v>
      </c>
      <c r="V1010" s="1">
        <f t="shared" si="230"/>
        <v>0.10018169349660151</v>
      </c>
      <c r="W1010" s="1">
        <f t="shared" si="231"/>
        <v>-6.0564498867170709E-5</v>
      </c>
      <c r="X1010" s="1">
        <f t="shared" si="232"/>
        <v>3.126173483353984E-5</v>
      </c>
      <c r="Y1010" s="1">
        <f t="shared" si="233"/>
        <v>-1.2105568096781301E-3</v>
      </c>
      <c r="Z1010" s="1">
        <f t="shared" si="234"/>
        <v>-6.0527840483906512E-2</v>
      </c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</row>
    <row r="1011" spans="1:44" ht="15" customHeight="1" x14ac:dyDescent="0.3">
      <c r="A1011" s="2">
        <v>10.1</v>
      </c>
      <c r="B1011" s="1">
        <f t="shared" si="222"/>
        <v>7.943282347242792E-11</v>
      </c>
      <c r="C1011" s="1">
        <f t="shared" si="223"/>
        <v>1.2715146659121124E-4</v>
      </c>
      <c r="D1011" s="1">
        <f t="shared" si="224"/>
        <v>-1.2468964445485085E-4</v>
      </c>
      <c r="E1011" s="1">
        <f t="shared" si="225"/>
        <v>3.3541149407424749E-3</v>
      </c>
      <c r="F1011" s="1">
        <f t="shared" si="226"/>
        <v>0.99985211103556393</v>
      </c>
      <c r="G1011" s="1">
        <f t="shared" si="227"/>
        <v>1.0074907188179523</v>
      </c>
      <c r="H1011" s="1">
        <f t="shared" si="235"/>
        <v>10.074907188179521</v>
      </c>
      <c r="S1011" s="2">
        <v>10.1</v>
      </c>
      <c r="T1011" s="1">
        <f t="shared" si="228"/>
        <v>7.943282347242792E-11</v>
      </c>
      <c r="U1011" s="1">
        <f t="shared" si="229"/>
        <v>1.2715146659121124E-4</v>
      </c>
      <c r="V1011" s="1">
        <f t="shared" si="230"/>
        <v>0.10018614171451709</v>
      </c>
      <c r="W1011" s="1">
        <f t="shared" si="231"/>
        <v>-6.2047238172366483E-5</v>
      </c>
      <c r="X1011" s="1">
        <f t="shared" si="232"/>
        <v>3.0550152610595592E-5</v>
      </c>
      <c r="Y1011" s="1">
        <f t="shared" si="233"/>
        <v>-1.2401752689444529E-3</v>
      </c>
      <c r="Z1011" s="1">
        <f t="shared" si="234"/>
        <v>-6.2008763447222635E-2</v>
      </c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</row>
    <row r="1012" spans="1:44" ht="15" customHeight="1" x14ac:dyDescent="0.3">
      <c r="A1012" s="2">
        <v>10.11</v>
      </c>
      <c r="B1012" s="1">
        <f t="shared" si="222"/>
        <v>7.7624711662869221E-11</v>
      </c>
      <c r="C1012" s="1">
        <f t="shared" si="223"/>
        <v>1.3011320472100643E-4</v>
      </c>
      <c r="D1012" s="1">
        <f t="shared" si="224"/>
        <v>-1.2770748509074832E-4</v>
      </c>
      <c r="E1012" s="1">
        <f t="shared" si="225"/>
        <v>3.3546179141817913E-3</v>
      </c>
      <c r="F1012" s="1">
        <f t="shared" si="226"/>
        <v>0.99985547691286725</v>
      </c>
      <c r="G1012" s="1">
        <f t="shared" si="227"/>
        <v>1.0076722471393165</v>
      </c>
      <c r="H1012" s="1">
        <f t="shared" si="235"/>
        <v>10.076722471393165</v>
      </c>
      <c r="S1012" s="2">
        <v>10.11</v>
      </c>
      <c r="T1012" s="1">
        <f t="shared" si="228"/>
        <v>7.7624711662869221E-11</v>
      </c>
      <c r="U1012" s="1">
        <f t="shared" si="229"/>
        <v>1.3011320472100643E-4</v>
      </c>
      <c r="V1012" s="1">
        <f t="shared" si="230"/>
        <v>0.10019068862911241</v>
      </c>
      <c r="W1012" s="1">
        <f t="shared" si="231"/>
        <v>-6.3562876370808021E-5</v>
      </c>
      <c r="X1012" s="1">
        <f t="shared" si="232"/>
        <v>2.9854766998149701E-5</v>
      </c>
      <c r="Y1012" s="1">
        <f t="shared" si="233"/>
        <v>-1.270449992857847E-3</v>
      </c>
      <c r="Z1012" s="1">
        <f t="shared" si="234"/>
        <v>-6.3522499642892361E-2</v>
      </c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</row>
    <row r="1013" spans="1:44" ht="15" customHeight="1" x14ac:dyDescent="0.3">
      <c r="A1013" s="2">
        <v>10.119999999999999</v>
      </c>
      <c r="B1013" s="1">
        <f t="shared" si="222"/>
        <v>7.5857757502918434E-11</v>
      </c>
      <c r="C1013" s="1">
        <f t="shared" si="223"/>
        <v>1.3314393059419701E-4</v>
      </c>
      <c r="D1013" s="1">
        <f t="shared" si="224"/>
        <v>-1.3079303672518876E-4</v>
      </c>
      <c r="E1013" s="1">
        <f t="shared" si="225"/>
        <v>3.3551321727875315E-3</v>
      </c>
      <c r="F1013" s="1">
        <f t="shared" si="226"/>
        <v>0.99985876619534286</v>
      </c>
      <c r="G1013" s="1">
        <f t="shared" si="227"/>
        <v>1.0078578597368828</v>
      </c>
      <c r="H1013" s="1">
        <f t="shared" si="235"/>
        <v>10.078578597368827</v>
      </c>
      <c r="S1013" s="2">
        <v>10.119999999999999</v>
      </c>
      <c r="T1013" s="1">
        <f t="shared" si="228"/>
        <v>7.5857757502918434E-11</v>
      </c>
      <c r="U1013" s="1">
        <f t="shared" si="229"/>
        <v>1.3314393059419701E-4</v>
      </c>
      <c r="V1013" s="1">
        <f t="shared" si="230"/>
        <v>0.10019533665120677</v>
      </c>
      <c r="W1013" s="1">
        <f t="shared" si="231"/>
        <v>-6.5112217068918798E-5</v>
      </c>
      <c r="X1013" s="1">
        <f t="shared" si="232"/>
        <v>2.9175209360369872E-5</v>
      </c>
      <c r="Y1013" s="1">
        <f t="shared" si="233"/>
        <v>-1.3013969729564162E-3</v>
      </c>
      <c r="Z1013" s="1">
        <f t="shared" si="234"/>
        <v>-6.506984864782081E-2</v>
      </c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</row>
    <row r="1014" spans="1:44" ht="15" customHeight="1" x14ac:dyDescent="0.3">
      <c r="A1014" s="2">
        <v>10.130000000000001</v>
      </c>
      <c r="B1014" s="1">
        <f t="shared" si="222"/>
        <v>7.4131024130091551E-11</v>
      </c>
      <c r="C1014" s="1">
        <f t="shared" si="223"/>
        <v>1.3624525114175738E-4</v>
      </c>
      <c r="D1014" s="1">
        <f t="shared" si="224"/>
        <v>-1.3394793533772666E-4</v>
      </c>
      <c r="E1014" s="1">
        <f t="shared" si="225"/>
        <v>3.3556579892229542E-3</v>
      </c>
      <c r="F1014" s="1">
        <f t="shared" si="226"/>
        <v>0.99986198062551712</v>
      </c>
      <c r="G1014" s="1">
        <f t="shared" si="227"/>
        <v>1.0080476557890361</v>
      </c>
      <c r="H1014" s="1">
        <f t="shared" si="235"/>
        <v>10.080476557890361</v>
      </c>
      <c r="S1014" s="2">
        <v>10.130000000000001</v>
      </c>
      <c r="T1014" s="1">
        <f t="shared" si="228"/>
        <v>7.4131024130091551E-11</v>
      </c>
      <c r="U1014" s="1">
        <f t="shared" si="229"/>
        <v>1.3624525114175738E-4</v>
      </c>
      <c r="V1014" s="1">
        <f t="shared" si="230"/>
        <v>0.10020008824522858</v>
      </c>
      <c r="W1014" s="1">
        <f t="shared" si="231"/>
        <v>-6.6696081742858982E-5</v>
      </c>
      <c r="X1014" s="1">
        <f t="shared" si="232"/>
        <v>2.85111194506183E-5</v>
      </c>
      <c r="Y1014" s="1">
        <f t="shared" si="233"/>
        <v>-1.3330325543750546E-3</v>
      </c>
      <c r="Z1014" s="1">
        <f t="shared" si="234"/>
        <v>-6.6651627718752729E-2</v>
      </c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</row>
    <row r="1015" spans="1:44" ht="15" customHeight="1" x14ac:dyDescent="0.3">
      <c r="A1015" s="2">
        <v>10.14</v>
      </c>
      <c r="B1015" s="1">
        <f t="shared" si="222"/>
        <v>7.2443596007498811E-11</v>
      </c>
      <c r="C1015" s="1">
        <f t="shared" si="223"/>
        <v>1.3941881072489175E-4</v>
      </c>
      <c r="D1015" s="1">
        <f t="shared" si="224"/>
        <v>-1.3717385367752733E-4</v>
      </c>
      <c r="E1015" s="1">
        <f t="shared" si="225"/>
        <v>3.3561956422795878E-3</v>
      </c>
      <c r="F1015" s="1">
        <f t="shared" si="226"/>
        <v>0.99986512190629495</v>
      </c>
      <c r="G1015" s="1">
        <f t="shared" si="227"/>
        <v>1.0082417367285321</v>
      </c>
      <c r="H1015" s="1">
        <f t="shared" si="235"/>
        <v>10.08241736728532</v>
      </c>
      <c r="S1015" s="2">
        <v>10.14</v>
      </c>
      <c r="T1015" s="1">
        <f t="shared" si="228"/>
        <v>7.2443596007498811E-11</v>
      </c>
      <c r="U1015" s="1">
        <f t="shared" si="229"/>
        <v>1.3941881072489175E-4</v>
      </c>
      <c r="V1015" s="1">
        <f t="shared" si="230"/>
        <v>0.1002049459305222</v>
      </c>
      <c r="W1015" s="1">
        <f t="shared" si="231"/>
        <v>-6.8315310174072447E-5</v>
      </c>
      <c r="X1015" s="1">
        <f t="shared" si="232"/>
        <v>2.7862145220579443E-5</v>
      </c>
      <c r="Y1015" s="1">
        <f t="shared" si="233"/>
        <v>-1.3653734443778878E-3</v>
      </c>
      <c r="Z1015" s="1">
        <f t="shared" si="234"/>
        <v>-6.8268672218894391E-2</v>
      </c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</row>
    <row r="1016" spans="1:44" ht="15" customHeight="1" x14ac:dyDescent="0.3">
      <c r="A1016" s="2">
        <v>10.15</v>
      </c>
      <c r="B1016" s="1">
        <f t="shared" si="222"/>
        <v>7.079457843841361E-11</v>
      </c>
      <c r="C1016" s="1">
        <f t="shared" si="223"/>
        <v>1.4266629200689854E-4</v>
      </c>
      <c r="D1016" s="1">
        <f t="shared" si="224"/>
        <v>-1.4047250215026182E-4</v>
      </c>
      <c r="E1016" s="1">
        <f t="shared" si="225"/>
        <v>3.3567454170250438E-3</v>
      </c>
      <c r="F1016" s="1">
        <f t="shared" si="226"/>
        <v>0.99986819170186203</v>
      </c>
      <c r="G1016" s="1">
        <f t="shared" si="227"/>
        <v>1.0084402062979891</v>
      </c>
      <c r="H1016" s="1">
        <f t="shared" si="235"/>
        <v>10.084402062979891</v>
      </c>
      <c r="S1016" s="2">
        <v>10.15</v>
      </c>
      <c r="T1016" s="1">
        <f t="shared" si="228"/>
        <v>7.079457843841361E-11</v>
      </c>
      <c r="U1016" s="1">
        <f t="shared" si="229"/>
        <v>1.4266629200689854E-4</v>
      </c>
      <c r="V1016" s="1">
        <f t="shared" si="230"/>
        <v>0.10020991228268364</v>
      </c>
      <c r="W1016" s="1">
        <f t="shared" si="231"/>
        <v>-6.99707608945418E-5</v>
      </c>
      <c r="X1016" s="1">
        <f t="shared" si="232"/>
        <v>2.7227942633728119E-5</v>
      </c>
      <c r="Y1016" s="1">
        <f t="shared" si="233"/>
        <v>-1.3984367210764699E-3</v>
      </c>
      <c r="Z1016" s="1">
        <f t="shared" si="234"/>
        <v>-6.9921836053823502E-2</v>
      </c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</row>
    <row r="1017" spans="1:44" ht="15" customHeight="1" x14ac:dyDescent="0.3">
      <c r="A1017" s="2">
        <v>10.16</v>
      </c>
      <c r="B1017" s="1">
        <f t="shared" si="222"/>
        <v>6.9183097091893483E-11</v>
      </c>
      <c r="C1017" s="1">
        <f t="shared" si="223"/>
        <v>1.4598941684533902E-4</v>
      </c>
      <c r="D1017" s="1">
        <f t="shared" si="224"/>
        <v>-1.4384562972491889E-4</v>
      </c>
      <c r="E1017" s="1">
        <f t="shared" si="225"/>
        <v>3.3573076049541527E-3</v>
      </c>
      <c r="F1017" s="1">
        <f t="shared" si="226"/>
        <v>0.99987119163856197</v>
      </c>
      <c r="G1017" s="1">
        <f t="shared" si="227"/>
        <v>1.0086431706066825</v>
      </c>
      <c r="H1017" s="1">
        <f t="shared" si="235"/>
        <v>10.086431706066824</v>
      </c>
      <c r="S1017" s="2">
        <v>10.16</v>
      </c>
      <c r="T1017" s="1">
        <f t="shared" si="228"/>
        <v>6.9183097091893483E-11</v>
      </c>
      <c r="U1017" s="1">
        <f t="shared" si="229"/>
        <v>1.4598941684533902E-4</v>
      </c>
      <c r="V1017" s="1">
        <f t="shared" si="230"/>
        <v>0.10021498993492595</v>
      </c>
      <c r="W1017" s="1">
        <f t="shared" si="231"/>
        <v>-7.166331164198298E-5</v>
      </c>
      <c r="X1017" s="1">
        <f t="shared" si="232"/>
        <v>2.6608175483040615E-5</v>
      </c>
      <c r="Y1017" s="1">
        <f t="shared" si="233"/>
        <v>-1.4322398423379844E-3</v>
      </c>
      <c r="Z1017" s="1">
        <f t="shared" si="234"/>
        <v>-7.1611992116899212E-2</v>
      </c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</row>
    <row r="1018" spans="1:44" ht="15" customHeight="1" x14ac:dyDescent="0.3">
      <c r="A1018" s="2">
        <v>10.17</v>
      </c>
      <c r="B1018" s="1">
        <f t="shared" si="222"/>
        <v>6.7608297539198024E-11</v>
      </c>
      <c r="C1018" s="1">
        <f t="shared" si="223"/>
        <v>1.4938994720498926E-4</v>
      </c>
      <c r="D1018" s="1">
        <f t="shared" si="224"/>
        <v>-1.4729502486111691E-4</v>
      </c>
      <c r="E1018" s="1">
        <f t="shared" si="225"/>
        <v>3.3578825041435194E-3</v>
      </c>
      <c r="F1018" s="1">
        <f t="shared" si="226"/>
        <v>0.99987412330575753</v>
      </c>
      <c r="G1018" s="1">
        <f t="shared" si="227"/>
        <v>1.0088507381886824</v>
      </c>
      <c r="H1018" s="1">
        <f t="shared" si="235"/>
        <v>10.088507381886824</v>
      </c>
      <c r="S1018" s="2">
        <v>10.17</v>
      </c>
      <c r="T1018" s="1">
        <f t="shared" si="228"/>
        <v>6.7608297539198024E-11</v>
      </c>
      <c r="U1018" s="1">
        <f t="shared" si="229"/>
        <v>1.4938994720498926E-4</v>
      </c>
      <c r="V1018" s="1">
        <f t="shared" si="230"/>
        <v>0.10022018157947567</v>
      </c>
      <c r="W1018" s="1">
        <f t="shared" si="231"/>
        <v>-7.3393859825224996E-5</v>
      </c>
      <c r="X1018" s="1">
        <f t="shared" si="232"/>
        <v>2.6002515212851057E-5</v>
      </c>
      <c r="Y1018" s="1">
        <f t="shared" si="233"/>
        <v>-1.4668006548879356E-3</v>
      </c>
      <c r="Z1018" s="1">
        <f t="shared" si="234"/>
        <v>-7.3340032744396794E-2</v>
      </c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</row>
    <row r="1019" spans="1:44" ht="15" customHeight="1" x14ac:dyDescent="0.3">
      <c r="A1019" s="2">
        <v>10.18</v>
      </c>
      <c r="B1019" s="1">
        <f t="shared" si="222"/>
        <v>6.606934480075945E-11</v>
      </c>
      <c r="C1019" s="1">
        <f t="shared" si="223"/>
        <v>1.5286968609205736E-4</v>
      </c>
      <c r="D1019" s="1">
        <f t="shared" si="224"/>
        <v>-1.5082251645731208E-4</v>
      </c>
      <c r="E1019" s="1">
        <f t="shared" si="225"/>
        <v>3.3584704194095519E-3</v>
      </c>
      <c r="F1019" s="1">
        <f t="shared" si="226"/>
        <v>0.99987698825666926</v>
      </c>
      <c r="G1019" s="1">
        <f t="shared" si="227"/>
        <v>1.0090630200623638</v>
      </c>
      <c r="H1019" s="1">
        <f t="shared" si="235"/>
        <v>10.090630200623638</v>
      </c>
      <c r="S1019" s="2">
        <v>10.18</v>
      </c>
      <c r="T1019" s="1">
        <f t="shared" si="228"/>
        <v>6.606934480075945E-11</v>
      </c>
      <c r="U1019" s="1">
        <f t="shared" si="229"/>
        <v>1.5286968609205736E-4</v>
      </c>
      <c r="V1019" s="1">
        <f t="shared" si="230"/>
        <v>0.10022548996900006</v>
      </c>
      <c r="W1019" s="1">
        <f t="shared" si="231"/>
        <v>-7.5163323000019362E-5</v>
      </c>
      <c r="X1019" s="1">
        <f t="shared" si="232"/>
        <v>2.5410640744759414E-5</v>
      </c>
      <c r="Y1019" s="1">
        <f t="shared" si="233"/>
        <v>-1.502137403611806E-3</v>
      </c>
      <c r="Z1019" s="1">
        <f t="shared" si="234"/>
        <v>-7.5106870180590313E-2</v>
      </c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</row>
    <row r="1020" spans="1:44" ht="15" customHeight="1" x14ac:dyDescent="0.3">
      <c r="A1020" s="2">
        <v>10.19</v>
      </c>
      <c r="B1020" s="1">
        <f t="shared" si="222"/>
        <v>6.4565422903465416E-11</v>
      </c>
      <c r="C1020" s="1">
        <f t="shared" si="223"/>
        <v>1.5643047851016093E-4</v>
      </c>
      <c r="D1020" s="1">
        <f t="shared" si="224"/>
        <v>-1.5442997482049668E-4</v>
      </c>
      <c r="E1020" s="1">
        <f t="shared" si="225"/>
        <v>3.3590716624700826E-3</v>
      </c>
      <c r="F1020" s="1">
        <f t="shared" si="226"/>
        <v>0.99987978800919841</v>
      </c>
      <c r="G1020" s="1">
        <f t="shared" si="227"/>
        <v>1.0092801297913299</v>
      </c>
      <c r="H1020" s="1">
        <f t="shared" si="235"/>
        <v>10.092801297913297</v>
      </c>
      <c r="S1020" s="2">
        <v>10.19</v>
      </c>
      <c r="T1020" s="1">
        <f t="shared" si="228"/>
        <v>6.4565422903465416E-11</v>
      </c>
      <c r="U1020" s="1">
        <f t="shared" si="229"/>
        <v>1.5643047851016093E-4</v>
      </c>
      <c r="V1020" s="1">
        <f t="shared" si="230"/>
        <v>0.10023091791806658</v>
      </c>
      <c r="W1020" s="1">
        <f t="shared" si="231"/>
        <v>-7.6972639355532229E-5</v>
      </c>
      <c r="X1020" s="1">
        <f t="shared" si="232"/>
        <v>2.4832238307499018E-5</v>
      </c>
      <c r="Y1020" s="1">
        <f t="shared" si="233"/>
        <v>-1.5382687410602695E-3</v>
      </c>
      <c r="Z1020" s="1">
        <f t="shared" si="234"/>
        <v>-7.691343705301347E-2</v>
      </c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</row>
    <row r="1021" spans="1:44" ht="15" customHeight="1" x14ac:dyDescent="0.3">
      <c r="A1021" s="2">
        <v>10.199999999999999</v>
      </c>
      <c r="B1021" s="1">
        <f t="shared" si="222"/>
        <v>6.3095734448019192E-11</v>
      </c>
      <c r="C1021" s="1">
        <f t="shared" si="223"/>
        <v>1.600742124385728E-4</v>
      </c>
      <c r="D1021" s="1">
        <f t="shared" si="224"/>
        <v>-1.5811931265778564E-4</v>
      </c>
      <c r="E1021" s="1">
        <f t="shared" si="225"/>
        <v>3.3596865521096303E-3</v>
      </c>
      <c r="F1021" s="1">
        <f t="shared" si="226"/>
        <v>0.99988252404672706</v>
      </c>
      <c r="G1021" s="1">
        <f t="shared" si="227"/>
        <v>1.0095021835467788</v>
      </c>
      <c r="H1021" s="1">
        <f t="shared" si="235"/>
        <v>10.095021835467787</v>
      </c>
      <c r="S1021" s="2">
        <v>10.199999999999999</v>
      </c>
      <c r="T1021" s="1">
        <f t="shared" si="228"/>
        <v>6.3095734448019192E-11</v>
      </c>
      <c r="U1021" s="1">
        <f t="shared" si="229"/>
        <v>1.600742124385728E-4</v>
      </c>
      <c r="V1021" s="1">
        <f t="shared" si="230"/>
        <v>0.10023646830463533</v>
      </c>
      <c r="W1021" s="1">
        <f t="shared" si="231"/>
        <v>-7.8822768211777311E-5</v>
      </c>
      <c r="X1021" s="1">
        <f t="shared" si="232"/>
        <v>2.4267001270673525E-5</v>
      </c>
      <c r="Y1021" s="1">
        <f t="shared" si="233"/>
        <v>-1.5752137371626625E-3</v>
      </c>
      <c r="Z1021" s="1">
        <f t="shared" si="234"/>
        <v>-7.8760686858133117E-2</v>
      </c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</row>
    <row r="1022" spans="1:44" ht="15" customHeight="1" x14ac:dyDescent="0.3">
      <c r="A1022" s="2">
        <v>10.210000000000001</v>
      </c>
      <c r="B1022" s="1">
        <f t="shared" si="222"/>
        <v>6.1659500186147878E-11</v>
      </c>
      <c r="C1022" s="1">
        <f t="shared" si="223"/>
        <v>1.6380281983325283E-4</v>
      </c>
      <c r="D1022" s="1">
        <f t="shared" si="224"/>
        <v>-1.6189248609057614E-4</v>
      </c>
      <c r="E1022" s="1">
        <f t="shared" si="225"/>
        <v>3.3603154143484293E-3</v>
      </c>
      <c r="F1022" s="1">
        <f t="shared" si="226"/>
        <v>0.99988519781890428</v>
      </c>
      <c r="G1022" s="1">
        <f t="shared" si="227"/>
        <v>1.0097293001713612</v>
      </c>
      <c r="H1022" s="1">
        <f t="shared" si="235"/>
        <v>10.097293001713611</v>
      </c>
      <c r="S1022" s="2">
        <v>10.210000000000001</v>
      </c>
      <c r="T1022" s="1">
        <f t="shared" si="228"/>
        <v>6.1659500186147878E-11</v>
      </c>
      <c r="U1022" s="1">
        <f t="shared" si="229"/>
        <v>1.6380281983325283E-4</v>
      </c>
      <c r="V1022" s="1">
        <f t="shared" si="230"/>
        <v>0.10024214407158476</v>
      </c>
      <c r="W1022" s="1">
        <f t="shared" si="231"/>
        <v>-8.0714690528252539E-5</v>
      </c>
      <c r="X1022" s="1">
        <f t="shared" si="232"/>
        <v>2.3714629982275409E-5</v>
      </c>
      <c r="Y1022" s="1">
        <f t="shared" si="233"/>
        <v>-1.6129918891534748E-3</v>
      </c>
      <c r="Z1022" s="1">
        <f t="shared" si="234"/>
        <v>-8.0649594457673737E-2</v>
      </c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</row>
    <row r="1023" spans="1:44" ht="15" customHeight="1" x14ac:dyDescent="0.3">
      <c r="A1023" s="2">
        <v>10.220000000000001</v>
      </c>
      <c r="B1023" s="1">
        <f t="shared" si="222"/>
        <v>6.0255958607435443E-11</v>
      </c>
      <c r="C1023" s="1">
        <f t="shared" si="223"/>
        <v>1.6761827765119454E-4</v>
      </c>
      <c r="D1023" s="1">
        <f t="shared" si="224"/>
        <v>-1.6575149569163531E-4</v>
      </c>
      <c r="E1023" s="1">
        <f t="shared" si="225"/>
        <v>3.3609585826152723E-3</v>
      </c>
      <c r="F1023" s="1">
        <f t="shared" si="226"/>
        <v>0.99988781074241151</v>
      </c>
      <c r="G1023" s="1">
        <f t="shared" si="227"/>
        <v>1.0099616012445558</v>
      </c>
      <c r="H1023" s="1">
        <f t="shared" si="235"/>
        <v>10.099616012445557</v>
      </c>
      <c r="S1023" s="2">
        <v>10.220000000000001</v>
      </c>
      <c r="T1023" s="1">
        <f t="shared" si="228"/>
        <v>6.0255958607435443E-11</v>
      </c>
      <c r="U1023" s="1">
        <f t="shared" si="229"/>
        <v>1.6761827765119454E-4</v>
      </c>
      <c r="V1023" s="1">
        <f t="shared" si="230"/>
        <v>0.10024794822827214</v>
      </c>
      <c r="W1023" s="1">
        <f t="shared" si="231"/>
        <v>-8.2649409424049921E-5</v>
      </c>
      <c r="X1023" s="1">
        <f t="shared" si="232"/>
        <v>2.3174831609900472E-5</v>
      </c>
      <c r="Y1023" s="1">
        <f t="shared" si="233"/>
        <v>-1.6516231317167233E-3</v>
      </c>
      <c r="Z1023" s="1">
        <f t="shared" si="234"/>
        <v>-8.2581156585836174E-2</v>
      </c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</row>
    <row r="1024" spans="1:44" ht="15" customHeight="1" x14ac:dyDescent="0.3">
      <c r="A1024" s="2">
        <v>10.23</v>
      </c>
      <c r="B1024" s="1">
        <f t="shared" si="222"/>
        <v>5.8884365535558786E-11</v>
      </c>
      <c r="C1024" s="1">
        <f t="shared" si="223"/>
        <v>1.715226088986365E-4</v>
      </c>
      <c r="D1024" s="1">
        <f t="shared" si="224"/>
        <v>-1.6969838754583551E-4</v>
      </c>
      <c r="E1024" s="1">
        <f t="shared" si="225"/>
        <v>3.3616163979243063E-3</v>
      </c>
      <c r="F1024" s="1">
        <f t="shared" si="226"/>
        <v>0.99989036420171196</v>
      </c>
      <c r="G1024" s="1">
        <f t="shared" si="227"/>
        <v>1.0101992111496134</v>
      </c>
      <c r="H1024" s="1">
        <f t="shared" si="235"/>
        <v>10.101992111496134</v>
      </c>
      <c r="S1024" s="2">
        <v>10.23</v>
      </c>
      <c r="T1024" s="1">
        <f t="shared" si="228"/>
        <v>5.8884365535558786E-11</v>
      </c>
      <c r="U1024" s="1">
        <f t="shared" si="229"/>
        <v>1.715226088986365E-4</v>
      </c>
      <c r="V1024" s="1">
        <f t="shared" si="230"/>
        <v>0.10025388385212915</v>
      </c>
      <c r="W1024" s="1">
        <f t="shared" si="231"/>
        <v>-8.4627950709717089E-5</v>
      </c>
      <c r="X1024" s="1">
        <f t="shared" si="232"/>
        <v>2.2647319985573213E-5</v>
      </c>
      <c r="Y1024" s="1">
        <f t="shared" si="233"/>
        <v>-1.6911278473532452E-3</v>
      </c>
      <c r="Z1024" s="1">
        <f t="shared" si="234"/>
        <v>-8.455639236766227E-2</v>
      </c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</row>
    <row r="1025" spans="1:44" ht="15" customHeight="1" x14ac:dyDescent="0.3">
      <c r="A1025" s="2">
        <v>10.24</v>
      </c>
      <c r="B1025" s="1">
        <f t="shared" si="222"/>
        <v>5.7543993733715601E-11</v>
      </c>
      <c r="C1025" s="1">
        <f t="shared" si="223"/>
        <v>1.7551788370368719E-4</v>
      </c>
      <c r="D1025" s="1">
        <f t="shared" si="224"/>
        <v>-1.7373525433495889E-4</v>
      </c>
      <c r="E1025" s="1">
        <f t="shared" si="225"/>
        <v>3.3622892090558261E-3</v>
      </c>
      <c r="F1025" s="1">
        <f t="shared" si="226"/>
        <v>0.99989285954978235</v>
      </c>
      <c r="G1025" s="1">
        <f t="shared" si="227"/>
        <v>1.0104422571421017</v>
      </c>
      <c r="H1025" s="1">
        <f t="shared" si="235"/>
        <v>10.104422571421017</v>
      </c>
      <c r="S1025" s="2">
        <v>10.24</v>
      </c>
      <c r="T1025" s="1">
        <f t="shared" si="228"/>
        <v>5.7543993733715601E-11</v>
      </c>
      <c r="U1025" s="1">
        <f t="shared" si="229"/>
        <v>1.7551788370368719E-4</v>
      </c>
      <c r="V1025" s="1">
        <f t="shared" si="230"/>
        <v>0.10025995409029344</v>
      </c>
      <c r="W1025" s="1">
        <f t="shared" si="231"/>
        <v>-8.6651363431149481E-5</v>
      </c>
      <c r="X1025" s="1">
        <f t="shared" si="232"/>
        <v>2.2131815454102228E-5</v>
      </c>
      <c r="Y1025" s="1">
        <f t="shared" si="233"/>
        <v>-1.7315268769759131E-3</v>
      </c>
      <c r="Z1025" s="1">
        <f t="shared" si="234"/>
        <v>-8.6576343848795659E-2</v>
      </c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</row>
    <row r="1026" spans="1:44" ht="15" customHeight="1" x14ac:dyDescent="0.3">
      <c r="A1026" s="2">
        <v>10.25</v>
      </c>
      <c r="B1026" s="1">
        <f t="shared" si="222"/>
        <v>5.6234132519034822E-11</v>
      </c>
      <c r="C1026" s="1">
        <f t="shared" si="223"/>
        <v>1.7960622041393145E-4</v>
      </c>
      <c r="D1026" s="1">
        <f t="shared" si="224"/>
        <v>-1.7786423644726909E-4</v>
      </c>
      <c r="E1026" s="1">
        <f t="shared" si="225"/>
        <v>3.3629773727412121E-3</v>
      </c>
      <c r="F1026" s="1">
        <f t="shared" si="226"/>
        <v>0.99989529810882893</v>
      </c>
      <c r="G1026" s="1">
        <f t="shared" si="227"/>
        <v>1.0106908694200998</v>
      </c>
      <c r="H1026" s="1">
        <f t="shared" si="235"/>
        <v>10.106908694200998</v>
      </c>
      <c r="S1026" s="2">
        <v>10.25</v>
      </c>
      <c r="T1026" s="1">
        <f t="shared" si="228"/>
        <v>5.6234132519034822E-11</v>
      </c>
      <c r="U1026" s="1">
        <f t="shared" si="229"/>
        <v>1.7960622041393145E-4</v>
      </c>
      <c r="V1026" s="1">
        <f t="shared" si="230"/>
        <v>0.1002661621612774</v>
      </c>
      <c r="W1026" s="1">
        <f t="shared" si="231"/>
        <v>-8.8720720425800509E-5</v>
      </c>
      <c r="X1026" s="1">
        <f t="shared" si="232"/>
        <v>2.162804472488524E-5</v>
      </c>
      <c r="Y1026" s="1">
        <f t="shared" si="233"/>
        <v>-1.7728415307379315E-3</v>
      </c>
      <c r="Z1026" s="1">
        <f t="shared" si="234"/>
        <v>-8.8642076536896583E-2</v>
      </c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</row>
    <row r="1027" spans="1:44" ht="15" customHeight="1" x14ac:dyDescent="0.3">
      <c r="A1027" s="2">
        <v>10.26</v>
      </c>
      <c r="B1027" s="1">
        <f t="shared" ref="B1027:B1090" si="236">10^(-A1027)</f>
        <v>5.4954087385762376E-11</v>
      </c>
      <c r="C1027" s="1">
        <f t="shared" ref="C1027:C1090" si="237">Kw/B1027</f>
        <v>1.8378978671960858E-4</v>
      </c>
      <c r="D1027" s="1">
        <f t="shared" ref="D1027:D1090" si="238">((WASB_Ca*WASB_Va)-(WASB_Cb*H1027))/(WASB_Va+H1027)</f>
        <v>-1.820875231123116E-4</v>
      </c>
      <c r="E1027" s="1">
        <f t="shared" ref="E1027:E1090" si="239">(WASB_Ca*H1027)/(WASB_Va+H1027)</f>
        <v>3.3636812538520517E-3</v>
      </c>
      <c r="F1027" s="1">
        <f t="shared" ref="F1027:F1090" si="240">WASB_Ka/(B1027+WASB_Ka)</f>
        <v>0.9998976811709861</v>
      </c>
      <c r="G1027" s="1">
        <f t="shared" ref="G1027:G1090" si="241">(F1027-((B1027-C1027)/WASB_Ca)) / (1 + ((B1027-C1027)/WASB_Cb))</f>
        <v>1.0109451811960788</v>
      </c>
      <c r="H1027" s="1">
        <f t="shared" si="235"/>
        <v>10.109451811960787</v>
      </c>
      <c r="S1027" s="2">
        <v>10.26</v>
      </c>
      <c r="T1027" s="1">
        <f t="shared" ref="T1027:T1090" si="242">10^-S1027</f>
        <v>5.4954087385762376E-11</v>
      </c>
      <c r="U1027" s="1">
        <f t="shared" ref="U1027:U1090" si="243">Kw/T1027</f>
        <v>1.8378978671960858E-4</v>
      </c>
      <c r="V1027" s="1">
        <f t="shared" ref="V1027:V1090" si="244">((SAWB_Cb*SAWB_Vb)-(SAWB_Ca*Z1027))/(Z1027+SAWB_Vb)</f>
        <v>0.10027251135667453</v>
      </c>
      <c r="W1027" s="1">
        <f t="shared" ref="W1027:W1090" si="245">(SAWB_Cb*Z1027)/(Z1027+SAWB_Vb)</f>
        <v>-9.0837118891509713E-5</v>
      </c>
      <c r="X1027" s="1">
        <f t="shared" ref="X1027:X1090" si="246">T1027/(T1027+SAWB_Ka)</f>
        <v>2.113574072708442E-5</v>
      </c>
      <c r="Y1027" s="1">
        <f t="shared" ref="Y1027:Y1090" si="247">(X1027+((T1027-U1027)/SAWB_Cb))/(1-((T1027-U1027)/SAWB_Ca))</f>
        <v>-1.8150935990995879E-3</v>
      </c>
      <c r="Z1027" s="1">
        <f t="shared" ref="Z1027:Z1090" si="248">(Y1027*SAWB_Cb*SAWB_Vb)/SAWB_Ca</f>
        <v>-9.0754679954979392E-2</v>
      </c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</row>
    <row r="1028" spans="1:44" ht="15" customHeight="1" x14ac:dyDescent="0.3">
      <c r="A1028" s="2">
        <v>10.27</v>
      </c>
      <c r="B1028" s="1">
        <f t="shared" si="236"/>
        <v>5.3703179637025198E-11</v>
      </c>
      <c r="C1028" s="1">
        <f t="shared" si="237"/>
        <v>1.8807080080294986E-4</v>
      </c>
      <c r="D1028" s="1">
        <f t="shared" si="238"/>
        <v>-1.8640735356168398E-4</v>
      </c>
      <c r="E1028" s="1">
        <f t="shared" si="239"/>
        <v>3.3644012255936136E-3</v>
      </c>
      <c r="F1028" s="1">
        <f t="shared" si="240"/>
        <v>0.99990000999900008</v>
      </c>
      <c r="G1028" s="1">
        <f t="shared" si="241"/>
        <v>1.0112053287705201</v>
      </c>
      <c r="H1028" s="1">
        <f t="shared" ref="H1028:H1091" si="249">G1028*(WASB_Va * WASB_Ca)/WASB_Cb</f>
        <v>10.1120532877052</v>
      </c>
      <c r="S1028" s="2">
        <v>10.27</v>
      </c>
      <c r="T1028" s="1">
        <f t="shared" si="242"/>
        <v>5.3703179637025198E-11</v>
      </c>
      <c r="U1028" s="1">
        <f t="shared" si="243"/>
        <v>1.8807080080294986E-4</v>
      </c>
      <c r="V1028" s="1">
        <f t="shared" si="244"/>
        <v>0.10027900504290474</v>
      </c>
      <c r="W1028" s="1">
        <f t="shared" si="245"/>
        <v>-9.3001680968245645E-5</v>
      </c>
      <c r="X1028" s="1">
        <f t="shared" si="246"/>
        <v>2.0654642468096304E-5</v>
      </c>
      <c r="Y1028" s="1">
        <f t="shared" si="247"/>
        <v>-1.8583053641387406E-3</v>
      </c>
      <c r="Z1028" s="1">
        <f t="shared" si="248"/>
        <v>-9.2915268206937032E-2</v>
      </c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</row>
    <row r="1029" spans="1:44" ht="15" customHeight="1" x14ac:dyDescent="0.3">
      <c r="A1029" s="2">
        <v>10.28</v>
      </c>
      <c r="B1029" s="1">
        <f t="shared" si="236"/>
        <v>5.2480746024977191E-11</v>
      </c>
      <c r="C1029" s="1">
        <f t="shared" si="237"/>
        <v>1.924515325142882E-4</v>
      </c>
      <c r="D1029" s="1">
        <f t="shared" si="238"/>
        <v>-1.9082601821625468E-4</v>
      </c>
      <c r="E1029" s="1">
        <f t="shared" si="239"/>
        <v>3.3651376697027089E-3</v>
      </c>
      <c r="F1029" s="1">
        <f t="shared" si="240"/>
        <v>0.99990228582689711</v>
      </c>
      <c r="G1029" s="1">
        <f t="shared" si="241"/>
        <v>1.0114714516073091</v>
      </c>
      <c r="H1029" s="1">
        <f t="shared" si="249"/>
        <v>10.114714516073091</v>
      </c>
      <c r="S1029" s="2">
        <v>10.28</v>
      </c>
      <c r="T1029" s="1">
        <f t="shared" si="242"/>
        <v>5.2480746024977191E-11</v>
      </c>
      <c r="U1029" s="1">
        <f t="shared" si="243"/>
        <v>1.924515325142882E-4</v>
      </c>
      <c r="V1029" s="1">
        <f t="shared" si="244"/>
        <v>0.10028564666299923</v>
      </c>
      <c r="W1029" s="1">
        <f t="shared" si="245"/>
        <v>-9.5215554333073844E-5</v>
      </c>
      <c r="X1029" s="1">
        <f t="shared" si="246"/>
        <v>2.0184494895241136E-5</v>
      </c>
      <c r="Y1029" s="1">
        <f t="shared" si="247"/>
        <v>-1.9024996111105732E-3</v>
      </c>
      <c r="Z1029" s="1">
        <f t="shared" si="248"/>
        <v>-9.5124980555528663E-2</v>
      </c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</row>
    <row r="1030" spans="1:44" ht="15" customHeight="1" x14ac:dyDescent="0.3">
      <c r="A1030" s="2">
        <v>10.29</v>
      </c>
      <c r="B1030" s="1">
        <f t="shared" si="236"/>
        <v>5.1286138399136428E-11</v>
      </c>
      <c r="C1030" s="1">
        <f t="shared" si="237"/>
        <v>1.9693430457556278E-4</v>
      </c>
      <c r="D1030" s="1">
        <f t="shared" si="238"/>
        <v>-1.953458599005764E-4</v>
      </c>
      <c r="E1030" s="1">
        <f t="shared" si="239"/>
        <v>3.3658909766500962E-3</v>
      </c>
      <c r="F1030" s="1">
        <f t="shared" si="240"/>
        <v>0.99990450986063528</v>
      </c>
      <c r="G1030" s="1">
        <f t="shared" si="241"/>
        <v>1.0117436924109589</v>
      </c>
      <c r="H1030" s="1">
        <f t="shared" si="249"/>
        <v>10.117436924109589</v>
      </c>
      <c r="S1030" s="2">
        <v>10.29</v>
      </c>
      <c r="T1030" s="1">
        <f t="shared" si="242"/>
        <v>5.1286138399136428E-11</v>
      </c>
      <c r="U1030" s="1">
        <f t="shared" si="243"/>
        <v>1.9693430457556278E-4</v>
      </c>
      <c r="V1030" s="1">
        <f t="shared" si="244"/>
        <v>0.100292439738426</v>
      </c>
      <c r="W1030" s="1">
        <f t="shared" si="245"/>
        <v>-9.7479912808665588E-5</v>
      </c>
      <c r="X1030" s="1">
        <f t="shared" si="246"/>
        <v>1.9725048760598368E-5</v>
      </c>
      <c r="Y1030" s="1">
        <f t="shared" si="247"/>
        <v>-1.9476996402622096E-3</v>
      </c>
      <c r="Z1030" s="1">
        <f t="shared" si="248"/>
        <v>-9.7384982013110466E-2</v>
      </c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</row>
    <row r="1031" spans="1:44" ht="15" customHeight="1" x14ac:dyDescent="0.3">
      <c r="A1031" s="2">
        <v>10.3</v>
      </c>
      <c r="B1031" s="1">
        <f t="shared" si="236"/>
        <v>5.0118723362726993E-11</v>
      </c>
      <c r="C1031" s="1">
        <f t="shared" si="237"/>
        <v>2.0152149381185778E-4</v>
      </c>
      <c r="D1031" s="1">
        <f t="shared" si="238"/>
        <v>-1.9996927508504414E-4</v>
      </c>
      <c r="E1031" s="1">
        <f t="shared" si="239"/>
        <v>3.3666615458475073E-3</v>
      </c>
      <c r="F1031" s="1">
        <f t="shared" si="240"/>
        <v>0.99990668327874344</v>
      </c>
      <c r="G1031" s="1">
        <f t="shared" si="241"/>
        <v>1.0120221972057042</v>
      </c>
      <c r="H1031" s="1">
        <f t="shared" si="249"/>
        <v>10.120221972057042</v>
      </c>
      <c r="S1031" s="2">
        <v>10.3</v>
      </c>
      <c r="T1031" s="1">
        <f t="shared" si="242"/>
        <v>5.0118723362726993E-11</v>
      </c>
      <c r="U1031" s="1">
        <f t="shared" si="243"/>
        <v>2.0152149381185778E-4</v>
      </c>
      <c r="V1031" s="1">
        <f t="shared" si="244"/>
        <v>0.100299387870957</v>
      </c>
      <c r="W1031" s="1">
        <f t="shared" si="245"/>
        <v>-9.9795956985669667E-5</v>
      </c>
      <c r="X1031" s="1">
        <f t="shared" si="246"/>
        <v>1.9276060488916857E-5</v>
      </c>
      <c r="Y1031" s="1">
        <f t="shared" si="247"/>
        <v>-1.9939292789078896E-3</v>
      </c>
      <c r="Z1031" s="1">
        <f t="shared" si="248"/>
        <v>-9.9696463945394484E-2</v>
      </c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</row>
    <row r="1032" spans="1:44" ht="15" customHeight="1" x14ac:dyDescent="0.3">
      <c r="A1032" s="2">
        <v>10.31</v>
      </c>
      <c r="B1032" s="1">
        <f t="shared" si="236"/>
        <v>4.8977881936844399E-11</v>
      </c>
      <c r="C1032" s="1">
        <f t="shared" si="237"/>
        <v>2.0621553241162338E-4</v>
      </c>
      <c r="D1032" s="1">
        <f t="shared" si="238"/>
        <v>-2.0469871515650678E-4</v>
      </c>
      <c r="E1032" s="1">
        <f t="shared" si="239"/>
        <v>3.3674497858594177E-3</v>
      </c>
      <c r="F1032" s="1">
        <f t="shared" si="240"/>
        <v>0.99990880723294362</v>
      </c>
      <c r="G1032" s="1">
        <f t="shared" si="241"/>
        <v>1.0123071154165209</v>
      </c>
      <c r="H1032" s="1">
        <f t="shared" si="249"/>
        <v>10.123071154165208</v>
      </c>
      <c r="S1032" s="2">
        <v>10.31</v>
      </c>
      <c r="T1032" s="1">
        <f t="shared" si="242"/>
        <v>4.8977881936844399E-11</v>
      </c>
      <c r="U1032" s="1">
        <f t="shared" si="243"/>
        <v>2.0621553241162338E-4</v>
      </c>
      <c r="V1032" s="1">
        <f t="shared" si="244"/>
        <v>0.10030649474457783</v>
      </c>
      <c r="W1032" s="1">
        <f t="shared" si="245"/>
        <v>-1.0216491485927505E-4</v>
      </c>
      <c r="X1032" s="1">
        <f t="shared" si="246"/>
        <v>1.8837292048530168E-5</v>
      </c>
      <c r="Y1032" s="1">
        <f t="shared" si="247"/>
        <v>-2.041212893770484E-3</v>
      </c>
      <c r="Z1032" s="1">
        <f t="shared" si="248"/>
        <v>-0.10206064468852419</v>
      </c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</row>
    <row r="1033" spans="1:44" ht="15" customHeight="1" x14ac:dyDescent="0.3">
      <c r="A1033" s="2">
        <v>10.32</v>
      </c>
      <c r="B1033" s="1">
        <f t="shared" si="236"/>
        <v>4.786300923226362E-11</v>
      </c>
      <c r="C1033" s="1">
        <f t="shared" si="237"/>
        <v>2.1101890921625891E-4</v>
      </c>
      <c r="D1033" s="1">
        <f t="shared" si="238"/>
        <v>-2.0953668771805204E-4</v>
      </c>
      <c r="E1033" s="1">
        <f t="shared" si="239"/>
        <v>3.3682561146196749E-3</v>
      </c>
      <c r="F1033" s="1">
        <f t="shared" si="240"/>
        <v>0.99991088284876117</v>
      </c>
      <c r="G1033" s="1">
        <f t="shared" si="241"/>
        <v>1.0125985999521216</v>
      </c>
      <c r="H1033" s="1">
        <f t="shared" si="249"/>
        <v>10.125985999521216</v>
      </c>
      <c r="S1033" s="2">
        <v>10.32</v>
      </c>
      <c r="T1033" s="1">
        <f t="shared" si="242"/>
        <v>4.786300923226362E-11</v>
      </c>
      <c r="U1033" s="1">
        <f t="shared" si="243"/>
        <v>2.1101890921625891E-4</v>
      </c>
      <c r="V1033" s="1">
        <f t="shared" si="244"/>
        <v>0.10031376412744092</v>
      </c>
      <c r="W1033" s="1">
        <f t="shared" si="245"/>
        <v>-1.0458804248030837E-4</v>
      </c>
      <c r="X1033" s="1">
        <f t="shared" si="246"/>
        <v>1.8408510825207706E-5</v>
      </c>
      <c r="Y1033" s="1">
        <f t="shared" si="247"/>
        <v>-2.0895754035953969E-3</v>
      </c>
      <c r="Z1033" s="1">
        <f t="shared" si="248"/>
        <v>-0.10447877017976985</v>
      </c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</row>
    <row r="1034" spans="1:44" ht="15" customHeight="1" x14ac:dyDescent="0.3">
      <c r="A1034" s="2">
        <v>10.33</v>
      </c>
      <c r="B1034" s="1">
        <f t="shared" si="236"/>
        <v>4.6773514128719782E-11</v>
      </c>
      <c r="C1034" s="1">
        <f t="shared" si="237"/>
        <v>2.1593417103972561E-4</v>
      </c>
      <c r="D1034" s="1">
        <f t="shared" si="238"/>
        <v>-2.1448575791848399E-4</v>
      </c>
      <c r="E1034" s="1">
        <f t="shared" si="239"/>
        <v>3.369080959653081E-3</v>
      </c>
      <c r="F1034" s="1">
        <f t="shared" si="240"/>
        <v>0.99991291122611947</v>
      </c>
      <c r="G1034" s="1">
        <f t="shared" si="241"/>
        <v>1.0128968072899722</v>
      </c>
      <c r="H1034" s="1">
        <f t="shared" si="249"/>
        <v>10.128968072899722</v>
      </c>
      <c r="S1034" s="2">
        <v>10.33</v>
      </c>
      <c r="T1034" s="1">
        <f t="shared" si="242"/>
        <v>4.6773514128719782E-11</v>
      </c>
      <c r="U1034" s="1">
        <f t="shared" si="243"/>
        <v>2.1593417103972561E-4</v>
      </c>
      <c r="V1034" s="1">
        <f t="shared" si="244"/>
        <v>0.10032119987386361</v>
      </c>
      <c r="W1034" s="1">
        <f t="shared" si="245"/>
        <v>-1.0706662462120229E-4</v>
      </c>
      <c r="X1034" s="1">
        <f t="shared" si="246"/>
        <v>1.7989489498876359E-5</v>
      </c>
      <c r="Y1034" s="1">
        <f t="shared" si="247"/>
        <v>-2.1390422920427353E-3</v>
      </c>
      <c r="Z1034" s="1">
        <f t="shared" si="248"/>
        <v>-0.10695211460213677</v>
      </c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</row>
    <row r="1035" spans="1:44" ht="15" customHeight="1" x14ac:dyDescent="0.3">
      <c r="A1035" s="2">
        <v>10.34</v>
      </c>
      <c r="B1035" s="1">
        <f t="shared" si="236"/>
        <v>4.5708818961487472E-11</v>
      </c>
      <c r="C1035" s="1">
        <f t="shared" si="237"/>
        <v>2.2096392401890495E-4</v>
      </c>
      <c r="D1035" s="1">
        <f t="shared" si="238"/>
        <v>-2.1954854981243933E-4</v>
      </c>
      <c r="E1035" s="1">
        <f t="shared" si="239"/>
        <v>3.3699247583020733E-3</v>
      </c>
      <c r="F1035" s="1">
        <f t="shared" si="240"/>
        <v>0.99991489343992268</v>
      </c>
      <c r="G1035" s="1">
        <f t="shared" si="241"/>
        <v>1.0132018975633945</v>
      </c>
      <c r="H1035" s="1">
        <f t="shared" si="249"/>
        <v>10.132018975633944</v>
      </c>
      <c r="S1035" s="2">
        <v>10.34</v>
      </c>
      <c r="T1035" s="1">
        <f t="shared" si="242"/>
        <v>4.5708818961487472E-11</v>
      </c>
      <c r="U1035" s="1">
        <f t="shared" si="243"/>
        <v>2.2096392401890495E-4</v>
      </c>
      <c r="V1035" s="1">
        <f t="shared" si="244"/>
        <v>0.1003288059263716</v>
      </c>
      <c r="W1035" s="1">
        <f t="shared" si="245"/>
        <v>-1.0960197545719682E-4</v>
      </c>
      <c r="X1035" s="1">
        <f t="shared" si="246"/>
        <v>1.7580005923145916E-5</v>
      </c>
      <c r="Y1035" s="1">
        <f t="shared" si="247"/>
        <v>-2.189639620864076E-3</v>
      </c>
      <c r="Z1035" s="1">
        <f t="shared" si="248"/>
        <v>-0.10948198104320379</v>
      </c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</row>
    <row r="1036" spans="1:44" ht="15" customHeight="1" x14ac:dyDescent="0.3">
      <c r="A1036" s="2">
        <v>10.35</v>
      </c>
      <c r="B1036" s="1">
        <f t="shared" si="236"/>
        <v>4.4668359215096281E-11</v>
      </c>
      <c r="C1036" s="1">
        <f t="shared" si="237"/>
        <v>2.2611083499540245E-4</v>
      </c>
      <c r="D1036" s="1">
        <f t="shared" si="238"/>
        <v>-2.2472774775165959E-4</v>
      </c>
      <c r="E1036" s="1">
        <f t="shared" si="239"/>
        <v>3.3707879579586097E-3</v>
      </c>
      <c r="F1036" s="1">
        <f t="shared" si="240"/>
        <v>0.99991683054062408</v>
      </c>
      <c r="G1036" s="1">
        <f t="shared" si="241"/>
        <v>1.0135140346508007</v>
      </c>
      <c r="H1036" s="1">
        <f t="shared" si="249"/>
        <v>10.135140346508006</v>
      </c>
      <c r="S1036" s="2">
        <v>10.35</v>
      </c>
      <c r="T1036" s="1">
        <f t="shared" si="242"/>
        <v>4.4668359215096281E-11</v>
      </c>
      <c r="U1036" s="1">
        <f t="shared" si="243"/>
        <v>2.2611083499540245E-4</v>
      </c>
      <c r="V1036" s="1">
        <f t="shared" si="244"/>
        <v>0.10033658631778937</v>
      </c>
      <c r="W1036" s="1">
        <f t="shared" si="245"/>
        <v>-1.1219543926312648E-4</v>
      </c>
      <c r="X1036" s="1">
        <f t="shared" si="246"/>
        <v>1.7179843007575983E-5</v>
      </c>
      <c r="Y1036" s="1">
        <f t="shared" si="247"/>
        <v>-2.2413940433699529E-3</v>
      </c>
      <c r="Z1036" s="1">
        <f t="shared" si="248"/>
        <v>-0.11206970216849765</v>
      </c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</row>
    <row r="1037" spans="1:44" ht="15" customHeight="1" x14ac:dyDescent="0.3">
      <c r="A1037" s="2">
        <v>10.36</v>
      </c>
      <c r="B1037" s="1">
        <f t="shared" si="236"/>
        <v>4.3651583224016577E-11</v>
      </c>
      <c r="C1037" s="1">
        <f t="shared" si="237"/>
        <v>2.3137763292954518E-4</v>
      </c>
      <c r="D1037" s="1">
        <f t="shared" si="238"/>
        <v>-2.3002609780823247E-4</v>
      </c>
      <c r="E1037" s="1">
        <f t="shared" si="239"/>
        <v>3.3716710163013723E-3</v>
      </c>
      <c r="F1037" s="1">
        <f t="shared" si="240"/>
        <v>0.99991872355478095</v>
      </c>
      <c r="G1037" s="1">
        <f t="shared" si="241"/>
        <v>1.0138333862671189</v>
      </c>
      <c r="H1037" s="1">
        <f t="shared" si="249"/>
        <v>10.138333862671189</v>
      </c>
      <c r="S1037" s="2">
        <v>10.36</v>
      </c>
      <c r="T1037" s="1">
        <f t="shared" si="242"/>
        <v>4.3651583224016577E-11</v>
      </c>
      <c r="U1037" s="1">
        <f t="shared" si="243"/>
        <v>2.3137763292954518E-4</v>
      </c>
      <c r="V1037" s="1">
        <f t="shared" si="244"/>
        <v>0.10034454517337853</v>
      </c>
      <c r="W1037" s="1">
        <f t="shared" si="245"/>
        <v>-1.1484839112616995E-4</v>
      </c>
      <c r="X1037" s="1">
        <f t="shared" si="246"/>
        <v>1.6788788602620636E-5</v>
      </c>
      <c r="Y1037" s="1">
        <f t="shared" si="247"/>
        <v>-2.2943328181946228E-3</v>
      </c>
      <c r="Z1037" s="1">
        <f t="shared" si="248"/>
        <v>-0.11471664090973113</v>
      </c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</row>
    <row r="1038" spans="1:44" ht="15" customHeight="1" x14ac:dyDescent="0.3">
      <c r="A1038" s="2">
        <v>10.37</v>
      </c>
      <c r="B1038" s="1">
        <f t="shared" si="236"/>
        <v>4.2657951880159247E-11</v>
      </c>
      <c r="C1038" s="1">
        <f t="shared" si="237"/>
        <v>2.3676711034731221E-4</v>
      </c>
      <c r="D1038" s="1">
        <f t="shared" si="238"/>
        <v>-2.3544640923062757E-4</v>
      </c>
      <c r="E1038" s="1">
        <f t="shared" si="239"/>
        <v>3.3725744015384376E-3</v>
      </c>
      <c r="F1038" s="1">
        <f t="shared" si="240"/>
        <v>0.99992057348559993</v>
      </c>
      <c r="G1038" s="1">
        <f t="shared" si="241"/>
        <v>1.0141601240574736</v>
      </c>
      <c r="H1038" s="1">
        <f t="shared" si="249"/>
        <v>10.141601240574735</v>
      </c>
      <c r="S1038" s="2">
        <v>10.37</v>
      </c>
      <c r="T1038" s="1">
        <f t="shared" si="242"/>
        <v>4.2657951880159247E-11</v>
      </c>
      <c r="U1038" s="1">
        <f t="shared" si="243"/>
        <v>2.3676711034731221E-4</v>
      </c>
      <c r="V1038" s="1">
        <f t="shared" si="244"/>
        <v>0.10035268671302482</v>
      </c>
      <c r="W1038" s="1">
        <f t="shared" si="245"/>
        <v>-1.1756223767493621E-4</v>
      </c>
      <c r="X1038" s="1">
        <f t="shared" si="246"/>
        <v>1.6406635387190919E-5</v>
      </c>
      <c r="Y1038" s="1">
        <f t="shared" si="247"/>
        <v>-2.3484838233645429E-3</v>
      </c>
      <c r="Z1038" s="1">
        <f t="shared" si="248"/>
        <v>-0.11742419116822715</v>
      </c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</row>
    <row r="1039" spans="1:44" ht="15" customHeight="1" x14ac:dyDescent="0.3">
      <c r="A1039" s="2">
        <v>10.38</v>
      </c>
      <c r="B1039" s="1">
        <f t="shared" si="236"/>
        <v>4.168693834703338E-11</v>
      </c>
      <c r="C1039" s="1">
        <f t="shared" si="237"/>
        <v>2.4228212482096945E-4</v>
      </c>
      <c r="D1039" s="1">
        <f t="shared" si="238"/>
        <v>-2.4099155593312524E-4</v>
      </c>
      <c r="E1039" s="1">
        <f t="shared" si="239"/>
        <v>3.3734985926555205E-3</v>
      </c>
      <c r="F1039" s="1">
        <f t="shared" si="240"/>
        <v>0.99992238131346534</v>
      </c>
      <c r="G1039" s="1">
        <f t="shared" si="241"/>
        <v>1.0144944236931692</v>
      </c>
      <c r="H1039" s="1">
        <f t="shared" si="249"/>
        <v>10.144944236931691</v>
      </c>
      <c r="S1039" s="2">
        <v>10.38</v>
      </c>
      <c r="T1039" s="1">
        <f t="shared" si="242"/>
        <v>4.168693834703338E-11</v>
      </c>
      <c r="U1039" s="1">
        <f t="shared" si="243"/>
        <v>2.4228212482096945E-4</v>
      </c>
      <c r="V1039" s="1">
        <f t="shared" si="244"/>
        <v>0.10036101525347582</v>
      </c>
      <c r="W1039" s="1">
        <f t="shared" si="245"/>
        <v>-1.2033841782527417E-4</v>
      </c>
      <c r="X1039" s="1">
        <f t="shared" si="246"/>
        <v>1.6033180758775224E-5</v>
      </c>
      <c r="Y1039" s="1">
        <f t="shared" si="247"/>
        <v>-2.4038755706772422E-3</v>
      </c>
      <c r="Z1039" s="1">
        <f t="shared" si="248"/>
        <v>-0.12019377853386211</v>
      </c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</row>
    <row r="1040" spans="1:44" ht="15" customHeight="1" x14ac:dyDescent="0.3">
      <c r="A1040" s="2">
        <v>10.39</v>
      </c>
      <c r="B1040" s="1">
        <f t="shared" si="236"/>
        <v>4.0738027780411121E-11</v>
      </c>
      <c r="C1040" s="1">
        <f t="shared" si="237"/>
        <v>2.4792560048418898E-4</v>
      </c>
      <c r="D1040" s="1">
        <f t="shared" si="238"/>
        <v>-2.466644780196375E-4</v>
      </c>
      <c r="E1040" s="1">
        <f t="shared" si="239"/>
        <v>3.3744440796699394E-3</v>
      </c>
      <c r="F1040" s="1">
        <f t="shared" si="240"/>
        <v>0.9999241479964599</v>
      </c>
      <c r="G1040" s="1">
        <f t="shared" si="241"/>
        <v>1.0148364649700532</v>
      </c>
      <c r="H1040" s="1">
        <f t="shared" si="249"/>
        <v>10.148364649700531</v>
      </c>
      <c r="S1040" s="2">
        <v>10.39</v>
      </c>
      <c r="T1040" s="1">
        <f t="shared" si="242"/>
        <v>4.0738027780411121E-11</v>
      </c>
      <c r="U1040" s="1">
        <f t="shared" si="243"/>
        <v>2.4792560048418898E-4</v>
      </c>
      <c r="V1040" s="1">
        <f t="shared" si="244"/>
        <v>0.10036953521062961</v>
      </c>
      <c r="W1040" s="1">
        <f t="shared" si="245"/>
        <v>-1.2317840354320034E-4</v>
      </c>
      <c r="X1040" s="1">
        <f t="shared" si="246"/>
        <v>1.5668226726059801E-5</v>
      </c>
      <c r="Y1040" s="1">
        <f t="shared" si="247"/>
        <v>-2.4605372203973354E-3</v>
      </c>
      <c r="Z1040" s="1">
        <f t="shared" si="248"/>
        <v>-0.12302686101986676</v>
      </c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</row>
    <row r="1041" spans="1:44" ht="15" customHeight="1" x14ac:dyDescent="0.3">
      <c r="A1041" s="2">
        <v>10.4</v>
      </c>
      <c r="B1041" s="1">
        <f t="shared" si="236"/>
        <v>3.9810717055349579E-11</v>
      </c>
      <c r="C1041" s="1">
        <f t="shared" si="237"/>
        <v>2.5370052958246852E-4</v>
      </c>
      <c r="D1041" s="1">
        <f t="shared" si="238"/>
        <v>-2.5246818334255234E-4</v>
      </c>
      <c r="E1041" s="1">
        <f t="shared" si="239"/>
        <v>3.3754113638904252E-3</v>
      </c>
      <c r="F1041" s="1">
        <f t="shared" si="240"/>
        <v>0.99992587447087133</v>
      </c>
      <c r="G1041" s="1">
        <f t="shared" si="241"/>
        <v>1.0151864319093091</v>
      </c>
      <c r="H1041" s="1">
        <f t="shared" si="249"/>
        <v>10.151864319093091</v>
      </c>
      <c r="S1041" s="2">
        <v>10.4</v>
      </c>
      <c r="T1041" s="1">
        <f t="shared" si="242"/>
        <v>3.9810717055349579E-11</v>
      </c>
      <c r="U1041" s="1">
        <f t="shared" si="243"/>
        <v>2.5370052958246852E-4</v>
      </c>
      <c r="V1041" s="1">
        <f t="shared" si="244"/>
        <v>0.10037825110187606</v>
      </c>
      <c r="W1041" s="1">
        <f t="shared" si="245"/>
        <v>-1.2608370062535407E-4</v>
      </c>
      <c r="X1041" s="1">
        <f t="shared" si="246"/>
        <v>1.5311579803991666E-5</v>
      </c>
      <c r="Y1041" s="1">
        <f t="shared" si="247"/>
        <v>-2.5184985962766982E-3</v>
      </c>
      <c r="Z1041" s="1">
        <f t="shared" si="248"/>
        <v>-0.12592492981383491</v>
      </c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</row>
    <row r="1042" spans="1:44" ht="15" customHeight="1" x14ac:dyDescent="0.3">
      <c r="A1042" s="2">
        <v>10.41</v>
      </c>
      <c r="B1042" s="1">
        <f t="shared" si="236"/>
        <v>3.8904514499427922E-11</v>
      </c>
      <c r="C1042" s="1">
        <f t="shared" si="237"/>
        <v>2.5960997405965612E-4</v>
      </c>
      <c r="D1042" s="1">
        <f t="shared" si="238"/>
        <v>-2.5840574909753386E-4</v>
      </c>
      <c r="E1042" s="1">
        <f t="shared" si="239"/>
        <v>3.3764009581829222E-3</v>
      </c>
      <c r="F1042" s="1">
        <f t="shared" si="240"/>
        <v>0.99992756165168695</v>
      </c>
      <c r="G1042" s="1">
        <f t="shared" si="241"/>
        <v>1.0155445128607534</v>
      </c>
      <c r="H1042" s="1">
        <f t="shared" si="249"/>
        <v>10.155445128607534</v>
      </c>
      <c r="S1042" s="2">
        <v>10.41</v>
      </c>
      <c r="T1042" s="1">
        <f t="shared" si="242"/>
        <v>3.8904514499427922E-11</v>
      </c>
      <c r="U1042" s="1">
        <f t="shared" si="243"/>
        <v>2.5960997405965612E-4</v>
      </c>
      <c r="V1042" s="1">
        <f t="shared" si="244"/>
        <v>0.10038716754849217</v>
      </c>
      <c r="W1042" s="1">
        <f t="shared" si="245"/>
        <v>-1.2905584949738611E-4</v>
      </c>
      <c r="X1042" s="1">
        <f t="shared" si="246"/>
        <v>1.4963050911229534E-5</v>
      </c>
      <c r="Y1042" s="1">
        <f t="shared" si="247"/>
        <v>-2.5777902009056831E-3</v>
      </c>
      <c r="Z1042" s="1">
        <f t="shared" si="248"/>
        <v>-0.12888951004528415</v>
      </c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</row>
    <row r="1043" spans="1:44" ht="15" customHeight="1" x14ac:dyDescent="0.3">
      <c r="A1043" s="2">
        <v>10.42</v>
      </c>
      <c r="B1043" s="1">
        <f t="shared" si="236"/>
        <v>3.8018939632055986E-11</v>
      </c>
      <c r="C1043" s="1">
        <f t="shared" si="237"/>
        <v>2.656570671814345E-4</v>
      </c>
      <c r="D1043" s="1">
        <f t="shared" si="238"/>
        <v>-2.6448032345507196E-4</v>
      </c>
      <c r="E1043" s="1">
        <f t="shared" si="239"/>
        <v>3.377413387242512E-3</v>
      </c>
      <c r="F1043" s="1">
        <f t="shared" si="240"/>
        <v>0.99992921043307925</v>
      </c>
      <c r="G1043" s="1">
        <f t="shared" si="241"/>
        <v>1.0159109006086988</v>
      </c>
      <c r="H1043" s="1">
        <f t="shared" si="249"/>
        <v>10.159109006086988</v>
      </c>
      <c r="S1043" s="2">
        <v>10.42</v>
      </c>
      <c r="T1043" s="1">
        <f t="shared" si="242"/>
        <v>3.8018939632055986E-11</v>
      </c>
      <c r="U1043" s="1">
        <f t="shared" si="243"/>
        <v>2.656570671814345E-4</v>
      </c>
      <c r="V1043" s="1">
        <f t="shared" si="244"/>
        <v>0.10039628927809213</v>
      </c>
      <c r="W1043" s="1">
        <f t="shared" si="245"/>
        <v>-1.3209642603071055E-4</v>
      </c>
      <c r="X1043" s="1">
        <f t="shared" si="246"/>
        <v>1.4622455269927618E-5</v>
      </c>
      <c r="Y1043" s="1">
        <f t="shared" si="247"/>
        <v>-2.638443231402679E-3</v>
      </c>
      <c r="Z1043" s="1">
        <f t="shared" si="248"/>
        <v>-0.13192216157013395</v>
      </c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</row>
    <row r="1044" spans="1:44" ht="15" customHeight="1" x14ac:dyDescent="0.3">
      <c r="A1044" s="2">
        <v>10.43</v>
      </c>
      <c r="B1044" s="1">
        <f t="shared" si="236"/>
        <v>3.7153522909717256E-11</v>
      </c>
      <c r="C1044" s="1">
        <f t="shared" si="237"/>
        <v>2.7184501519661843E-4</v>
      </c>
      <c r="D1044" s="1">
        <f t="shared" si="238"/>
        <v>-2.7069512722968566E-4</v>
      </c>
      <c r="E1044" s="1">
        <f t="shared" si="239"/>
        <v>3.3784491878716145E-3</v>
      </c>
      <c r="F1044" s="1">
        <f t="shared" si="240"/>
        <v>0.99993082168887792</v>
      </c>
      <c r="G1044" s="1">
        <f t="shared" si="241"/>
        <v>1.0162857924804565</v>
      </c>
      <c r="H1044" s="1">
        <f t="shared" si="249"/>
        <v>10.162857924804564</v>
      </c>
      <c r="S1044" s="2">
        <v>10.43</v>
      </c>
      <c r="T1044" s="1">
        <f t="shared" si="242"/>
        <v>3.7153522909717256E-11</v>
      </c>
      <c r="U1044" s="1">
        <f t="shared" si="243"/>
        <v>2.7184501519661843E-4</v>
      </c>
      <c r="V1044" s="1">
        <f t="shared" si="244"/>
        <v>0.10040562112713415</v>
      </c>
      <c r="W1044" s="1">
        <f t="shared" si="245"/>
        <v>-1.3520704237804935E-4</v>
      </c>
      <c r="X1044" s="1">
        <f t="shared" si="246"/>
        <v>1.4289612307799617E-5</v>
      </c>
      <c r="Y1044" s="1">
        <f t="shared" si="247"/>
        <v>-2.7004895954492523E-3</v>
      </c>
      <c r="Z1044" s="1">
        <f t="shared" si="248"/>
        <v>-0.13502447977246262</v>
      </c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</row>
    <row r="1045" spans="1:44" ht="15" customHeight="1" x14ac:dyDescent="0.3">
      <c r="A1045" s="2">
        <v>10.44</v>
      </c>
      <c r="B1045" s="1">
        <f t="shared" si="236"/>
        <v>3.6307805477010142E-11</v>
      </c>
      <c r="C1045" s="1">
        <f t="shared" si="237"/>
        <v>2.7817709903715473E-4</v>
      </c>
      <c r="D1045" s="1">
        <f t="shared" si="238"/>
        <v>-2.7705345558760543E-4</v>
      </c>
      <c r="E1045" s="1">
        <f t="shared" si="239"/>
        <v>3.3795089092646009E-3</v>
      </c>
      <c r="F1045" s="1">
        <f t="shared" si="240"/>
        <v>0.99993239627303376</v>
      </c>
      <c r="G1045" s="1">
        <f t="shared" si="241"/>
        <v>1.0166693904575443</v>
      </c>
      <c r="H1045" s="1">
        <f t="shared" si="249"/>
        <v>10.166693904575443</v>
      </c>
      <c r="S1045" s="2">
        <v>10.44</v>
      </c>
      <c r="T1045" s="1">
        <f t="shared" si="242"/>
        <v>3.6307805477010142E-11</v>
      </c>
      <c r="U1045" s="1">
        <f t="shared" si="243"/>
        <v>2.7817709903715473E-4</v>
      </c>
      <c r="V1045" s="1">
        <f t="shared" si="244"/>
        <v>0.10041516804348465</v>
      </c>
      <c r="W1045" s="1">
        <f t="shared" si="245"/>
        <v>-1.3838934782821647E-4</v>
      </c>
      <c r="X1045" s="1">
        <f t="shared" si="246"/>
        <v>1.396434556241071E-5</v>
      </c>
      <c r="Y1045" s="1">
        <f t="shared" si="247"/>
        <v>-2.7639619276783947E-3</v>
      </c>
      <c r="Z1045" s="1">
        <f t="shared" si="248"/>
        <v>-0.13819809638391975</v>
      </c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</row>
    <row r="1046" spans="1:44" ht="15" customHeight="1" x14ac:dyDescent="0.3">
      <c r="A1046" s="2">
        <v>10.45</v>
      </c>
      <c r="B1046" s="1">
        <f t="shared" si="236"/>
        <v>3.5481338923357562E-11</v>
      </c>
      <c r="C1046" s="1">
        <f t="shared" si="237"/>
        <v>2.846566760577097E-4</v>
      </c>
      <c r="D1046" s="1">
        <f t="shared" si="238"/>
        <v>-2.8355867979394265E-4</v>
      </c>
      <c r="E1046" s="1">
        <f t="shared" si="239"/>
        <v>3.3805931132989903E-3</v>
      </c>
      <c r="F1046" s="1">
        <f t="shared" si="240"/>
        <v>0.99993393502006922</v>
      </c>
      <c r="G1046" s="1">
        <f t="shared" si="241"/>
        <v>1.0170619012896813</v>
      </c>
      <c r="H1046" s="1">
        <f t="shared" si="249"/>
        <v>10.170619012896813</v>
      </c>
      <c r="S1046" s="2">
        <v>10.45</v>
      </c>
      <c r="T1046" s="1">
        <f t="shared" si="242"/>
        <v>3.5481338923357562E-11</v>
      </c>
      <c r="U1046" s="1">
        <f t="shared" si="243"/>
        <v>2.846566760577097E-4</v>
      </c>
      <c r="V1046" s="1">
        <f t="shared" si="244"/>
        <v>0.10042493508904177</v>
      </c>
      <c r="W1046" s="1">
        <f t="shared" si="245"/>
        <v>-1.4164502968058745E-4</v>
      </c>
      <c r="X1046" s="1">
        <f t="shared" si="246"/>
        <v>1.3646482587647598E-5</v>
      </c>
      <c r="Y1046" s="1">
        <f t="shared" si="247"/>
        <v>-2.8288936064232977E-3</v>
      </c>
      <c r="Z1046" s="1">
        <f t="shared" si="248"/>
        <v>-0.14144468032116489</v>
      </c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</row>
    <row r="1047" spans="1:44" ht="15" customHeight="1" x14ac:dyDescent="0.3">
      <c r="A1047" s="2">
        <v>10.46</v>
      </c>
      <c r="B1047" s="1">
        <f t="shared" si="236"/>
        <v>3.4673685045253057E-11</v>
      </c>
      <c r="C1047" s="1">
        <f t="shared" si="237"/>
        <v>2.9128718181578806E-4</v>
      </c>
      <c r="D1047" s="1">
        <f t="shared" si="238"/>
        <v>-2.902142490001211E-4</v>
      </c>
      <c r="E1047" s="1">
        <f t="shared" si="239"/>
        <v>3.3817023748333535E-3</v>
      </c>
      <c r="F1047" s="1">
        <f t="shared" si="240"/>
        <v>0.99993543874552115</v>
      </c>
      <c r="G1047" s="1">
        <f t="shared" si="241"/>
        <v>1.0174635366116336</v>
      </c>
      <c r="H1047" s="1">
        <f t="shared" si="249"/>
        <v>10.174635366116336</v>
      </c>
      <c r="S1047" s="2">
        <v>10.46</v>
      </c>
      <c r="T1047" s="1">
        <f t="shared" si="242"/>
        <v>3.4673685045253057E-11</v>
      </c>
      <c r="U1047" s="1">
        <f t="shared" si="243"/>
        <v>2.9128718181578806E-4</v>
      </c>
      <c r="V1047" s="1">
        <f t="shared" si="244"/>
        <v>0.10043492744241918</v>
      </c>
      <c r="W1047" s="1">
        <f t="shared" si="245"/>
        <v>-1.4497581413972773E-4</v>
      </c>
      <c r="X1047" s="1">
        <f t="shared" si="246"/>
        <v>1.3335854862316057E-5</v>
      </c>
      <c r="Y1047" s="1">
        <f t="shared" si="247"/>
        <v>-2.8953187708345967E-3</v>
      </c>
      <c r="Z1047" s="1">
        <f t="shared" si="248"/>
        <v>-0.14476593854172984</v>
      </c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</row>
    <row r="1048" spans="1:44" ht="15" customHeight="1" x14ac:dyDescent="0.3">
      <c r="A1048" s="2">
        <v>10.47</v>
      </c>
      <c r="B1048" s="1">
        <f t="shared" si="236"/>
        <v>3.3884415613920157E-11</v>
      </c>
      <c r="C1048" s="1">
        <f t="shared" si="237"/>
        <v>2.9807213189330577E-4</v>
      </c>
      <c r="D1048" s="1">
        <f t="shared" si="238"/>
        <v>-2.9702369207269737E-4</v>
      </c>
      <c r="E1048" s="1">
        <f t="shared" si="239"/>
        <v>3.382837282012116E-3</v>
      </c>
      <c r="F1048" s="1">
        <f t="shared" si="240"/>
        <v>0.99993690824637238</v>
      </c>
      <c r="G1048" s="1">
        <f t="shared" si="241"/>
        <v>1.0178745130630016</v>
      </c>
      <c r="H1048" s="1">
        <f t="shared" si="249"/>
        <v>10.178745130630015</v>
      </c>
      <c r="S1048" s="2">
        <v>10.47</v>
      </c>
      <c r="T1048" s="1">
        <f t="shared" si="242"/>
        <v>3.3884415613920157E-11</v>
      </c>
      <c r="U1048" s="1">
        <f t="shared" si="243"/>
        <v>2.9807213189330577E-4</v>
      </c>
      <c r="V1048" s="1">
        <f t="shared" si="244"/>
        <v>0.10044515040169194</v>
      </c>
      <c r="W1048" s="1">
        <f t="shared" si="245"/>
        <v>-1.483834672306447E-4</v>
      </c>
      <c r="X1048" s="1">
        <f t="shared" si="246"/>
        <v>1.3032297700818639E-5</v>
      </c>
      <c r="Y1048" s="1">
        <f t="shared" si="247"/>
        <v>-2.9632723383737286E-3</v>
      </c>
      <c r="Z1048" s="1">
        <f t="shared" si="248"/>
        <v>-0.14816361691868643</v>
      </c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</row>
    <row r="1049" spans="1:44" ht="15" customHeight="1" x14ac:dyDescent="0.3">
      <c r="A1049" s="2">
        <v>10.48</v>
      </c>
      <c r="B1049" s="1">
        <f t="shared" si="236"/>
        <v>3.3113112148259015E-11</v>
      </c>
      <c r="C1049" s="1">
        <f t="shared" si="237"/>
        <v>3.0501512376060447E-4</v>
      </c>
      <c r="D1049" s="1">
        <f t="shared" si="238"/>
        <v>-3.0399061946437961E-4</v>
      </c>
      <c r="E1049" s="1">
        <f t="shared" si="239"/>
        <v>3.3839984365773967E-3</v>
      </c>
      <c r="F1049" s="1">
        <f t="shared" si="240"/>
        <v>0.99993834430147344</v>
      </c>
      <c r="G1049" s="1">
        <f t="shared" si="241"/>
        <v>1.0182950524110184</v>
      </c>
      <c r="H1049" s="1">
        <f t="shared" si="249"/>
        <v>10.182950524110183</v>
      </c>
      <c r="S1049" s="2">
        <v>10.48</v>
      </c>
      <c r="T1049" s="1">
        <f t="shared" si="242"/>
        <v>3.3113112148259015E-11</v>
      </c>
      <c r="U1049" s="1">
        <f t="shared" si="243"/>
        <v>3.0501512376060447E-4</v>
      </c>
      <c r="V1049" s="1">
        <f t="shared" si="244"/>
        <v>0.10045560938720546</v>
      </c>
      <c r="W1049" s="1">
        <f t="shared" si="245"/>
        <v>-1.5186979573515833E-4</v>
      </c>
      <c r="X1049" s="1">
        <f t="shared" si="246"/>
        <v>1.2735650165864151E-5</v>
      </c>
      <c r="Y1049" s="1">
        <f t="shared" si="247"/>
        <v>-3.0327900226906302E-3</v>
      </c>
      <c r="Z1049" s="1">
        <f t="shared" si="248"/>
        <v>-0.15163950113453151</v>
      </c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</row>
    <row r="1050" spans="1:44" ht="15" customHeight="1" x14ac:dyDescent="0.3">
      <c r="A1050" s="2">
        <v>10.49</v>
      </c>
      <c r="B1050" s="1">
        <f t="shared" si="236"/>
        <v>3.2359365692962733E-11</v>
      </c>
      <c r="C1050" s="1">
        <f t="shared" si="237"/>
        <v>3.1211983868387351E-4</v>
      </c>
      <c r="D1050" s="1">
        <f t="shared" si="238"/>
        <v>-3.1111872512832662E-4</v>
      </c>
      <c r="E1050" s="1">
        <f t="shared" si="239"/>
        <v>3.3851864541880545E-3</v>
      </c>
      <c r="F1050" s="1">
        <f t="shared" si="240"/>
        <v>0.99993974767195426</v>
      </c>
      <c r="G1050" s="1">
        <f t="shared" si="241"/>
        <v>1.0187253816764468</v>
      </c>
      <c r="H1050" s="1">
        <f t="shared" si="249"/>
        <v>10.187253816764468</v>
      </c>
      <c r="S1050" s="2">
        <v>10.49</v>
      </c>
      <c r="T1050" s="1">
        <f t="shared" si="242"/>
        <v>3.2359365692962733E-11</v>
      </c>
      <c r="U1050" s="1">
        <f t="shared" si="243"/>
        <v>3.1211983868387351E-4</v>
      </c>
      <c r="V1050" s="1">
        <f t="shared" si="244"/>
        <v>0.10046630994444963</v>
      </c>
      <c r="W1050" s="1">
        <f t="shared" si="245"/>
        <v>-1.5543664814987658E-4</v>
      </c>
      <c r="X1050" s="1">
        <f t="shared" si="246"/>
        <v>1.244575498316381E-5</v>
      </c>
      <c r="Y1050" s="1">
        <f t="shared" si="247"/>
        <v>-3.1039083518937041E-3</v>
      </c>
      <c r="Z1050" s="1">
        <f t="shared" si="248"/>
        <v>-0.15519541759468519</v>
      </c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</row>
    <row r="1051" spans="1:44" ht="15" customHeight="1" x14ac:dyDescent="0.3">
      <c r="A1051" s="2">
        <v>10.5</v>
      </c>
      <c r="B1051" s="1">
        <f t="shared" si="236"/>
        <v>3.162277660168371E-11</v>
      </c>
      <c r="C1051" s="1">
        <f t="shared" si="237"/>
        <v>3.1939004367700712E-4</v>
      </c>
      <c r="D1051" s="1">
        <f t="shared" si="238"/>
        <v>-3.1841178847673952E-4</v>
      </c>
      <c r="E1051" s="1">
        <f t="shared" si="239"/>
        <v>3.3864019647461231E-3</v>
      </c>
      <c r="F1051" s="1">
        <f t="shared" si="240"/>
        <v>0.99994111910162886</v>
      </c>
      <c r="G1051" s="1">
        <f t="shared" si="241"/>
        <v>1.0191657332626607</v>
      </c>
      <c r="H1051" s="1">
        <f t="shared" si="249"/>
        <v>10.191657332626606</v>
      </c>
      <c r="S1051" s="2">
        <v>10.5</v>
      </c>
      <c r="T1051" s="1">
        <f t="shared" si="242"/>
        <v>3.162277660168371E-11</v>
      </c>
      <c r="U1051" s="1">
        <f t="shared" si="243"/>
        <v>3.1939004367700712E-4</v>
      </c>
      <c r="V1051" s="1">
        <f t="shared" si="244"/>
        <v>0.10047725774699887</v>
      </c>
      <c r="W1051" s="1">
        <f t="shared" si="245"/>
        <v>-1.590859156662916E-4</v>
      </c>
      <c r="X1051" s="1">
        <f t="shared" si="246"/>
        <v>1.2162458458068062E-5</v>
      </c>
      <c r="Y1051" s="1">
        <f t="shared" si="247"/>
        <v>-3.1766646872205193E-3</v>
      </c>
      <c r="Z1051" s="1">
        <f t="shared" si="248"/>
        <v>-0.15883323436102595</v>
      </c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</row>
    <row r="1052" spans="1:44" ht="15" customHeight="1" x14ac:dyDescent="0.3">
      <c r="A1052" s="2">
        <v>10.51</v>
      </c>
      <c r="B1052" s="1">
        <f t="shared" si="236"/>
        <v>3.0902954325135829E-11</v>
      </c>
      <c r="C1052" s="1">
        <f t="shared" si="237"/>
        <v>3.2682959349892535E-4</v>
      </c>
      <c r="D1052" s="1">
        <f t="shared" si="238"/>
        <v>-3.2587367638471724E-4</v>
      </c>
      <c r="E1052" s="1">
        <f t="shared" si="239"/>
        <v>3.3876456127307857E-3</v>
      </c>
      <c r="F1052" s="1">
        <f t="shared" si="240"/>
        <v>0.99994245931738701</v>
      </c>
      <c r="G1052" s="1">
        <f t="shared" si="241"/>
        <v>1.0196163450879936</v>
      </c>
      <c r="H1052" s="1">
        <f t="shared" si="249"/>
        <v>10.196163450879935</v>
      </c>
      <c r="S1052" s="2">
        <v>10.51</v>
      </c>
      <c r="T1052" s="1">
        <f t="shared" si="242"/>
        <v>3.0902954325135829E-11</v>
      </c>
      <c r="U1052" s="1">
        <f t="shared" si="243"/>
        <v>3.2682959349892535E-4</v>
      </c>
      <c r="V1052" s="1">
        <f t="shared" si="244"/>
        <v>0.10048845859952055</v>
      </c>
      <c r="W1052" s="1">
        <f t="shared" si="245"/>
        <v>-1.6281953317351258E-4</v>
      </c>
      <c r="X1052" s="1">
        <f t="shared" si="246"/>
        <v>1.1885610394100267E-5</v>
      </c>
      <c r="Y1052" s="1">
        <f t="shared" si="247"/>
        <v>-3.2510972421176186E-3</v>
      </c>
      <c r="Z1052" s="1">
        <f t="shared" si="248"/>
        <v>-0.16255486210588094</v>
      </c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</row>
    <row r="1053" spans="1:44" ht="15" customHeight="1" x14ac:dyDescent="0.3">
      <c r="A1053" s="2">
        <v>10.52</v>
      </c>
      <c r="B1053" s="1">
        <f t="shared" si="236"/>
        <v>3.0199517204020087E-11</v>
      </c>
      <c r="C1053" s="1">
        <f t="shared" si="237"/>
        <v>3.3444243269741783E-4</v>
      </c>
      <c r="D1053" s="1">
        <f t="shared" si="238"/>
        <v>-3.3350834524056307E-4</v>
      </c>
      <c r="E1053" s="1">
        <f t="shared" si="239"/>
        <v>3.3889180575400937E-3</v>
      </c>
      <c r="F1053" s="1">
        <f t="shared" si="240"/>
        <v>0.99994376902958082</v>
      </c>
      <c r="G1053" s="1">
        <f t="shared" si="241"/>
        <v>1.0200774607214522</v>
      </c>
      <c r="H1053" s="1">
        <f t="shared" si="249"/>
        <v>10.200774607214521</v>
      </c>
      <c r="S1053" s="2">
        <v>10.52</v>
      </c>
      <c r="T1053" s="1">
        <f t="shared" si="242"/>
        <v>3.0199517204020087E-11</v>
      </c>
      <c r="U1053" s="1">
        <f t="shared" si="243"/>
        <v>3.3444243269741783E-4</v>
      </c>
      <c r="V1053" s="1">
        <f t="shared" si="244"/>
        <v>0.10049991844085249</v>
      </c>
      <c r="W1053" s="1">
        <f t="shared" si="245"/>
        <v>-1.6663948028416777E-4</v>
      </c>
      <c r="X1053" s="1">
        <f t="shared" si="246"/>
        <v>1.1615064013344072E-5</v>
      </c>
      <c r="Y1053" s="1">
        <f t="shared" si="247"/>
        <v>-3.3272451017380389E-3</v>
      </c>
      <c r="Z1053" s="1">
        <f t="shared" si="248"/>
        <v>-0.16636225508690194</v>
      </c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</row>
    <row r="1054" spans="1:44" ht="15" customHeight="1" x14ac:dyDescent="0.3">
      <c r="A1054" s="2">
        <v>10.53</v>
      </c>
      <c r="B1054" s="1">
        <f t="shared" si="236"/>
        <v>2.9512092266663787E-11</v>
      </c>
      <c r="C1054" s="1">
        <f t="shared" si="237"/>
        <v>3.4223259770059538E-4</v>
      </c>
      <c r="D1054" s="1">
        <f t="shared" si="238"/>
        <v>-3.4131984304346731E-4</v>
      </c>
      <c r="E1054" s="1">
        <f t="shared" si="239"/>
        <v>3.3902199738405779E-3</v>
      </c>
      <c r="F1054" s="1">
        <f t="shared" si="240"/>
        <v>0.99994504893239999</v>
      </c>
      <c r="G1054" s="1">
        <f t="shared" si="241"/>
        <v>1.0205493295218786</v>
      </c>
      <c r="H1054" s="1">
        <f t="shared" si="249"/>
        <v>10.205493295218785</v>
      </c>
      <c r="S1054" s="2">
        <v>10.53</v>
      </c>
      <c r="T1054" s="1">
        <f t="shared" si="242"/>
        <v>2.9512092266663787E-11</v>
      </c>
      <c r="U1054" s="1">
        <f t="shared" si="243"/>
        <v>3.4223259770059538E-4</v>
      </c>
      <c r="V1054" s="1">
        <f t="shared" si="244"/>
        <v>0.10051164334715207</v>
      </c>
      <c r="W1054" s="1">
        <f t="shared" si="245"/>
        <v>-1.7054778238401961E-4</v>
      </c>
      <c r="X1054" s="1">
        <f t="shared" si="246"/>
        <v>1.1350675878642294E-5</v>
      </c>
      <c r="Y1054" s="1">
        <f t="shared" si="247"/>
        <v>-3.4051482428652967E-3</v>
      </c>
      <c r="Z1054" s="1">
        <f t="shared" si="248"/>
        <v>-0.17025741214326484</v>
      </c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</row>
    <row r="1055" spans="1:44" ht="15" customHeight="1" x14ac:dyDescent="0.3">
      <c r="A1055" s="2">
        <v>10.54</v>
      </c>
      <c r="B1055" s="1">
        <f t="shared" si="236"/>
        <v>2.8840315031266094E-11</v>
      </c>
      <c r="C1055" s="1">
        <f t="shared" si="237"/>
        <v>3.5020421895705649E-4</v>
      </c>
      <c r="D1055" s="1">
        <f t="shared" si="238"/>
        <v>-3.4931231154981021E-4</v>
      </c>
      <c r="E1055" s="1">
        <f t="shared" si="239"/>
        <v>3.3915520519249682E-3</v>
      </c>
      <c r="F1055" s="1">
        <f t="shared" si="240"/>
        <v>0.99994629970423965</v>
      </c>
      <c r="G1055" s="1">
        <f t="shared" si="241"/>
        <v>1.0210322067806641</v>
      </c>
      <c r="H1055" s="1">
        <f t="shared" si="249"/>
        <v>10.21032206780664</v>
      </c>
      <c r="S1055" s="2">
        <v>10.54</v>
      </c>
      <c r="T1055" s="1">
        <f t="shared" si="242"/>
        <v>2.8840315031266094E-11</v>
      </c>
      <c r="U1055" s="1">
        <f t="shared" si="243"/>
        <v>3.5020421895705649E-4</v>
      </c>
      <c r="V1055" s="1">
        <f t="shared" si="244"/>
        <v>0.10052363953511755</v>
      </c>
      <c r="W1055" s="1">
        <f t="shared" si="245"/>
        <v>-1.7454651170584879E-4</v>
      </c>
      <c r="X1055" s="1">
        <f t="shared" si="246"/>
        <v>1.1092305817566112E-5</v>
      </c>
      <c r="Y1055" s="1">
        <f t="shared" si="247"/>
        <v>-3.4848475542727264E-3</v>
      </c>
      <c r="Z1055" s="1">
        <f t="shared" si="248"/>
        <v>-0.17424237771363629</v>
      </c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</row>
    <row r="1056" spans="1:44" ht="15" customHeight="1" x14ac:dyDescent="0.3">
      <c r="A1056" s="2">
        <v>10.55</v>
      </c>
      <c r="B1056" s="1">
        <f t="shared" si="236"/>
        <v>2.8183829312644474E-11</v>
      </c>
      <c r="C1056" s="1">
        <f t="shared" si="237"/>
        <v>3.5836152312591202E-4</v>
      </c>
      <c r="D1056" s="1">
        <f t="shared" si="238"/>
        <v>-3.5748998846919284E-4</v>
      </c>
      <c r="E1056" s="1">
        <f t="shared" si="239"/>
        <v>3.3929149980781986E-3</v>
      </c>
      <c r="F1056" s="1">
        <f t="shared" si="240"/>
        <v>0.99994752200805914</v>
      </c>
      <c r="G1056" s="1">
        <f t="shared" si="241"/>
        <v>1.0215263538681125</v>
      </c>
      <c r="H1056" s="1">
        <f t="shared" si="249"/>
        <v>10.215263538681125</v>
      </c>
      <c r="S1056" s="2">
        <v>10.55</v>
      </c>
      <c r="T1056" s="1">
        <f t="shared" si="242"/>
        <v>2.8183829312644474E-11</v>
      </c>
      <c r="U1056" s="1">
        <f t="shared" si="243"/>
        <v>3.5836152312591202E-4</v>
      </c>
      <c r="V1056" s="1">
        <f t="shared" si="244"/>
        <v>0.10053591336528456</v>
      </c>
      <c r="W1056" s="1">
        <f t="shared" si="245"/>
        <v>-1.7863778842818132E-4</v>
      </c>
      <c r="X1056" s="1">
        <f t="shared" si="246"/>
        <v>1.0839816848114095E-5</v>
      </c>
      <c r="Y1056" s="1">
        <f t="shared" si="247"/>
        <v>-3.5663848575273019E-3</v>
      </c>
      <c r="Z1056" s="1">
        <f t="shared" si="248"/>
        <v>-0.17831924287636511</v>
      </c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</row>
    <row r="1057" spans="1:44" ht="15" customHeight="1" x14ac:dyDescent="0.3">
      <c r="A1057" s="2">
        <v>10.56</v>
      </c>
      <c r="B1057" s="1">
        <f t="shared" si="236"/>
        <v>2.7542287033381602E-11</v>
      </c>
      <c r="C1057" s="1">
        <f t="shared" si="237"/>
        <v>3.6670883531780314E-4</v>
      </c>
      <c r="D1057" s="1">
        <f t="shared" si="238"/>
        <v>-3.6585720971128949E-4</v>
      </c>
      <c r="E1057" s="1">
        <f t="shared" si="239"/>
        <v>3.3943095349518817E-3</v>
      </c>
      <c r="F1057" s="1">
        <f t="shared" si="240"/>
        <v>0.999948716491734</v>
      </c>
      <c r="G1057" s="1">
        <f t="shared" si="241"/>
        <v>1.0220320383835499</v>
      </c>
      <c r="H1057" s="1">
        <f t="shared" si="249"/>
        <v>10.220320383835499</v>
      </c>
      <c r="S1057" s="2">
        <v>10.56</v>
      </c>
      <c r="T1057" s="1">
        <f t="shared" si="242"/>
        <v>2.7542287033381602E-11</v>
      </c>
      <c r="U1057" s="1">
        <f t="shared" si="243"/>
        <v>3.6670883531780314E-4</v>
      </c>
      <c r="V1057" s="1">
        <f t="shared" si="244"/>
        <v>0.10054847134539829</v>
      </c>
      <c r="W1057" s="1">
        <f t="shared" si="245"/>
        <v>-1.8282378179942707E-4</v>
      </c>
      <c r="X1057" s="1">
        <f t="shared" si="246"/>
        <v>1.0593075106102486E-5</v>
      </c>
      <c r="Y1057" s="1">
        <f t="shared" si="247"/>
        <v>-3.649802928246894E-3</v>
      </c>
      <c r="Z1057" s="1">
        <f t="shared" si="248"/>
        <v>-0.18249014641234468</v>
      </c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</row>
    <row r="1058" spans="1:44" ht="15" customHeight="1" x14ac:dyDescent="0.3">
      <c r="A1058" s="2">
        <v>10.57</v>
      </c>
      <c r="B1058" s="1">
        <f t="shared" si="236"/>
        <v>2.6915348039269103E-11</v>
      </c>
      <c r="C1058" s="1">
        <f t="shared" si="237"/>
        <v>3.7525058138814497E-4</v>
      </c>
      <c r="D1058" s="1">
        <f t="shared" si="238"/>
        <v>-3.7441841168481867E-4</v>
      </c>
      <c r="E1058" s="1">
        <f t="shared" si="239"/>
        <v>3.3957364019474696E-3</v>
      </c>
      <c r="F1058" s="1">
        <f t="shared" si="240"/>
        <v>0.99994988378839778</v>
      </c>
      <c r="G1058" s="1">
        <f t="shared" si="241"/>
        <v>1.0225495343092923</v>
      </c>
      <c r="H1058" s="1">
        <f t="shared" si="249"/>
        <v>10.225495343092922</v>
      </c>
      <c r="S1058" s="2">
        <v>10.57</v>
      </c>
      <c r="T1058" s="1">
        <f t="shared" si="242"/>
        <v>2.6915348039269103E-11</v>
      </c>
      <c r="U1058" s="1">
        <f t="shared" si="243"/>
        <v>3.7525058138814497E-4</v>
      </c>
      <c r="V1058" s="1">
        <f t="shared" si="244"/>
        <v>0.10056132013386415</v>
      </c>
      <c r="W1058" s="1">
        <f t="shared" si="245"/>
        <v>-1.8710671128804933E-4</v>
      </c>
      <c r="X1058" s="1">
        <f t="shared" si="246"/>
        <v>1.0351949774206939E-5</v>
      </c>
      <c r="Y1058" s="1">
        <f t="shared" si="247"/>
        <v>-3.7351455178207685E-3</v>
      </c>
      <c r="Z1058" s="1">
        <f t="shared" si="248"/>
        <v>-0.18675727589103844</v>
      </c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</row>
    <row r="1059" spans="1:44" ht="15" customHeight="1" x14ac:dyDescent="0.3">
      <c r="A1059" s="2">
        <v>10.58</v>
      </c>
      <c r="B1059" s="1">
        <f t="shared" si="236"/>
        <v>2.6302679918953769E-11</v>
      </c>
      <c r="C1059" s="1">
        <f t="shared" si="237"/>
        <v>3.8399129028376749E-4</v>
      </c>
      <c r="D1059" s="1">
        <f t="shared" si="238"/>
        <v>-3.8317813364977275E-4</v>
      </c>
      <c r="E1059" s="1">
        <f t="shared" si="239"/>
        <v>3.3971963556082949E-3</v>
      </c>
      <c r="F1059" s="1">
        <f t="shared" si="240"/>
        <v>0.99995102451677853</v>
      </c>
      <c r="G1059" s="1">
        <f t="shared" si="241"/>
        <v>1.0230791221685747</v>
      </c>
      <c r="H1059" s="1">
        <f t="shared" si="249"/>
        <v>10.230791221685745</v>
      </c>
      <c r="S1059" s="2">
        <v>10.58</v>
      </c>
      <c r="T1059" s="1">
        <f t="shared" si="242"/>
        <v>2.6302679918953769E-11</v>
      </c>
      <c r="U1059" s="1">
        <f t="shared" si="243"/>
        <v>3.8399129028376749E-4</v>
      </c>
      <c r="V1059" s="1">
        <f t="shared" si="244"/>
        <v>0.10057446654327806</v>
      </c>
      <c r="W1059" s="1">
        <f t="shared" si="245"/>
        <v>-1.9148884775935164E-4</v>
      </c>
      <c r="X1059" s="1">
        <f t="shared" si="246"/>
        <v>1.0116313012619477E-5</v>
      </c>
      <c r="Y1059" s="1">
        <f t="shared" si="247"/>
        <v>-3.8224573756023986E-3</v>
      </c>
      <c r="Z1059" s="1">
        <f t="shared" si="248"/>
        <v>-0.19112286878011994</v>
      </c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</row>
    <row r="1060" spans="1:44" ht="15" customHeight="1" x14ac:dyDescent="0.3">
      <c r="A1060" s="2">
        <v>10.59</v>
      </c>
      <c r="B1060" s="1">
        <f t="shared" si="236"/>
        <v>2.5703957827688591E-11</v>
      </c>
      <c r="C1060" s="1">
        <f t="shared" si="237"/>
        <v>3.9293559644422411E-4</v>
      </c>
      <c r="D1060" s="1">
        <f t="shared" si="238"/>
        <v>-3.9214102012419326E-4</v>
      </c>
      <c r="E1060" s="1">
        <f t="shared" si="239"/>
        <v>3.3986901700206987E-3</v>
      </c>
      <c r="F1060" s="1">
        <f t="shared" si="240"/>
        <v>0.99995213928152582</v>
      </c>
      <c r="G1060" s="1">
        <f t="shared" si="241"/>
        <v>1.0236210891875561</v>
      </c>
      <c r="H1060" s="1">
        <f t="shared" si="249"/>
        <v>10.23621089187556</v>
      </c>
      <c r="S1060" s="2">
        <v>10.59</v>
      </c>
      <c r="T1060" s="1">
        <f t="shared" si="242"/>
        <v>2.5703957827688591E-11</v>
      </c>
      <c r="U1060" s="1">
        <f t="shared" si="243"/>
        <v>3.9293559644422411E-4</v>
      </c>
      <c r="V1060" s="1">
        <f t="shared" si="244"/>
        <v>0.10058791754403855</v>
      </c>
      <c r="W1060" s="1">
        <f t="shared" si="245"/>
        <v>-1.9597251467952013E-4</v>
      </c>
      <c r="X1060" s="1">
        <f t="shared" si="246"/>
        <v>9.8860398912831325E-6</v>
      </c>
      <c r="Y1060" s="1">
        <f t="shared" si="247"/>
        <v>-3.9117842715845402E-3</v>
      </c>
      <c r="Z1060" s="1">
        <f t="shared" si="248"/>
        <v>-0.19558921357922701</v>
      </c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</row>
    <row r="1061" spans="1:44" ht="15" customHeight="1" x14ac:dyDescent="0.3">
      <c r="A1061" s="2">
        <v>10.6</v>
      </c>
      <c r="B1061" s="1">
        <f t="shared" si="236"/>
        <v>2.5118864315095759E-11</v>
      </c>
      <c r="C1061" s="1">
        <f t="shared" si="237"/>
        <v>4.0208824225903287E-4</v>
      </c>
      <c r="D1061" s="1">
        <f t="shared" si="238"/>
        <v>-4.0131182334672766E-4</v>
      </c>
      <c r="E1061" s="1">
        <f t="shared" si="239"/>
        <v>3.4002186372244551E-3</v>
      </c>
      <c r="F1061" s="1">
        <f t="shared" si="240"/>
        <v>0.99995322867353054</v>
      </c>
      <c r="G1061" s="1">
        <f t="shared" si="241"/>
        <v>1.024175729461513</v>
      </c>
      <c r="H1061" s="1">
        <f t="shared" si="249"/>
        <v>10.24175729461513</v>
      </c>
      <c r="S1061" s="2">
        <v>10.6</v>
      </c>
      <c r="T1061" s="1">
        <f t="shared" si="242"/>
        <v>2.5118864315095759E-11</v>
      </c>
      <c r="U1061" s="1">
        <f t="shared" si="243"/>
        <v>4.0208824225903287E-4</v>
      </c>
      <c r="V1061" s="1">
        <f t="shared" si="244"/>
        <v>0.10060168026804266</v>
      </c>
      <c r="W1061" s="1">
        <f t="shared" si="245"/>
        <v>-2.0056008934755455E-4</v>
      </c>
      <c r="X1061" s="1">
        <f t="shared" si="246"/>
        <v>9.6610083236686649E-6</v>
      </c>
      <c r="Y1061" s="1">
        <f t="shared" si="247"/>
        <v>-4.0031730195663117E-3</v>
      </c>
      <c r="Z1061" s="1">
        <f t="shared" si="248"/>
        <v>-0.20015865097831559</v>
      </c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</row>
    <row r="1062" spans="1:44" ht="15" customHeight="1" x14ac:dyDescent="0.3">
      <c r="A1062" s="2">
        <v>10.61</v>
      </c>
      <c r="B1062" s="1">
        <f t="shared" si="236"/>
        <v>2.4547089156850264E-11</v>
      </c>
      <c r="C1062" s="1">
        <f t="shared" si="237"/>
        <v>4.1145408058215451E-4</v>
      </c>
      <c r="D1062" s="1">
        <f t="shared" si="238"/>
        <v>-4.1069540579636855E-4</v>
      </c>
      <c r="E1062" s="1">
        <f t="shared" si="239"/>
        <v>3.401782567632728E-3</v>
      </c>
      <c r="F1062" s="1">
        <f t="shared" si="240"/>
        <v>0.9999542932702391</v>
      </c>
      <c r="G1062" s="1">
        <f t="shared" si="241"/>
        <v>1.0247433441253453</v>
      </c>
      <c r="H1062" s="1">
        <f t="shared" si="249"/>
        <v>10.247433441253452</v>
      </c>
      <c r="S1062" s="2">
        <v>10.61</v>
      </c>
      <c r="T1062" s="1">
        <f t="shared" si="242"/>
        <v>2.4547089156850264E-11</v>
      </c>
      <c r="U1062" s="1">
        <f t="shared" si="243"/>
        <v>4.1145408058215451E-4</v>
      </c>
      <c r="V1062" s="1">
        <f t="shared" si="244"/>
        <v>0.10061576201246723</v>
      </c>
      <c r="W1062" s="1">
        <f t="shared" si="245"/>
        <v>-2.0525400415574293E-4</v>
      </c>
      <c r="X1062" s="1">
        <f t="shared" si="246"/>
        <v>9.441099002058201E-6</v>
      </c>
      <c r="Y1062" s="1">
        <f t="shared" si="247"/>
        <v>-4.096671500822313E-3</v>
      </c>
      <c r="Z1062" s="1">
        <f t="shared" si="248"/>
        <v>-0.20483357504111566</v>
      </c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</row>
    <row r="1063" spans="1:44" ht="15" customHeight="1" x14ac:dyDescent="0.3">
      <c r="A1063" s="2">
        <v>10.62</v>
      </c>
      <c r="B1063" s="1">
        <f t="shared" si="236"/>
        <v>2.3988329190194867E-11</v>
      </c>
      <c r="C1063" s="1">
        <f t="shared" si="237"/>
        <v>4.2103807730503937E-4</v>
      </c>
      <c r="D1063" s="1">
        <f t="shared" si="238"/>
        <v>-4.2029674277056442E-4</v>
      </c>
      <c r="E1063" s="1">
        <f t="shared" si="239"/>
        <v>3.4033827904617607E-3</v>
      </c>
      <c r="F1063" s="1">
        <f t="shared" si="240"/>
        <v>0.99995533363595801</v>
      </c>
      <c r="G1063" s="1">
        <f t="shared" si="241"/>
        <v>1.0253242415285095</v>
      </c>
      <c r="H1063" s="1">
        <f t="shared" si="249"/>
        <v>10.253242415285095</v>
      </c>
      <c r="S1063" s="2">
        <v>10.62</v>
      </c>
      <c r="T1063" s="1">
        <f t="shared" si="242"/>
        <v>2.3988329190194867E-11</v>
      </c>
      <c r="U1063" s="1">
        <f t="shared" si="243"/>
        <v>4.2103807730503937E-4</v>
      </c>
      <c r="V1063" s="1">
        <f t="shared" si="244"/>
        <v>0.10063017024363806</v>
      </c>
      <c r="W1063" s="1">
        <f t="shared" si="245"/>
        <v>-2.1005674787934639E-4</v>
      </c>
      <c r="X1063" s="1">
        <f t="shared" si="246"/>
        <v>9.2261953343015438E-6</v>
      </c>
      <c r="Y1063" s="1">
        <f t="shared" si="247"/>
        <v>-4.1923286882839051E-3</v>
      </c>
      <c r="Z1063" s="1">
        <f t="shared" si="248"/>
        <v>-0.20961643441419528</v>
      </c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</row>
    <row r="1064" spans="1:44" ht="15" customHeight="1" x14ac:dyDescent="0.3">
      <c r="A1064" s="2">
        <v>10.63</v>
      </c>
      <c r="B1064" s="1">
        <f t="shared" si="236"/>
        <v>2.3442288153199104E-11</v>
      </c>
      <c r="C1064" s="1">
        <f t="shared" si="237"/>
        <v>4.3084531398961069E-4</v>
      </c>
      <c r="D1064" s="1">
        <f t="shared" si="238"/>
        <v>-4.3012092502318032E-4</v>
      </c>
      <c r="E1064" s="1">
        <f t="shared" si="239"/>
        <v>3.40502015417053E-3</v>
      </c>
      <c r="F1064" s="1">
        <f t="shared" si="240"/>
        <v>0.99995635032215346</v>
      </c>
      <c r="G1064" s="1">
        <f t="shared" si="241"/>
        <v>1.0259187374145124</v>
      </c>
      <c r="H1064" s="1">
        <f t="shared" si="249"/>
        <v>10.259187374145124</v>
      </c>
      <c r="S1064" s="2">
        <v>10.63</v>
      </c>
      <c r="T1064" s="1">
        <f t="shared" si="242"/>
        <v>2.3442288153199104E-11</v>
      </c>
      <c r="U1064" s="1">
        <f t="shared" si="243"/>
        <v>4.3084531398961069E-4</v>
      </c>
      <c r="V1064" s="1">
        <f t="shared" si="244"/>
        <v>0.10064491260098854</v>
      </c>
      <c r="W1064" s="1">
        <f t="shared" si="245"/>
        <v>-2.149708669961814E-4</v>
      </c>
      <c r="X1064" s="1">
        <f t="shared" si="246"/>
        <v>9.0161833820116241E-6</v>
      </c>
      <c r="Y1064" s="1">
        <f t="shared" si="247"/>
        <v>-4.2901946712430323E-3</v>
      </c>
      <c r="Z1064" s="1">
        <f t="shared" si="248"/>
        <v>-0.21450973356215161</v>
      </c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</row>
    <row r="1065" spans="1:44" ht="15" customHeight="1" x14ac:dyDescent="0.3">
      <c r="A1065" s="2">
        <v>10.64</v>
      </c>
      <c r="B1065" s="1">
        <f t="shared" si="236"/>
        <v>2.2908676527677615E-11</v>
      </c>
      <c r="C1065" s="1">
        <f t="shared" si="237"/>
        <v>4.4088099056256979E-4</v>
      </c>
      <c r="D1065" s="1">
        <f t="shared" si="238"/>
        <v>-4.4017316146371168E-4</v>
      </c>
      <c r="E1065" s="1">
        <f t="shared" si="239"/>
        <v>3.4066955269106184E-3</v>
      </c>
      <c r="F1065" s="1">
        <f t="shared" si="240"/>
        <v>0.99995734386774315</v>
      </c>
      <c r="G1065" s="1">
        <f t="shared" si="241"/>
        <v>1.0265271551050952</v>
      </c>
      <c r="H1065" s="1">
        <f t="shared" si="249"/>
        <v>10.265271551050951</v>
      </c>
      <c r="S1065" s="2">
        <v>10.64</v>
      </c>
      <c r="T1065" s="1">
        <f t="shared" si="242"/>
        <v>2.2908676527677615E-11</v>
      </c>
      <c r="U1065" s="1">
        <f t="shared" si="243"/>
        <v>4.4088099056256979E-4</v>
      </c>
      <c r="V1065" s="1">
        <f t="shared" si="244"/>
        <v>0.10065999690111037</v>
      </c>
      <c r="W1065" s="1">
        <f t="shared" si="245"/>
        <v>-2.1999896703679098E-4</v>
      </c>
      <c r="X1065" s="1">
        <f t="shared" si="246"/>
        <v>8.8109518001665077E-6</v>
      </c>
      <c r="Y1065" s="1">
        <f t="shared" si="247"/>
        <v>-4.3903206805889217E-3</v>
      </c>
      <c r="Z1065" s="1">
        <f t="shared" si="248"/>
        <v>-0.21951603402944608</v>
      </c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</row>
    <row r="1066" spans="1:44" ht="15" customHeight="1" x14ac:dyDescent="0.3">
      <c r="A1066" s="2">
        <v>10.65</v>
      </c>
      <c r="B1066" s="1">
        <f t="shared" si="236"/>
        <v>2.238721138568329E-11</v>
      </c>
      <c r="C1066" s="1">
        <f t="shared" si="237"/>
        <v>4.5115042807247486E-4</v>
      </c>
      <c r="D1066" s="1">
        <f t="shared" si="238"/>
        <v>-4.5045878191907342E-4</v>
      </c>
      <c r="E1066" s="1">
        <f t="shared" si="239"/>
        <v>3.4084097969865122E-3</v>
      </c>
      <c r="F1066" s="1">
        <f t="shared" si="240"/>
        <v>0.99995831479938146</v>
      </c>
      <c r="G1066" s="1">
        <f t="shared" si="241"/>
        <v>1.0271498256892373</v>
      </c>
      <c r="H1066" s="1">
        <f t="shared" si="249"/>
        <v>10.271498256892372</v>
      </c>
      <c r="S1066" s="2">
        <v>10.65</v>
      </c>
      <c r="T1066" s="1">
        <f t="shared" si="242"/>
        <v>2.238721138568329E-11</v>
      </c>
      <c r="U1066" s="1">
        <f t="shared" si="243"/>
        <v>4.5115042807247486E-4</v>
      </c>
      <c r="V1066" s="1">
        <f t="shared" si="244"/>
        <v>0.10067543114189781</v>
      </c>
      <c r="W1066" s="1">
        <f t="shared" si="245"/>
        <v>-2.251437139659356E-4</v>
      </c>
      <c r="X1066" s="1">
        <f t="shared" si="246"/>
        <v>8.6103917780855548E-6</v>
      </c>
      <c r="Y1066" s="1">
        <f t="shared" si="247"/>
        <v>-4.4927591145885841E-3</v>
      </c>
      <c r="Z1066" s="1">
        <f t="shared" si="248"/>
        <v>-0.22463795572942918</v>
      </c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</row>
    <row r="1067" spans="1:44" ht="15" customHeight="1" x14ac:dyDescent="0.3">
      <c r="A1067" s="2">
        <v>10.66</v>
      </c>
      <c r="B1067" s="1">
        <f t="shared" si="236"/>
        <v>2.1877616239495499E-11</v>
      </c>
      <c r="C1067" s="1">
        <f t="shared" si="237"/>
        <v>4.6165907151102432E-4</v>
      </c>
      <c r="D1067" s="1">
        <f t="shared" si="238"/>
        <v>-4.6098323995956458E-4</v>
      </c>
      <c r="E1067" s="1">
        <f t="shared" si="239"/>
        <v>3.4101638733265941E-3</v>
      </c>
      <c r="F1067" s="1">
        <f t="shared" si="240"/>
        <v>0.99995926363173893</v>
      </c>
      <c r="G1067" s="1">
        <f t="shared" si="241"/>
        <v>1.0277870882171276</v>
      </c>
      <c r="H1067" s="1">
        <f t="shared" si="249"/>
        <v>10.277870882171275</v>
      </c>
      <c r="S1067" s="2">
        <v>10.66</v>
      </c>
      <c r="T1067" s="1">
        <f t="shared" si="242"/>
        <v>2.1877616239495499E-11</v>
      </c>
      <c r="U1067" s="1">
        <f t="shared" si="243"/>
        <v>4.6165907151102432E-4</v>
      </c>
      <c r="V1067" s="1">
        <f t="shared" si="244"/>
        <v>0.10069122350678834</v>
      </c>
      <c r="W1067" s="1">
        <f t="shared" si="245"/>
        <v>-2.3040783559611839E-4</v>
      </c>
      <c r="X1067" s="1">
        <f t="shared" si="246"/>
        <v>8.4143969817490171E-6</v>
      </c>
      <c r="Y1067" s="1">
        <f t="shared" si="247"/>
        <v>-4.5975635652215846E-3</v>
      </c>
      <c r="Z1067" s="1">
        <f t="shared" si="248"/>
        <v>-0.22987817826107926</v>
      </c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</row>
    <row r="1068" spans="1:44" ht="15" customHeight="1" x14ac:dyDescent="0.3">
      <c r="A1068" s="2">
        <v>10.67</v>
      </c>
      <c r="B1068" s="1">
        <f t="shared" si="236"/>
        <v>2.1379620895022298E-11</v>
      </c>
      <c r="C1068" s="1">
        <f t="shared" si="237"/>
        <v>4.7241249270007065E-4</v>
      </c>
      <c r="D1068" s="1">
        <f t="shared" si="238"/>
        <v>-4.7175211579042128E-4</v>
      </c>
      <c r="E1068" s="1">
        <f t="shared" si="239"/>
        <v>3.41195868596507E-3</v>
      </c>
      <c r="F1068" s="1">
        <f t="shared" si="240"/>
        <v>0.99996019086777477</v>
      </c>
      <c r="G1068" s="1">
        <f t="shared" si="241"/>
        <v>1.0284392898992407</v>
      </c>
      <c r="H1068" s="1">
        <f t="shared" si="249"/>
        <v>10.284392898992406</v>
      </c>
      <c r="S1068" s="2">
        <v>10.67</v>
      </c>
      <c r="T1068" s="1">
        <f t="shared" si="242"/>
        <v>2.1379620895022298E-11</v>
      </c>
      <c r="U1068" s="1">
        <f t="shared" si="243"/>
        <v>4.7241249270007065E-4</v>
      </c>
      <c r="V1068" s="1">
        <f t="shared" si="244"/>
        <v>0.10070738236910173</v>
      </c>
      <c r="W1068" s="1">
        <f t="shared" si="245"/>
        <v>-2.3579412303390969E-4</v>
      </c>
      <c r="X1068" s="1">
        <f t="shared" si="246"/>
        <v>8.222863497430018E-6</v>
      </c>
      <c r="Y1068" s="1">
        <f t="shared" si="247"/>
        <v>-4.7047888450803396E-3</v>
      </c>
      <c r="Z1068" s="1">
        <f t="shared" si="248"/>
        <v>-0.23523944225401697</v>
      </c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</row>
    <row r="1069" spans="1:44" ht="15" customHeight="1" x14ac:dyDescent="0.3">
      <c r="A1069" s="2">
        <v>10.68</v>
      </c>
      <c r="B1069" s="1">
        <f t="shared" si="236"/>
        <v>2.0892961308540373E-11</v>
      </c>
      <c r="C1069" s="1">
        <f t="shared" si="237"/>
        <v>4.834163932458652E-4</v>
      </c>
      <c r="D1069" s="1">
        <f t="shared" si="238"/>
        <v>-4.8277111921051077E-4</v>
      </c>
      <c r="E1069" s="1">
        <f t="shared" si="239"/>
        <v>3.413795186535085E-3</v>
      </c>
      <c r="F1069" s="1">
        <f t="shared" si="240"/>
        <v>0.99996109699900293</v>
      </c>
      <c r="G1069" s="1">
        <f t="shared" si="241"/>
        <v>1.0291067863106689</v>
      </c>
      <c r="H1069" s="1">
        <f t="shared" si="249"/>
        <v>10.291067863106688</v>
      </c>
      <c r="S1069" s="2">
        <v>10.68</v>
      </c>
      <c r="T1069" s="1">
        <f t="shared" si="242"/>
        <v>2.0892961308540373E-11</v>
      </c>
      <c r="U1069" s="1">
        <f t="shared" si="243"/>
        <v>4.834163932458652E-4</v>
      </c>
      <c r="V1069" s="1">
        <f t="shared" si="244"/>
        <v>0.10072391629647946</v>
      </c>
      <c r="W1069" s="1">
        <f t="shared" si="245"/>
        <v>-2.4130543215982429E-4</v>
      </c>
      <c r="X1069" s="1">
        <f t="shared" si="246"/>
        <v>8.0356897766095319E-6</v>
      </c>
      <c r="Y1069" s="1">
        <f t="shared" si="247"/>
        <v>-4.8144910148468136E-3</v>
      </c>
      <c r="Z1069" s="1">
        <f t="shared" si="248"/>
        <v>-0.2407245507423407</v>
      </c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</row>
    <row r="1070" spans="1:44" ht="15" customHeight="1" x14ac:dyDescent="0.3">
      <c r="A1070" s="2">
        <v>10.69</v>
      </c>
      <c r="B1070" s="1">
        <f t="shared" si="236"/>
        <v>2.0417379446695275E-11</v>
      </c>
      <c r="C1070" s="1">
        <f t="shared" si="237"/>
        <v>4.9467660756213102E-4</v>
      </c>
      <c r="D1070" s="1">
        <f t="shared" si="238"/>
        <v>-4.9404609263971431E-4</v>
      </c>
      <c r="E1070" s="1">
        <f t="shared" si="239"/>
        <v>3.4156743487732855E-3</v>
      </c>
      <c r="F1070" s="1">
        <f t="shared" si="240"/>
        <v>0.99996198250575286</v>
      </c>
      <c r="G1070" s="1">
        <f t="shared" si="241"/>
        <v>1.0297899416008616</v>
      </c>
      <c r="H1070" s="1">
        <f t="shared" si="249"/>
        <v>10.297899416008615</v>
      </c>
      <c r="S1070" s="2">
        <v>10.69</v>
      </c>
      <c r="T1070" s="1">
        <f t="shared" si="242"/>
        <v>2.0417379446695275E-11</v>
      </c>
      <c r="U1070" s="1">
        <f t="shared" si="243"/>
        <v>4.9467660756213102E-4</v>
      </c>
      <c r="V1070" s="1">
        <f t="shared" si="244"/>
        <v>0.10074083405542765</v>
      </c>
      <c r="W1070" s="1">
        <f t="shared" si="245"/>
        <v>-2.4694468514254825E-4</v>
      </c>
      <c r="X1070" s="1">
        <f t="shared" si="246"/>
        <v>7.8527765821446482E-6</v>
      </c>
      <c r="Y1070" s="1">
        <f t="shared" si="247"/>
        <v>-4.9267274113571572E-3</v>
      </c>
      <c r="Z1070" s="1">
        <f t="shared" si="248"/>
        <v>-0.24633637056785784</v>
      </c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</row>
    <row r="1071" spans="1:44" ht="15" customHeight="1" x14ac:dyDescent="0.3">
      <c r="A1071" s="2">
        <v>10.7</v>
      </c>
      <c r="B1071" s="1">
        <f t="shared" si="236"/>
        <v>1.995262314968878E-11</v>
      </c>
      <c r="C1071" s="1">
        <f t="shared" si="237"/>
        <v>5.0619910596354538E-4</v>
      </c>
      <c r="D1071" s="1">
        <f t="shared" si="238"/>
        <v>-5.0558301421668164E-4</v>
      </c>
      <c r="E1071" s="1">
        <f t="shared" si="239"/>
        <v>3.4175971690361133E-3</v>
      </c>
      <c r="F1071" s="1">
        <f t="shared" si="240"/>
        <v>0.99996284785742318</v>
      </c>
      <c r="G1071" s="1">
        <f t="shared" si="241"/>
        <v>1.0304891287089359</v>
      </c>
      <c r="H1071" s="1">
        <f t="shared" si="249"/>
        <v>10.304891287089358</v>
      </c>
      <c r="S1071" s="2">
        <v>10.7</v>
      </c>
      <c r="T1071" s="1">
        <f t="shared" si="242"/>
        <v>1.995262314968878E-11</v>
      </c>
      <c r="U1071" s="1">
        <f t="shared" si="243"/>
        <v>5.0619910596354538E-4</v>
      </c>
      <c r="V1071" s="1">
        <f t="shared" si="244"/>
        <v>0.10075814461596493</v>
      </c>
      <c r="W1071" s="1">
        <f t="shared" si="245"/>
        <v>-2.5271487198831073E-4</v>
      </c>
      <c r="X1071" s="1">
        <f t="shared" si="246"/>
        <v>7.6740269356620356E-6</v>
      </c>
      <c r="Y1071" s="1">
        <f t="shared" si="247"/>
        <v>-5.0415566762655713E-3</v>
      </c>
      <c r="Z1071" s="1">
        <f t="shared" si="248"/>
        <v>-0.25207783381327858</v>
      </c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</row>
    <row r="1072" spans="1:44" ht="15" customHeight="1" x14ac:dyDescent="0.3">
      <c r="A1072" s="2">
        <v>10.71</v>
      </c>
      <c r="B1072" s="1">
        <f t="shared" si="236"/>
        <v>1.9498445997580369E-11</v>
      </c>
      <c r="C1072" s="1">
        <f t="shared" si="237"/>
        <v>5.1798999783128066E-4</v>
      </c>
      <c r="D1072" s="1">
        <f t="shared" si="238"/>
        <v>-5.1738800096851089E-4</v>
      </c>
      <c r="E1072" s="1">
        <f t="shared" si="239"/>
        <v>3.4195646668280849E-3</v>
      </c>
      <c r="F1072" s="1">
        <f t="shared" si="240"/>
        <v>0.99996369351273184</v>
      </c>
      <c r="G1072" s="1">
        <f t="shared" si="241"/>
        <v>1.0312047295847167</v>
      </c>
      <c r="H1072" s="1">
        <f t="shared" si="249"/>
        <v>10.312047295847165</v>
      </c>
      <c r="S1072" s="2">
        <v>10.71</v>
      </c>
      <c r="T1072" s="1">
        <f t="shared" si="242"/>
        <v>1.9498445997580369E-11</v>
      </c>
      <c r="U1072" s="1">
        <f t="shared" si="243"/>
        <v>5.1798999783128066E-4</v>
      </c>
      <c r="V1072" s="1">
        <f t="shared" si="244"/>
        <v>0.10077585715637867</v>
      </c>
      <c r="W1072" s="1">
        <f t="shared" si="245"/>
        <v>-2.5861905212622426E-4</v>
      </c>
      <c r="X1072" s="1">
        <f t="shared" si="246"/>
        <v>7.499346066148492E-6</v>
      </c>
      <c r="Y1072" s="1">
        <f t="shared" si="247"/>
        <v>-5.1590387853190688E-3</v>
      </c>
      <c r="Z1072" s="1">
        <f t="shared" si="248"/>
        <v>-0.25795193926595344</v>
      </c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</row>
    <row r="1073" spans="1:44" ht="15" customHeight="1" x14ac:dyDescent="0.3">
      <c r="A1073" s="2">
        <v>10.72</v>
      </c>
      <c r="B1073" s="1">
        <f t="shared" si="236"/>
        <v>1.9054607179632392E-11</v>
      </c>
      <c r="C1073" s="1">
        <f t="shared" si="237"/>
        <v>5.3005553485227248E-4</v>
      </c>
      <c r="D1073" s="1">
        <f t="shared" si="238"/>
        <v>-5.2946731205405744E-4</v>
      </c>
      <c r="E1073" s="1">
        <f t="shared" si="239"/>
        <v>3.4215778853423427E-3</v>
      </c>
      <c r="F1073" s="1">
        <f t="shared" si="240"/>
        <v>0.99996451991995727</v>
      </c>
      <c r="G1073" s="1">
        <f t="shared" si="241"/>
        <v>1.0319371354156759</v>
      </c>
      <c r="H1073" s="1">
        <f t="shared" si="249"/>
        <v>10.319371354156758</v>
      </c>
      <c r="S1073" s="2">
        <v>10.72</v>
      </c>
      <c r="T1073" s="1">
        <f t="shared" si="242"/>
        <v>1.9054607179632392E-11</v>
      </c>
      <c r="U1073" s="1">
        <f t="shared" si="243"/>
        <v>5.3005553485227248E-4</v>
      </c>
      <c r="V1073" s="1">
        <f t="shared" si="244"/>
        <v>0.10079398106809129</v>
      </c>
      <c r="W1073" s="1">
        <f t="shared" si="245"/>
        <v>-2.6466035603043132E-4</v>
      </c>
      <c r="X1073" s="1">
        <f t="shared" si="246"/>
        <v>7.328641359711585E-6</v>
      </c>
      <c r="Y1073" s="1">
        <f t="shared" si="247"/>
        <v>-5.2792350782548333E-3</v>
      </c>
      <c r="Z1073" s="1">
        <f t="shared" si="248"/>
        <v>-0.26396175391274168</v>
      </c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</row>
    <row r="1074" spans="1:44" ht="15" customHeight="1" x14ac:dyDescent="0.3">
      <c r="A1074" s="2">
        <v>10.73</v>
      </c>
      <c r="B1074" s="1">
        <f t="shared" si="236"/>
        <v>1.8620871366628599E-11</v>
      </c>
      <c r="C1074" s="1">
        <f t="shared" si="237"/>
        <v>5.4240211433395744E-4</v>
      </c>
      <c r="D1074" s="1">
        <f t="shared" si="238"/>
        <v>-5.4182735208263674E-4</v>
      </c>
      <c r="E1074" s="1">
        <f t="shared" si="239"/>
        <v>3.4236378920137721E-3</v>
      </c>
      <c r="F1074" s="1">
        <f t="shared" si="240"/>
        <v>0.99996532751717748</v>
      </c>
      <c r="G1074" s="1">
        <f t="shared" si="241"/>
        <v>1.0326867468599514</v>
      </c>
      <c r="H1074" s="1">
        <f t="shared" si="249"/>
        <v>10.326867468599513</v>
      </c>
      <c r="S1074" s="2">
        <v>10.73</v>
      </c>
      <c r="T1074" s="1">
        <f t="shared" si="242"/>
        <v>1.8620871366628599E-11</v>
      </c>
      <c r="U1074" s="1">
        <f t="shared" si="243"/>
        <v>5.4240211433395744E-4</v>
      </c>
      <c r="V1074" s="1">
        <f t="shared" si="244"/>
        <v>0.10081252596063979</v>
      </c>
      <c r="W1074" s="1">
        <f t="shared" si="245"/>
        <v>-2.708419868799267E-4</v>
      </c>
      <c r="X1074" s="1">
        <f t="shared" si="246"/>
        <v>7.161822310483309E-6</v>
      </c>
      <c r="Y1074" s="1">
        <f t="shared" si="247"/>
        <v>-5.4022082893323154E-3</v>
      </c>
      <c r="Z1074" s="1">
        <f t="shared" si="248"/>
        <v>-0.27011041446661571</v>
      </c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</row>
    <row r="1075" spans="1:44" ht="15" customHeight="1" x14ac:dyDescent="0.3">
      <c r="A1075" s="2">
        <v>10.74</v>
      </c>
      <c r="B1075" s="1">
        <f t="shared" si="236"/>
        <v>1.8197008586099764E-11</v>
      </c>
      <c r="C1075" s="1">
        <f t="shared" si="237"/>
        <v>5.5503628259620291E-4</v>
      </c>
      <c r="D1075" s="1">
        <f t="shared" si="238"/>
        <v>-5.5447467450982604E-4</v>
      </c>
      <c r="E1075" s="1">
        <f t="shared" si="239"/>
        <v>3.4257457790849706E-3</v>
      </c>
      <c r="F1075" s="1">
        <f t="shared" si="240"/>
        <v>0.9999661167325008</v>
      </c>
      <c r="G1075" s="1">
        <f t="shared" si="241"/>
        <v>1.0334539742856204</v>
      </c>
      <c r="H1075" s="1">
        <f t="shared" si="249"/>
        <v>10.334539742856203</v>
      </c>
      <c r="S1075" s="2">
        <v>10.74</v>
      </c>
      <c r="T1075" s="1">
        <f t="shared" si="242"/>
        <v>1.8197008586099764E-11</v>
      </c>
      <c r="U1075" s="1">
        <f t="shared" si="243"/>
        <v>5.5503628259620291E-4</v>
      </c>
      <c r="V1075" s="1">
        <f t="shared" si="244"/>
        <v>0.10083150166677077</v>
      </c>
      <c r="W1075" s="1">
        <f t="shared" si="245"/>
        <v>-2.77167222256922E-4</v>
      </c>
      <c r="X1075" s="1">
        <f t="shared" si="246"/>
        <v>6.9988004726413342E-6</v>
      </c>
      <c r="Y1075" s="1">
        <f t="shared" si="247"/>
        <v>-5.5280225785118431E-3</v>
      </c>
      <c r="Z1075" s="1">
        <f t="shared" si="248"/>
        <v>-0.27640112892559215</v>
      </c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</row>
    <row r="1076" spans="1:44" ht="15" customHeight="1" x14ac:dyDescent="0.3">
      <c r="A1076" s="2">
        <v>10.75</v>
      </c>
      <c r="B1076" s="1">
        <f t="shared" si="236"/>
        <v>1.7782794100389159E-11</v>
      </c>
      <c r="C1076" s="1">
        <f t="shared" si="237"/>
        <v>5.6796473844225473E-4</v>
      </c>
      <c r="D1076" s="1">
        <f t="shared" si="238"/>
        <v>-5.6741598511218989E-4</v>
      </c>
      <c r="E1076" s="1">
        <f t="shared" si="239"/>
        <v>3.4279026641853647E-3</v>
      </c>
      <c r="F1076" s="1">
        <f t="shared" si="240"/>
        <v>0.99996688798429356</v>
      </c>
      <c r="G1076" s="1">
        <f t="shared" si="241"/>
        <v>1.0342392380164172</v>
      </c>
      <c r="H1076" s="1">
        <f t="shared" si="249"/>
        <v>10.342392380164171</v>
      </c>
      <c r="S1076" s="2">
        <v>10.75</v>
      </c>
      <c r="T1076" s="1">
        <f t="shared" si="242"/>
        <v>1.7782794100389159E-11</v>
      </c>
      <c r="U1076" s="1">
        <f t="shared" si="243"/>
        <v>5.6796473844225473E-4</v>
      </c>
      <c r="V1076" s="1">
        <f t="shared" si="244"/>
        <v>0.10085091824765399</v>
      </c>
      <c r="W1076" s="1">
        <f t="shared" si="245"/>
        <v>-2.8363941588466311E-4</v>
      </c>
      <c r="X1076" s="1">
        <f t="shared" si="246"/>
        <v>6.8394894135219865E-6</v>
      </c>
      <c r="Y1076" s="1">
        <f t="shared" si="247"/>
        <v>-5.6567435632922458E-3</v>
      </c>
      <c r="Z1076" s="1">
        <f t="shared" si="248"/>
        <v>-0.28283717816461229</v>
      </c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</row>
    <row r="1077" spans="1:44" ht="15" customHeight="1" x14ac:dyDescent="0.3">
      <c r="A1077" s="2">
        <v>10.76</v>
      </c>
      <c r="B1077" s="1">
        <f t="shared" si="236"/>
        <v>1.7378008287493749E-11</v>
      </c>
      <c r="C1077" s="1">
        <f t="shared" si="237"/>
        <v>5.8119433671052865E-4</v>
      </c>
      <c r="D1077" s="1">
        <f t="shared" si="238"/>
        <v>-5.8065814554275749E-4</v>
      </c>
      <c r="E1077" s="1">
        <f t="shared" si="239"/>
        <v>3.4301096909237928E-3</v>
      </c>
      <c r="F1077" s="1">
        <f t="shared" si="240"/>
        <v>0.99996764168140162</v>
      </c>
      <c r="G1077" s="1">
        <f t="shared" si="241"/>
        <v>1.035042968584089</v>
      </c>
      <c r="H1077" s="1">
        <f t="shared" si="249"/>
        <v>10.350429685840888</v>
      </c>
      <c r="S1077" s="2">
        <v>10.76</v>
      </c>
      <c r="T1077" s="1">
        <f t="shared" si="242"/>
        <v>1.7378008287493749E-11</v>
      </c>
      <c r="U1077" s="1">
        <f t="shared" si="243"/>
        <v>5.8119433671052865E-4</v>
      </c>
      <c r="V1077" s="1">
        <f t="shared" si="244"/>
        <v>0.10087078599821686</v>
      </c>
      <c r="W1077" s="1">
        <f t="shared" si="245"/>
        <v>-2.9026199940561685E-4</v>
      </c>
      <c r="X1077" s="1">
        <f t="shared" si="246"/>
        <v>6.6838046678003228E-6</v>
      </c>
      <c r="Y1077" s="1">
        <f t="shared" si="247"/>
        <v>-5.7884383512197251E-3</v>
      </c>
      <c r="Z1077" s="1">
        <f t="shared" si="248"/>
        <v>-0.28942191756098623</v>
      </c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</row>
    <row r="1078" spans="1:44" ht="15" customHeight="1" x14ac:dyDescent="0.3">
      <c r="A1078" s="2">
        <v>10.77</v>
      </c>
      <c r="B1078" s="1">
        <f t="shared" si="236"/>
        <v>1.6982436524617441E-11</v>
      </c>
      <c r="C1078" s="1">
        <f t="shared" si="237"/>
        <v>5.9473209190914484E-4</v>
      </c>
      <c r="D1078" s="1">
        <f t="shared" si="238"/>
        <v>-5.9420817696919064E-4</v>
      </c>
      <c r="E1078" s="1">
        <f t="shared" si="239"/>
        <v>3.4323680294948648E-3</v>
      </c>
      <c r="F1078" s="1">
        <f t="shared" si="240"/>
        <v>0.99996837822336659</v>
      </c>
      <c r="G1078" s="1">
        <f t="shared" si="241"/>
        <v>1.0358656069875913</v>
      </c>
      <c r="H1078" s="1">
        <f t="shared" si="249"/>
        <v>10.358656069875913</v>
      </c>
      <c r="S1078" s="2">
        <v>10.77</v>
      </c>
      <c r="T1078" s="1">
        <f t="shared" si="242"/>
        <v>1.6982436524617441E-11</v>
      </c>
      <c r="U1078" s="1">
        <f t="shared" si="243"/>
        <v>5.9473209190914484E-4</v>
      </c>
      <c r="V1078" s="1">
        <f t="shared" si="244"/>
        <v>0.10089111545260292</v>
      </c>
      <c r="W1078" s="1">
        <f t="shared" si="245"/>
        <v>-2.9703848420097734E-4</v>
      </c>
      <c r="X1078" s="1">
        <f t="shared" si="246"/>
        <v>6.531663692712838E-6</v>
      </c>
      <c r="Y1078" s="1">
        <f t="shared" si="247"/>
        <v>-5.9231755730807037E-3</v>
      </c>
      <c r="Z1078" s="1">
        <f t="shared" si="248"/>
        <v>-0.29615877865403523</v>
      </c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</row>
    <row r="1079" spans="1:44" ht="15" customHeight="1" x14ac:dyDescent="0.3">
      <c r="A1079" s="2">
        <v>10.78</v>
      </c>
      <c r="B1079" s="1">
        <f t="shared" si="236"/>
        <v>1.6595869074375605E-11</v>
      </c>
      <c r="C1079" s="1">
        <f t="shared" si="237"/>
        <v>6.0858518193510134E-4</v>
      </c>
      <c r="D1079" s="1">
        <f t="shared" si="238"/>
        <v>-6.0807326379646838E-4</v>
      </c>
      <c r="E1079" s="1">
        <f t="shared" si="239"/>
        <v>3.4346788772994111E-3</v>
      </c>
      <c r="F1079" s="1">
        <f t="shared" si="240"/>
        <v>0.99996909800063793</v>
      </c>
      <c r="G1079" s="1">
        <f t="shared" si="241"/>
        <v>1.0367076049593258</v>
      </c>
      <c r="H1079" s="1">
        <f t="shared" si="249"/>
        <v>10.367076049593257</v>
      </c>
      <c r="S1079" s="2">
        <v>10.78</v>
      </c>
      <c r="T1079" s="1">
        <f t="shared" si="242"/>
        <v>1.6595869074375605E-11</v>
      </c>
      <c r="U1079" s="1">
        <f t="shared" si="243"/>
        <v>6.0858518193510134E-4</v>
      </c>
      <c r="V1079" s="1">
        <f t="shared" si="244"/>
        <v>0.10091191738975731</v>
      </c>
      <c r="W1079" s="1">
        <f t="shared" si="245"/>
        <v>-3.0397246325243919E-4</v>
      </c>
      <c r="X1079" s="1">
        <f t="shared" si="246"/>
        <v>6.3829858242994473E-6</v>
      </c>
      <c r="Y1079" s="1">
        <f t="shared" si="247"/>
        <v>-6.0610254167910074E-3</v>
      </c>
      <c r="Z1079" s="1">
        <f t="shared" si="248"/>
        <v>-0.30305127083955036</v>
      </c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</row>
    <row r="1080" spans="1:44" ht="15" customHeight="1" x14ac:dyDescent="0.3">
      <c r="A1080" s="2">
        <v>10.79</v>
      </c>
      <c r="B1080" s="1">
        <f t="shared" si="236"/>
        <v>1.6218100973589298E-11</v>
      </c>
      <c r="C1080" s="1">
        <f t="shared" si="237"/>
        <v>6.2276095188009697E-4</v>
      </c>
      <c r="D1080" s="1">
        <f t="shared" si="238"/>
        <v>-6.2226075747614433E-4</v>
      </c>
      <c r="E1080" s="1">
        <f t="shared" si="239"/>
        <v>3.4370434595793575E-3</v>
      </c>
      <c r="F1080" s="1">
        <f t="shared" si="240"/>
        <v>0.99996980139477931</v>
      </c>
      <c r="G1080" s="1">
        <f t="shared" si="241"/>
        <v>1.037569425238638</v>
      </c>
      <c r="H1080" s="1">
        <f t="shared" si="249"/>
        <v>10.37569425238638</v>
      </c>
      <c r="S1080" s="2">
        <v>10.79</v>
      </c>
      <c r="T1080" s="1">
        <f t="shared" si="242"/>
        <v>1.6218100973589298E-11</v>
      </c>
      <c r="U1080" s="1">
        <f t="shared" si="243"/>
        <v>6.2276095188009697E-4</v>
      </c>
      <c r="V1080" s="1">
        <f t="shared" si="244"/>
        <v>0.10093320283914176</v>
      </c>
      <c r="W1080" s="1">
        <f t="shared" si="245"/>
        <v>-3.1106761304724881E-4</v>
      </c>
      <c r="X1080" s="1">
        <f t="shared" si="246"/>
        <v>6.2376922346410743E-6</v>
      </c>
      <c r="Y1080" s="1">
        <f t="shared" si="247"/>
        <v>-6.2020596619946425E-3</v>
      </c>
      <c r="Z1080" s="1">
        <f t="shared" si="248"/>
        <v>-0.31010298309973211</v>
      </c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</row>
    <row r="1081" spans="1:44" ht="15" customHeight="1" x14ac:dyDescent="0.3">
      <c r="A1081" s="2">
        <v>10.8</v>
      </c>
      <c r="B1081" s="1">
        <f t="shared" si="236"/>
        <v>1.5848931924611082E-11</v>
      </c>
      <c r="C1081" s="1">
        <f t="shared" si="237"/>
        <v>6.3726691792499724E-4</v>
      </c>
      <c r="D1081" s="1">
        <f t="shared" si="238"/>
        <v>-6.3677818040422049E-4</v>
      </c>
      <c r="E1081" s="1">
        <f t="shared" si="239"/>
        <v>3.4394630300673698E-3</v>
      </c>
      <c r="F1081" s="1">
        <f t="shared" si="240"/>
        <v>0.99997048877867123</v>
      </c>
      <c r="G1081" s="1">
        <f t="shared" si="241"/>
        <v>1.0384515418528009</v>
      </c>
      <c r="H1081" s="1">
        <f t="shared" si="249"/>
        <v>10.384515418528007</v>
      </c>
      <c r="S1081" s="2">
        <v>10.8</v>
      </c>
      <c r="T1081" s="1">
        <f t="shared" si="242"/>
        <v>1.5848931924611082E-11</v>
      </c>
      <c r="U1081" s="1">
        <f t="shared" si="243"/>
        <v>6.3726691792499724E-4</v>
      </c>
      <c r="V1081" s="1">
        <f t="shared" si="244"/>
        <v>0.10095498308658259</v>
      </c>
      <c r="W1081" s="1">
        <f t="shared" si="245"/>
        <v>-3.1832769552752482E-4</v>
      </c>
      <c r="X1081" s="1">
        <f t="shared" si="246"/>
        <v>6.0957058900705374E-6</v>
      </c>
      <c r="Y1081" s="1">
        <f t="shared" si="247"/>
        <v>-6.3463517153848391E-3</v>
      </c>
      <c r="Z1081" s="1">
        <f t="shared" si="248"/>
        <v>-0.31731758576924202</v>
      </c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</row>
    <row r="1082" spans="1:44" ht="15" customHeight="1" x14ac:dyDescent="0.3">
      <c r="A1082" s="2">
        <v>10.81</v>
      </c>
      <c r="B1082" s="1">
        <f t="shared" si="236"/>
        <v>1.5488166189124763E-11</v>
      </c>
      <c r="C1082" s="1">
        <f t="shared" si="237"/>
        <v>6.521107713250041E-4</v>
      </c>
      <c r="D1082" s="1">
        <f t="shared" si="238"/>
        <v>-6.5163322990959135E-4</v>
      </c>
      <c r="E1082" s="1">
        <f t="shared" si="239"/>
        <v>3.4419388716515984E-3</v>
      </c>
      <c r="F1082" s="1">
        <f t="shared" si="240"/>
        <v>0.99997116051670853</v>
      </c>
      <c r="G1082" s="1">
        <f t="shared" si="241"/>
        <v>1.039354440405704</v>
      </c>
      <c r="H1082" s="1">
        <f t="shared" si="249"/>
        <v>10.393544404057039</v>
      </c>
      <c r="S1082" s="2">
        <v>10.81</v>
      </c>
      <c r="T1082" s="1">
        <f t="shared" si="242"/>
        <v>1.5488166189124763E-11</v>
      </c>
      <c r="U1082" s="1">
        <f t="shared" si="243"/>
        <v>6.521107713250041E-4</v>
      </c>
      <c r="V1082" s="1">
        <f t="shared" si="244"/>
        <v>0.10097726968025465</v>
      </c>
      <c r="W1082" s="1">
        <f t="shared" si="245"/>
        <v>-3.2575656008488593E-4</v>
      </c>
      <c r="X1082" s="1">
        <f t="shared" si="246"/>
        <v>5.9569515103345352E-6</v>
      </c>
      <c r="Y1082" s="1">
        <f t="shared" si="247"/>
        <v>-6.4939766467605152E-3</v>
      </c>
      <c r="Z1082" s="1">
        <f t="shared" si="248"/>
        <v>-0.32469883233802577</v>
      </c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</row>
    <row r="1083" spans="1:44" ht="15" customHeight="1" x14ac:dyDescent="0.3">
      <c r="A1083" s="2">
        <v>10.82</v>
      </c>
      <c r="B1083" s="1">
        <f t="shared" si="236"/>
        <v>1.5135612484362034E-11</v>
      </c>
      <c r="C1083" s="1">
        <f t="shared" si="237"/>
        <v>6.6730038248767403E-4</v>
      </c>
      <c r="D1083" s="1">
        <f t="shared" si="238"/>
        <v>-6.6683378233525477E-4</v>
      </c>
      <c r="E1083" s="1">
        <f t="shared" si="239"/>
        <v>3.4444722970558752E-3</v>
      </c>
      <c r="F1083" s="1">
        <f t="shared" si="240"/>
        <v>0.99997181696499315</v>
      </c>
      <c r="G1083" s="1">
        <f t="shared" si="241"/>
        <v>1.0402786183744943</v>
      </c>
      <c r="H1083" s="1">
        <f t="shared" si="249"/>
        <v>10.402786183744942</v>
      </c>
      <c r="S1083" s="2">
        <v>10.82</v>
      </c>
      <c r="T1083" s="1">
        <f t="shared" si="242"/>
        <v>1.5135612484362034E-11</v>
      </c>
      <c r="U1083" s="1">
        <f t="shared" si="243"/>
        <v>6.6730038248767403E-4</v>
      </c>
      <c r="V1083" s="1">
        <f t="shared" si="244"/>
        <v>0.10100007443680437</v>
      </c>
      <c r="W1083" s="1">
        <f t="shared" si="245"/>
        <v>-3.3335814560145457E-4</v>
      </c>
      <c r="X1083" s="1">
        <f t="shared" si="246"/>
        <v>5.8213555286848527E-6</v>
      </c>
      <c r="Y1083" s="1">
        <f t="shared" si="247"/>
        <v>-6.6450112258316495E-3</v>
      </c>
      <c r="Z1083" s="1">
        <f t="shared" si="248"/>
        <v>-0.33225056129158248</v>
      </c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</row>
    <row r="1084" spans="1:44" ht="15" customHeight="1" x14ac:dyDescent="0.3">
      <c r="A1084" s="2">
        <v>10.83</v>
      </c>
      <c r="B1084" s="1">
        <f t="shared" si="236"/>
        <v>1.4791083881682027E-11</v>
      </c>
      <c r="C1084" s="1">
        <f t="shared" si="237"/>
        <v>6.8284380514590365E-4</v>
      </c>
      <c r="D1084" s="1">
        <f t="shared" si="238"/>
        <v>-6.8238789721449347E-4</v>
      </c>
      <c r="E1084" s="1">
        <f t="shared" si="239"/>
        <v>3.4470646495357491E-3</v>
      </c>
      <c r="F1084" s="1">
        <f t="shared" si="240"/>
        <v>0.99997245847152338</v>
      </c>
      <c r="G1084" s="1">
        <f t="shared" si="241"/>
        <v>1.0412245854144144</v>
      </c>
      <c r="H1084" s="1">
        <f t="shared" si="249"/>
        <v>10.412245854144144</v>
      </c>
      <c r="S1084" s="2">
        <v>10.83</v>
      </c>
      <c r="T1084" s="1">
        <f t="shared" si="242"/>
        <v>1.4791083881682027E-11</v>
      </c>
      <c r="U1084" s="1">
        <f t="shared" si="243"/>
        <v>6.8284380514590365E-4</v>
      </c>
      <c r="V1084" s="1">
        <f t="shared" si="244"/>
        <v>0.1010234094476149</v>
      </c>
      <c r="W1084" s="1">
        <f t="shared" si="245"/>
        <v>-3.4113648253829992E-4</v>
      </c>
      <c r="X1084" s="1">
        <f t="shared" si="246"/>
        <v>5.6888460528780261E-6</v>
      </c>
      <c r="Y1084" s="1">
        <f t="shared" si="247"/>
        <v>-6.7995339597865852E-3</v>
      </c>
      <c r="Z1084" s="1">
        <f t="shared" si="248"/>
        <v>-0.33997669798932928</v>
      </c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</row>
    <row r="1085" spans="1:44" ht="15" customHeight="1" x14ac:dyDescent="0.3">
      <c r="A1085" s="2">
        <v>10.84</v>
      </c>
      <c r="B1085" s="1">
        <f t="shared" si="236"/>
        <v>1.4454397707459232E-11</v>
      </c>
      <c r="C1085" s="1">
        <f t="shared" si="237"/>
        <v>6.9874928062812786E-4</v>
      </c>
      <c r="D1085" s="1">
        <f t="shared" si="238"/>
        <v>-6.983038215441019E-4</v>
      </c>
      <c r="E1085" s="1">
        <f t="shared" si="239"/>
        <v>3.4497173035906836E-3</v>
      </c>
      <c r="F1085" s="1">
        <f t="shared" si="240"/>
        <v>0.99997308537637708</v>
      </c>
      <c r="G1085" s="1">
        <f t="shared" si="241"/>
        <v>1.0421928636720872</v>
      </c>
      <c r="H1085" s="1">
        <f t="shared" si="249"/>
        <v>10.421928636720871</v>
      </c>
      <c r="S1085" s="2">
        <v>10.84</v>
      </c>
      <c r="T1085" s="1">
        <f t="shared" si="242"/>
        <v>1.4454397707459232E-11</v>
      </c>
      <c r="U1085" s="1">
        <f t="shared" si="243"/>
        <v>6.9874928062812786E-4</v>
      </c>
      <c r="V1085" s="1">
        <f t="shared" si="244"/>
        <v>0.10104728708521733</v>
      </c>
      <c r="W1085" s="1">
        <f t="shared" si="245"/>
        <v>-3.4909569507244232E-4</v>
      </c>
      <c r="X1085" s="1">
        <f t="shared" si="246"/>
        <v>5.5593528270624896E-6</v>
      </c>
      <c r="Y1085" s="1">
        <f t="shared" si="247"/>
        <v>-6.9576251316350295E-3</v>
      </c>
      <c r="Z1085" s="1">
        <f t="shared" si="248"/>
        <v>-0.34788125658175145</v>
      </c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</row>
    <row r="1086" spans="1:44" ht="15" customHeight="1" x14ac:dyDescent="0.3">
      <c r="A1086" s="2">
        <v>10.85</v>
      </c>
      <c r="B1086" s="1">
        <f t="shared" si="236"/>
        <v>1.4125375446227501E-11</v>
      </c>
      <c r="C1086" s="1">
        <f t="shared" si="237"/>
        <v>7.1502524222798137E-4</v>
      </c>
      <c r="D1086" s="1">
        <f t="shared" si="238"/>
        <v>-7.1458999415709092E-4</v>
      </c>
      <c r="E1086" s="1">
        <f t="shared" si="239"/>
        <v>3.4524316656928482E-3</v>
      </c>
      <c r="F1086" s="1">
        <f t="shared" si="240"/>
        <v>0.99997369801189395</v>
      </c>
      <c r="G1086" s="1">
        <f t="shared" si="241"/>
        <v>1.0431839881075198</v>
      </c>
      <c r="H1086" s="1">
        <f t="shared" si="249"/>
        <v>10.431839881075197</v>
      </c>
      <c r="S1086" s="2">
        <v>10.85</v>
      </c>
      <c r="T1086" s="1">
        <f t="shared" si="242"/>
        <v>1.4125375446227501E-11</v>
      </c>
      <c r="U1086" s="1">
        <f t="shared" si="243"/>
        <v>7.1502524222798137E-4</v>
      </c>
      <c r="V1086" s="1">
        <f t="shared" si="244"/>
        <v>0.10107172000985065</v>
      </c>
      <c r="W1086" s="1">
        <f t="shared" si="245"/>
        <v>-3.5724000328354633E-4</v>
      </c>
      <c r="X1086" s="1">
        <f t="shared" si="246"/>
        <v>5.4328071945331348E-6</v>
      </c>
      <c r="Y1086" s="1">
        <f t="shared" si="247"/>
        <v>-7.119366839340298E-3</v>
      </c>
      <c r="Z1086" s="1">
        <f t="shared" si="248"/>
        <v>-0.35596834196701493</v>
      </c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</row>
    <row r="1087" spans="1:44" ht="15" customHeight="1" x14ac:dyDescent="0.3">
      <c r="A1087" s="2">
        <v>10.86</v>
      </c>
      <c r="B1087" s="1">
        <f t="shared" si="236"/>
        <v>1.380384264602886E-11</v>
      </c>
      <c r="C1087" s="1">
        <f t="shared" si="237"/>
        <v>7.3168031967573929E-4</v>
      </c>
      <c r="D1087" s="1">
        <f t="shared" si="238"/>
        <v>-7.3125505019701722E-4</v>
      </c>
      <c r="E1087" s="1">
        <f t="shared" si="239"/>
        <v>3.4552091750328358E-3</v>
      </c>
      <c r="F1087" s="1">
        <f t="shared" si="240"/>
        <v>0.99997429670284876</v>
      </c>
      <c r="G1087" s="1">
        <f t="shared" si="241"/>
        <v>1.0441985068250912</v>
      </c>
      <c r="H1087" s="1">
        <f t="shared" si="249"/>
        <v>10.441985068250911</v>
      </c>
      <c r="S1087" s="2">
        <v>10.86</v>
      </c>
      <c r="T1087" s="1">
        <f t="shared" si="242"/>
        <v>1.380384264602886E-11</v>
      </c>
      <c r="U1087" s="1">
        <f t="shared" si="243"/>
        <v>7.3168031967573929E-4</v>
      </c>
      <c r="V1087" s="1">
        <f t="shared" si="244"/>
        <v>0.10109672117617438</v>
      </c>
      <c r="W1087" s="1">
        <f t="shared" si="245"/>
        <v>-3.6557372539146072E-4</v>
      </c>
      <c r="X1087" s="1">
        <f t="shared" si="246"/>
        <v>5.3091420613335613E-6</v>
      </c>
      <c r="Y1087" s="1">
        <f t="shared" si="247"/>
        <v>-7.2848430357544854E-3</v>
      </c>
      <c r="Z1087" s="1">
        <f t="shared" si="248"/>
        <v>-0.36424215178772429</v>
      </c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</row>
    <row r="1088" spans="1:44" ht="15" customHeight="1" x14ac:dyDescent="0.3">
      <c r="A1088" s="2">
        <v>10.87</v>
      </c>
      <c r="B1088" s="1">
        <f t="shared" si="236"/>
        <v>1.3489628825916547E-11</v>
      </c>
      <c r="C1088" s="1">
        <f t="shared" si="237"/>
        <v>7.4872334371392599E-4</v>
      </c>
      <c r="D1088" s="1">
        <f t="shared" si="238"/>
        <v>-7.4830782569650393E-4</v>
      </c>
      <c r="E1088" s="1">
        <f t="shared" si="239"/>
        <v>3.4580513042827507E-3</v>
      </c>
      <c r="F1088" s="1">
        <f t="shared" si="240"/>
        <v>0.9999748817666263</v>
      </c>
      <c r="G1088" s="1">
        <f t="shared" si="241"/>
        <v>1.0452369814138187</v>
      </c>
      <c r="H1088" s="1">
        <f t="shared" si="249"/>
        <v>10.452369814138187</v>
      </c>
      <c r="S1088" s="2">
        <v>10.87</v>
      </c>
      <c r="T1088" s="1">
        <f t="shared" si="242"/>
        <v>1.3489628825916547E-11</v>
      </c>
      <c r="U1088" s="1">
        <f t="shared" si="243"/>
        <v>7.4872334371392599E-4</v>
      </c>
      <c r="V1088" s="1">
        <f t="shared" si="244"/>
        <v>0.1011223038401374</v>
      </c>
      <c r="W1088" s="1">
        <f t="shared" si="245"/>
        <v>-3.74101280045801E-4</v>
      </c>
      <c r="X1088" s="1">
        <f t="shared" si="246"/>
        <v>5.1882918606865791E-6</v>
      </c>
      <c r="Y1088" s="1">
        <f t="shared" si="247"/>
        <v>-7.4541395693706047E-3</v>
      </c>
      <c r="Z1088" s="1">
        <f t="shared" si="248"/>
        <v>-0.37270697846853024</v>
      </c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</row>
    <row r="1089" spans="1:44" ht="15" customHeight="1" x14ac:dyDescent="0.3">
      <c r="A1089" s="2">
        <v>10.88</v>
      </c>
      <c r="B1089" s="1">
        <f t="shared" si="236"/>
        <v>1.3182567385564036E-11</v>
      </c>
      <c r="C1089" s="1">
        <f t="shared" si="237"/>
        <v>7.6616335077947756E-4</v>
      </c>
      <c r="D1089" s="1">
        <f t="shared" si="238"/>
        <v>-7.657573622621833E-4</v>
      </c>
      <c r="E1089" s="1">
        <f t="shared" si="239"/>
        <v>3.4609595603770304E-3</v>
      </c>
      <c r="F1089" s="1">
        <f t="shared" si="240"/>
        <v>0.9999754535133879</v>
      </c>
      <c r="G1089" s="1">
        <f t="shared" si="241"/>
        <v>1.0462999872971857</v>
      </c>
      <c r="H1089" s="1">
        <f t="shared" si="249"/>
        <v>10.462999872971857</v>
      </c>
      <c r="S1089" s="2">
        <v>10.88</v>
      </c>
      <c r="T1089" s="1">
        <f t="shared" si="242"/>
        <v>1.3182567385564036E-11</v>
      </c>
      <c r="U1089" s="1">
        <f t="shared" si="243"/>
        <v>7.6616335077947756E-4</v>
      </c>
      <c r="V1089" s="1">
        <f t="shared" si="244"/>
        <v>0.10114848156600632</v>
      </c>
      <c r="W1089" s="1">
        <f t="shared" si="245"/>
        <v>-3.8282718866876949E-4</v>
      </c>
      <c r="X1089" s="1">
        <f t="shared" si="246"/>
        <v>5.0701925182344252E-6</v>
      </c>
      <c r="Y1089" s="1">
        <f t="shared" si="247"/>
        <v>-7.6273442259052662E-3</v>
      </c>
      <c r="Z1089" s="1">
        <f t="shared" si="248"/>
        <v>-0.3813672112952633</v>
      </c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</row>
    <row r="1090" spans="1:44" ht="15" customHeight="1" x14ac:dyDescent="0.3">
      <c r="A1090" s="2">
        <v>10.89</v>
      </c>
      <c r="B1090" s="1">
        <f t="shared" si="236"/>
        <v>1.2882495516931307E-11</v>
      </c>
      <c r="C1090" s="1">
        <f t="shared" si="237"/>
        <v>7.8400958779498056E-4</v>
      </c>
      <c r="D1090" s="1">
        <f t="shared" si="238"/>
        <v>-7.8361291186868E-4</v>
      </c>
      <c r="E1090" s="1">
        <f t="shared" si="239"/>
        <v>3.4639354853114469E-3</v>
      </c>
      <c r="F1090" s="1">
        <f t="shared" si="240"/>
        <v>0.99997601224623589</v>
      </c>
      <c r="G1090" s="1">
        <f t="shared" si="241"/>
        <v>1.0473881140928434</v>
      </c>
      <c r="H1090" s="1">
        <f t="shared" si="249"/>
        <v>10.473881140928434</v>
      </c>
      <c r="S1090" s="2">
        <v>10.89</v>
      </c>
      <c r="T1090" s="1">
        <f t="shared" si="242"/>
        <v>1.2882495516931307E-11</v>
      </c>
      <c r="U1090" s="1">
        <f t="shared" si="243"/>
        <v>7.8400958779498056E-4</v>
      </c>
      <c r="V1090" s="1">
        <f t="shared" si="244"/>
        <v>0.10117526823355742</v>
      </c>
      <c r="W1090" s="1">
        <f t="shared" si="245"/>
        <v>-3.9175607785247148E-4</v>
      </c>
      <c r="X1090" s="1">
        <f t="shared" si="246"/>
        <v>4.9547814180699621E-6</v>
      </c>
      <c r="Y1090" s="1">
        <f t="shared" si="247"/>
        <v>-7.80454677072627E-3</v>
      </c>
      <c r="Z1090" s="1">
        <f t="shared" si="248"/>
        <v>-0.39022733853631347</v>
      </c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</row>
    <row r="1091" spans="1:44" ht="15" customHeight="1" x14ac:dyDescent="0.3">
      <c r="A1091" s="2">
        <v>10.9</v>
      </c>
      <c r="B1091" s="1">
        <f t="shared" ref="B1091:B1154" si="250">10^(-A1091)</f>
        <v>1.2589254117941641E-11</v>
      </c>
      <c r="C1091" s="1">
        <f t="shared" ref="C1091:C1154" si="251">Kw/B1091</f>
        <v>8.0227151707152624E-4</v>
      </c>
      <c r="D1091" s="1">
        <f t="shared" ref="D1091:D1154" si="252">((WASB_Ca*WASB_Va)-(WASB_Cb*H1091))/(WASB_Va+H1091)</f>
        <v>-8.0188394176414928E-4</v>
      </c>
      <c r="E1091" s="1">
        <f t="shared" ref="E1091:E1154" si="253">(WASB_Ca*H1091)/(WASB_Va+H1091)</f>
        <v>3.4669806569606913E-3</v>
      </c>
      <c r="F1091" s="1">
        <f t="shared" ref="F1091:F1154" si="254">WASB_Ka/(B1091+WASB_Ka)</f>
        <v>0.99997655826137477</v>
      </c>
      <c r="G1091" s="1">
        <f t="shared" ref="G1091:G1154" si="255">(F1091-((B1091-C1091)/WASB_Ca)) / (1 + ((B1091-C1091)/WASB_Cb))</f>
        <v>1.0485019659825026</v>
      </c>
      <c r="H1091" s="1">
        <f t="shared" si="249"/>
        <v>10.485019659825024</v>
      </c>
      <c r="S1091" s="2">
        <v>10.9</v>
      </c>
      <c r="T1091" s="1">
        <f t="shared" ref="T1091:T1154" si="256">10^-S1091</f>
        <v>1.2589254117941641E-11</v>
      </c>
      <c r="U1091" s="1">
        <f t="shared" ref="U1091:U1154" si="257">Kw/T1091</f>
        <v>8.0227151707152624E-4</v>
      </c>
      <c r="V1091" s="1">
        <f t="shared" ref="V1091:V1154" si="258">((SAWB_Cb*SAWB_Vb)-(SAWB_Ca*Z1091))/(Z1091+SAWB_Vb)</f>
        <v>0.10120267804543601</v>
      </c>
      <c r="W1091" s="1">
        <f t="shared" ref="W1091:W1154" si="259">(SAWB_Cb*Z1091)/(Z1091+SAWB_Vb)</f>
        <v>-4.0089268181200369E-4</v>
      </c>
      <c r="X1091" s="1">
        <f t="shared" ref="X1091:X1154" si="260">T1091/(T1091+SAWB_Ka)</f>
        <v>4.8419973695408912E-6</v>
      </c>
      <c r="Y1091" s="1">
        <f t="shared" ref="Y1091:Y1154" si="261">(X1091+((T1091-U1091)/SAWB_Cb))/(1-((T1091-U1091)/SAWB_Ca))</f>
        <v>-7.9858389921392964E-3</v>
      </c>
      <c r="Z1091" s="1">
        <f t="shared" ref="Z1091:Z1154" si="262">(Y1091*SAWB_Cb*SAWB_Vb)/SAWB_Ca</f>
        <v>-0.39929194960696485</v>
      </c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</row>
    <row r="1092" spans="1:44" ht="15" customHeight="1" x14ac:dyDescent="0.3">
      <c r="A1092" s="2">
        <v>10.91</v>
      </c>
      <c r="B1092" s="1">
        <f t="shared" si="250"/>
        <v>1.2302687708123787E-11</v>
      </c>
      <c r="C1092" s="1">
        <f t="shared" si="251"/>
        <v>8.2095882132574211E-4</v>
      </c>
      <c r="D1092" s="1">
        <f t="shared" si="252"/>
        <v>-8.2058013948991041E-4</v>
      </c>
      <c r="E1092" s="1">
        <f t="shared" si="253"/>
        <v>3.4700966899149847E-3</v>
      </c>
      <c r="F1092" s="1">
        <f t="shared" si="254"/>
        <v>0.99997709184826777</v>
      </c>
      <c r="G1092" s="1">
        <f t="shared" si="255"/>
        <v>1.0496421620923377</v>
      </c>
      <c r="H1092" s="1">
        <f t="shared" ref="H1092:H1155" si="263">G1092*(WASB_Va * WASB_Ca)/WASB_Cb</f>
        <v>10.496421620923376</v>
      </c>
      <c r="S1092" s="2">
        <v>10.91</v>
      </c>
      <c r="T1092" s="1">
        <f t="shared" si="256"/>
        <v>1.2302687708123787E-11</v>
      </c>
      <c r="U1092" s="1">
        <f t="shared" si="257"/>
        <v>8.2095882132574211E-4</v>
      </c>
      <c r="V1092" s="1">
        <f t="shared" si="258"/>
        <v>0.10123072553468676</v>
      </c>
      <c r="W1092" s="1">
        <f t="shared" si="259"/>
        <v>-4.1024184489559044E-4</v>
      </c>
      <c r="X1092" s="1">
        <f t="shared" si="260"/>
        <v>4.7317805748096426E-6</v>
      </c>
      <c r="Y1092" s="1">
        <f t="shared" si="261"/>
        <v>-8.1713147455474491E-3</v>
      </c>
      <c r="Z1092" s="1">
        <f t="shared" si="262"/>
        <v>-0.40856573727737244</v>
      </c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</row>
    <row r="1093" spans="1:44" ht="15" customHeight="1" x14ac:dyDescent="0.3">
      <c r="A1093" s="2">
        <v>10.92</v>
      </c>
      <c r="B1093" s="1">
        <f t="shared" si="250"/>
        <v>1.2022644346174101E-11</v>
      </c>
      <c r="C1093" s="1">
        <f t="shared" si="251"/>
        <v>8.4008140881369959E-4</v>
      </c>
      <c r="D1093" s="1">
        <f t="shared" si="252"/>
        <v>-8.3971141801692547E-4</v>
      </c>
      <c r="E1093" s="1">
        <f t="shared" si="253"/>
        <v>3.4732852363361542E-3</v>
      </c>
      <c r="F1093" s="1">
        <f t="shared" si="254"/>
        <v>0.99997761328979029</v>
      </c>
      <c r="G1093" s="1">
        <f t="shared" si="255"/>
        <v>1.0508093368842513</v>
      </c>
      <c r="H1093" s="1">
        <f t="shared" si="263"/>
        <v>10.508093368842513</v>
      </c>
      <c r="S1093" s="2">
        <v>10.92</v>
      </c>
      <c r="T1093" s="1">
        <f t="shared" si="256"/>
        <v>1.2022644346174101E-11</v>
      </c>
      <c r="U1093" s="1">
        <f t="shared" si="257"/>
        <v>8.4008140881369959E-4</v>
      </c>
      <c r="V1093" s="1">
        <f t="shared" si="258"/>
        <v>0.10125942557245937</v>
      </c>
      <c r="W1093" s="1">
        <f t="shared" si="259"/>
        <v>-4.1980852415312382E-4</v>
      </c>
      <c r="X1093" s="1">
        <f t="shared" si="260"/>
        <v>4.6240725971514748E-6</v>
      </c>
      <c r="Y1093" s="1">
        <f t="shared" si="261"/>
        <v>-8.3610699984983695E-3</v>
      </c>
      <c r="Z1093" s="1">
        <f t="shared" si="262"/>
        <v>-0.41805349992491847</v>
      </c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</row>
    <row r="1094" spans="1:44" ht="15" customHeight="1" x14ac:dyDescent="0.3">
      <c r="A1094" s="2">
        <v>10.93</v>
      </c>
      <c r="B1094" s="1">
        <f t="shared" si="250"/>
        <v>1.1748975549395269E-11</v>
      </c>
      <c r="C1094" s="1">
        <f t="shared" si="251"/>
        <v>8.5964941858440204E-4</v>
      </c>
      <c r="D1094" s="1">
        <f t="shared" si="252"/>
        <v>-8.5928792100177823E-4</v>
      </c>
      <c r="E1094" s="1">
        <f t="shared" si="253"/>
        <v>3.4765479868336291E-3</v>
      </c>
      <c r="F1094" s="1">
        <f t="shared" si="254"/>
        <v>0.99997812286238008</v>
      </c>
      <c r="G1094" s="1">
        <f t="shared" si="255"/>
        <v>1.0520041405583453</v>
      </c>
      <c r="H1094" s="1">
        <f t="shared" si="263"/>
        <v>10.520041405583452</v>
      </c>
      <c r="S1094" s="2">
        <v>10.93</v>
      </c>
      <c r="T1094" s="1">
        <f t="shared" si="256"/>
        <v>1.1748975549395269E-11</v>
      </c>
      <c r="U1094" s="1">
        <f t="shared" si="257"/>
        <v>8.5964941858440204E-4</v>
      </c>
      <c r="V1094" s="1">
        <f t="shared" si="258"/>
        <v>0.10128879337589336</v>
      </c>
      <c r="W1094" s="1">
        <f t="shared" si="259"/>
        <v>-4.295977919644557E-4</v>
      </c>
      <c r="X1094" s="1">
        <f t="shared" si="260"/>
        <v>4.5188163299741142E-6</v>
      </c>
      <c r="Y1094" s="1">
        <f t="shared" si="261"/>
        <v>-8.5552028766330192E-3</v>
      </c>
      <c r="Z1094" s="1">
        <f t="shared" si="262"/>
        <v>-0.42776014383165095</v>
      </c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</row>
    <row r="1095" spans="1:44" ht="15" customHeight="1" x14ac:dyDescent="0.3">
      <c r="A1095" s="2">
        <v>10.94</v>
      </c>
      <c r="B1095" s="1">
        <f t="shared" si="250"/>
        <v>1.1481536214968803E-11</v>
      </c>
      <c r="C1095" s="1">
        <f t="shared" si="251"/>
        <v>8.796732258556433E-4</v>
      </c>
      <c r="D1095" s="1">
        <f t="shared" si="252"/>
        <v>-8.793200281649883E-4</v>
      </c>
      <c r="E1095" s="1">
        <f t="shared" si="253"/>
        <v>3.4798866713608313E-3</v>
      </c>
      <c r="F1095" s="1">
        <f t="shared" si="254"/>
        <v>0.99997862083618339</v>
      </c>
      <c r="G1095" s="1">
        <f t="shared" si="255"/>
        <v>1.0532272394669717</v>
      </c>
      <c r="H1095" s="1">
        <f t="shared" si="263"/>
        <v>10.532272394669716</v>
      </c>
      <c r="S1095" s="2">
        <v>10.94</v>
      </c>
      <c r="T1095" s="1">
        <f t="shared" si="256"/>
        <v>1.1481536214968803E-11</v>
      </c>
      <c r="U1095" s="1">
        <f t="shared" si="257"/>
        <v>8.796732258556433E-4</v>
      </c>
      <c r="V1095" s="1">
        <f t="shared" si="258"/>
        <v>0.10131884451618653</v>
      </c>
      <c r="W1095" s="1">
        <f t="shared" si="259"/>
        <v>-4.3961483872884138E-4</v>
      </c>
      <c r="X1095" s="1">
        <f t="shared" si="260"/>
        <v>4.41595596654248E-6</v>
      </c>
      <c r="Y1095" s="1">
        <f t="shared" si="261"/>
        <v>-8.7538137105505672E-3</v>
      </c>
      <c r="Z1095" s="1">
        <f t="shared" si="262"/>
        <v>-0.43769068552752838</v>
      </c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</row>
    <row r="1096" spans="1:44" ht="15" customHeight="1" x14ac:dyDescent="0.3">
      <c r="A1096" s="2">
        <v>10.95</v>
      </c>
      <c r="B1096" s="1">
        <f t="shared" si="250"/>
        <v>1.1220184543019613E-11</v>
      </c>
      <c r="C1096" s="1">
        <f t="shared" si="251"/>
        <v>9.0016344751508461E-4</v>
      </c>
      <c r="D1096" s="1">
        <f t="shared" si="252"/>
        <v>-8.9981836079444134E-4</v>
      </c>
      <c r="E1096" s="1">
        <f t="shared" si="253"/>
        <v>3.4833030601324065E-3</v>
      </c>
      <c r="F1096" s="1">
        <f t="shared" si="254"/>
        <v>0.99997910747519825</v>
      </c>
      <c r="G1096" s="1">
        <f t="shared" si="255"/>
        <v>1.0544793165407353</v>
      </c>
      <c r="H1096" s="1">
        <f t="shared" si="263"/>
        <v>10.544793165407352</v>
      </c>
      <c r="S1096" s="2">
        <v>10.95</v>
      </c>
      <c r="T1096" s="1">
        <f t="shared" si="256"/>
        <v>1.1220184543019613E-11</v>
      </c>
      <c r="U1096" s="1">
        <f t="shared" si="257"/>
        <v>9.0016344751508461E-4</v>
      </c>
      <c r="V1096" s="1">
        <f t="shared" si="258"/>
        <v>0.10134959492685086</v>
      </c>
      <c r="W1096" s="1">
        <f t="shared" si="259"/>
        <v>-4.498649756169567E-4</v>
      </c>
      <c r="X1096" s="1">
        <f t="shared" si="260"/>
        <v>4.3154369703924696E-6</v>
      </c>
      <c r="Y1096" s="1">
        <f t="shared" si="261"/>
        <v>-8.9570050836037703E-3</v>
      </c>
      <c r="Z1096" s="1">
        <f t="shared" si="262"/>
        <v>-0.44785025418018853</v>
      </c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</row>
    <row r="1097" spans="1:44" ht="15" customHeight="1" x14ac:dyDescent="0.3">
      <c r="A1097" s="2">
        <v>10.96</v>
      </c>
      <c r="B1097" s="1">
        <f t="shared" si="250"/>
        <v>1.0964781961431789E-11</v>
      </c>
      <c r="C1097" s="1">
        <f t="shared" si="251"/>
        <v>9.2113094774947388E-4</v>
      </c>
      <c r="D1097" s="1">
        <f t="shared" si="252"/>
        <v>-9.2079378737697844E-4</v>
      </c>
      <c r="E1097" s="1">
        <f t="shared" si="253"/>
        <v>3.4867989645628295E-3</v>
      </c>
      <c r="F1097" s="1">
        <f t="shared" si="254"/>
        <v>0.99997958303741419</v>
      </c>
      <c r="G1097" s="1">
        <f t="shared" si="255"/>
        <v>1.0557610717268544</v>
      </c>
      <c r="H1097" s="1">
        <f t="shared" si="263"/>
        <v>10.557610717268544</v>
      </c>
      <c r="S1097" s="2">
        <v>10.96</v>
      </c>
      <c r="T1097" s="1">
        <f t="shared" si="256"/>
        <v>1.0964781961431789E-11</v>
      </c>
      <c r="U1097" s="1">
        <f t="shared" si="257"/>
        <v>9.2113094774947388E-4</v>
      </c>
      <c r="V1097" s="1">
        <f t="shared" si="258"/>
        <v>0.10138106091216086</v>
      </c>
      <c r="W1097" s="1">
        <f t="shared" si="259"/>
        <v>-4.6035363738695354E-4</v>
      </c>
      <c r="X1097" s="1">
        <f t="shared" si="260"/>
        <v>4.2172060464180787E-6</v>
      </c>
      <c r="Y1097" s="1">
        <f t="shared" si="261"/>
        <v>-9.1648818806393285E-3</v>
      </c>
      <c r="Z1097" s="1">
        <f t="shared" si="262"/>
        <v>-0.45824409403196642</v>
      </c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</row>
    <row r="1098" spans="1:44" ht="15" customHeight="1" x14ac:dyDescent="0.3">
      <c r="A1098" s="2">
        <v>10.97</v>
      </c>
      <c r="B1098" s="1">
        <f t="shared" si="250"/>
        <v>1.0715193052376007E-11</v>
      </c>
      <c r="C1098" s="1">
        <f t="shared" si="251"/>
        <v>9.4258684380496593E-4</v>
      </c>
      <c r="D1098" s="1">
        <f t="shared" si="252"/>
        <v>-9.4225742936097793E-4</v>
      </c>
      <c r="E1098" s="1">
        <f t="shared" si="253"/>
        <v>3.4903762382268297E-3</v>
      </c>
      <c r="F1098" s="1">
        <f t="shared" si="254"/>
        <v>0.99998004777494953</v>
      </c>
      <c r="G1098" s="1">
        <f t="shared" si="255"/>
        <v>1.0570732224402779</v>
      </c>
      <c r="H1098" s="1">
        <f t="shared" si="263"/>
        <v>10.570732224402779</v>
      </c>
      <c r="S1098" s="2">
        <v>10.97</v>
      </c>
      <c r="T1098" s="1">
        <f t="shared" si="256"/>
        <v>1.0715193052376007E-11</v>
      </c>
      <c r="U1098" s="1">
        <f t="shared" si="257"/>
        <v>9.4258684380496593E-4</v>
      </c>
      <c r="V1098" s="1">
        <f t="shared" si="258"/>
        <v>0.10141325915579809</v>
      </c>
      <c r="W1098" s="1">
        <f t="shared" si="259"/>
        <v>-4.7108638526603263E-4</v>
      </c>
      <c r="X1098" s="1">
        <f t="shared" si="260"/>
        <v>4.1212111126166638E-6</v>
      </c>
      <c r="Y1098" s="1">
        <f t="shared" si="261"/>
        <v>-9.3775513376974269E-3</v>
      </c>
      <c r="Z1098" s="1">
        <f t="shared" si="262"/>
        <v>-0.46887756688487137</v>
      </c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</row>
    <row r="1099" spans="1:44" ht="15" customHeight="1" x14ac:dyDescent="0.3">
      <c r="A1099" s="2">
        <v>10.98</v>
      </c>
      <c r="B1099" s="1">
        <f t="shared" si="250"/>
        <v>1.0471285480508978E-11</v>
      </c>
      <c r="C1099" s="1">
        <f t="shared" si="251"/>
        <v>9.6454251188165185E-4</v>
      </c>
      <c r="D1099" s="1">
        <f t="shared" si="252"/>
        <v>-9.6422066705311425E-4</v>
      </c>
      <c r="E1099" s="1">
        <f t="shared" si="253"/>
        <v>3.4940367778421855E-3</v>
      </c>
      <c r="F1099" s="1">
        <f t="shared" si="254"/>
        <v>0.99998050193418453</v>
      </c>
      <c r="G1099" s="1">
        <f t="shared" si="255"/>
        <v>1.0584165040279947</v>
      </c>
      <c r="H1099" s="1">
        <f t="shared" si="263"/>
        <v>10.584165040279947</v>
      </c>
      <c r="S1099" s="2">
        <v>10.98</v>
      </c>
      <c r="T1099" s="1">
        <f t="shared" si="256"/>
        <v>1.0471285480508978E-11</v>
      </c>
      <c r="U1099" s="1">
        <f t="shared" si="257"/>
        <v>9.6454251188165185E-4</v>
      </c>
      <c r="V1099" s="1">
        <f t="shared" si="258"/>
        <v>0.10144620672969727</v>
      </c>
      <c r="W1099" s="1">
        <f t="shared" si="259"/>
        <v>-4.8206890989908874E-4</v>
      </c>
      <c r="X1099" s="1">
        <f t="shared" si="260"/>
        <v>4.0274012724771186E-6</v>
      </c>
      <c r="Y1099" s="1">
        <f t="shared" si="261"/>
        <v>-9.5951230926853894E-3</v>
      </c>
      <c r="Z1099" s="1">
        <f t="shared" si="262"/>
        <v>-0.47975615463426946</v>
      </c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</row>
    <row r="1100" spans="1:44" ht="15" customHeight="1" x14ac:dyDescent="0.3">
      <c r="A1100" s="2">
        <v>10.99</v>
      </c>
      <c r="B1100" s="1">
        <f t="shared" si="250"/>
        <v>1.0232929922807526E-11</v>
      </c>
      <c r="C1100" s="1">
        <f t="shared" si="251"/>
        <v>9.8700959316537018E-4</v>
      </c>
      <c r="D1100" s="1">
        <f t="shared" si="252"/>
        <v>-9.8669514565232408E-4</v>
      </c>
      <c r="E1100" s="1">
        <f t="shared" si="253"/>
        <v>3.4977825242753875E-3</v>
      </c>
      <c r="F1100" s="1">
        <f t="shared" si="254"/>
        <v>0.99998094575589147</v>
      </c>
      <c r="G1100" s="1">
        <f t="shared" si="255"/>
        <v>1.0597916702469707</v>
      </c>
      <c r="H1100" s="1">
        <f t="shared" si="263"/>
        <v>10.597916702469707</v>
      </c>
      <c r="S1100" s="2">
        <v>10.99</v>
      </c>
      <c r="T1100" s="1">
        <f t="shared" si="256"/>
        <v>1.0232929922807526E-11</v>
      </c>
      <c r="U1100" s="1">
        <f t="shared" si="257"/>
        <v>9.8700959316537018E-4</v>
      </c>
      <c r="V1100" s="1">
        <f t="shared" si="258"/>
        <v>0.10147992110309789</v>
      </c>
      <c r="W1100" s="1">
        <f t="shared" si="259"/>
        <v>-4.9330703436596527E-4</v>
      </c>
      <c r="X1100" s="1">
        <f t="shared" si="260"/>
        <v>3.9357267879965802E-6</v>
      </c>
      <c r="Y1100" s="1">
        <f t="shared" si="261"/>
        <v>-9.8177092370393942E-3</v>
      </c>
      <c r="Z1100" s="1">
        <f t="shared" si="262"/>
        <v>-0.49088546185196963</v>
      </c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</row>
    <row r="1101" spans="1:44" ht="15" customHeight="1" x14ac:dyDescent="0.3">
      <c r="A1101" s="2">
        <v>11</v>
      </c>
      <c r="B1101" s="1">
        <f t="shared" si="250"/>
        <v>9.9999999999999994E-12</v>
      </c>
      <c r="C1101" s="1">
        <f t="shared" si="251"/>
        <v>1.01E-3</v>
      </c>
      <c r="D1101" s="1">
        <f t="shared" si="252"/>
        <v>-1.0096927814242818E-3</v>
      </c>
      <c r="E1101" s="1">
        <f t="shared" si="253"/>
        <v>3.5016154635707135E-3</v>
      </c>
      <c r="F1101" s="1">
        <f t="shared" si="254"/>
        <v>0.99998137947536381</v>
      </c>
      <c r="G1101" s="1">
        <f t="shared" si="255"/>
        <v>1.0611994937561813</v>
      </c>
      <c r="H1101" s="1">
        <f t="shared" si="263"/>
        <v>10.611994937561812</v>
      </c>
      <c r="S1101" s="2">
        <v>11</v>
      </c>
      <c r="T1101" s="1">
        <f t="shared" si="256"/>
        <v>9.9999999999999994E-12</v>
      </c>
      <c r="U1101" s="1">
        <f t="shared" si="257"/>
        <v>1.01E-3</v>
      </c>
      <c r="V1101" s="1">
        <f t="shared" si="258"/>
        <v>0.10151442015180676</v>
      </c>
      <c r="W1101" s="1">
        <f t="shared" si="259"/>
        <v>-5.048067172689195E-4</v>
      </c>
      <c r="X1101" s="1">
        <f t="shared" si="260"/>
        <v>3.8461390533113333E-6</v>
      </c>
      <c r="Y1101" s="1">
        <f t="shared" si="261"/>
        <v>-1.0045424368388598E-2</v>
      </c>
      <c r="Z1101" s="1">
        <f t="shared" si="262"/>
        <v>-0.50227121841942979</v>
      </c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</row>
    <row r="1102" spans="1:44" ht="15" customHeight="1" x14ac:dyDescent="0.3">
      <c r="A1102" s="2">
        <v>11.01</v>
      </c>
      <c r="B1102" s="1">
        <f t="shared" si="250"/>
        <v>9.7723722095580929E-12</v>
      </c>
      <c r="C1102" s="1">
        <f t="shared" si="251"/>
        <v>1.0335259222035631E-3</v>
      </c>
      <c r="D1102" s="1">
        <f t="shared" si="252"/>
        <v>-1.0332257680195167E-3</v>
      </c>
      <c r="E1102" s="1">
        <f t="shared" si="253"/>
        <v>3.5055376280032531E-3</v>
      </c>
      <c r="F1102" s="1">
        <f t="shared" si="254"/>
        <v>0.99998180332253905</v>
      </c>
      <c r="G1102" s="1">
        <f t="shared" si="255"/>
        <v>1.0626407666232069</v>
      </c>
      <c r="H1102" s="1">
        <f t="shared" si="263"/>
        <v>10.626407666232069</v>
      </c>
      <c r="S1102" s="2">
        <v>11.01</v>
      </c>
      <c r="T1102" s="1">
        <f t="shared" si="256"/>
        <v>9.7723722095580929E-12</v>
      </c>
      <c r="U1102" s="1">
        <f t="shared" si="257"/>
        <v>1.0335259222035631E-3</v>
      </c>
      <c r="V1102" s="1">
        <f t="shared" si="258"/>
        <v>0.1015497221676759</v>
      </c>
      <c r="W1102" s="1">
        <f t="shared" si="259"/>
        <v>-5.1657405589196164E-4</v>
      </c>
      <c r="X1102" s="1">
        <f t="shared" si="260"/>
        <v>3.7585905689277192E-6</v>
      </c>
      <c r="Y1102" s="1">
        <f t="shared" si="261"/>
        <v>-1.0278385644236585E-2</v>
      </c>
      <c r="Z1102" s="1">
        <f t="shared" si="262"/>
        <v>-0.51391928221182914</v>
      </c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</row>
    <row r="1103" spans="1:44" ht="15" customHeight="1" x14ac:dyDescent="0.3">
      <c r="A1103" s="2">
        <v>11.02</v>
      </c>
      <c r="B1103" s="1">
        <f t="shared" si="250"/>
        <v>9.5499258602143472E-12</v>
      </c>
      <c r="C1103" s="1">
        <f t="shared" si="251"/>
        <v>1.0575998335314099E-3</v>
      </c>
      <c r="D1103" s="1">
        <f t="shared" si="252"/>
        <v>-1.0573065829386668E-3</v>
      </c>
      <c r="E1103" s="1">
        <f t="shared" si="253"/>
        <v>3.5095510971564449E-3</v>
      </c>
      <c r="F1103" s="1">
        <f t="shared" si="254"/>
        <v>0.9999822175221218</v>
      </c>
      <c r="G1103" s="1">
        <f t="shared" si="255"/>
        <v>1.0641163008459005</v>
      </c>
      <c r="H1103" s="1">
        <f t="shared" si="263"/>
        <v>10.641163008459005</v>
      </c>
      <c r="S1103" s="2">
        <v>11.02</v>
      </c>
      <c r="T1103" s="1">
        <f t="shared" si="256"/>
        <v>9.5499258602143472E-12</v>
      </c>
      <c r="U1103" s="1">
        <f t="shared" si="257"/>
        <v>1.0575998335314099E-3</v>
      </c>
      <c r="V1103" s="1">
        <f t="shared" si="258"/>
        <v>0.10158584586830111</v>
      </c>
      <c r="W1103" s="1">
        <f t="shared" si="259"/>
        <v>-5.2861528943370733E-4</v>
      </c>
      <c r="X1103" s="1">
        <f t="shared" si="260"/>
        <v>3.673034916539697E-6</v>
      </c>
      <c r="Y1103" s="1">
        <f t="shared" si="261"/>
        <v>-1.051671283667365E-2</v>
      </c>
      <c r="Z1103" s="1">
        <f t="shared" si="262"/>
        <v>-0.52583564183368259</v>
      </c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</row>
    <row r="1104" spans="1:44" ht="15" customHeight="1" x14ac:dyDescent="0.3">
      <c r="A1104" s="2">
        <v>11.03</v>
      </c>
      <c r="B1104" s="1">
        <f t="shared" si="250"/>
        <v>9.3325430079698992E-12</v>
      </c>
      <c r="C1104" s="1">
        <f t="shared" si="251"/>
        <v>1.0822344982899838E-3</v>
      </c>
      <c r="D1104" s="1">
        <f t="shared" si="252"/>
        <v>-1.081947994148226E-3</v>
      </c>
      <c r="E1104" s="1">
        <f t="shared" si="253"/>
        <v>3.513657999024704E-3</v>
      </c>
      <c r="F1104" s="1">
        <f t="shared" si="254"/>
        <v>0.99998262229370238</v>
      </c>
      <c r="G1104" s="1">
        <f t="shared" si="255"/>
        <v>1.0656269288896361</v>
      </c>
      <c r="H1104" s="1">
        <f t="shared" si="263"/>
        <v>10.656269288896359</v>
      </c>
      <c r="S1104" s="2">
        <v>11.03</v>
      </c>
      <c r="T1104" s="1">
        <f t="shared" si="256"/>
        <v>9.3325430079698992E-12</v>
      </c>
      <c r="U1104" s="1">
        <f t="shared" si="257"/>
        <v>1.0822344982899838E-3</v>
      </c>
      <c r="V1104" s="1">
        <f t="shared" si="258"/>
        <v>0.10162281040694647</v>
      </c>
      <c r="W1104" s="1">
        <f t="shared" si="259"/>
        <v>-5.4093680231548944E-4</v>
      </c>
      <c r="X1104" s="1">
        <f t="shared" si="260"/>
        <v>3.5894267344194334E-6</v>
      </c>
      <c r="Y1104" s="1">
        <f t="shared" si="261"/>
        <v>-1.0760528388134762E-2</v>
      </c>
      <c r="Z1104" s="1">
        <f t="shared" si="262"/>
        <v>-0.53802641940673812</v>
      </c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</row>
    <row r="1105" spans="1:44" ht="15" customHeight="1" x14ac:dyDescent="0.3">
      <c r="A1105" s="2">
        <v>11.04</v>
      </c>
      <c r="B1105" s="1">
        <f t="shared" si="250"/>
        <v>9.1201083935590882E-12</v>
      </c>
      <c r="C1105" s="1">
        <f t="shared" si="251"/>
        <v>1.1074429781046178E-3</v>
      </c>
      <c r="D1105" s="1">
        <f t="shared" si="252"/>
        <v>-1.107163066850269E-3</v>
      </c>
      <c r="E1105" s="1">
        <f t="shared" si="253"/>
        <v>3.5178605111417117E-3</v>
      </c>
      <c r="F1105" s="1">
        <f t="shared" si="254"/>
        <v>0.9999830178518736</v>
      </c>
      <c r="G1105" s="1">
        <f t="shared" si="255"/>
        <v>1.067173504240678</v>
      </c>
      <c r="H1105" s="1">
        <f t="shared" si="263"/>
        <v>10.67173504240678</v>
      </c>
      <c r="S1105" s="2">
        <v>11.04</v>
      </c>
      <c r="T1105" s="1">
        <f t="shared" si="256"/>
        <v>9.1201083935590882E-12</v>
      </c>
      <c r="U1105" s="1">
        <f t="shared" si="257"/>
        <v>1.1074429781046178E-3</v>
      </c>
      <c r="V1105" s="1">
        <f t="shared" si="258"/>
        <v>0.10166063538269937</v>
      </c>
      <c r="W1105" s="1">
        <f t="shared" si="259"/>
        <v>-5.5354512756646023E-4</v>
      </c>
      <c r="X1105" s="1">
        <f t="shared" si="260"/>
        <v>3.5077216933680885E-6</v>
      </c>
      <c r="Y1105" s="1">
        <f t="shared" si="261"/>
        <v>-1.1009957468216749E-2</v>
      </c>
      <c r="Z1105" s="1">
        <f t="shared" si="262"/>
        <v>-0.55049787341083756</v>
      </c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</row>
    <row r="1106" spans="1:44" ht="15" customHeight="1" x14ac:dyDescent="0.3">
      <c r="A1106" s="2">
        <v>11.05</v>
      </c>
      <c r="B1106" s="1">
        <f t="shared" si="250"/>
        <v>8.9125093813374152E-12</v>
      </c>
      <c r="C1106" s="1">
        <f t="shared" si="251"/>
        <v>1.1332386388449881E-3</v>
      </c>
      <c r="D1106" s="1">
        <f t="shared" si="252"/>
        <v>-1.1329651704098111E-3</v>
      </c>
      <c r="E1106" s="1">
        <f t="shared" si="253"/>
        <v>3.5221608617349684E-3</v>
      </c>
      <c r="F1106" s="1">
        <f t="shared" si="254"/>
        <v>0.99998340440634403</v>
      </c>
      <c r="G1106" s="1">
        <f t="shared" si="255"/>
        <v>1.0687569019762322</v>
      </c>
      <c r="H1106" s="1">
        <f t="shared" si="263"/>
        <v>10.687569019762321</v>
      </c>
      <c r="S1106" s="2">
        <v>11.05</v>
      </c>
      <c r="T1106" s="1">
        <f t="shared" si="256"/>
        <v>8.9125093813374152E-12</v>
      </c>
      <c r="U1106" s="1">
        <f t="shared" si="257"/>
        <v>1.1332386388449881E-3</v>
      </c>
      <c r="V1106" s="1">
        <f t="shared" si="258"/>
        <v>0.10169934085086248</v>
      </c>
      <c r="W1106" s="1">
        <f t="shared" si="259"/>
        <v>-5.6644695028749156E-4</v>
      </c>
      <c r="X1106" s="1">
        <f t="shared" si="260"/>
        <v>3.4278764732139189E-6</v>
      </c>
      <c r="Y1106" s="1">
        <f t="shared" si="261"/>
        <v>-1.1265128031569026E-2</v>
      </c>
      <c r="Z1106" s="1">
        <f t="shared" si="262"/>
        <v>-0.56325640157845125</v>
      </c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</row>
    <row r="1107" spans="1:44" ht="15" customHeight="1" x14ac:dyDescent="0.3">
      <c r="A1107" s="2">
        <v>11.06</v>
      </c>
      <c r="B1107" s="1">
        <f t="shared" si="250"/>
        <v>8.7096358995607668E-12</v>
      </c>
      <c r="C1107" s="1">
        <f t="shared" si="251"/>
        <v>1.1596351577118568E-3</v>
      </c>
      <c r="D1107" s="1">
        <f t="shared" si="252"/>
        <v>-1.1593679854433915E-3</v>
      </c>
      <c r="E1107" s="1">
        <f t="shared" si="253"/>
        <v>3.5265613309072318E-3</v>
      </c>
      <c r="F1107" s="1">
        <f t="shared" si="254"/>
        <v>0.99998378216204897</v>
      </c>
      <c r="G1107" s="1">
        <f t="shared" si="255"/>
        <v>1.0703780193517569</v>
      </c>
      <c r="H1107" s="1">
        <f t="shared" si="263"/>
        <v>10.703780193517568</v>
      </c>
      <c r="S1107" s="2">
        <v>11.06</v>
      </c>
      <c r="T1107" s="1">
        <f t="shared" si="256"/>
        <v>8.7096358995607668E-12</v>
      </c>
      <c r="U1107" s="1">
        <f t="shared" si="257"/>
        <v>1.1596351577118568E-3</v>
      </c>
      <c r="V1107" s="1">
        <f t="shared" si="258"/>
        <v>0.10173894733358708</v>
      </c>
      <c r="W1107" s="1">
        <f t="shared" si="259"/>
        <v>-5.7964911119569578E-4</v>
      </c>
      <c r="X1107" s="1">
        <f t="shared" si="260"/>
        <v>3.3498487398453554E-6</v>
      </c>
      <c r="Y1107" s="1">
        <f t="shared" si="261"/>
        <v>-1.1526170876871234E-2</v>
      </c>
      <c r="Z1107" s="1">
        <f t="shared" si="262"/>
        <v>-0.57630854384356167</v>
      </c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</row>
    <row r="1108" spans="1:44" ht="15" customHeight="1" x14ac:dyDescent="0.3">
      <c r="A1108" s="2">
        <v>11.07</v>
      </c>
      <c r="B1108" s="1">
        <f t="shared" si="250"/>
        <v>8.5113803820237273E-12</v>
      </c>
      <c r="C1108" s="1">
        <f t="shared" si="251"/>
        <v>1.1866465304889299E-3</v>
      </c>
      <c r="D1108" s="1">
        <f t="shared" si="252"/>
        <v>-1.1863855110727517E-3</v>
      </c>
      <c r="E1108" s="1">
        <f t="shared" si="253"/>
        <v>3.5310642518454585E-3</v>
      </c>
      <c r="F1108" s="1">
        <f t="shared" si="254"/>
        <v>0.99998415131926011</v>
      </c>
      <c r="G1108" s="1">
        <f t="shared" si="255"/>
        <v>1.0720377764061466</v>
      </c>
      <c r="H1108" s="1">
        <f t="shared" si="263"/>
        <v>10.720377764061466</v>
      </c>
      <c r="S1108" s="2">
        <v>11.07</v>
      </c>
      <c r="T1108" s="1">
        <f t="shared" si="256"/>
        <v>8.5113803820237273E-12</v>
      </c>
      <c r="U1108" s="1">
        <f t="shared" si="257"/>
        <v>1.1866465304889299E-3</v>
      </c>
      <c r="V1108" s="1">
        <f t="shared" si="258"/>
        <v>0.10177947583075443</v>
      </c>
      <c r="W1108" s="1">
        <f t="shared" si="259"/>
        <v>-5.931586102514764E-4</v>
      </c>
      <c r="X1108" s="1">
        <f t="shared" si="260"/>
        <v>3.2735971227666913E-6</v>
      </c>
      <c r="Y1108" s="1">
        <f t="shared" si="261"/>
        <v>-1.1793219706912106E-2</v>
      </c>
      <c r="Z1108" s="1">
        <f t="shared" si="262"/>
        <v>-0.58966098534560529</v>
      </c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</row>
    <row r="1109" spans="1:44" ht="15" customHeight="1" x14ac:dyDescent="0.3">
      <c r="A1109" s="2">
        <v>11.08</v>
      </c>
      <c r="B1109" s="1">
        <f t="shared" si="250"/>
        <v>8.3176377110266746E-12</v>
      </c>
      <c r="C1109" s="1">
        <f t="shared" si="251"/>
        <v>1.2142870789635921E-3</v>
      </c>
      <c r="D1109" s="1">
        <f t="shared" si="252"/>
        <v>-1.2140320723473443E-3</v>
      </c>
      <c r="E1109" s="1">
        <f t="shared" si="253"/>
        <v>3.5356720120578908E-3</v>
      </c>
      <c r="F1109" s="1">
        <f t="shared" si="254"/>
        <v>0.99998451207369055</v>
      </c>
      <c r="G1109" s="1">
        <f t="shared" si="255"/>
        <v>1.0737371165854117</v>
      </c>
      <c r="H1109" s="1">
        <f t="shared" si="263"/>
        <v>10.737371165854116</v>
      </c>
      <c r="S1109" s="2">
        <v>11.08</v>
      </c>
      <c r="T1109" s="1">
        <f t="shared" si="256"/>
        <v>8.3176377110266746E-12</v>
      </c>
      <c r="U1109" s="1">
        <f t="shared" si="257"/>
        <v>1.2142870789635921E-3</v>
      </c>
      <c r="V1109" s="1">
        <f t="shared" si="258"/>
        <v>0.10182094783110997</v>
      </c>
      <c r="W1109" s="1">
        <f t="shared" si="259"/>
        <v>-6.0698261036999223E-4</v>
      </c>
      <c r="X1109" s="1">
        <f t="shared" si="260"/>
        <v>3.1990811931647312E-6</v>
      </c>
      <c r="Y1109" s="1">
        <f t="shared" si="261"/>
        <v>-1.2066411189782127E-2</v>
      </c>
      <c r="Z1109" s="1">
        <f t="shared" si="262"/>
        <v>-0.60332055948910635</v>
      </c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</row>
    <row r="1110" spans="1:44" ht="15" customHeight="1" x14ac:dyDescent="0.3">
      <c r="A1110" s="2">
        <v>11.09</v>
      </c>
      <c r="B1110" s="1">
        <f t="shared" si="250"/>
        <v>8.1283051616409864E-12</v>
      </c>
      <c r="C1110" s="1">
        <f t="shared" si="251"/>
        <v>1.2425714585205061E-3</v>
      </c>
      <c r="D1110" s="1">
        <f t="shared" si="252"/>
        <v>-1.2423223278396392E-3</v>
      </c>
      <c r="E1110" s="1">
        <f t="shared" si="253"/>
        <v>3.54038705463994E-3</v>
      </c>
      <c r="F1110" s="1">
        <f t="shared" si="254"/>
        <v>0.99998486461659886</v>
      </c>
      <c r="G1110" s="1">
        <f t="shared" si="255"/>
        <v>1.0754770073855138</v>
      </c>
      <c r="H1110" s="1">
        <f t="shared" si="263"/>
        <v>10.754770073855138</v>
      </c>
      <c r="S1110" s="2">
        <v>11.09</v>
      </c>
      <c r="T1110" s="1">
        <f t="shared" si="256"/>
        <v>8.1283051616409864E-12</v>
      </c>
      <c r="U1110" s="1">
        <f t="shared" si="257"/>
        <v>1.2425714585205061E-3</v>
      </c>
      <c r="V1110" s="1">
        <f t="shared" si="258"/>
        <v>0.10186338532365709</v>
      </c>
      <c r="W1110" s="1">
        <f t="shared" si="259"/>
        <v>-6.2112844121902831E-4</v>
      </c>
      <c r="X1110" s="1">
        <f t="shared" si="260"/>
        <v>3.1262614424746024E-6</v>
      </c>
      <c r="Y1110" s="1">
        <f t="shared" si="261"/>
        <v>-1.2345885021193733E-2</v>
      </c>
      <c r="Z1110" s="1">
        <f t="shared" si="262"/>
        <v>-0.61729425105968661</v>
      </c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</row>
    <row r="1111" spans="1:44" ht="15" customHeight="1" x14ac:dyDescent="0.3">
      <c r="A1111" s="2">
        <v>11.1</v>
      </c>
      <c r="B1111" s="1">
        <f t="shared" si="250"/>
        <v>7.9432823472428101E-12</v>
      </c>
      <c r="C1111" s="1">
        <f t="shared" si="251"/>
        <v>1.2715146659121096E-3</v>
      </c>
      <c r="D1111" s="1">
        <f t="shared" si="252"/>
        <v>-1.2712712774173491E-3</v>
      </c>
      <c r="E1111" s="1">
        <f t="shared" si="253"/>
        <v>3.5452118795695577E-3</v>
      </c>
      <c r="F1111" s="1">
        <f t="shared" si="254"/>
        <v>0.99998520913489131</v>
      </c>
      <c r="G1111" s="1">
        <f t="shared" si="255"/>
        <v>1.0772584410150456</v>
      </c>
      <c r="H1111" s="1">
        <f t="shared" si="263"/>
        <v>10.772584410150456</v>
      </c>
      <c r="S1111" s="2">
        <v>11.1</v>
      </c>
      <c r="T1111" s="1">
        <f t="shared" si="256"/>
        <v>7.9432823472428101E-12</v>
      </c>
      <c r="U1111" s="1">
        <f t="shared" si="257"/>
        <v>1.2715146659121096E-3</v>
      </c>
      <c r="V1111" s="1">
        <f t="shared" si="258"/>
        <v>0.10190681080931586</v>
      </c>
      <c r="W1111" s="1">
        <f t="shared" si="259"/>
        <v>-6.3560360310529259E-4</v>
      </c>
      <c r="X1111" s="1">
        <f t="shared" si="260"/>
        <v>3.0550992614333759E-6</v>
      </c>
      <c r="Y1111" s="1">
        <f t="shared" si="261"/>
        <v>-1.2631783987942015E-2</v>
      </c>
      <c r="Z1111" s="1">
        <f t="shared" si="262"/>
        <v>-0.63158919939710079</v>
      </c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</row>
    <row r="1112" spans="1:44" ht="15" customHeight="1" x14ac:dyDescent="0.3">
      <c r="A1112" s="2">
        <v>11.11</v>
      </c>
      <c r="B1112" s="1">
        <f t="shared" si="250"/>
        <v>7.762471166286914E-12</v>
      </c>
      <c r="C1112" s="1">
        <f t="shared" si="251"/>
        <v>1.3011320472100657E-3</v>
      </c>
      <c r="D1112" s="1">
        <f t="shared" si="252"/>
        <v>-1.3008942701964721E-3</v>
      </c>
      <c r="E1112" s="1">
        <f t="shared" si="253"/>
        <v>3.5501490450327447E-3</v>
      </c>
      <c r="F1112" s="1">
        <f t="shared" si="254"/>
        <v>0.99998554581121912</v>
      </c>
      <c r="G1112" s="1">
        <f t="shared" si="255"/>
        <v>1.0790824350784558</v>
      </c>
      <c r="H1112" s="1">
        <f t="shared" si="263"/>
        <v>10.790824350784558</v>
      </c>
      <c r="S1112" s="2">
        <v>11.11</v>
      </c>
      <c r="T1112" s="1">
        <f t="shared" si="256"/>
        <v>7.762471166286914E-12</v>
      </c>
      <c r="U1112" s="1">
        <f t="shared" si="257"/>
        <v>1.3011320472100657E-3</v>
      </c>
      <c r="V1112" s="1">
        <f t="shared" si="258"/>
        <v>0.10195124731285349</v>
      </c>
      <c r="W1112" s="1">
        <f t="shared" si="259"/>
        <v>-6.5041577095116391E-4</v>
      </c>
      <c r="X1112" s="1">
        <f t="shared" si="260"/>
        <v>2.9855569196105421E-6</v>
      </c>
      <c r="Y1112" s="1">
        <f t="shared" si="261"/>
        <v>-1.292425403251799E-2</v>
      </c>
      <c r="Z1112" s="1">
        <f t="shared" si="262"/>
        <v>-0.6462127016258995</v>
      </c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</row>
    <row r="1113" spans="1:44" ht="15" customHeight="1" x14ac:dyDescent="0.3">
      <c r="A1113" s="2">
        <v>11.12</v>
      </c>
      <c r="B1113" s="1">
        <f t="shared" si="250"/>
        <v>7.585775750291834E-12</v>
      </c>
      <c r="C1113" s="1">
        <f t="shared" si="251"/>
        <v>1.3314393059419716E-3</v>
      </c>
      <c r="D1113" s="1">
        <f t="shared" si="252"/>
        <v>-1.3312070126796905E-3</v>
      </c>
      <c r="E1113" s="1">
        <f t="shared" si="253"/>
        <v>3.5552011687799484E-3</v>
      </c>
      <c r="F1113" s="1">
        <f t="shared" si="254"/>
        <v>0.9999858748240773</v>
      </c>
      <c r="G1113" s="1">
        <f t="shared" si="255"/>
        <v>1.080950033280579</v>
      </c>
      <c r="H1113" s="1">
        <f t="shared" si="263"/>
        <v>10.80950033280579</v>
      </c>
      <c r="S1113" s="2">
        <v>11.12</v>
      </c>
      <c r="T1113" s="1">
        <f t="shared" si="256"/>
        <v>7.585775750291834E-12</v>
      </c>
      <c r="U1113" s="1">
        <f t="shared" si="257"/>
        <v>1.3314393059419716E-3</v>
      </c>
      <c r="V1113" s="1">
        <f t="shared" si="258"/>
        <v>0.10199671839509214</v>
      </c>
      <c r="W1113" s="1">
        <f t="shared" si="259"/>
        <v>-6.6557279836404633E-4</v>
      </c>
      <c r="X1113" s="1">
        <f t="shared" si="260"/>
        <v>2.9175975454042788E-6</v>
      </c>
      <c r="Y1113" s="1">
        <f t="shared" si="261"/>
        <v>-1.3223444318887596E-2</v>
      </c>
      <c r="Z1113" s="1">
        <f t="shared" si="262"/>
        <v>-0.66117221594437969</v>
      </c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</row>
    <row r="1114" spans="1:44" ht="15" customHeight="1" x14ac:dyDescent="0.3">
      <c r="A1114" s="2">
        <v>11.13</v>
      </c>
      <c r="B1114" s="1">
        <f t="shared" si="250"/>
        <v>7.4131024130091464E-12</v>
      </c>
      <c r="C1114" s="1">
        <f t="shared" si="251"/>
        <v>1.3624525114175753E-3</v>
      </c>
      <c r="D1114" s="1">
        <f t="shared" si="252"/>
        <v>-1.3622255770840855E-3</v>
      </c>
      <c r="E1114" s="1">
        <f t="shared" si="253"/>
        <v>3.5603709295140141E-3</v>
      </c>
      <c r="F1114" s="1">
        <f t="shared" si="254"/>
        <v>0.99998619634789732</v>
      </c>
      <c r="G1114" s="1">
        <f t="shared" si="255"/>
        <v>1.0828623061532261</v>
      </c>
      <c r="H1114" s="1">
        <f t="shared" si="263"/>
        <v>10.828623061532261</v>
      </c>
      <c r="S1114" s="2">
        <v>11.13</v>
      </c>
      <c r="T1114" s="1">
        <f t="shared" si="256"/>
        <v>7.4131024130091464E-12</v>
      </c>
      <c r="U1114" s="1">
        <f t="shared" si="257"/>
        <v>1.3624525114175753E-3</v>
      </c>
      <c r="V1114" s="1">
        <f t="shared" si="258"/>
        <v>0.10204324816540138</v>
      </c>
      <c r="W1114" s="1">
        <f t="shared" si="259"/>
        <v>-6.8108272180045541E-4</v>
      </c>
      <c r="X1114" s="1">
        <f t="shared" si="260"/>
        <v>2.8511851064930586E-6</v>
      </c>
      <c r="Y1114" s="1">
        <f t="shared" si="261"/>
        <v>-1.3529507299447838E-2</v>
      </c>
      <c r="Z1114" s="1">
        <f t="shared" si="262"/>
        <v>-0.6764753649723918</v>
      </c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</row>
    <row r="1115" spans="1:44" ht="15" customHeight="1" x14ac:dyDescent="0.3">
      <c r="A1115" s="2">
        <v>11.14</v>
      </c>
      <c r="B1115" s="1">
        <f t="shared" si="250"/>
        <v>7.2443596007498734E-12</v>
      </c>
      <c r="C1115" s="1">
        <f t="shared" si="251"/>
        <v>1.3941881072489189E-3</v>
      </c>
      <c r="D1115" s="1">
        <f t="shared" si="252"/>
        <v>-1.3939664098628882E-3</v>
      </c>
      <c r="E1115" s="1">
        <f t="shared" si="253"/>
        <v>3.5656610683104809E-3</v>
      </c>
      <c r="F1115" s="1">
        <f t="shared" si="254"/>
        <v>0.99998651055314169</v>
      </c>
      <c r="G1115" s="1">
        <f t="shared" si="255"/>
        <v>1.0848203518046577</v>
      </c>
      <c r="H1115" s="1">
        <f t="shared" si="263"/>
        <v>10.848203518046576</v>
      </c>
      <c r="S1115" s="2">
        <v>11.14</v>
      </c>
      <c r="T1115" s="1">
        <f t="shared" si="256"/>
        <v>7.2443596007498734E-12</v>
      </c>
      <c r="U1115" s="1">
        <f t="shared" si="257"/>
        <v>1.3941881072489189E-3</v>
      </c>
      <c r="V1115" s="1">
        <f t="shared" si="258"/>
        <v>0.10209086129448114</v>
      </c>
      <c r="W1115" s="1">
        <f t="shared" si="259"/>
        <v>-6.9695376482704495E-4</v>
      </c>
      <c r="X1115" s="1">
        <f t="shared" si="260"/>
        <v>2.7862843907322297E-6</v>
      </c>
      <c r="Y1115" s="1">
        <f t="shared" si="261"/>
        <v>-1.384259878317168E-2</v>
      </c>
      <c r="Z1115" s="1">
        <f t="shared" si="262"/>
        <v>-0.69212993915858401</v>
      </c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</row>
    <row r="1116" spans="1:44" ht="15" customHeight="1" x14ac:dyDescent="0.3">
      <c r="A1116" s="2">
        <v>11.15</v>
      </c>
      <c r="B1116" s="1">
        <f t="shared" si="250"/>
        <v>7.0794578438413538E-12</v>
      </c>
      <c r="C1116" s="1">
        <f t="shared" si="251"/>
        <v>1.4266629200689869E-3</v>
      </c>
      <c r="D1116" s="1">
        <f t="shared" si="252"/>
        <v>-1.4264463404255873E-3</v>
      </c>
      <c r="E1116" s="1">
        <f t="shared" si="253"/>
        <v>3.5710743900709309E-3</v>
      </c>
      <c r="F1116" s="1">
        <f t="shared" si="254"/>
        <v>0.9999868176063923</v>
      </c>
      <c r="G1116" s="1">
        <f t="shared" si="255"/>
        <v>1.0868252966927729</v>
      </c>
      <c r="H1116" s="1">
        <f t="shared" si="263"/>
        <v>10.868252966927729</v>
      </c>
      <c r="S1116" s="2">
        <v>11.15</v>
      </c>
      <c r="T1116" s="1">
        <f t="shared" si="256"/>
        <v>7.0794578438413538E-12</v>
      </c>
      <c r="U1116" s="1">
        <f t="shared" si="257"/>
        <v>1.4266629200689869E-3</v>
      </c>
      <c r="V1116" s="1">
        <f t="shared" si="258"/>
        <v>0.1021395830274426</v>
      </c>
      <c r="W1116" s="1">
        <f t="shared" si="259"/>
        <v>-7.1319434248086453E-4</v>
      </c>
      <c r="X1116" s="1">
        <f t="shared" si="260"/>
        <v>2.7228609874852993E-6</v>
      </c>
      <c r="Y1116" s="1">
        <f t="shared" si="261"/>
        <v>-1.4162878004953493E-2</v>
      </c>
      <c r="Z1116" s="1">
        <f t="shared" si="262"/>
        <v>-0.70814390024767471</v>
      </c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</row>
    <row r="1117" spans="1:44" ht="15" customHeight="1" x14ac:dyDescent="0.3">
      <c r="A1117" s="2">
        <v>11.16</v>
      </c>
      <c r="B1117" s="1">
        <f t="shared" si="250"/>
        <v>6.9183097091893405E-12</v>
      </c>
      <c r="C1117" s="1">
        <f t="shared" si="251"/>
        <v>1.4598941684533919E-3</v>
      </c>
      <c r="D1117" s="1">
        <f t="shared" si="252"/>
        <v>-1.459682590061106E-3</v>
      </c>
      <c r="E1117" s="1">
        <f t="shared" si="253"/>
        <v>3.5766137650101839E-3</v>
      </c>
      <c r="F1117" s="1">
        <f t="shared" si="254"/>
        <v>0.99998711767043957</v>
      </c>
      <c r="G1117" s="1">
        <f t="shared" si="255"/>
        <v>1.0888782964228942</v>
      </c>
      <c r="H1117" s="1">
        <f t="shared" si="263"/>
        <v>10.888782964228941</v>
      </c>
      <c r="S1117" s="2">
        <v>11.16</v>
      </c>
      <c r="T1117" s="1">
        <f t="shared" si="256"/>
        <v>6.9183097091893405E-12</v>
      </c>
      <c r="U1117" s="1">
        <f t="shared" si="257"/>
        <v>1.4598941684533919E-3</v>
      </c>
      <c r="V1117" s="1">
        <f t="shared" si="258"/>
        <v>0.10218943919719334</v>
      </c>
      <c r="W1117" s="1">
        <f t="shared" si="259"/>
        <v>-7.2981306573111364E-4</v>
      </c>
      <c r="X1117" s="1">
        <f t="shared" si="260"/>
        <v>2.6608812693802385E-6</v>
      </c>
      <c r="Y1117" s="1">
        <f t="shared" si="261"/>
        <v>-1.4490507696164889E-2</v>
      </c>
      <c r="Z1117" s="1">
        <f t="shared" si="262"/>
        <v>-0.72452538480824447</v>
      </c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</row>
    <row r="1118" spans="1:44" ht="15" customHeight="1" x14ac:dyDescent="0.3">
      <c r="A1118" s="2">
        <v>11.17</v>
      </c>
      <c r="B1118" s="1">
        <f t="shared" si="250"/>
        <v>6.7608297539197943E-12</v>
      </c>
      <c r="C1118" s="1">
        <f t="shared" si="251"/>
        <v>1.4938994720498945E-3</v>
      </c>
      <c r="D1118" s="1">
        <f t="shared" si="252"/>
        <v>-1.4936927810687631E-3</v>
      </c>
      <c r="E1118" s="1">
        <f t="shared" si="253"/>
        <v>3.582282130178127E-3</v>
      </c>
      <c r="F1118" s="1">
        <f t="shared" si="254"/>
        <v>0.99998741090436927</v>
      </c>
      <c r="G1118" s="1">
        <f t="shared" si="255"/>
        <v>1.0909805365710654</v>
      </c>
      <c r="H1118" s="1">
        <f t="shared" si="263"/>
        <v>10.909805365710653</v>
      </c>
      <c r="S1118" s="2">
        <v>11.17</v>
      </c>
      <c r="T1118" s="1">
        <f t="shared" si="256"/>
        <v>6.7608297539197943E-12</v>
      </c>
      <c r="U1118" s="1">
        <f t="shared" si="257"/>
        <v>1.4938994720498945E-3</v>
      </c>
      <c r="V1118" s="1">
        <f t="shared" si="258"/>
        <v>0.10224045623813438</v>
      </c>
      <c r="W1118" s="1">
        <f t="shared" si="259"/>
        <v>-7.4681874604479506E-4</v>
      </c>
      <c r="X1118" s="1">
        <f t="shared" si="260"/>
        <v>2.6003123744809704E-6</v>
      </c>
      <c r="Y1118" s="1">
        <f t="shared" si="261"/>
        <v>-1.4825654156431896E-2</v>
      </c>
      <c r="Z1118" s="1">
        <f t="shared" si="262"/>
        <v>-0.74128270782159478</v>
      </c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</row>
    <row r="1119" spans="1:44" ht="15" customHeight="1" x14ac:dyDescent="0.3">
      <c r="A1119" s="2">
        <v>11.18</v>
      </c>
      <c r="B1119" s="1">
        <f t="shared" si="250"/>
        <v>6.6069344800759387E-12</v>
      </c>
      <c r="C1119" s="1">
        <f t="shared" si="251"/>
        <v>1.528696860920575E-3</v>
      </c>
      <c r="D1119" s="1">
        <f t="shared" si="252"/>
        <v>-1.5284949461018538E-3</v>
      </c>
      <c r="E1119" s="1">
        <f t="shared" si="253"/>
        <v>3.5880824910169752E-3</v>
      </c>
      <c r="F1119" s="1">
        <f t="shared" si="254"/>
        <v>0.99998769746364624</v>
      </c>
      <c r="G1119" s="1">
        <f t="shared" si="255"/>
        <v>1.0931332335338169</v>
      </c>
      <c r="H1119" s="1">
        <f t="shared" si="263"/>
        <v>10.931332335338167</v>
      </c>
      <c r="S1119" s="2">
        <v>11.18</v>
      </c>
      <c r="T1119" s="1">
        <f t="shared" si="256"/>
        <v>6.6069344800759387E-12</v>
      </c>
      <c r="U1119" s="1">
        <f t="shared" si="257"/>
        <v>1.528696860920575E-3</v>
      </c>
      <c r="V1119" s="1">
        <f t="shared" si="258"/>
        <v>0.10229266120017602</v>
      </c>
      <c r="W1119" s="1">
        <f t="shared" si="259"/>
        <v>-7.6422040005866916E-4</v>
      </c>
      <c r="X1119" s="1">
        <f t="shared" si="260"/>
        <v>2.5411221888646653E-6</v>
      </c>
      <c r="Y1119" s="1">
        <f t="shared" si="261"/>
        <v>-1.5168487326642863E-2</v>
      </c>
      <c r="Z1119" s="1">
        <f t="shared" si="262"/>
        <v>-0.75842436633214305</v>
      </c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</row>
    <row r="1120" spans="1:44" ht="15" customHeight="1" x14ac:dyDescent="0.3">
      <c r="A1120" s="2">
        <v>11.19</v>
      </c>
      <c r="B1120" s="1">
        <f t="shared" si="250"/>
        <v>6.4565422903465579E-12</v>
      </c>
      <c r="C1120" s="1">
        <f t="shared" si="251"/>
        <v>1.5643047851016053E-3</v>
      </c>
      <c r="D1120" s="1">
        <f t="shared" si="252"/>
        <v>-1.5641075377287586E-3</v>
      </c>
      <c r="E1120" s="1">
        <f t="shared" si="253"/>
        <v>3.5940179229547926E-3</v>
      </c>
      <c r="F1120" s="1">
        <f t="shared" si="254"/>
        <v>0.99998797750019608</v>
      </c>
      <c r="G1120" s="1">
        <f t="shared" si="255"/>
        <v>1.0953376354053936</v>
      </c>
      <c r="H1120" s="1">
        <f t="shared" si="263"/>
        <v>10.953376354053935</v>
      </c>
      <c r="S1120" s="2">
        <v>11.19</v>
      </c>
      <c r="T1120" s="1">
        <f t="shared" si="256"/>
        <v>6.4565422903465579E-12</v>
      </c>
      <c r="U1120" s="1">
        <f t="shared" si="257"/>
        <v>1.5643047851016053E-3</v>
      </c>
      <c r="V1120" s="1">
        <f t="shared" si="258"/>
        <v>0.10234608176307999</v>
      </c>
      <c r="W1120" s="1">
        <f t="shared" si="259"/>
        <v>-7.8202725435999381E-4</v>
      </c>
      <c r="X1120" s="1">
        <f t="shared" si="260"/>
        <v>2.4832793295955949E-6</v>
      </c>
      <c r="Y1120" s="1">
        <f t="shared" si="261"/>
        <v>-1.551918086319626E-2</v>
      </c>
      <c r="Z1120" s="1">
        <f t="shared" si="262"/>
        <v>-0.77595904315981301</v>
      </c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</row>
    <row r="1121" spans="1:44" ht="15" customHeight="1" x14ac:dyDescent="0.3">
      <c r="A1121" s="2">
        <v>11.2</v>
      </c>
      <c r="B1121" s="1">
        <f t="shared" si="250"/>
        <v>6.3095734448019345E-12</v>
      </c>
      <c r="C1121" s="1">
        <f t="shared" si="251"/>
        <v>1.600742124385724E-3</v>
      </c>
      <c r="D1121" s="1">
        <f t="shared" si="252"/>
        <v>-1.6005494382168187E-3</v>
      </c>
      <c r="E1121" s="1">
        <f t="shared" si="253"/>
        <v>3.600091573036136E-3</v>
      </c>
      <c r="F1121" s="1">
        <f t="shared" si="254"/>
        <v>0.99998825116248735</v>
      </c>
      <c r="G1121" s="1">
        <f t="shared" si="255"/>
        <v>1.0975950228834985</v>
      </c>
      <c r="H1121" s="1">
        <f t="shared" si="263"/>
        <v>10.975950228834984</v>
      </c>
      <c r="S1121" s="2">
        <v>11.2</v>
      </c>
      <c r="T1121" s="1">
        <f t="shared" si="256"/>
        <v>6.3095734448019345E-12</v>
      </c>
      <c r="U1121" s="1">
        <f t="shared" si="257"/>
        <v>1.600742124385724E-3</v>
      </c>
      <c r="V1121" s="1">
        <f t="shared" si="258"/>
        <v>0.10240074625113578</v>
      </c>
      <c r="W1121" s="1">
        <f t="shared" si="259"/>
        <v>-8.0024875037859166E-4</v>
      </c>
      <c r="X1121" s="1">
        <f t="shared" si="260"/>
        <v>2.426753128086477E-6</v>
      </c>
      <c r="Y1121" s="1">
        <f t="shared" si="261"/>
        <v>-1.5877912213497113E-2</v>
      </c>
      <c r="Z1121" s="1">
        <f t="shared" si="262"/>
        <v>-0.7938956106748557</v>
      </c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</row>
    <row r="1122" spans="1:44" ht="15" customHeight="1" x14ac:dyDescent="0.3">
      <c r="A1122" s="2">
        <v>11.21</v>
      </c>
      <c r="B1122" s="1">
        <f t="shared" si="250"/>
        <v>6.1659500186148026E-12</v>
      </c>
      <c r="C1122" s="1">
        <f t="shared" si="251"/>
        <v>1.6380281983325242E-3</v>
      </c>
      <c r="D1122" s="1">
        <f t="shared" si="252"/>
        <v>-1.6378399695438988E-3</v>
      </c>
      <c r="E1122" s="1">
        <f t="shared" si="253"/>
        <v>3.60630666159065E-3</v>
      </c>
      <c r="F1122" s="1">
        <f t="shared" si="254"/>
        <v>0.99998851859560922</v>
      </c>
      <c r="G1122" s="1">
        <f t="shared" si="255"/>
        <v>1.0999067102046216</v>
      </c>
      <c r="H1122" s="1">
        <f t="shared" si="263"/>
        <v>10.999067102046215</v>
      </c>
      <c r="S1122" s="2">
        <v>11.21</v>
      </c>
      <c r="T1122" s="1">
        <f t="shared" si="256"/>
        <v>6.1659500186148026E-12</v>
      </c>
      <c r="U1122" s="1">
        <f t="shared" si="257"/>
        <v>1.6380281983325242E-3</v>
      </c>
      <c r="V1122" s="1">
        <f t="shared" si="258"/>
        <v>0.10245668364817843</v>
      </c>
      <c r="W1122" s="1">
        <f t="shared" si="259"/>
        <v>-8.1889454939280905E-4</v>
      </c>
      <c r="X1122" s="1">
        <f t="shared" si="260"/>
        <v>2.371513613838612E-6</v>
      </c>
      <c r="Y1122" s="1">
        <f t="shared" si="261"/>
        <v>-1.6244862692709236E-2</v>
      </c>
      <c r="Z1122" s="1">
        <f t="shared" si="262"/>
        <v>-0.81224313463546194</v>
      </c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</row>
    <row r="1123" spans="1:44" ht="15" customHeight="1" x14ac:dyDescent="0.3">
      <c r="A1123" s="2">
        <v>11.22</v>
      </c>
      <c r="B1123" s="1">
        <f t="shared" si="250"/>
        <v>6.0255958607435596E-12</v>
      </c>
      <c r="C1123" s="1">
        <f t="shared" si="251"/>
        <v>1.6761827765119411E-3</v>
      </c>
      <c r="D1123" s="1">
        <f t="shared" si="252"/>
        <v>-1.6759989036431474E-3</v>
      </c>
      <c r="E1123" s="1">
        <f t="shared" si="253"/>
        <v>3.6126664839405244E-3</v>
      </c>
      <c r="F1123" s="1">
        <f t="shared" si="254"/>
        <v>0.99998877994134816</v>
      </c>
      <c r="G1123" s="1">
        <f t="shared" si="255"/>
        <v>1.1022740461101057</v>
      </c>
      <c r="H1123" s="1">
        <f t="shared" si="263"/>
        <v>11.022740461101057</v>
      </c>
      <c r="S1123" s="2">
        <v>11.22</v>
      </c>
      <c r="T1123" s="1">
        <f t="shared" si="256"/>
        <v>6.0255958607435596E-12</v>
      </c>
      <c r="U1123" s="1">
        <f t="shared" si="257"/>
        <v>1.6761827765119411E-3</v>
      </c>
      <c r="V1123" s="1">
        <f t="shared" si="258"/>
        <v>0.10251392361295616</v>
      </c>
      <c r="W1123" s="1">
        <f t="shared" si="259"/>
        <v>-8.3797453765205201E-4</v>
      </c>
      <c r="X1123" s="1">
        <f t="shared" si="260"/>
        <v>2.3175314985520596E-6</v>
      </c>
      <c r="Y1123" s="1">
        <f t="shared" si="261"/>
        <v>-1.6620217561771025E-2</v>
      </c>
      <c r="Z1123" s="1">
        <f t="shared" si="262"/>
        <v>-0.83101087808855123</v>
      </c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</row>
    <row r="1124" spans="1:44" ht="15" customHeight="1" x14ac:dyDescent="0.3">
      <c r="A1124" s="2">
        <v>11.23</v>
      </c>
      <c r="B1124" s="1">
        <f t="shared" si="250"/>
        <v>5.8884365535558725E-12</v>
      </c>
      <c r="C1124" s="1">
        <f t="shared" si="251"/>
        <v>1.7152260889863667E-3</v>
      </c>
      <c r="D1124" s="1">
        <f t="shared" si="252"/>
        <v>-1.7150464728864002E-3</v>
      </c>
      <c r="E1124" s="1">
        <f t="shared" si="253"/>
        <v>3.6191744121477337E-3</v>
      </c>
      <c r="F1124" s="1">
        <f t="shared" si="254"/>
        <v>0.99998903533826367</v>
      </c>
      <c r="G1124" s="1">
        <f t="shared" si="255"/>
        <v>1.1046984148441363</v>
      </c>
      <c r="H1124" s="1">
        <f t="shared" si="263"/>
        <v>11.046984148441362</v>
      </c>
      <c r="S1124" s="2">
        <v>11.23</v>
      </c>
      <c r="T1124" s="1">
        <f t="shared" si="256"/>
        <v>5.8884365535558725E-12</v>
      </c>
      <c r="U1124" s="1">
        <f t="shared" si="257"/>
        <v>1.7152260889863667E-3</v>
      </c>
      <c r="V1124" s="1">
        <f t="shared" si="258"/>
        <v>0.10257249649485586</v>
      </c>
      <c r="W1124" s="1">
        <f t="shared" si="259"/>
        <v>-8.5749883161862189E-4</v>
      </c>
      <c r="X1124" s="1">
        <f t="shared" si="260"/>
        <v>2.2647781605974482E-6</v>
      </c>
      <c r="Y1124" s="1">
        <f t="shared" si="261"/>
        <v>-1.7004166106681155E-2</v>
      </c>
      <c r="Z1124" s="1">
        <f t="shared" si="262"/>
        <v>-0.85020830533405778</v>
      </c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</row>
    <row r="1125" spans="1:44" ht="15" customHeight="1" x14ac:dyDescent="0.3">
      <c r="A1125" s="2">
        <v>11.24</v>
      </c>
      <c r="B1125" s="1">
        <f t="shared" si="250"/>
        <v>5.7543993733715538E-12</v>
      </c>
      <c r="C1125" s="1">
        <f t="shared" si="251"/>
        <v>1.7551788370368739E-3</v>
      </c>
      <c r="D1125" s="1">
        <f t="shared" si="252"/>
        <v>-1.7550033808115915E-3</v>
      </c>
      <c r="E1125" s="1">
        <f t="shared" si="253"/>
        <v>3.6258338968019319E-3</v>
      </c>
      <c r="F1125" s="1">
        <f t="shared" si="254"/>
        <v>0.99998928492176165</v>
      </c>
      <c r="G1125" s="1">
        <f t="shared" si="255"/>
        <v>1.1071812371848859</v>
      </c>
      <c r="H1125" s="1">
        <f t="shared" si="263"/>
        <v>11.071812371848859</v>
      </c>
      <c r="S1125" s="2">
        <v>11.24</v>
      </c>
      <c r="T1125" s="1">
        <f t="shared" si="256"/>
        <v>5.7543993733715538E-12</v>
      </c>
      <c r="U1125" s="1">
        <f t="shared" si="257"/>
        <v>1.7551788370368739E-3</v>
      </c>
      <c r="V1125" s="1">
        <f t="shared" si="258"/>
        <v>0.10263243334999476</v>
      </c>
      <c r="W1125" s="1">
        <f t="shared" si="259"/>
        <v>-8.7747778333158513E-4</v>
      </c>
      <c r="X1125" s="1">
        <f t="shared" si="260"/>
        <v>2.2132256298412985E-6</v>
      </c>
      <c r="Y1125" s="1">
        <f t="shared" si="261"/>
        <v>-1.739690171905893E-2</v>
      </c>
      <c r="Z1125" s="1">
        <f t="shared" si="262"/>
        <v>-0.86984508595294641</v>
      </c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</row>
    <row r="1126" spans="1:44" ht="15" customHeight="1" x14ac:dyDescent="0.3">
      <c r="A1126" s="2">
        <v>11.25</v>
      </c>
      <c r="B1126" s="1">
        <f t="shared" si="250"/>
        <v>5.6234132519034759E-12</v>
      </c>
      <c r="C1126" s="1">
        <f t="shared" si="251"/>
        <v>1.7960622041393167E-3</v>
      </c>
      <c r="D1126" s="1">
        <f t="shared" si="252"/>
        <v>-1.7958908131000878E-3</v>
      </c>
      <c r="E1126" s="1">
        <f t="shared" si="253"/>
        <v>3.6326484688500148E-3</v>
      </c>
      <c r="F1126" s="1">
        <f t="shared" si="254"/>
        <v>0.99998952882416625</v>
      </c>
      <c r="G1126" s="1">
        <f t="shared" si="255"/>
        <v>1.1097239715101241</v>
      </c>
      <c r="H1126" s="1">
        <f t="shared" si="263"/>
        <v>11.097239715101241</v>
      </c>
      <c r="S1126" s="2">
        <v>11.25</v>
      </c>
      <c r="T1126" s="1">
        <f t="shared" si="256"/>
        <v>5.6234132519034759E-12</v>
      </c>
      <c r="U1126" s="1">
        <f t="shared" si="257"/>
        <v>1.7960622041393167E-3</v>
      </c>
      <c r="V1126" s="1">
        <f t="shared" si="258"/>
        <v>0.10269376595768669</v>
      </c>
      <c r="W1126" s="1">
        <f t="shared" si="259"/>
        <v>-8.9792198589556602E-4</v>
      </c>
      <c r="X1126" s="1">
        <f t="shared" si="260"/>
        <v>2.1628465728166908E-6</v>
      </c>
      <c r="Y1126" s="1">
        <f t="shared" si="261"/>
        <v>-1.7798621977984559E-2</v>
      </c>
      <c r="Z1126" s="1">
        <f t="shared" si="262"/>
        <v>-0.88993109889922783</v>
      </c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</row>
    <row r="1127" spans="1:44" ht="15" customHeight="1" x14ac:dyDescent="0.3">
      <c r="A1127" s="2">
        <v>11.26</v>
      </c>
      <c r="B1127" s="1">
        <f t="shared" si="250"/>
        <v>5.4954087385762314E-12</v>
      </c>
      <c r="C1127" s="1">
        <f t="shared" si="251"/>
        <v>1.837897867196088E-3</v>
      </c>
      <c r="D1127" s="1">
        <f t="shared" si="252"/>
        <v>-1.8377304488095742E-3</v>
      </c>
      <c r="E1127" s="1">
        <f t="shared" si="253"/>
        <v>3.6396217414682627E-3</v>
      </c>
      <c r="F1127" s="1">
        <f t="shared" si="254"/>
        <v>0.99998976717478905</v>
      </c>
      <c r="G1127" s="1">
        <f t="shared" si="255"/>
        <v>1.1123281148986406</v>
      </c>
      <c r="H1127" s="1">
        <f t="shared" si="263"/>
        <v>11.123281148986406</v>
      </c>
      <c r="S1127" s="2">
        <v>11.26</v>
      </c>
      <c r="T1127" s="1">
        <f t="shared" si="256"/>
        <v>5.4954087385762314E-12</v>
      </c>
      <c r="U1127" s="1">
        <f t="shared" si="257"/>
        <v>1.837897867196088E-3</v>
      </c>
      <c r="V1127" s="1">
        <f t="shared" si="258"/>
        <v>0.10275652683729203</v>
      </c>
      <c r="W1127" s="1">
        <f t="shared" si="259"/>
        <v>-9.1884227909734778E-4</v>
      </c>
      <c r="X1127" s="1">
        <f t="shared" si="260"/>
        <v>2.1136142782314834E-6</v>
      </c>
      <c r="Y1127" s="1">
        <f t="shared" si="261"/>
        <v>-1.8209528733122645E-2</v>
      </c>
      <c r="Z1127" s="1">
        <f t="shared" si="262"/>
        <v>-0.9104764366561322</v>
      </c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</row>
    <row r="1128" spans="1:44" ht="15" customHeight="1" x14ac:dyDescent="0.3">
      <c r="A1128" s="2">
        <v>11.27</v>
      </c>
      <c r="B1128" s="1">
        <f t="shared" si="250"/>
        <v>5.3703179637025143E-12</v>
      </c>
      <c r="C1128" s="1">
        <f t="shared" si="251"/>
        <v>1.8807080080295005E-3</v>
      </c>
      <c r="D1128" s="1">
        <f t="shared" si="252"/>
        <v>-1.8805444718686089E-3</v>
      </c>
      <c r="E1128" s="1">
        <f t="shared" si="253"/>
        <v>3.6467574119781014E-3</v>
      </c>
      <c r="F1128" s="1">
        <f t="shared" si="254"/>
        <v>0.99999000009999905</v>
      </c>
      <c r="G1128" s="1">
        <f t="shared" si="255"/>
        <v>1.1149952042689095</v>
      </c>
      <c r="H1128" s="1">
        <f t="shared" si="263"/>
        <v>11.149952042689094</v>
      </c>
      <c r="S1128" s="2">
        <v>11.27</v>
      </c>
      <c r="T1128" s="1">
        <f t="shared" si="256"/>
        <v>5.3703179637025143E-12</v>
      </c>
      <c r="U1128" s="1">
        <f t="shared" si="257"/>
        <v>1.8807080080295005E-3</v>
      </c>
      <c r="V1128" s="1">
        <f t="shared" si="258"/>
        <v>0.10282074926545981</v>
      </c>
      <c r="W1128" s="1">
        <f t="shared" si="259"/>
        <v>-9.4024975515327399E-4</v>
      </c>
      <c r="X1128" s="1">
        <f t="shared" si="260"/>
        <v>2.065502642806372E-6</v>
      </c>
      <c r="Y1128" s="1">
        <f t="shared" si="261"/>
        <v>-1.8629828189131694E-2</v>
      </c>
      <c r="Z1128" s="1">
        <f t="shared" si="262"/>
        <v>-0.93149140945658471</v>
      </c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</row>
    <row r="1129" spans="1:44" ht="15" customHeight="1" x14ac:dyDescent="0.3">
      <c r="A1129" s="2">
        <v>11.28</v>
      </c>
      <c r="B1129" s="1">
        <f t="shared" si="250"/>
        <v>5.2480746024977136E-12</v>
      </c>
      <c r="C1129" s="1">
        <f t="shared" si="251"/>
        <v>1.9245153251428841E-3</v>
      </c>
      <c r="D1129" s="1">
        <f t="shared" si="252"/>
        <v>-1.9243555828388293E-3</v>
      </c>
      <c r="E1129" s="1">
        <f t="shared" si="253"/>
        <v>3.6540592638064713E-3</v>
      </c>
      <c r="F1129" s="1">
        <f t="shared" si="254"/>
        <v>0.99999022772328872</v>
      </c>
      <c r="G1129" s="1">
        <f t="shared" si="255"/>
        <v>1.1177268175564763</v>
      </c>
      <c r="H1129" s="1">
        <f t="shared" si="263"/>
        <v>11.177268175564762</v>
      </c>
      <c r="S1129" s="2">
        <v>11.28</v>
      </c>
      <c r="T1129" s="1">
        <f t="shared" si="256"/>
        <v>5.2480746024977136E-12</v>
      </c>
      <c r="U1129" s="1">
        <f t="shared" si="257"/>
        <v>1.9245153251428841E-3</v>
      </c>
      <c r="V1129" s="1">
        <f t="shared" si="258"/>
        <v>0.10288646729377147</v>
      </c>
      <c r="W1129" s="1">
        <f t="shared" si="259"/>
        <v>-9.6215576459048708E-4</v>
      </c>
      <c r="X1129" s="1">
        <f t="shared" si="260"/>
        <v>2.0184861574352982E-6</v>
      </c>
      <c r="Y1129" s="1">
        <f t="shared" si="261"/>
        <v>-1.9059730991360921E-2</v>
      </c>
      <c r="Z1129" s="1">
        <f t="shared" si="262"/>
        <v>-0.95298654956804596</v>
      </c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</row>
    <row r="1130" spans="1:44" ht="15" customHeight="1" x14ac:dyDescent="0.3">
      <c r="A1130" s="2">
        <v>11.29</v>
      </c>
      <c r="B1130" s="1">
        <f t="shared" si="250"/>
        <v>5.128613839913655E-12</v>
      </c>
      <c r="C1130" s="1">
        <f t="shared" si="251"/>
        <v>1.9693430457556234E-3</v>
      </c>
      <c r="D1130" s="1">
        <f t="shared" si="252"/>
        <v>-1.9691870109510741E-3</v>
      </c>
      <c r="E1130" s="1">
        <f t="shared" si="253"/>
        <v>3.6615311684918459E-3</v>
      </c>
      <c r="F1130" s="1">
        <f t="shared" si="254"/>
        <v>0.99999045016534005</v>
      </c>
      <c r="G1130" s="1">
        <f t="shared" si="255"/>
        <v>1.1205245749316219</v>
      </c>
      <c r="H1130" s="1">
        <f t="shared" si="263"/>
        <v>11.205245749316219</v>
      </c>
      <c r="S1130" s="2">
        <v>11.29</v>
      </c>
      <c r="T1130" s="1">
        <f t="shared" si="256"/>
        <v>5.128613839913655E-12</v>
      </c>
      <c r="U1130" s="1">
        <f t="shared" si="257"/>
        <v>1.9693430457556234E-3</v>
      </c>
      <c r="V1130" s="1">
        <f t="shared" si="258"/>
        <v>0.10295371576679538</v>
      </c>
      <c r="W1130" s="1">
        <f t="shared" si="259"/>
        <v>-9.8457192226512435E-4</v>
      </c>
      <c r="X1130" s="1">
        <f t="shared" si="260"/>
        <v>1.9725398936608677E-6</v>
      </c>
      <c r="Y1130" s="1">
        <f t="shared" si="261"/>
        <v>-1.9499452312834838E-2</v>
      </c>
      <c r="Z1130" s="1">
        <f t="shared" si="262"/>
        <v>-0.97497261564174187</v>
      </c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</row>
    <row r="1131" spans="1:44" ht="15" customHeight="1" x14ac:dyDescent="0.3">
      <c r="A1131" s="2">
        <v>11.3</v>
      </c>
      <c r="B1131" s="1">
        <f t="shared" si="250"/>
        <v>5.0118723362726945E-12</v>
      </c>
      <c r="C1131" s="1">
        <f t="shared" si="251"/>
        <v>2.0152149381185798E-3</v>
      </c>
      <c r="D1131" s="1">
        <f t="shared" si="252"/>
        <v>-2.0150625264218646E-3</v>
      </c>
      <c r="E1131" s="1">
        <f t="shared" si="253"/>
        <v>3.669177087736977E-3</v>
      </c>
      <c r="F1131" s="1">
        <f t="shared" si="254"/>
        <v>0.99999066754408772</v>
      </c>
      <c r="G1131" s="1">
        <f t="shared" si="255"/>
        <v>1.123390140058939</v>
      </c>
      <c r="H1131" s="1">
        <f t="shared" si="263"/>
        <v>11.233901400589389</v>
      </c>
      <c r="S1131" s="2">
        <v>11.3</v>
      </c>
      <c r="T1131" s="1">
        <f t="shared" si="256"/>
        <v>5.0118723362726945E-12</v>
      </c>
      <c r="U1131" s="1">
        <f t="shared" si="257"/>
        <v>2.0152149381185798E-3</v>
      </c>
      <c r="V1131" s="1">
        <f t="shared" si="258"/>
        <v>0.10302253034056207</v>
      </c>
      <c r="W1131" s="1">
        <f t="shared" si="259"/>
        <v>-1.0075101135206899E-3</v>
      </c>
      <c r="X1131" s="1">
        <f t="shared" si="260"/>
        <v>1.9276394904575607E-6</v>
      </c>
      <c r="Y1131" s="1">
        <f t="shared" si="261"/>
        <v>-1.9949211942525177E-2</v>
      </c>
      <c r="Z1131" s="1">
        <f t="shared" si="262"/>
        <v>-0.99746059712625901</v>
      </c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</row>
    <row r="1132" spans="1:44" ht="15" customHeight="1" x14ac:dyDescent="0.3">
      <c r="A1132" s="2">
        <v>11.31</v>
      </c>
      <c r="B1132" s="1">
        <f t="shared" si="250"/>
        <v>4.8977881936844518E-12</v>
      </c>
      <c r="C1132" s="1">
        <f t="shared" si="251"/>
        <v>2.0621553241162286E-3</v>
      </c>
      <c r="D1132" s="1">
        <f t="shared" si="252"/>
        <v>-2.0620064530566177E-3</v>
      </c>
      <c r="E1132" s="1">
        <f t="shared" si="253"/>
        <v>3.6770010755094364E-3</v>
      </c>
      <c r="F1132" s="1">
        <f t="shared" si="254"/>
        <v>0.99999087997478209</v>
      </c>
      <c r="G1132" s="1">
        <f t="shared" si="255"/>
        <v>1.1263252214005137</v>
      </c>
      <c r="H1132" s="1">
        <f t="shared" si="263"/>
        <v>11.263252214005137</v>
      </c>
      <c r="S1132" s="2">
        <v>11.31</v>
      </c>
      <c r="T1132" s="1">
        <f t="shared" si="256"/>
        <v>4.8977881936844518E-12</v>
      </c>
      <c r="U1132" s="1">
        <f t="shared" si="257"/>
        <v>2.0621553241162286E-3</v>
      </c>
      <c r="V1132" s="1">
        <f t="shared" si="258"/>
        <v>0.10309294750146931</v>
      </c>
      <c r="W1132" s="1">
        <f t="shared" si="259"/>
        <v>-1.0309825004897687E-3</v>
      </c>
      <c r="X1132" s="1">
        <f t="shared" si="260"/>
        <v>1.883761141315913E-6</v>
      </c>
      <c r="Y1132" s="1">
        <f t="shared" si="261"/>
        <v>-2.0409234374906146E-2</v>
      </c>
      <c r="Z1132" s="1">
        <f t="shared" si="262"/>
        <v>-1.0204617187453073</v>
      </c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</row>
    <row r="1133" spans="1:44" ht="15" customHeight="1" x14ac:dyDescent="0.3">
      <c r="A1133" s="2">
        <v>11.32</v>
      </c>
      <c r="B1133" s="1">
        <f t="shared" si="250"/>
        <v>4.7863009232263738E-12</v>
      </c>
      <c r="C1133" s="1">
        <f t="shared" si="251"/>
        <v>2.1101890921625841E-3</v>
      </c>
      <c r="D1133" s="1">
        <f t="shared" si="252"/>
        <v>-2.1100436811465448E-3</v>
      </c>
      <c r="E1133" s="1">
        <f t="shared" si="253"/>
        <v>3.6850072801910909E-3</v>
      </c>
      <c r="F1133" s="1">
        <f t="shared" si="254"/>
        <v>0.99999108757005073</v>
      </c>
      <c r="G1133" s="1">
        <f t="shared" si="255"/>
        <v>1.1293315735645182</v>
      </c>
      <c r="H1133" s="1">
        <f t="shared" si="263"/>
        <v>11.293315735645182</v>
      </c>
      <c r="S1133" s="2">
        <v>11.32</v>
      </c>
      <c r="T1133" s="1">
        <f t="shared" si="256"/>
        <v>4.7863009232263738E-12</v>
      </c>
      <c r="U1133" s="1">
        <f t="shared" si="257"/>
        <v>2.1101890921625841E-3</v>
      </c>
      <c r="V1133" s="1">
        <f t="shared" si="258"/>
        <v>0.10316500458562786</v>
      </c>
      <c r="W1133" s="1">
        <f t="shared" si="259"/>
        <v>-1.055001528542619E-3</v>
      </c>
      <c r="X1133" s="1">
        <f t="shared" si="260"/>
        <v>1.8408815816204461E-6</v>
      </c>
      <c r="Y1133" s="1">
        <f t="shared" si="261"/>
        <v>-2.0879748900793152E-2</v>
      </c>
      <c r="Z1133" s="1">
        <f t="shared" si="262"/>
        <v>-1.0439874450396576</v>
      </c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</row>
    <row r="1134" spans="1:44" ht="15" customHeight="1" x14ac:dyDescent="0.3">
      <c r="A1134" s="2">
        <v>11.33</v>
      </c>
      <c r="B1134" s="1">
        <f t="shared" si="250"/>
        <v>4.6773514128719737E-12</v>
      </c>
      <c r="C1134" s="1">
        <f t="shared" si="251"/>
        <v>2.1593417103972579E-3</v>
      </c>
      <c r="D1134" s="1">
        <f t="shared" si="252"/>
        <v>-2.1591996806657452E-3</v>
      </c>
      <c r="E1134" s="1">
        <f t="shared" si="253"/>
        <v>3.6931999467776241E-3</v>
      </c>
      <c r="F1134" s="1">
        <f t="shared" si="254"/>
        <v>0.9999912904399576</v>
      </c>
      <c r="G1134" s="1">
        <f t="shared" si="255"/>
        <v>1.1324109987010644</v>
      </c>
      <c r="H1134" s="1">
        <f t="shared" si="263"/>
        <v>11.324109987010644</v>
      </c>
      <c r="S1134" s="2">
        <v>11.33</v>
      </c>
      <c r="T1134" s="1">
        <f t="shared" si="256"/>
        <v>4.6773514128719737E-12</v>
      </c>
      <c r="U1134" s="1">
        <f t="shared" si="257"/>
        <v>2.1593417103972579E-3</v>
      </c>
      <c r="V1134" s="1">
        <f t="shared" si="258"/>
        <v>0.10323873979865746</v>
      </c>
      <c r="W1134" s="1">
        <f t="shared" si="259"/>
        <v>-1.079579932885822E-3</v>
      </c>
      <c r="X1134" s="1">
        <f t="shared" si="260"/>
        <v>1.7989780763151256E-6</v>
      </c>
      <c r="Y1134" s="1">
        <f t="shared" si="261"/>
        <v>-2.1360989699455313E-2</v>
      </c>
      <c r="Z1134" s="1">
        <f t="shared" si="262"/>
        <v>-1.0680494849727655</v>
      </c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</row>
    <row r="1135" spans="1:44" ht="15" customHeight="1" x14ac:dyDescent="0.3">
      <c r="A1135" s="2">
        <v>11.34</v>
      </c>
      <c r="B1135" s="1">
        <f t="shared" si="250"/>
        <v>4.5708818961487419E-12</v>
      </c>
      <c r="C1135" s="1">
        <f t="shared" si="251"/>
        <v>2.209639240189052E-3</v>
      </c>
      <c r="D1135" s="1">
        <f t="shared" si="252"/>
        <v>-2.2095005147757312E-3</v>
      </c>
      <c r="E1135" s="1">
        <f t="shared" si="253"/>
        <v>3.7015834191292882E-3</v>
      </c>
      <c r="F1135" s="1">
        <f t="shared" si="254"/>
        <v>0.999991488692061</v>
      </c>
      <c r="G1135" s="1">
        <f t="shared" si="255"/>
        <v>1.1355653479472969</v>
      </c>
      <c r="H1135" s="1">
        <f t="shared" si="263"/>
        <v>11.355653479472968</v>
      </c>
      <c r="S1135" s="2">
        <v>11.34</v>
      </c>
      <c r="T1135" s="1">
        <f t="shared" si="256"/>
        <v>4.5708818961487419E-12</v>
      </c>
      <c r="U1135" s="1">
        <f t="shared" si="257"/>
        <v>2.209639240189052E-3</v>
      </c>
      <c r="V1135" s="1">
        <f t="shared" si="258"/>
        <v>0.10331419223594404</v>
      </c>
      <c r="W1135" s="1">
        <f t="shared" si="259"/>
        <v>-1.104730745314676E-3</v>
      </c>
      <c r="X1135" s="1">
        <f t="shared" si="260"/>
        <v>1.7580284078494304E-6</v>
      </c>
      <c r="Y1135" s="1">
        <f t="shared" si="261"/>
        <v>-2.1853195931998873E-2</v>
      </c>
      <c r="Z1135" s="1">
        <f t="shared" si="262"/>
        <v>-1.0926597965999436</v>
      </c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</row>
    <row r="1136" spans="1:44" ht="15" customHeight="1" x14ac:dyDescent="0.3">
      <c r="A1136" s="2">
        <v>11.35</v>
      </c>
      <c r="B1136" s="1">
        <f t="shared" si="250"/>
        <v>4.4668359215096234E-12</v>
      </c>
      <c r="C1136" s="1">
        <f t="shared" si="251"/>
        <v>2.2611083499540266E-3</v>
      </c>
      <c r="D1136" s="1">
        <f t="shared" si="252"/>
        <v>-2.2609728536444962E-3</v>
      </c>
      <c r="E1136" s="1">
        <f t="shared" si="253"/>
        <v>3.7101621422740822E-3</v>
      </c>
      <c r="F1136" s="1">
        <f t="shared" si="254"/>
        <v>0.99999168243147163</v>
      </c>
      <c r="G1136" s="1">
        <f t="shared" si="255"/>
        <v>1.1387965229237789</v>
      </c>
      <c r="H1136" s="1">
        <f t="shared" si="263"/>
        <v>11.387965229237787</v>
      </c>
      <c r="S1136" s="2">
        <v>11.35</v>
      </c>
      <c r="T1136" s="1">
        <f t="shared" si="256"/>
        <v>4.4668359215096234E-12</v>
      </c>
      <c r="U1136" s="1">
        <f t="shared" si="257"/>
        <v>2.2611083499540266E-3</v>
      </c>
      <c r="V1136" s="1">
        <f t="shared" si="258"/>
        <v>0.10339140190336847</v>
      </c>
      <c r="W1136" s="1">
        <f t="shared" si="259"/>
        <v>-1.1304673011228231E-3</v>
      </c>
      <c r="X1136" s="1">
        <f t="shared" si="260"/>
        <v>1.7180108643988387E-6</v>
      </c>
      <c r="Y1136" s="1">
        <f t="shared" si="261"/>
        <v>-2.2356611836011397E-2</v>
      </c>
      <c r="Z1136" s="1">
        <f t="shared" si="262"/>
        <v>-1.1178305918005698</v>
      </c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</row>
    <row r="1137" spans="1:44" ht="15" customHeight="1" x14ac:dyDescent="0.3">
      <c r="A1137" s="2">
        <v>11.36</v>
      </c>
      <c r="B1137" s="1">
        <f t="shared" si="250"/>
        <v>4.3651583224016522E-12</v>
      </c>
      <c r="C1137" s="1">
        <f t="shared" si="251"/>
        <v>2.3137763292954546E-3</v>
      </c>
      <c r="D1137" s="1">
        <f t="shared" si="252"/>
        <v>-2.3136439885873329E-3</v>
      </c>
      <c r="E1137" s="1">
        <f t="shared" si="253"/>
        <v>3.7189406647645555E-3</v>
      </c>
      <c r="F1137" s="1">
        <f t="shared" si="254"/>
        <v>0.9999918717609072</v>
      </c>
      <c r="G1137" s="1">
        <f t="shared" si="255"/>
        <v>1.1421064772843219</v>
      </c>
      <c r="H1137" s="1">
        <f t="shared" si="263"/>
        <v>11.421064772843218</v>
      </c>
      <c r="S1137" s="2">
        <v>11.36</v>
      </c>
      <c r="T1137" s="1">
        <f t="shared" si="256"/>
        <v>4.3651583224016522E-12</v>
      </c>
      <c r="U1137" s="1">
        <f t="shared" si="257"/>
        <v>2.3137763292954546E-3</v>
      </c>
      <c r="V1137" s="1">
        <f t="shared" si="258"/>
        <v>0.1034704097385184</v>
      </c>
      <c r="W1137" s="1">
        <f t="shared" si="259"/>
        <v>-1.1568032461727997E-3</v>
      </c>
      <c r="X1137" s="1">
        <f t="shared" si="260"/>
        <v>1.6789042283534182E-6</v>
      </c>
      <c r="Y1137" s="1">
        <f t="shared" si="261"/>
        <v>-2.2871486821457392E-2</v>
      </c>
      <c r="Z1137" s="1">
        <f t="shared" si="262"/>
        <v>-1.1435743410728696</v>
      </c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</row>
    <row r="1138" spans="1:44" ht="15" customHeight="1" x14ac:dyDescent="0.3">
      <c r="A1138" s="2">
        <v>11.37</v>
      </c>
      <c r="B1138" s="1">
        <f t="shared" si="250"/>
        <v>4.2657951880159207E-12</v>
      </c>
      <c r="C1138" s="1">
        <f t="shared" si="251"/>
        <v>2.3676711034731246E-3</v>
      </c>
      <c r="D1138" s="1">
        <f t="shared" si="252"/>
        <v>-2.3675418465371268E-3</v>
      </c>
      <c r="E1138" s="1">
        <f t="shared" si="253"/>
        <v>3.7279236410895215E-3</v>
      </c>
      <c r="F1138" s="1">
        <f t="shared" si="254"/>
        <v>0.9999920567807481</v>
      </c>
      <c r="G1138" s="1">
        <f t="shared" si="255"/>
        <v>1.1454972183215375</v>
      </c>
      <c r="H1138" s="1">
        <f t="shared" si="263"/>
        <v>11.454972183215375</v>
      </c>
      <c r="S1138" s="2">
        <v>11.37</v>
      </c>
      <c r="T1138" s="1">
        <f t="shared" si="256"/>
        <v>4.2657951880159207E-12</v>
      </c>
      <c r="U1138" s="1">
        <f t="shared" si="257"/>
        <v>2.3676711034731246E-3</v>
      </c>
      <c r="V1138" s="1">
        <f t="shared" si="258"/>
        <v>0.10355125763239374</v>
      </c>
      <c r="W1138" s="1">
        <f t="shared" si="259"/>
        <v>-1.183752544131253E-3</v>
      </c>
      <c r="X1138" s="1">
        <f t="shared" si="260"/>
        <v>1.6406877650684413E-6</v>
      </c>
      <c r="Y1138" s="1">
        <f t="shared" si="261"/>
        <v>-2.3398075567813321E-2</v>
      </c>
      <c r="Z1138" s="1">
        <f t="shared" si="262"/>
        <v>-1.1699037783906658</v>
      </c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</row>
    <row r="1139" spans="1:44" ht="15" customHeight="1" x14ac:dyDescent="0.3">
      <c r="A1139" s="2">
        <v>11.38</v>
      </c>
      <c r="B1139" s="1">
        <f t="shared" si="250"/>
        <v>4.1686938347033333E-12</v>
      </c>
      <c r="C1139" s="1">
        <f t="shared" si="251"/>
        <v>2.4228212482096971E-3</v>
      </c>
      <c r="D1139" s="1">
        <f t="shared" si="252"/>
        <v>-2.4226950048515153E-3</v>
      </c>
      <c r="E1139" s="1">
        <f t="shared" si="253"/>
        <v>3.7371158341419192E-3</v>
      </c>
      <c r="F1139" s="1">
        <f t="shared" si="254"/>
        <v>0.99999223758908917</v>
      </c>
      <c r="G1139" s="1">
        <f t="shared" si="255"/>
        <v>1.1489708086304682</v>
      </c>
      <c r="H1139" s="1">
        <f t="shared" si="263"/>
        <v>11.489708086304681</v>
      </c>
      <c r="S1139" s="2">
        <v>11.38</v>
      </c>
      <c r="T1139" s="1">
        <f t="shared" si="256"/>
        <v>4.1686938347033333E-12</v>
      </c>
      <c r="U1139" s="1">
        <f t="shared" si="257"/>
        <v>2.4228212482096971E-3</v>
      </c>
      <c r="V1139" s="1">
        <f t="shared" si="258"/>
        <v>0.10363398845161799</v>
      </c>
      <c r="W1139" s="1">
        <f t="shared" si="259"/>
        <v>-1.2113294838726667E-3</v>
      </c>
      <c r="X1139" s="1">
        <f t="shared" si="260"/>
        <v>1.6033412118710417E-6</v>
      </c>
      <c r="Y1139" s="1">
        <f t="shared" si="261"/>
        <v>-2.3936638122428452E-2</v>
      </c>
      <c r="Z1139" s="1">
        <f t="shared" si="262"/>
        <v>-1.1968319061214225</v>
      </c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</row>
    <row r="1140" spans="1:44" ht="15" customHeight="1" x14ac:dyDescent="0.3">
      <c r="A1140" s="2">
        <v>11.39</v>
      </c>
      <c r="B1140" s="1">
        <f t="shared" si="250"/>
        <v>4.0738027780411076E-12</v>
      </c>
      <c r="C1140" s="1">
        <f t="shared" si="251"/>
        <v>2.4792560048418925E-3</v>
      </c>
      <c r="D1140" s="1">
        <f t="shared" si="252"/>
        <v>-2.4791327064649935E-3</v>
      </c>
      <c r="E1140" s="1">
        <f t="shared" si="253"/>
        <v>3.7465221177441651E-3</v>
      </c>
      <c r="F1140" s="1">
        <f t="shared" si="254"/>
        <v>0.9999924142817932</v>
      </c>
      <c r="G1140" s="1">
        <f t="shared" si="255"/>
        <v>1.152529367832807</v>
      </c>
      <c r="H1140" s="1">
        <f t="shared" si="263"/>
        <v>11.525293678328069</v>
      </c>
      <c r="S1140" s="2">
        <v>11.39</v>
      </c>
      <c r="T1140" s="1">
        <f t="shared" si="256"/>
        <v>4.0738027780411076E-12</v>
      </c>
      <c r="U1140" s="1">
        <f t="shared" si="257"/>
        <v>2.4792560048418925E-3</v>
      </c>
      <c r="V1140" s="1">
        <f t="shared" si="258"/>
        <v>0.10371864606116647</v>
      </c>
      <c r="W1140" s="1">
        <f t="shared" si="259"/>
        <v>-1.2395486870554922E-3</v>
      </c>
      <c r="X1140" s="1">
        <f t="shared" si="260"/>
        <v>1.5668447673171315E-6</v>
      </c>
      <c r="Y1140" s="1">
        <f t="shared" si="261"/>
        <v>-2.4487440000095159E-2</v>
      </c>
      <c r="Z1140" s="1">
        <f t="shared" si="262"/>
        <v>-1.224372000004758</v>
      </c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</row>
    <row r="1141" spans="1:44" ht="15" customHeight="1" x14ac:dyDescent="0.3">
      <c r="A1141" s="2">
        <v>11.4</v>
      </c>
      <c r="B1141" s="1">
        <f t="shared" si="250"/>
        <v>3.9810717055349533E-12</v>
      </c>
      <c r="C1141" s="1">
        <f t="shared" si="251"/>
        <v>2.5370052958246878E-3</v>
      </c>
      <c r="D1141" s="1">
        <f t="shared" si="252"/>
        <v>-2.5368848753939597E-3</v>
      </c>
      <c r="E1141" s="1">
        <f t="shared" si="253"/>
        <v>3.7561474792323266E-3</v>
      </c>
      <c r="F1141" s="1">
        <f t="shared" si="254"/>
        <v>0.99999258695254067</v>
      </c>
      <c r="G1141" s="1">
        <f t="shared" si="255"/>
        <v>1.1561750743643213</v>
      </c>
      <c r="H1141" s="1">
        <f t="shared" si="263"/>
        <v>11.561750743643213</v>
      </c>
      <c r="S1141" s="2">
        <v>11.4</v>
      </c>
      <c r="T1141" s="1">
        <f t="shared" si="256"/>
        <v>3.9810717055349533E-12</v>
      </c>
      <c r="U1141" s="1">
        <f t="shared" si="257"/>
        <v>2.5370052958246878E-3</v>
      </c>
      <c r="V1141" s="1">
        <f t="shared" si="258"/>
        <v>0.10380527534762432</v>
      </c>
      <c r="W1141" s="1">
        <f t="shared" si="259"/>
        <v>-1.2684251158747723E-3</v>
      </c>
      <c r="X1141" s="1">
        <f t="shared" si="260"/>
        <v>1.5311790806927842E-6</v>
      </c>
      <c r="Y1141" s="1">
        <f t="shared" si="261"/>
        <v>-2.5050752283811997E-2</v>
      </c>
      <c r="Z1141" s="1">
        <f t="shared" si="262"/>
        <v>-1.2525376141905999</v>
      </c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</row>
    <row r="1142" spans="1:44" ht="15" customHeight="1" x14ac:dyDescent="0.3">
      <c r="A1142" s="2">
        <v>11.41</v>
      </c>
      <c r="B1142" s="1">
        <f t="shared" si="250"/>
        <v>3.890451449942802E-12</v>
      </c>
      <c r="C1142" s="1">
        <f t="shared" si="251"/>
        <v>2.5960997405965547E-3</v>
      </c>
      <c r="D1142" s="1">
        <f t="shared" si="252"/>
        <v>-2.5959821326027371E-3</v>
      </c>
      <c r="E1142" s="1">
        <f t="shared" si="253"/>
        <v>3.7659970221004561E-3</v>
      </c>
      <c r="F1142" s="1">
        <f t="shared" si="254"/>
        <v>0.9999927556928796</v>
      </c>
      <c r="G1142" s="1">
        <f t="shared" si="255"/>
        <v>1.1599101673282199</v>
      </c>
      <c r="H1142" s="1">
        <f t="shared" si="263"/>
        <v>11.599101673282199</v>
      </c>
      <c r="S1142" s="2">
        <v>11.41</v>
      </c>
      <c r="T1142" s="1">
        <f t="shared" si="256"/>
        <v>3.890451449942802E-12</v>
      </c>
      <c r="U1142" s="1">
        <f t="shared" si="257"/>
        <v>2.5960997405965547E-3</v>
      </c>
      <c r="V1142" s="1">
        <f t="shared" si="258"/>
        <v>0.10389392224298581</v>
      </c>
      <c r="W1142" s="1">
        <f t="shared" si="259"/>
        <v>-1.2979740809952738E-3</v>
      </c>
      <c r="X1142" s="1">
        <f t="shared" si="260"/>
        <v>1.4963252417546521E-6</v>
      </c>
      <c r="Y1142" s="1">
        <f t="shared" si="261"/>
        <v>-2.5626851726717591E-2</v>
      </c>
      <c r="Z1142" s="1">
        <f t="shared" si="262"/>
        <v>-1.2813425863358796</v>
      </c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</row>
    <row r="1143" spans="1:44" ht="15" customHeight="1" x14ac:dyDescent="0.3">
      <c r="A1143" s="2">
        <v>11.42</v>
      </c>
      <c r="B1143" s="1">
        <f t="shared" si="250"/>
        <v>3.8018939632056084E-12</v>
      </c>
      <c r="C1143" s="1">
        <f t="shared" si="251"/>
        <v>2.6565706718143381E-3</v>
      </c>
      <c r="D1143" s="1">
        <f t="shared" si="252"/>
        <v>-2.6564558122393195E-3</v>
      </c>
      <c r="E1143" s="1">
        <f t="shared" si="253"/>
        <v>3.7760759687065532E-3</v>
      </c>
      <c r="F1143" s="1">
        <f t="shared" si="254"/>
        <v>0.9999929205922744</v>
      </c>
      <c r="G1143" s="1">
        <f t="shared" si="255"/>
        <v>1.1637369484173758</v>
      </c>
      <c r="H1143" s="1">
        <f t="shared" si="263"/>
        <v>11.637369484173758</v>
      </c>
      <c r="S1143" s="2">
        <v>11.42</v>
      </c>
      <c r="T1143" s="1">
        <f t="shared" si="256"/>
        <v>3.8018939632056084E-12</v>
      </c>
      <c r="U1143" s="1">
        <f t="shared" si="257"/>
        <v>2.6565706718143381E-3</v>
      </c>
      <c r="V1143" s="1">
        <f t="shared" si="258"/>
        <v>0.10398463374900829</v>
      </c>
      <c r="W1143" s="1">
        <f t="shared" si="259"/>
        <v>-1.3282112496694276E-3</v>
      </c>
      <c r="X1143" s="1">
        <f t="shared" si="260"/>
        <v>1.4622647707038476E-6</v>
      </c>
      <c r="Y1143" s="1">
        <f t="shared" si="261"/>
        <v>-2.6216020855174441E-2</v>
      </c>
      <c r="Z1143" s="1">
        <f t="shared" si="262"/>
        <v>-1.310801042758722</v>
      </c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</row>
    <row r="1144" spans="1:44" ht="15" customHeight="1" x14ac:dyDescent="0.3">
      <c r="A1144" s="2">
        <v>11.43</v>
      </c>
      <c r="B1144" s="1">
        <f t="shared" si="250"/>
        <v>3.7153522909717219E-12</v>
      </c>
      <c r="C1144" s="1">
        <f t="shared" si="251"/>
        <v>2.7184501519661873E-3</v>
      </c>
      <c r="D1144" s="1">
        <f t="shared" si="252"/>
        <v>-2.7183379782490451E-3</v>
      </c>
      <c r="E1144" s="1">
        <f t="shared" si="253"/>
        <v>3.7863896630415074E-3</v>
      </c>
      <c r="F1144" s="1">
        <f t="shared" si="254"/>
        <v>0.99999308173815349</v>
      </c>
      <c r="G1144" s="1">
        <f t="shared" si="255"/>
        <v>1.1676577839084159</v>
      </c>
      <c r="H1144" s="1">
        <f t="shared" si="263"/>
        <v>11.676577839084159</v>
      </c>
      <c r="S1144" s="2">
        <v>11.43</v>
      </c>
      <c r="T1144" s="1">
        <f t="shared" si="256"/>
        <v>3.7153522909717219E-12</v>
      </c>
      <c r="U1144" s="1">
        <f t="shared" si="257"/>
        <v>2.7184501519661873E-3</v>
      </c>
      <c r="V1144" s="1">
        <f t="shared" si="258"/>
        <v>0.10407745796213286</v>
      </c>
      <c r="W1144" s="1">
        <f t="shared" si="259"/>
        <v>-1.3591526540442844E-3</v>
      </c>
      <c r="X1144" s="1">
        <f t="shared" si="260"/>
        <v>1.4289796083881E-6</v>
      </c>
      <c r="Y1144" s="1">
        <f t="shared" si="261"/>
        <v>-2.6818548072975693E-2</v>
      </c>
      <c r="Z1144" s="1">
        <f t="shared" si="262"/>
        <v>-1.3409274036487846</v>
      </c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</row>
    <row r="1145" spans="1:44" ht="15" customHeight="1" x14ac:dyDescent="0.3">
      <c r="A1145" s="2">
        <v>11.44</v>
      </c>
      <c r="B1145" s="1">
        <f t="shared" si="250"/>
        <v>3.6307805477010101E-12</v>
      </c>
      <c r="C1145" s="1">
        <f t="shared" si="251"/>
        <v>2.7817709903715502E-3</v>
      </c>
      <c r="D1145" s="1">
        <f t="shared" si="252"/>
        <v>-2.7816614413753971E-3</v>
      </c>
      <c r="E1145" s="1">
        <f t="shared" si="253"/>
        <v>3.796943573562566E-3</v>
      </c>
      <c r="F1145" s="1">
        <f t="shared" si="254"/>
        <v>0.99999323921595462</v>
      </c>
      <c r="G1145" s="1">
        <f t="shared" si="255"/>
        <v>1.1716751067308973</v>
      </c>
      <c r="H1145" s="1">
        <f t="shared" si="263"/>
        <v>11.716751067308971</v>
      </c>
      <c r="S1145" s="2">
        <v>11.44</v>
      </c>
      <c r="T1145" s="1">
        <f t="shared" si="256"/>
        <v>3.6307805477010101E-12</v>
      </c>
      <c r="U1145" s="1">
        <f t="shared" si="257"/>
        <v>2.7817709903715502E-3</v>
      </c>
      <c r="V1145" s="1">
        <f t="shared" si="258"/>
        <v>0.10417244409898596</v>
      </c>
      <c r="W1145" s="1">
        <f t="shared" si="259"/>
        <v>-1.3908146996619896E-3</v>
      </c>
      <c r="X1145" s="1">
        <f t="shared" si="260"/>
        <v>1.3964521067268712E-6</v>
      </c>
      <c r="Y1145" s="1">
        <f t="shared" si="261"/>
        <v>-2.7434727766648986E-2</v>
      </c>
      <c r="Z1145" s="1">
        <f t="shared" si="262"/>
        <v>-1.3717363883324492</v>
      </c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</row>
    <row r="1146" spans="1:44" ht="15" customHeight="1" x14ac:dyDescent="0.3">
      <c r="A1146" s="2">
        <v>11.45</v>
      </c>
      <c r="B1146" s="1">
        <f t="shared" si="250"/>
        <v>3.5481338923357515E-12</v>
      </c>
      <c r="C1146" s="1">
        <f t="shared" si="251"/>
        <v>2.8465667605771005E-3</v>
      </c>
      <c r="D1146" s="1">
        <f t="shared" si="252"/>
        <v>-2.8464597765566501E-3</v>
      </c>
      <c r="E1146" s="1">
        <f t="shared" si="253"/>
        <v>3.807743296092775E-3</v>
      </c>
      <c r="F1146" s="1">
        <f t="shared" si="254"/>
        <v>0.99999339310917112</v>
      </c>
      <c r="G1146" s="1">
        <f t="shared" si="255"/>
        <v>1.1757914186149108</v>
      </c>
      <c r="H1146" s="1">
        <f t="shared" si="263"/>
        <v>11.757914186149106</v>
      </c>
      <c r="S1146" s="2">
        <v>11.45</v>
      </c>
      <c r="T1146" s="1">
        <f t="shared" si="256"/>
        <v>3.5481338923357515E-12</v>
      </c>
      <c r="U1146" s="1">
        <f t="shared" si="257"/>
        <v>2.8465667605771005E-3</v>
      </c>
      <c r="V1146" s="1">
        <f t="shared" si="258"/>
        <v>0.10426964252247466</v>
      </c>
      <c r="W1146" s="1">
        <f t="shared" si="259"/>
        <v>-1.4232141741582164E-3</v>
      </c>
      <c r="X1146" s="1">
        <f t="shared" si="260"/>
        <v>1.3646650193544402E-6</v>
      </c>
      <c r="Y1146" s="1">
        <f t="shared" si="261"/>
        <v>-2.8064860411825505E-2</v>
      </c>
      <c r="Z1146" s="1">
        <f t="shared" si="262"/>
        <v>-1.4032430205912754</v>
      </c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</row>
    <row r="1147" spans="1:44" ht="15" customHeight="1" x14ac:dyDescent="0.3">
      <c r="A1147" s="2">
        <v>11.46</v>
      </c>
      <c r="B1147" s="1">
        <f t="shared" si="250"/>
        <v>3.4673685045253019E-12</v>
      </c>
      <c r="C1147" s="1">
        <f t="shared" si="251"/>
        <v>2.9128718181578839E-3</v>
      </c>
      <c r="D1147" s="1">
        <f t="shared" si="252"/>
        <v>-2.9127673407278024E-3</v>
      </c>
      <c r="E1147" s="1">
        <f t="shared" si="253"/>
        <v>3.8187945567879672E-3</v>
      </c>
      <c r="F1147" s="1">
        <f t="shared" si="254"/>
        <v>0.99999354349939629</v>
      </c>
      <c r="G1147" s="1">
        <f t="shared" si="255"/>
        <v>1.1800092923206595</v>
      </c>
      <c r="H1147" s="1">
        <f t="shared" si="263"/>
        <v>11.800092923206595</v>
      </c>
      <c r="S1147" s="2">
        <v>11.46</v>
      </c>
      <c r="T1147" s="1">
        <f t="shared" si="256"/>
        <v>3.4673685045253019E-12</v>
      </c>
      <c r="U1147" s="1">
        <f t="shared" si="257"/>
        <v>2.9128718181578839E-3</v>
      </c>
      <c r="V1147" s="1">
        <f t="shared" si="258"/>
        <v>0.10436910476848958</v>
      </c>
      <c r="W1147" s="1">
        <f t="shared" si="259"/>
        <v>-1.4563682561631939E-3</v>
      </c>
      <c r="X1147" s="1">
        <f t="shared" si="260"/>
        <v>1.3336014924759573E-6</v>
      </c>
      <c r="Y1147" s="1">
        <f t="shared" si="261"/>
        <v>-2.870925268064134E-2</v>
      </c>
      <c r="Z1147" s="1">
        <f t="shared" si="262"/>
        <v>-1.4354626340320669</v>
      </c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</row>
    <row r="1148" spans="1:44" ht="15" customHeight="1" x14ac:dyDescent="0.3">
      <c r="A1148" s="2">
        <v>11.47</v>
      </c>
      <c r="B1148" s="1">
        <f t="shared" si="250"/>
        <v>3.3884415613920115E-12</v>
      </c>
      <c r="C1148" s="1">
        <f t="shared" si="251"/>
        <v>2.9807213189330618E-3</v>
      </c>
      <c r="D1148" s="1">
        <f t="shared" si="252"/>
        <v>-2.9806192910369921E-3</v>
      </c>
      <c r="E1148" s="1">
        <f t="shared" si="253"/>
        <v>3.8301032151728323E-3</v>
      </c>
      <c r="F1148" s="1">
        <f t="shared" si="254"/>
        <v>0.99999369046636577</v>
      </c>
      <c r="G1148" s="1">
        <f t="shared" si="255"/>
        <v>1.1843313739537176</v>
      </c>
      <c r="H1148" s="1">
        <f t="shared" si="263"/>
        <v>11.843313739537175</v>
      </c>
      <c r="S1148" s="2">
        <v>11.47</v>
      </c>
      <c r="T1148" s="1">
        <f t="shared" si="256"/>
        <v>3.3884415613920115E-12</v>
      </c>
      <c r="U1148" s="1">
        <f t="shared" si="257"/>
        <v>2.9807213189330618E-3</v>
      </c>
      <c r="V1148" s="1">
        <f t="shared" si="258"/>
        <v>0.10447088357323008</v>
      </c>
      <c r="W1148" s="1">
        <f t="shared" si="259"/>
        <v>-1.4902945244100283E-3</v>
      </c>
      <c r="X1148" s="1">
        <f t="shared" si="260"/>
        <v>1.3032450559316536E-6</v>
      </c>
      <c r="Y1148" s="1">
        <f t="shared" si="261"/>
        <v>-2.9368217550134093E-2</v>
      </c>
      <c r="Z1148" s="1">
        <f t="shared" si="262"/>
        <v>-1.4684108775067046</v>
      </c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</row>
    <row r="1149" spans="1:44" ht="15" customHeight="1" x14ac:dyDescent="0.3">
      <c r="A1149" s="2">
        <v>11.48</v>
      </c>
      <c r="B1149" s="1">
        <f t="shared" si="250"/>
        <v>3.3113112148258976E-12</v>
      </c>
      <c r="C1149" s="1">
        <f t="shared" si="251"/>
        <v>3.0501512376060482E-3</v>
      </c>
      <c r="D1149" s="1">
        <f t="shared" si="252"/>
        <v>-3.0500516034863701E-3</v>
      </c>
      <c r="E1149" s="1">
        <f t="shared" si="253"/>
        <v>3.841675267247728E-3</v>
      </c>
      <c r="F1149" s="1">
        <f t="shared" si="254"/>
        <v>0.99999383408800013</v>
      </c>
      <c r="G1149" s="1">
        <f t="shared" si="255"/>
        <v>1.188760385369904</v>
      </c>
      <c r="H1149" s="1">
        <f t="shared" si="263"/>
        <v>11.887603853699039</v>
      </c>
      <c r="S1149" s="2">
        <v>11.48</v>
      </c>
      <c r="T1149" s="1">
        <f t="shared" si="256"/>
        <v>3.3113112148258976E-12</v>
      </c>
      <c r="U1149" s="1">
        <f t="shared" si="257"/>
        <v>3.0501512376060482E-3</v>
      </c>
      <c r="V1149" s="1">
        <f t="shared" si="258"/>
        <v>0.10457503290116563</v>
      </c>
      <c r="W1149" s="1">
        <f t="shared" si="259"/>
        <v>-1.5250109670552059E-3</v>
      </c>
      <c r="X1149" s="1">
        <f t="shared" si="260"/>
        <v>1.2735796144643989E-6</v>
      </c>
      <c r="Y1149" s="1">
        <f t="shared" si="261"/>
        <v>-3.004207441159638E-2</v>
      </c>
      <c r="Z1149" s="1">
        <f t="shared" si="262"/>
        <v>-1.5021037205798193</v>
      </c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</row>
    <row r="1150" spans="1:44" ht="15" customHeight="1" x14ac:dyDescent="0.3">
      <c r="A1150" s="2">
        <v>11.49</v>
      </c>
      <c r="B1150" s="1">
        <f t="shared" si="250"/>
        <v>3.2359365692962695E-12</v>
      </c>
      <c r="C1150" s="1">
        <f t="shared" si="251"/>
        <v>3.1211983868387389E-3</v>
      </c>
      <c r="D1150" s="1">
        <f t="shared" si="252"/>
        <v>-3.1211010920069995E-3</v>
      </c>
      <c r="E1150" s="1">
        <f t="shared" si="253"/>
        <v>3.8535168486678335E-3</v>
      </c>
      <c r="F1150" s="1">
        <f t="shared" si="254"/>
        <v>0.99999397444044691</v>
      </c>
      <c r="G1150" s="1">
        <f t="shared" si="255"/>
        <v>1.1932991266738784</v>
      </c>
      <c r="H1150" s="1">
        <f t="shared" si="263"/>
        <v>11.932991266738783</v>
      </c>
      <c r="S1150" s="2">
        <v>11.49</v>
      </c>
      <c r="T1150" s="1">
        <f t="shared" si="256"/>
        <v>3.2359365692962695E-12</v>
      </c>
      <c r="U1150" s="1">
        <f t="shared" si="257"/>
        <v>3.1211983868387389E-3</v>
      </c>
      <c r="V1150" s="1">
        <f t="shared" si="258"/>
        <v>0.10468160797364841</v>
      </c>
      <c r="W1150" s="1">
        <f t="shared" si="259"/>
        <v>-1.5605359912161348E-3</v>
      </c>
      <c r="X1150" s="1">
        <f t="shared" si="260"/>
        <v>1.2445894391860728E-6</v>
      </c>
      <c r="Y1150" s="1">
        <f t="shared" si="261"/>
        <v>-3.0731149180841341E-2</v>
      </c>
      <c r="Z1150" s="1">
        <f t="shared" si="262"/>
        <v>-1.5365574590420672</v>
      </c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</row>
    <row r="1151" spans="1:44" ht="15" customHeight="1" x14ac:dyDescent="0.3">
      <c r="A1151" s="2">
        <v>11.5</v>
      </c>
      <c r="B1151" s="1">
        <f t="shared" si="250"/>
        <v>3.1622776601683669E-12</v>
      </c>
      <c r="C1151" s="1">
        <f t="shared" si="251"/>
        <v>3.1939004367700754E-3</v>
      </c>
      <c r="D1151" s="1">
        <f t="shared" si="252"/>
        <v>-3.1938054279781118E-3</v>
      </c>
      <c r="E1151" s="1">
        <f t="shared" si="253"/>
        <v>3.865634237996352E-3</v>
      </c>
      <c r="F1151" s="1">
        <f t="shared" si="254"/>
        <v>0.99999411159811991</v>
      </c>
      <c r="G1151" s="1">
        <f t="shared" si="255"/>
        <v>1.1979504788158148</v>
      </c>
      <c r="H1151" s="1">
        <f t="shared" si="263"/>
        <v>11.979504788158147</v>
      </c>
      <c r="S1151" s="2">
        <v>11.5</v>
      </c>
      <c r="T1151" s="1">
        <f t="shared" si="256"/>
        <v>3.1622776601683669E-12</v>
      </c>
      <c r="U1151" s="1">
        <f t="shared" si="257"/>
        <v>3.1939004367700754E-3</v>
      </c>
      <c r="V1151" s="1">
        <f t="shared" si="258"/>
        <v>0.10479066529819253</v>
      </c>
      <c r="W1151" s="1">
        <f t="shared" si="259"/>
        <v>-1.5968884327308454E-3</v>
      </c>
      <c r="X1151" s="1">
        <f t="shared" si="260"/>
        <v>1.2162591592381534E-6</v>
      </c>
      <c r="Y1151" s="1">
        <f t="shared" si="261"/>
        <v>-3.1435774409334871E-2</v>
      </c>
      <c r="Z1151" s="1">
        <f t="shared" si="262"/>
        <v>-1.5717887204667438</v>
      </c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</row>
    <row r="1152" spans="1:44" ht="15" customHeight="1" x14ac:dyDescent="0.3">
      <c r="A1152" s="2">
        <v>11.51</v>
      </c>
      <c r="B1152" s="1">
        <f t="shared" si="250"/>
        <v>3.0902954325135792E-12</v>
      </c>
      <c r="C1152" s="1">
        <f t="shared" si="251"/>
        <v>3.2682959349892571E-3</v>
      </c>
      <c r="D1152" s="1">
        <f t="shared" si="252"/>
        <v>-3.268203160200954E-3</v>
      </c>
      <c r="E1152" s="1">
        <f t="shared" si="253"/>
        <v>3.8780338600334927E-3</v>
      </c>
      <c r="F1152" s="1">
        <f t="shared" si="254"/>
        <v>0.99999424563373962</v>
      </c>
      <c r="G1152" s="1">
        <f t="shared" si="255"/>
        <v>1.2027174062907282</v>
      </c>
      <c r="H1152" s="1">
        <f t="shared" si="263"/>
        <v>12.027174062907282</v>
      </c>
      <c r="S1152" s="2">
        <v>11.51</v>
      </c>
      <c r="T1152" s="1">
        <f t="shared" si="256"/>
        <v>3.0902954325135792E-12</v>
      </c>
      <c r="U1152" s="1">
        <f t="shared" si="257"/>
        <v>3.2682959349892571E-3</v>
      </c>
      <c r="V1152" s="1">
        <f t="shared" si="258"/>
        <v>0.10490226269843501</v>
      </c>
      <c r="W1152" s="1">
        <f t="shared" si="259"/>
        <v>-1.6340875661450028E-3</v>
      </c>
      <c r="X1152" s="1">
        <f t="shared" si="260"/>
        <v>1.1885737536421297E-6</v>
      </c>
      <c r="Y1152" s="1">
        <f t="shared" si="261"/>
        <v>-3.215628939614406E-2</v>
      </c>
      <c r="Z1152" s="1">
        <f t="shared" si="262"/>
        <v>-1.607814469807203</v>
      </c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</row>
    <row r="1153" spans="1:44" ht="15" customHeight="1" x14ac:dyDescent="0.3">
      <c r="A1153" s="2">
        <v>11.52</v>
      </c>
      <c r="B1153" s="1">
        <f t="shared" si="250"/>
        <v>3.0199517204020161E-12</v>
      </c>
      <c r="C1153" s="1">
        <f t="shared" si="251"/>
        <v>3.3444243269741699E-3</v>
      </c>
      <c r="D1153" s="1">
        <f t="shared" si="252"/>
        <v>-3.3443337353378766E-3</v>
      </c>
      <c r="E1153" s="1">
        <f t="shared" si="253"/>
        <v>3.8907222892229794E-3</v>
      </c>
      <c r="F1153" s="1">
        <f t="shared" si="254"/>
        <v>0.99999437661837065</v>
      </c>
      <c r="G1153" s="1">
        <f t="shared" si="255"/>
        <v>1.2076029599452827</v>
      </c>
      <c r="H1153" s="1">
        <f t="shared" si="263"/>
        <v>12.076029599452825</v>
      </c>
      <c r="S1153" s="2">
        <v>11.52</v>
      </c>
      <c r="T1153" s="1">
        <f t="shared" si="256"/>
        <v>3.0199517204020161E-12</v>
      </c>
      <c r="U1153" s="1">
        <f t="shared" si="257"/>
        <v>3.3444243269741699E-3</v>
      </c>
      <c r="V1153" s="1">
        <f t="shared" si="258"/>
        <v>0.10501645934479455</v>
      </c>
      <c r="W1153" s="1">
        <f t="shared" si="259"/>
        <v>-1.672153114931517E-3</v>
      </c>
      <c r="X1153" s="1">
        <f t="shared" si="260"/>
        <v>1.1615185433354202E-6</v>
      </c>
      <c r="Y1153" s="1">
        <f t="shared" si="261"/>
        <v>-3.2893040300647387E-2</v>
      </c>
      <c r="Z1153" s="1">
        <f t="shared" si="262"/>
        <v>-1.6446520150323691</v>
      </c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</row>
    <row r="1154" spans="1:44" ht="15" customHeight="1" x14ac:dyDescent="0.3">
      <c r="A1154" s="2">
        <v>11.53</v>
      </c>
      <c r="B1154" s="1">
        <f t="shared" si="250"/>
        <v>2.9512092266663859E-12</v>
      </c>
      <c r="C1154" s="1">
        <f t="shared" si="251"/>
        <v>3.4223259770059453E-3</v>
      </c>
      <c r="D1154" s="1">
        <f t="shared" si="252"/>
        <v>-3.422237518827519E-3</v>
      </c>
      <c r="E1154" s="1">
        <f t="shared" si="253"/>
        <v>3.9037062531379198E-3</v>
      </c>
      <c r="F1154" s="1">
        <f t="shared" si="254"/>
        <v>0.99999450462146078</v>
      </c>
      <c r="G1154" s="1">
        <f t="shared" si="255"/>
        <v>1.2126102798971765</v>
      </c>
      <c r="H1154" s="1">
        <f t="shared" si="263"/>
        <v>12.126102798971765</v>
      </c>
      <c r="S1154" s="2">
        <v>11.53</v>
      </c>
      <c r="T1154" s="1">
        <f t="shared" si="256"/>
        <v>2.9512092266663859E-12</v>
      </c>
      <c r="U1154" s="1">
        <f t="shared" si="257"/>
        <v>3.4223259770059453E-3</v>
      </c>
      <c r="V1154" s="1">
        <f t="shared" si="258"/>
        <v>0.10513331578584464</v>
      </c>
      <c r="W1154" s="1">
        <f t="shared" si="259"/>
        <v>-1.7111052619482167E-3</v>
      </c>
      <c r="X1154" s="1">
        <f t="shared" si="260"/>
        <v>1.1350791833885488E-6</v>
      </c>
      <c r="Y1154" s="1">
        <f t="shared" si="261"/>
        <v>-3.3646380255949675E-2</v>
      </c>
      <c r="Z1154" s="1">
        <f t="shared" si="262"/>
        <v>-1.6823190127974836</v>
      </c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</row>
    <row r="1155" spans="1:44" ht="15" customHeight="1" x14ac:dyDescent="0.3">
      <c r="A1155" s="2">
        <v>11.54</v>
      </c>
      <c r="B1155" s="1">
        <f t="shared" ref="B1155:B1218" si="264">10^(-A1155)</f>
        <v>2.884031503126606E-12</v>
      </c>
      <c r="C1155" s="1">
        <f t="shared" ref="C1155:C1218" si="265">Kw/B1155</f>
        <v>3.5020421895705692E-3</v>
      </c>
      <c r="D1155" s="1">
        <f t="shared" ref="D1155:D1218" si="266">((WASB_Ca*WASB_Va)-(WASB_Cb*H1155))/(WASB_Va+H1155)</f>
        <v>-3.5019558162870134E-3</v>
      </c>
      <c r="E1155" s="1">
        <f t="shared" ref="E1155:E1218" si="267">(WASB_Ca*H1155)/(WASB_Va+H1155)</f>
        <v>3.9169926360478353E-3</v>
      </c>
      <c r="F1155" s="1">
        <f t="shared" ref="F1155:F1218" si="268">WASB_Ka/(B1155+WASB_Ka)</f>
        <v>0.99999462971087638</v>
      </c>
      <c r="G1155" s="1">
        <f t="shared" ref="G1155:G1218" si="269">(F1155-((B1155-C1155)/WASB_Ca)) / (1 + ((B1155-C1155)/WASB_Cb))</f>
        <v>1.2177425985724637</v>
      </c>
      <c r="H1155" s="1">
        <f t="shared" si="263"/>
        <v>12.177425985724636</v>
      </c>
      <c r="S1155" s="2">
        <v>11.54</v>
      </c>
      <c r="T1155" s="1">
        <f t="shared" ref="T1155:T1218" si="270">10^-S1155</f>
        <v>2.884031503126606E-12</v>
      </c>
      <c r="U1155" s="1">
        <f t="shared" ref="U1155:U1218" si="271">Kw/T1155</f>
        <v>3.5020421895705692E-3</v>
      </c>
      <c r="V1155" s="1">
        <f t="shared" ref="V1155:V1218" si="272">((SAWB_Cb*SAWB_Vb)-(SAWB_Ca*Z1155))/(Z1155+SAWB_Vb)</f>
        <v>0.10525289398041709</v>
      </c>
      <c r="W1155" s="1">
        <f t="shared" ref="W1155:W1218" si="273">(SAWB_Cb*Z1155)/(Z1155+SAWB_Vb)</f>
        <v>-1.7509646601390298E-3</v>
      </c>
      <c r="X1155" s="1">
        <f t="shared" ref="X1155:X1218" si="274">T1155/(T1155+SAWB_Ka)</f>
        <v>1.1092416553995104E-6</v>
      </c>
      <c r="Y1155" s="1">
        <f t="shared" ref="Y1155:Y1218" si="275">(X1155+((T1155-U1155)/SAWB_Cb))/(1-((T1155-U1155)/SAWB_Ca))</f>
        <v>-3.4416669482937506E-2</v>
      </c>
      <c r="Z1155" s="1">
        <f t="shared" ref="Z1155:Z1218" si="276">(Y1155*SAWB_Cb*SAWB_Vb)/SAWB_Ca</f>
        <v>-1.7208334741468752</v>
      </c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</row>
    <row r="1156" spans="1:44" ht="15" customHeight="1" x14ac:dyDescent="0.3">
      <c r="A1156" s="2">
        <v>11.55</v>
      </c>
      <c r="B1156" s="1">
        <f t="shared" si="264"/>
        <v>2.8183829312644444E-12</v>
      </c>
      <c r="C1156" s="1">
        <f t="shared" si="265"/>
        <v>3.5836152312591239E-3</v>
      </c>
      <c r="D1156" s="1">
        <f t="shared" si="266"/>
        <v>-3.5835308954128646E-3</v>
      </c>
      <c r="E1156" s="1">
        <f t="shared" si="267"/>
        <v>3.9305884825688109E-3</v>
      </c>
      <c r="F1156" s="1">
        <f t="shared" si="268"/>
        <v>0.99999475195293963</v>
      </c>
      <c r="G1156" s="1">
        <f t="shared" si="269"/>
        <v>1.2230032438665008</v>
      </c>
      <c r="H1156" s="1">
        <f t="shared" ref="H1156:H1219" si="277">G1156*(WASB_Va * WASB_Ca)/WASB_Cb</f>
        <v>12.230032438665008</v>
      </c>
      <c r="S1156" s="2">
        <v>11.55</v>
      </c>
      <c r="T1156" s="1">
        <f t="shared" si="270"/>
        <v>2.8183829312644444E-12</v>
      </c>
      <c r="U1156" s="1">
        <f t="shared" si="271"/>
        <v>3.5836152312591239E-3</v>
      </c>
      <c r="V1156" s="1">
        <f t="shared" si="272"/>
        <v>0.10537525733045343</v>
      </c>
      <c r="W1156" s="1">
        <f t="shared" si="273"/>
        <v>-1.791752443484477E-3</v>
      </c>
      <c r="X1156" s="1">
        <f t="shared" si="274"/>
        <v>1.0839922600612157E-6</v>
      </c>
      <c r="Y1156" s="1">
        <f t="shared" si="275"/>
        <v>-3.5204275404911035E-2</v>
      </c>
      <c r="Z1156" s="1">
        <f t="shared" si="276"/>
        <v>-1.7602137702455518</v>
      </c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</row>
    <row r="1157" spans="1:44" ht="15" customHeight="1" x14ac:dyDescent="0.3">
      <c r="A1157" s="2">
        <v>11.56</v>
      </c>
      <c r="B1157" s="1">
        <f t="shared" si="264"/>
        <v>2.7542287033381574E-12</v>
      </c>
      <c r="C1157" s="1">
        <f t="shared" si="265"/>
        <v>3.6670883531780352E-3</v>
      </c>
      <c r="D1157" s="1">
        <f t="shared" si="266"/>
        <v>-3.6670060083917361E-3</v>
      </c>
      <c r="E1157" s="1">
        <f t="shared" si="267"/>
        <v>3.944501001398623E-3</v>
      </c>
      <c r="F1157" s="1">
        <f t="shared" si="268"/>
        <v>0.99999487141246257</v>
      </c>
      <c r="G1157" s="1">
        <f t="shared" si="269"/>
        <v>1.2283956424344815</v>
      </c>
      <c r="H1157" s="1">
        <f t="shared" si="277"/>
        <v>12.283956424344815</v>
      </c>
      <c r="S1157" s="2">
        <v>11.56</v>
      </c>
      <c r="T1157" s="1">
        <f t="shared" si="270"/>
        <v>2.7542287033381574E-12</v>
      </c>
      <c r="U1157" s="1">
        <f t="shared" si="271"/>
        <v>3.6670883531780352E-3</v>
      </c>
      <c r="V1157" s="1">
        <f t="shared" si="272"/>
        <v>0.10550047071462147</v>
      </c>
      <c r="W1157" s="1">
        <f t="shared" si="273"/>
        <v>-1.8334902382071596E-3</v>
      </c>
      <c r="X1157" s="1">
        <f t="shared" si="274"/>
        <v>1.0593176098981501E-6</v>
      </c>
      <c r="Y1157" s="1">
        <f t="shared" si="275"/>
        <v>-3.6009572762718642E-2</v>
      </c>
      <c r="Z1157" s="1">
        <f t="shared" si="276"/>
        <v>-1.8004786381359321</v>
      </c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</row>
    <row r="1158" spans="1:44" ht="15" customHeight="1" x14ac:dyDescent="0.3">
      <c r="A1158" s="2">
        <v>11.57</v>
      </c>
      <c r="B1158" s="1">
        <f t="shared" si="264"/>
        <v>2.6915348039269074E-12</v>
      </c>
      <c r="C1158" s="1">
        <f t="shared" si="265"/>
        <v>3.7525058138814541E-3</v>
      </c>
      <c r="D1158" s="1">
        <f t="shared" si="266"/>
        <v>-3.7524254148334399E-3</v>
      </c>
      <c r="E1158" s="1">
        <f t="shared" si="267"/>
        <v>3.9587375691389065E-3</v>
      </c>
      <c r="F1158" s="1">
        <f t="shared" si="268"/>
        <v>0.99999498815278243</v>
      </c>
      <c r="G1158" s="1">
        <f t="shared" si="269"/>
        <v>1.2339233231179056</v>
      </c>
      <c r="H1158" s="1">
        <f t="shared" si="277"/>
        <v>12.339233231179056</v>
      </c>
      <c r="S1158" s="2">
        <v>11.57</v>
      </c>
      <c r="T1158" s="1">
        <f t="shared" si="270"/>
        <v>2.6915348039269074E-12</v>
      </c>
      <c r="U1158" s="1">
        <f t="shared" si="271"/>
        <v>3.7525058138814541E-3</v>
      </c>
      <c r="V1158" s="1">
        <f t="shared" si="272"/>
        <v>0.10562860052271493</v>
      </c>
      <c r="W1158" s="1">
        <f t="shared" si="273"/>
        <v>-1.876200174238305E-3</v>
      </c>
      <c r="X1158" s="1">
        <f t="shared" si="274"/>
        <v>1.0352046221683221E-6</v>
      </c>
      <c r="Y1158" s="1">
        <f t="shared" si="275"/>
        <v>-3.683294373032072E-2</v>
      </c>
      <c r="Z1158" s="1">
        <f t="shared" si="276"/>
        <v>-1.841647186516036</v>
      </c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</row>
    <row r="1159" spans="1:44" ht="15" customHeight="1" x14ac:dyDescent="0.3">
      <c r="A1159" s="2">
        <v>11.58</v>
      </c>
      <c r="B1159" s="1">
        <f t="shared" si="264"/>
        <v>2.6302679918953739E-12</v>
      </c>
      <c r="C1159" s="1">
        <f t="shared" si="265"/>
        <v>3.8399129028376796E-3</v>
      </c>
      <c r="D1159" s="1">
        <f t="shared" si="266"/>
        <v>-3.8398344052379047E-3</v>
      </c>
      <c r="E1159" s="1">
        <f t="shared" si="267"/>
        <v>3.973305734206318E-3</v>
      </c>
      <c r="F1159" s="1">
        <f t="shared" si="268"/>
        <v>0.99999510223579446</v>
      </c>
      <c r="G1159" s="1">
        <f t="shared" si="269"/>
        <v>1.2395899205136391</v>
      </c>
      <c r="H1159" s="1">
        <f t="shared" si="277"/>
        <v>12.395899205136391</v>
      </c>
      <c r="S1159" s="2">
        <v>11.58</v>
      </c>
      <c r="T1159" s="1">
        <f t="shared" si="270"/>
        <v>2.6302679918953739E-12</v>
      </c>
      <c r="U1159" s="1">
        <f t="shared" si="271"/>
        <v>3.8399129028376796E-3</v>
      </c>
      <c r="V1159" s="1">
        <f t="shared" si="272"/>
        <v>0.10575971469085399</v>
      </c>
      <c r="W1159" s="1">
        <f t="shared" si="273"/>
        <v>-1.9199048969513234E-3</v>
      </c>
      <c r="X1159" s="1">
        <f t="shared" si="274"/>
        <v>1.0116405119268138E-6</v>
      </c>
      <c r="Y1159" s="1">
        <f t="shared" si="275"/>
        <v>-3.7674778030699525E-2</v>
      </c>
      <c r="Z1159" s="1">
        <f t="shared" si="276"/>
        <v>-1.8837389015349761</v>
      </c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</row>
    <row r="1160" spans="1:44" ht="15" customHeight="1" x14ac:dyDescent="0.3">
      <c r="A1160" s="2">
        <v>11.59</v>
      </c>
      <c r="B1160" s="1">
        <f t="shared" si="264"/>
        <v>2.5703957827688561E-12</v>
      </c>
      <c r="C1160" s="1">
        <f t="shared" si="265"/>
        <v>3.9293559644422455E-3</v>
      </c>
      <c r="D1160" s="1">
        <f t="shared" si="266"/>
        <v>-3.9292793250088106E-3</v>
      </c>
      <c r="E1160" s="1">
        <f t="shared" si="267"/>
        <v>3.9882132208348018E-3</v>
      </c>
      <c r="F1160" s="1">
        <f t="shared" si="268"/>
        <v>0.9999952137219853</v>
      </c>
      <c r="G1160" s="1">
        <f t="shared" si="269"/>
        <v>1.2453991786926399</v>
      </c>
      <c r="H1160" s="1">
        <f t="shared" si="277"/>
        <v>12.453991786926398</v>
      </c>
      <c r="S1160" s="2">
        <v>11.59</v>
      </c>
      <c r="T1160" s="1">
        <f t="shared" si="270"/>
        <v>2.5703957827688561E-12</v>
      </c>
      <c r="U1160" s="1">
        <f t="shared" si="271"/>
        <v>3.9293559644422455E-3</v>
      </c>
      <c r="V1160" s="1">
        <f t="shared" si="272"/>
        <v>0.10589388273750608</v>
      </c>
      <c r="W1160" s="1">
        <f t="shared" si="273"/>
        <v>-1.9646275791686909E-3</v>
      </c>
      <c r="X1160" s="1">
        <f t="shared" si="274"/>
        <v>9.8861278524720069E-7</v>
      </c>
      <c r="Y1160" s="1">
        <f t="shared" si="275"/>
        <v>-3.8535473052030512E-2</v>
      </c>
      <c r="Z1160" s="1">
        <f t="shared" si="276"/>
        <v>-1.9267736526015256</v>
      </c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</row>
    <row r="1161" spans="1:44" ht="15" customHeight="1" x14ac:dyDescent="0.3">
      <c r="A1161" s="2">
        <v>11.6</v>
      </c>
      <c r="B1161" s="1">
        <f t="shared" si="264"/>
        <v>2.5118864315095726E-12</v>
      </c>
      <c r="C1161" s="1">
        <f t="shared" si="265"/>
        <v>4.0208824225903342E-3</v>
      </c>
      <c r="D1161" s="1">
        <f t="shared" si="266"/>
        <v>-4.0208075990265501E-3</v>
      </c>
      <c r="E1161" s="1">
        <f t="shared" si="267"/>
        <v>4.0034679331710918E-3</v>
      </c>
      <c r="F1161" s="1">
        <f t="shared" si="268"/>
        <v>0.99999532267046465</v>
      </c>
      <c r="G1161" s="1">
        <f t="shared" si="269"/>
        <v>1.251354955075811</v>
      </c>
      <c r="H1161" s="1">
        <f t="shared" si="277"/>
        <v>12.513549550758109</v>
      </c>
      <c r="S1161" s="2">
        <v>11.6</v>
      </c>
      <c r="T1161" s="1">
        <f t="shared" si="270"/>
        <v>2.5118864315095726E-12</v>
      </c>
      <c r="U1161" s="1">
        <f t="shared" si="271"/>
        <v>4.0208824225903342E-3</v>
      </c>
      <c r="V1161" s="1">
        <f t="shared" si="272"/>
        <v>0.10603117580034548</v>
      </c>
      <c r="W1161" s="1">
        <f t="shared" si="273"/>
        <v>-2.0103919334484902E-3</v>
      </c>
      <c r="X1161" s="1">
        <f t="shared" si="274"/>
        <v>9.6610923259726917E-7</v>
      </c>
      <c r="Y1161" s="1">
        <f t="shared" si="275"/>
        <v>-3.9415433964023354E-2</v>
      </c>
      <c r="Z1161" s="1">
        <f t="shared" si="276"/>
        <v>-1.970771698201168</v>
      </c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</row>
    <row r="1162" spans="1:44" ht="15" customHeight="1" x14ac:dyDescent="0.3">
      <c r="A1162" s="2">
        <v>11.61</v>
      </c>
      <c r="B1162" s="1">
        <f t="shared" si="264"/>
        <v>2.4547089156850233E-12</v>
      </c>
      <c r="C1162" s="1">
        <f t="shared" si="265"/>
        <v>4.11454080582155E-3</v>
      </c>
      <c r="D1162" s="1">
        <f t="shared" si="266"/>
        <v>-4.1144677567934891E-3</v>
      </c>
      <c r="E1162" s="1">
        <f t="shared" si="267"/>
        <v>4.0190779594655819E-3</v>
      </c>
      <c r="F1162" s="1">
        <f t="shared" si="268"/>
        <v>0.99999542913899675</v>
      </c>
      <c r="G1162" s="1">
        <f t="shared" si="269"/>
        <v>1.2574612244748737</v>
      </c>
      <c r="H1162" s="1">
        <f t="shared" si="277"/>
        <v>12.574612244748737</v>
      </c>
      <c r="S1162" s="2">
        <v>11.61</v>
      </c>
      <c r="T1162" s="1">
        <f t="shared" si="270"/>
        <v>2.4547089156850233E-12</v>
      </c>
      <c r="U1162" s="1">
        <f t="shared" si="271"/>
        <v>4.11454080582155E-3</v>
      </c>
      <c r="V1162" s="1">
        <f t="shared" si="272"/>
        <v>0.10617166667397135</v>
      </c>
      <c r="W1162" s="1">
        <f t="shared" si="273"/>
        <v>-2.0572222246571159E-3</v>
      </c>
      <c r="X1162" s="1">
        <f t="shared" si="274"/>
        <v>9.441179223655161E-7</v>
      </c>
      <c r="Y1162" s="1">
        <f t="shared" si="275"/>
        <v>-4.0315073834335441E-2</v>
      </c>
      <c r="Z1162" s="1">
        <f t="shared" si="276"/>
        <v>-2.015753691716772</v>
      </c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</row>
    <row r="1163" spans="1:44" ht="15" customHeight="1" x14ac:dyDescent="0.3">
      <c r="A1163" s="2">
        <v>11.62</v>
      </c>
      <c r="B1163" s="1">
        <f t="shared" si="264"/>
        <v>2.3988329190194925E-12</v>
      </c>
      <c r="C1163" s="1">
        <f t="shared" si="265"/>
        <v>4.2103807730503838E-3</v>
      </c>
      <c r="D1163" s="1">
        <f t="shared" si="266"/>
        <v>-4.2103094581649857E-3</v>
      </c>
      <c r="E1163" s="1">
        <f t="shared" si="267"/>
        <v>4.035051576360831E-3</v>
      </c>
      <c r="F1163" s="1">
        <f t="shared" si="268"/>
        <v>0.99999553318403089</v>
      </c>
      <c r="G1163" s="1">
        <f t="shared" si="269"/>
        <v>1.2637220833066278</v>
      </c>
      <c r="H1163" s="1">
        <f t="shared" si="277"/>
        <v>12.637220833066278</v>
      </c>
      <c r="S1163" s="2">
        <v>11.62</v>
      </c>
      <c r="T1163" s="1">
        <f t="shared" si="270"/>
        <v>2.3988329190194925E-12</v>
      </c>
      <c r="U1163" s="1">
        <f t="shared" si="271"/>
        <v>4.2103807730503838E-3</v>
      </c>
      <c r="V1163" s="1">
        <f t="shared" si="272"/>
        <v>0.10631542984850449</v>
      </c>
      <c r="W1163" s="1">
        <f t="shared" si="273"/>
        <v>-2.1051432828348283E-3</v>
      </c>
      <c r="X1163" s="1">
        <f t="shared" si="274"/>
        <v>9.2262719453500246E-7</v>
      </c>
      <c r="Y1163" s="1">
        <f t="shared" si="275"/>
        <v>-4.1234813744955183E-2</v>
      </c>
      <c r="Z1163" s="1">
        <f t="shared" si="276"/>
        <v>-2.0617406872477595</v>
      </c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</row>
    <row r="1164" spans="1:44" ht="15" customHeight="1" x14ac:dyDescent="0.3">
      <c r="A1164" s="2">
        <v>11.63</v>
      </c>
      <c r="B1164" s="1">
        <f t="shared" si="264"/>
        <v>2.3442288153199162E-12</v>
      </c>
      <c r="C1164" s="1">
        <f t="shared" si="265"/>
        <v>4.3084531398960967E-3</v>
      </c>
      <c r="D1164" s="1">
        <f t="shared" si="266"/>
        <v>-4.3083835196797522E-3</v>
      </c>
      <c r="E1164" s="1">
        <f t="shared" si="267"/>
        <v>4.0513972532799586E-3</v>
      </c>
      <c r="F1164" s="1">
        <f t="shared" si="268"/>
        <v>0.99999563486073217</v>
      </c>
      <c r="G1164" s="1">
        <f t="shared" si="269"/>
        <v>1.27014175398944</v>
      </c>
      <c r="H1164" s="1">
        <f t="shared" si="277"/>
        <v>12.701417539894399</v>
      </c>
      <c r="S1164" s="2">
        <v>11.63</v>
      </c>
      <c r="T1164" s="1">
        <f t="shared" si="270"/>
        <v>2.3442288153199162E-12</v>
      </c>
      <c r="U1164" s="1">
        <f t="shared" si="271"/>
        <v>4.3084531398960967E-3</v>
      </c>
      <c r="V1164" s="1">
        <f t="shared" si="272"/>
        <v>0.106462541549083</v>
      </c>
      <c r="W1164" s="1">
        <f t="shared" si="273"/>
        <v>-2.1541805163609999E-3</v>
      </c>
      <c r="X1164" s="1">
        <f t="shared" si="274"/>
        <v>9.0162565450118311E-7</v>
      </c>
      <c r="Y1164" s="1">
        <f t="shared" si="275"/>
        <v>-4.2175082908447133E-2</v>
      </c>
      <c r="Z1164" s="1">
        <f t="shared" si="276"/>
        <v>-2.1087541454223566</v>
      </c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</row>
    <row r="1165" spans="1:44" ht="15" customHeight="1" x14ac:dyDescent="0.3">
      <c r="A1165" s="2">
        <v>11.64</v>
      </c>
      <c r="B1165" s="1">
        <f t="shared" si="264"/>
        <v>2.2908676527677675E-12</v>
      </c>
      <c r="C1165" s="1">
        <f t="shared" si="265"/>
        <v>4.4088099056256869E-3</v>
      </c>
      <c r="D1165" s="1">
        <f t="shared" si="266"/>
        <v>-4.4087419415032919E-3</v>
      </c>
      <c r="E1165" s="1">
        <f t="shared" si="267"/>
        <v>4.0681236569172149E-3</v>
      </c>
      <c r="F1165" s="1">
        <f t="shared" si="268"/>
        <v>0.99999573422300891</v>
      </c>
      <c r="G1165" s="1">
        <f t="shared" si="269"/>
        <v>1.2767245895313175</v>
      </c>
      <c r="H1165" s="1">
        <f t="shared" si="277"/>
        <v>12.767245895313174</v>
      </c>
      <c r="S1165" s="2">
        <v>11.64</v>
      </c>
      <c r="T1165" s="1">
        <f t="shared" si="270"/>
        <v>2.2908676527677675E-12</v>
      </c>
      <c r="U1165" s="1">
        <f t="shared" si="271"/>
        <v>4.4088099056256869E-3</v>
      </c>
      <c r="V1165" s="1">
        <f t="shared" si="272"/>
        <v>0.10661307977627771</v>
      </c>
      <c r="W1165" s="1">
        <f t="shared" si="273"/>
        <v>-2.2043599254259038E-3</v>
      </c>
      <c r="X1165" s="1">
        <f t="shared" si="274"/>
        <v>8.8110216703050552E-7</v>
      </c>
      <c r="Y1165" s="1">
        <f t="shared" si="275"/>
        <v>-4.3136318783940919E-2</v>
      </c>
      <c r="Z1165" s="1">
        <f t="shared" si="276"/>
        <v>-2.1568159391970458</v>
      </c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</row>
    <row r="1166" spans="1:44" ht="15" customHeight="1" x14ac:dyDescent="0.3">
      <c r="A1166" s="2">
        <v>11.65</v>
      </c>
      <c r="B1166" s="1">
        <f t="shared" si="264"/>
        <v>2.2387211385683343E-12</v>
      </c>
      <c r="C1166" s="1">
        <f t="shared" si="265"/>
        <v>4.5115042807247381E-3</v>
      </c>
      <c r="D1166" s="1">
        <f t="shared" si="266"/>
        <v>-4.5114379349992543E-3</v>
      </c>
      <c r="E1166" s="1">
        <f t="shared" si="267"/>
        <v>4.085239655833209E-3</v>
      </c>
      <c r="F1166" s="1">
        <f t="shared" si="268"/>
        <v>0.99999583132354319</v>
      </c>
      <c r="G1166" s="1">
        <f t="shared" si="269"/>
        <v>1.2834750783195314</v>
      </c>
      <c r="H1166" s="1">
        <f t="shared" si="277"/>
        <v>12.834750783195314</v>
      </c>
      <c r="S1166" s="2">
        <v>11.65</v>
      </c>
      <c r="T1166" s="1">
        <f t="shared" si="270"/>
        <v>2.2387211385683343E-12</v>
      </c>
      <c r="U1166" s="1">
        <f t="shared" si="271"/>
        <v>4.5115042807247381E-3</v>
      </c>
      <c r="V1166" s="1">
        <f t="shared" si="272"/>
        <v>0.10676712434744931</v>
      </c>
      <c r="W1166" s="1">
        <f t="shared" si="273"/>
        <v>-2.2557081158164341E-3</v>
      </c>
      <c r="X1166" s="1">
        <f t="shared" si="274"/>
        <v>8.6104585035645675E-7</v>
      </c>
      <c r="Y1166" s="1">
        <f t="shared" si="275"/>
        <v>-4.4118967192747487E-2</v>
      </c>
      <c r="Z1166" s="1">
        <f t="shared" si="276"/>
        <v>-2.2059483596373739</v>
      </c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</row>
    <row r="1167" spans="1:44" ht="15" customHeight="1" x14ac:dyDescent="0.3">
      <c r="A1167" s="2">
        <v>11.66</v>
      </c>
      <c r="B1167" s="1">
        <f t="shared" si="264"/>
        <v>2.1877616239495474E-12</v>
      </c>
      <c r="C1167" s="1">
        <f t="shared" si="265"/>
        <v>4.6165907151102482E-3</v>
      </c>
      <c r="D1167" s="1">
        <f t="shared" si="266"/>
        <v>-4.6165259509427219E-3</v>
      </c>
      <c r="E1167" s="1">
        <f t="shared" si="267"/>
        <v>4.102754325157121E-3</v>
      </c>
      <c r="F1167" s="1">
        <f t="shared" si="268"/>
        <v>0.99999592621381772</v>
      </c>
      <c r="G1167" s="1">
        <f t="shared" si="269"/>
        <v>1.2903978491222725</v>
      </c>
      <c r="H1167" s="1">
        <f t="shared" si="277"/>
        <v>12.903978491222725</v>
      </c>
      <c r="S1167" s="2">
        <v>11.66</v>
      </c>
      <c r="T1167" s="1">
        <f t="shared" si="270"/>
        <v>2.1877616239495474E-12</v>
      </c>
      <c r="U1167" s="1">
        <f t="shared" si="271"/>
        <v>4.6165907151102482E-3</v>
      </c>
      <c r="V1167" s="1">
        <f t="shared" si="272"/>
        <v>0.1069247569390684</v>
      </c>
      <c r="W1167" s="1">
        <f t="shared" si="273"/>
        <v>-2.3082523130228036E-3</v>
      </c>
      <c r="X1167" s="1">
        <f t="shared" si="274"/>
        <v>8.4144607041004838E-7</v>
      </c>
      <c r="Y1167" s="1">
        <f t="shared" si="275"/>
        <v>-4.5123482433469086E-2</v>
      </c>
      <c r="Z1167" s="1">
        <f t="shared" si="276"/>
        <v>-2.2561741216734541</v>
      </c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</row>
    <row r="1168" spans="1:44" ht="15" customHeight="1" x14ac:dyDescent="0.3">
      <c r="A1168" s="2">
        <v>11.67</v>
      </c>
      <c r="B1168" s="1">
        <f t="shared" si="264"/>
        <v>2.1379620895022273E-12</v>
      </c>
      <c r="C1168" s="1">
        <f t="shared" si="265"/>
        <v>4.724124927000712E-3</v>
      </c>
      <c r="D1168" s="1">
        <f t="shared" si="266"/>
        <v>-4.7240617083907253E-3</v>
      </c>
      <c r="E1168" s="1">
        <f t="shared" si="267"/>
        <v>4.1206769513984541E-3</v>
      </c>
      <c r="F1168" s="1">
        <f t="shared" si="268"/>
        <v>0.99999601894414336</v>
      </c>
      <c r="G1168" s="1">
        <f t="shared" si="269"/>
        <v>1.2974976763135229</v>
      </c>
      <c r="H1168" s="1">
        <f t="shared" si="277"/>
        <v>12.974976763135228</v>
      </c>
      <c r="S1168" s="2">
        <v>11.67</v>
      </c>
      <c r="T1168" s="1">
        <f t="shared" si="270"/>
        <v>2.1379620895022273E-12</v>
      </c>
      <c r="U1168" s="1">
        <f t="shared" si="271"/>
        <v>4.724124927000712E-3</v>
      </c>
      <c r="V1168" s="1">
        <f t="shared" si="272"/>
        <v>0.10708606113002163</v>
      </c>
      <c r="W1168" s="1">
        <f t="shared" si="273"/>
        <v>-2.3620203766738716E-3</v>
      </c>
      <c r="X1168" s="1">
        <f t="shared" si="274"/>
        <v>8.2229243518160548E-7</v>
      </c>
      <c r="Y1168" s="1">
        <f t="shared" si="275"/>
        <v>-4.6150327396471083E-2</v>
      </c>
      <c r="Z1168" s="1">
        <f t="shared" si="276"/>
        <v>-2.3075163698235537</v>
      </c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</row>
    <row r="1169" spans="1:44" ht="15" customHeight="1" x14ac:dyDescent="0.3">
      <c r="A1169" s="2">
        <v>11.68</v>
      </c>
      <c r="B1169" s="1">
        <f t="shared" si="264"/>
        <v>2.0892961308540349E-12</v>
      </c>
      <c r="C1169" s="1">
        <f t="shared" si="265"/>
        <v>4.8341639324586579E-3</v>
      </c>
      <c r="D1169" s="1">
        <f t="shared" si="266"/>
        <v>-4.8341022242252641E-3</v>
      </c>
      <c r="E1169" s="1">
        <f t="shared" si="267"/>
        <v>4.1390170373708773E-3</v>
      </c>
      <c r="F1169" s="1">
        <f t="shared" si="268"/>
        <v>0.99999610956368568</v>
      </c>
      <c r="G1169" s="1">
        <f t="shared" si="269"/>
        <v>1.3047794853329797</v>
      </c>
      <c r="H1169" s="1">
        <f t="shared" si="277"/>
        <v>13.047794853329796</v>
      </c>
      <c r="S1169" s="2">
        <v>11.68</v>
      </c>
      <c r="T1169" s="1">
        <f t="shared" si="270"/>
        <v>2.0892961308540349E-12</v>
      </c>
      <c r="U1169" s="1">
        <f t="shared" si="271"/>
        <v>4.8341639324586579E-3</v>
      </c>
      <c r="V1169" s="1">
        <f t="shared" si="272"/>
        <v>0.10725112244592608</v>
      </c>
      <c r="W1169" s="1">
        <f t="shared" si="273"/>
        <v>-2.4170408153086887E-3</v>
      </c>
      <c r="X1169" s="1">
        <f t="shared" si="274"/>
        <v>8.0357478921089876E-7</v>
      </c>
      <c r="Y1169" s="1">
        <f t="shared" si="275"/>
        <v>-4.7199973677571901E-2</v>
      </c>
      <c r="Z1169" s="1">
        <f t="shared" si="276"/>
        <v>-2.3599986838785951</v>
      </c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</row>
    <row r="1170" spans="1:44" ht="15" customHeight="1" x14ac:dyDescent="0.3">
      <c r="A1170" s="2">
        <v>11.69</v>
      </c>
      <c r="B1170" s="1">
        <f t="shared" si="264"/>
        <v>2.0417379446695251E-12</v>
      </c>
      <c r="C1170" s="1">
        <f t="shared" si="265"/>
        <v>4.9467660756213165E-3</v>
      </c>
      <c r="D1170" s="1">
        <f t="shared" si="266"/>
        <v>-4.9467058433843615E-3</v>
      </c>
      <c r="E1170" s="1">
        <f t="shared" si="267"/>
        <v>4.1577843072307264E-3</v>
      </c>
      <c r="F1170" s="1">
        <f t="shared" si="268"/>
        <v>0.99999619812049123</v>
      </c>
      <c r="G1170" s="1">
        <f t="shared" si="269"/>
        <v>1.3122483583935891</v>
      </c>
      <c r="H1170" s="1">
        <f t="shared" si="277"/>
        <v>13.122483583935891</v>
      </c>
      <c r="S1170" s="2">
        <v>11.69</v>
      </c>
      <c r="T1170" s="1">
        <f t="shared" si="270"/>
        <v>2.0417379446695251E-12</v>
      </c>
      <c r="U1170" s="1">
        <f t="shared" si="271"/>
        <v>4.9467660756213165E-3</v>
      </c>
      <c r="V1170" s="1">
        <f t="shared" si="272"/>
        <v>0.10742002840447627</v>
      </c>
      <c r="W1170" s="1">
        <f t="shared" si="273"/>
        <v>-2.4733428014920939E-3</v>
      </c>
      <c r="X1170" s="1">
        <f t="shared" si="274"/>
        <v>7.8528320820269296E-7</v>
      </c>
      <c r="Y1170" s="1">
        <f t="shared" si="275"/>
        <v>-4.8272901690801097E-2</v>
      </c>
      <c r="Z1170" s="1">
        <f t="shared" si="276"/>
        <v>-2.4136450845400548</v>
      </c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</row>
    <row r="1171" spans="1:44" ht="15" customHeight="1" x14ac:dyDescent="0.3">
      <c r="A1171" s="2">
        <v>11.7</v>
      </c>
      <c r="B1171" s="1">
        <f t="shared" si="264"/>
        <v>1.9952623149688759E-12</v>
      </c>
      <c r="C1171" s="1">
        <f t="shared" si="265"/>
        <v>5.061991059635459E-3</v>
      </c>
      <c r="D1171" s="1">
        <f t="shared" si="266"/>
        <v>-5.0619322697973727E-3</v>
      </c>
      <c r="E1171" s="1">
        <f t="shared" si="267"/>
        <v>4.1769887116328954E-3</v>
      </c>
      <c r="F1171" s="1">
        <f t="shared" si="268"/>
        <v>0.99999628466151291</v>
      </c>
      <c r="G1171" s="1">
        <f t="shared" si="269"/>
        <v>1.3199095404500436</v>
      </c>
      <c r="H1171" s="1">
        <f t="shared" si="277"/>
        <v>13.199095404500435</v>
      </c>
      <c r="S1171" s="2">
        <v>11.7</v>
      </c>
      <c r="T1171" s="1">
        <f t="shared" si="270"/>
        <v>1.9952623149688759E-12</v>
      </c>
      <c r="U1171" s="1">
        <f t="shared" si="271"/>
        <v>5.061991059635459E-3</v>
      </c>
      <c r="V1171" s="1">
        <f t="shared" si="272"/>
        <v>0.10759286856184722</v>
      </c>
      <c r="W1171" s="1">
        <f t="shared" si="273"/>
        <v>-2.5309561872824053E-3</v>
      </c>
      <c r="X1171" s="1">
        <f t="shared" si="274"/>
        <v>7.6740799376485607E-7</v>
      </c>
      <c r="Y1171" s="1">
        <f t="shared" si="275"/>
        <v>-4.9369600780068336E-2</v>
      </c>
      <c r="Z1171" s="1">
        <f t="shared" si="276"/>
        <v>-2.4684800390034169</v>
      </c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</row>
    <row r="1172" spans="1:44" ht="15" customHeight="1" x14ac:dyDescent="0.3">
      <c r="A1172" s="2">
        <v>11.71</v>
      </c>
      <c r="B1172" s="1">
        <f t="shared" si="264"/>
        <v>1.9498445997580347E-12</v>
      </c>
      <c r="C1172" s="1">
        <f t="shared" si="265"/>
        <v>5.1798999783128127E-3</v>
      </c>
      <c r="D1172" s="1">
        <f t="shared" si="266"/>
        <v>-5.1798425980407944E-3</v>
      </c>
      <c r="E1172" s="1">
        <f t="shared" si="267"/>
        <v>4.1966404330067986E-3</v>
      </c>
      <c r="F1172" s="1">
        <f t="shared" si="268"/>
        <v>0.99999636923263491</v>
      </c>
      <c r="G1172" s="1">
        <f t="shared" si="269"/>
        <v>1.3277684454424097</v>
      </c>
      <c r="H1172" s="1">
        <f t="shared" si="277"/>
        <v>13.277684454424096</v>
      </c>
      <c r="S1172" s="2">
        <v>11.71</v>
      </c>
      <c r="T1172" s="1">
        <f t="shared" si="270"/>
        <v>1.9498445997580347E-12</v>
      </c>
      <c r="U1172" s="1">
        <f t="shared" si="271"/>
        <v>5.1798999783128127E-3</v>
      </c>
      <c r="V1172" s="1">
        <f t="shared" si="272"/>
        <v>0.10776973456017812</v>
      </c>
      <c r="W1172" s="1">
        <f t="shared" si="273"/>
        <v>-2.5899115200593769E-3</v>
      </c>
      <c r="X1172" s="1">
        <f t="shared" si="274"/>
        <v>7.4993966826623941E-7</v>
      </c>
      <c r="Y1172" s="1">
        <f t="shared" si="275"/>
        <v>-5.0490569329577253E-2</v>
      </c>
      <c r="Z1172" s="1">
        <f t="shared" si="276"/>
        <v>-2.5245284664788623</v>
      </c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</row>
    <row r="1173" spans="1:44" ht="15" customHeight="1" x14ac:dyDescent="0.3">
      <c r="A1173" s="2">
        <v>11.72</v>
      </c>
      <c r="B1173" s="1">
        <f t="shared" si="264"/>
        <v>1.905460717963237E-12</v>
      </c>
      <c r="C1173" s="1">
        <f t="shared" si="265"/>
        <v>5.3005553485227308E-3</v>
      </c>
      <c r="D1173" s="1">
        <f t="shared" si="266"/>
        <v>-5.300499345731324E-3</v>
      </c>
      <c r="E1173" s="1">
        <f t="shared" si="267"/>
        <v>4.2167498909552199E-3</v>
      </c>
      <c r="F1173" s="1">
        <f t="shared" si="268"/>
        <v>0.9999964518786969</v>
      </c>
      <c r="G1173" s="1">
        <f t="shared" si="269"/>
        <v>1.3358306628299459</v>
      </c>
      <c r="H1173" s="1">
        <f t="shared" si="277"/>
        <v>13.358306628299458</v>
      </c>
      <c r="S1173" s="2">
        <v>11.72</v>
      </c>
      <c r="T1173" s="1">
        <f t="shared" si="270"/>
        <v>1.905460717963237E-12</v>
      </c>
      <c r="U1173" s="1">
        <f t="shared" si="271"/>
        <v>5.3005553485227308E-3</v>
      </c>
      <c r="V1173" s="1">
        <f t="shared" si="272"/>
        <v>0.10795072017616239</v>
      </c>
      <c r="W1173" s="1">
        <f t="shared" si="273"/>
        <v>-2.6502400587207937E-3</v>
      </c>
      <c r="X1173" s="1">
        <f t="shared" si="274"/>
        <v>7.328689698116168E-7</v>
      </c>
      <c r="Y1173" s="1">
        <f t="shared" si="275"/>
        <v>-5.1636314872809473E-2</v>
      </c>
      <c r="Z1173" s="1">
        <f t="shared" si="276"/>
        <v>-2.5818157436404734</v>
      </c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</row>
    <row r="1174" spans="1:44" ht="15" customHeight="1" x14ac:dyDescent="0.3">
      <c r="A1174" s="2">
        <v>11.73</v>
      </c>
      <c r="B1174" s="1">
        <f t="shared" si="264"/>
        <v>1.8620871366628578E-12</v>
      </c>
      <c r="C1174" s="1">
        <f t="shared" si="265"/>
        <v>5.42402114333958E-3</v>
      </c>
      <c r="D1174" s="1">
        <f t="shared" si="266"/>
        <v>-5.4239664866736863E-3</v>
      </c>
      <c r="E1174" s="1">
        <f t="shared" si="267"/>
        <v>4.2373277477789472E-3</v>
      </c>
      <c r="F1174" s="1">
        <f t="shared" si="268"/>
        <v>0.99999653264351807</v>
      </c>
      <c r="G1174" s="1">
        <f t="shared" si="269"/>
        <v>1.3441019644311527</v>
      </c>
      <c r="H1174" s="1">
        <f t="shared" si="277"/>
        <v>13.441019644311526</v>
      </c>
      <c r="S1174" s="2">
        <v>11.73</v>
      </c>
      <c r="T1174" s="1">
        <f t="shared" si="270"/>
        <v>1.8620871366628578E-12</v>
      </c>
      <c r="U1174" s="1">
        <f t="shared" si="271"/>
        <v>5.42402114333958E-3</v>
      </c>
      <c r="V1174" s="1">
        <f t="shared" si="272"/>
        <v>0.1081359213707692</v>
      </c>
      <c r="W1174" s="1">
        <f t="shared" si="273"/>
        <v>-2.7119737902564001E-3</v>
      </c>
      <c r="X1174" s="1">
        <f t="shared" si="274"/>
        <v>7.1618684733097765E-7</v>
      </c>
      <c r="Y1174" s="1">
        <f t="shared" si="275"/>
        <v>-5.2807354199898876E-2</v>
      </c>
      <c r="Z1174" s="1">
        <f t="shared" si="276"/>
        <v>-2.6403677099949441</v>
      </c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</row>
    <row r="1175" spans="1:44" ht="15" customHeight="1" x14ac:dyDescent="0.3">
      <c r="A1175" s="2">
        <v>11.74</v>
      </c>
      <c r="B1175" s="1">
        <f t="shared" si="264"/>
        <v>1.8197008586099809E-12</v>
      </c>
      <c r="C1175" s="1">
        <f t="shared" si="265"/>
        <v>5.5503628259620155E-3</v>
      </c>
      <c r="D1175" s="1">
        <f t="shared" si="266"/>
        <v>-5.5503094847802539E-3</v>
      </c>
      <c r="E1175" s="1">
        <f t="shared" si="267"/>
        <v>4.2583849141300421E-3</v>
      </c>
      <c r="F1175" s="1">
        <f t="shared" si="268"/>
        <v>0.99999661156992015</v>
      </c>
      <c r="G1175" s="1">
        <f t="shared" si="269"/>
        <v>1.3525883115870583</v>
      </c>
      <c r="H1175" s="1">
        <f t="shared" si="277"/>
        <v>13.525883115870583</v>
      </c>
      <c r="S1175" s="2">
        <v>11.74</v>
      </c>
      <c r="T1175" s="1">
        <f t="shared" si="270"/>
        <v>1.8197008586099809E-12</v>
      </c>
      <c r="U1175" s="1">
        <f t="shared" si="271"/>
        <v>5.5503628259620155E-3</v>
      </c>
      <c r="V1175" s="1">
        <f t="shared" si="272"/>
        <v>0.10832543634012337</v>
      </c>
      <c r="W1175" s="1">
        <f t="shared" si="273"/>
        <v>-2.7751454467077885E-3</v>
      </c>
      <c r="X1175" s="1">
        <f t="shared" si="274"/>
        <v>6.9988445578062906E-7</v>
      </c>
      <c r="Y1175" s="1">
        <f t="shared" si="275"/>
        <v>-5.4004213463201368E-2</v>
      </c>
      <c r="Z1175" s="1">
        <f t="shared" si="276"/>
        <v>-2.7002106731600688</v>
      </c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</row>
    <row r="1176" spans="1:44" ht="15" customHeight="1" x14ac:dyDescent="0.3">
      <c r="A1176" s="2">
        <v>11.75</v>
      </c>
      <c r="B1176" s="1">
        <f t="shared" si="264"/>
        <v>1.7782794100389204E-12</v>
      </c>
      <c r="C1176" s="1">
        <f t="shared" si="265"/>
        <v>5.6796473844225332E-3</v>
      </c>
      <c r="D1176" s="1">
        <f t="shared" si="266"/>
        <v>-5.6795953287809937E-3</v>
      </c>
      <c r="E1176" s="1">
        <f t="shared" si="267"/>
        <v>4.2799325547968319E-3</v>
      </c>
      <c r="F1176" s="1">
        <f t="shared" si="268"/>
        <v>0.99999668869975</v>
      </c>
      <c r="G1176" s="1">
        <f t="shared" si="269"/>
        <v>1.3612958626659117</v>
      </c>
      <c r="H1176" s="1">
        <f t="shared" si="277"/>
        <v>13.612958626659116</v>
      </c>
      <c r="S1176" s="2">
        <v>11.75</v>
      </c>
      <c r="T1176" s="1">
        <f t="shared" si="270"/>
        <v>1.7782794100389204E-12</v>
      </c>
      <c r="U1176" s="1">
        <f t="shared" si="271"/>
        <v>5.6796473844225332E-3</v>
      </c>
      <c r="V1176" s="1">
        <f t="shared" si="272"/>
        <v>0.10851936556757019</v>
      </c>
      <c r="W1176" s="1">
        <f t="shared" si="273"/>
        <v>-2.8397885225233998E-3</v>
      </c>
      <c r="X1176" s="1">
        <f t="shared" si="274"/>
        <v>6.8395315145350517E-7</v>
      </c>
      <c r="Y1176" s="1">
        <f t="shared" si="275"/>
        <v>-5.5227428280863196E-2</v>
      </c>
      <c r="Z1176" s="1">
        <f t="shared" si="276"/>
        <v>-2.7613714140431598</v>
      </c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</row>
    <row r="1177" spans="1:44" ht="15" customHeight="1" x14ac:dyDescent="0.3">
      <c r="A1177" s="2">
        <v>11.76</v>
      </c>
      <c r="B1177" s="1">
        <f t="shared" si="264"/>
        <v>1.737800828749373E-12</v>
      </c>
      <c r="C1177" s="1">
        <f t="shared" si="265"/>
        <v>5.8119433671052923E-3</v>
      </c>
      <c r="D1177" s="1">
        <f t="shared" si="266"/>
        <v>-5.8118925677416661E-3</v>
      </c>
      <c r="E1177" s="1">
        <f t="shared" si="267"/>
        <v>4.3019820946236104E-3</v>
      </c>
      <c r="F1177" s="1">
        <f t="shared" si="268"/>
        <v>0.99999676407390203</v>
      </c>
      <c r="G1177" s="1">
        <f t="shared" si="269"/>
        <v>1.3702309809285642</v>
      </c>
      <c r="H1177" s="1">
        <f t="shared" si="277"/>
        <v>13.702309809285641</v>
      </c>
      <c r="S1177" s="2">
        <v>11.76</v>
      </c>
      <c r="T1177" s="1">
        <f t="shared" si="270"/>
        <v>1.737800828749373E-12</v>
      </c>
      <c r="U1177" s="1">
        <f t="shared" si="271"/>
        <v>5.8119433671052923E-3</v>
      </c>
      <c r="V1177" s="1">
        <f t="shared" si="272"/>
        <v>0.10871781187695299</v>
      </c>
      <c r="W1177" s="1">
        <f t="shared" si="273"/>
        <v>-2.9059372923176722E-3</v>
      </c>
      <c r="X1177" s="1">
        <f t="shared" si="274"/>
        <v>6.6838448739625258E-7</v>
      </c>
      <c r="Y1177" s="1">
        <f t="shared" si="275"/>
        <v>-5.6477543838174861E-2</v>
      </c>
      <c r="Z1177" s="1">
        <f t="shared" si="276"/>
        <v>-2.8238771919087426</v>
      </c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</row>
    <row r="1178" spans="1:44" ht="15" customHeight="1" x14ac:dyDescent="0.3">
      <c r="A1178" s="2">
        <v>11.77</v>
      </c>
      <c r="B1178" s="1">
        <f t="shared" si="264"/>
        <v>1.6982436524617421E-12</v>
      </c>
      <c r="C1178" s="1">
        <f t="shared" si="265"/>
        <v>5.9473209190914556E-3</v>
      </c>
      <c r="D1178" s="1">
        <f t="shared" si="266"/>
        <v>-5.9472713474095149E-3</v>
      </c>
      <c r="E1178" s="1">
        <f t="shared" si="267"/>
        <v>4.324545224568252E-3</v>
      </c>
      <c r="F1178" s="1">
        <f t="shared" si="268"/>
        <v>0.99999683773233983</v>
      </c>
      <c r="G1178" s="1">
        <f t="shared" si="269"/>
        <v>1.3794002427751388</v>
      </c>
      <c r="H1178" s="1">
        <f t="shared" si="277"/>
        <v>13.794002427751387</v>
      </c>
      <c r="S1178" s="2">
        <v>11.77</v>
      </c>
      <c r="T1178" s="1">
        <f t="shared" si="270"/>
        <v>1.6982436524617421E-12</v>
      </c>
      <c r="U1178" s="1">
        <f t="shared" si="271"/>
        <v>5.9473209190914556E-3</v>
      </c>
      <c r="V1178" s="1">
        <f t="shared" si="272"/>
        <v>0.10892088048713179</v>
      </c>
      <c r="W1178" s="1">
        <f t="shared" si="273"/>
        <v>-2.9736268290439308E-3</v>
      </c>
      <c r="X1178" s="1">
        <f t="shared" si="274"/>
        <v>6.5317020893060797E-7</v>
      </c>
      <c r="Y1178" s="1">
        <f t="shared" si="275"/>
        <v>-5.7755114986495021E-2</v>
      </c>
      <c r="Z1178" s="1">
        <f t="shared" si="276"/>
        <v>-2.887755749324751</v>
      </c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</row>
    <row r="1179" spans="1:44" ht="15" customHeight="1" x14ac:dyDescent="0.3">
      <c r="A1179" s="2">
        <v>11.78</v>
      </c>
      <c r="B1179" s="1">
        <f t="shared" si="264"/>
        <v>1.6595869074375588E-12</v>
      </c>
      <c r="C1179" s="1">
        <f t="shared" si="265"/>
        <v>6.08585181935102E-3</v>
      </c>
      <c r="D1179" s="1">
        <f t="shared" si="266"/>
        <v>-6.0858034474054684E-3</v>
      </c>
      <c r="E1179" s="1">
        <f t="shared" si="267"/>
        <v>4.3476339079009108E-3</v>
      </c>
      <c r="F1179" s="1">
        <f t="shared" si="268"/>
        <v>0.99999690971411737</v>
      </c>
      <c r="G1179" s="1">
        <f t="shared" si="269"/>
        <v>1.3888104463949016</v>
      </c>
      <c r="H1179" s="1">
        <f t="shared" si="277"/>
        <v>13.888104463949015</v>
      </c>
      <c r="S1179" s="2">
        <v>11.78</v>
      </c>
      <c r="T1179" s="1">
        <f t="shared" si="270"/>
        <v>1.6595869074375588E-12</v>
      </c>
      <c r="U1179" s="1">
        <f t="shared" si="271"/>
        <v>6.08585181935102E-3</v>
      </c>
      <c r="V1179" s="1">
        <f t="shared" si="272"/>
        <v>0.10912867906777157</v>
      </c>
      <c r="W1179" s="1">
        <f t="shared" si="273"/>
        <v>-3.0428930225905224E-3</v>
      </c>
      <c r="X1179" s="1">
        <f t="shared" si="274"/>
        <v>6.383022492767318E-7</v>
      </c>
      <c r="Y1179" s="1">
        <f t="shared" si="275"/>
        <v>-5.9060706339512735E-2</v>
      </c>
      <c r="Z1179" s="1">
        <f t="shared" si="276"/>
        <v>-2.9530353169756367</v>
      </c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</row>
    <row r="1180" spans="1:44" ht="15" customHeight="1" x14ac:dyDescent="0.3">
      <c r="A1180" s="2">
        <v>11.79</v>
      </c>
      <c r="B1180" s="1">
        <f t="shared" si="264"/>
        <v>1.6218100973589284E-12</v>
      </c>
      <c r="C1180" s="1">
        <f t="shared" si="265"/>
        <v>6.2276095188009755E-3</v>
      </c>
      <c r="D1180" s="1">
        <f t="shared" si="266"/>
        <v>-6.2275623192826158E-3</v>
      </c>
      <c r="E1180" s="1">
        <f t="shared" si="267"/>
        <v>4.3712603865471026E-3</v>
      </c>
      <c r="F1180" s="1">
        <f t="shared" si="268"/>
        <v>0.99999698005739956</v>
      </c>
      <c r="G1180" s="1">
        <f t="shared" si="269"/>
        <v>1.3984686208427235</v>
      </c>
      <c r="H1180" s="1">
        <f t="shared" si="277"/>
        <v>13.984686208427235</v>
      </c>
      <c r="S1180" s="2">
        <v>11.79</v>
      </c>
      <c r="T1180" s="1">
        <f t="shared" si="270"/>
        <v>1.6218100973589284E-12</v>
      </c>
      <c r="U1180" s="1">
        <f t="shared" si="271"/>
        <v>6.2276095188009755E-3</v>
      </c>
      <c r="V1180" s="1">
        <f t="shared" si="272"/>
        <v>0.10934131779643033</v>
      </c>
      <c r="W1180" s="1">
        <f t="shared" si="273"/>
        <v>-3.1137725988101086E-3</v>
      </c>
      <c r="X1180" s="1">
        <f t="shared" si="274"/>
        <v>6.2377272527616304E-7</v>
      </c>
      <c r="Y1180" s="1">
        <f t="shared" si="275"/>
        <v>-6.0394892366609818E-2</v>
      </c>
      <c r="Z1180" s="1">
        <f t="shared" si="276"/>
        <v>-3.019744618330491</v>
      </c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</row>
    <row r="1181" spans="1:44" ht="15" customHeight="1" x14ac:dyDescent="0.3">
      <c r="A1181" s="2">
        <v>11.8</v>
      </c>
      <c r="B1181" s="1">
        <f t="shared" si="264"/>
        <v>1.5848931924611065E-12</v>
      </c>
      <c r="C1181" s="1">
        <f t="shared" si="265"/>
        <v>6.3726691792499795E-3</v>
      </c>
      <c r="D1181" s="1">
        <f t="shared" si="266"/>
        <v>-6.3726231254712445E-3</v>
      </c>
      <c r="E1181" s="1">
        <f t="shared" si="267"/>
        <v>4.3954371875785407E-3</v>
      </c>
      <c r="F1181" s="1">
        <f t="shared" si="268"/>
        <v>0.99999704879948292</v>
      </c>
      <c r="G1181" s="1">
        <f t="shared" si="269"/>
        <v>1.4083820355670935</v>
      </c>
      <c r="H1181" s="1">
        <f t="shared" si="277"/>
        <v>14.083820355670934</v>
      </c>
      <c r="S1181" s="2">
        <v>11.8</v>
      </c>
      <c r="T1181" s="1">
        <f t="shared" si="270"/>
        <v>1.5848931924611065E-12</v>
      </c>
      <c r="U1181" s="1">
        <f t="shared" si="271"/>
        <v>6.3726691792499795E-3</v>
      </c>
      <c r="V1181" s="1">
        <f t="shared" si="272"/>
        <v>0.10955890941697664</v>
      </c>
      <c r="W1181" s="1">
        <f t="shared" si="273"/>
        <v>-3.1863031389922133E-3</v>
      </c>
      <c r="X1181" s="1">
        <f t="shared" si="274"/>
        <v>6.0957393321212664E-7</v>
      </c>
      <c r="Y1181" s="1">
        <f t="shared" si="275"/>
        <v>-6.1758257483074175E-2</v>
      </c>
      <c r="Z1181" s="1">
        <f t="shared" si="276"/>
        <v>-3.0879128741537087</v>
      </c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</row>
    <row r="1182" spans="1:44" ht="15" customHeight="1" x14ac:dyDescent="0.3">
      <c r="A1182" s="2">
        <v>11.81</v>
      </c>
      <c r="B1182" s="1">
        <f t="shared" si="264"/>
        <v>1.5488166189124747E-12</v>
      </c>
      <c r="C1182" s="1">
        <f t="shared" si="265"/>
        <v>6.5211077132500484E-3</v>
      </c>
      <c r="D1182" s="1">
        <f t="shared" si="266"/>
        <v>-6.5210627791308495E-3</v>
      </c>
      <c r="E1182" s="1">
        <f t="shared" si="267"/>
        <v>4.4201771298551422E-3</v>
      </c>
      <c r="F1182" s="1">
        <f t="shared" si="268"/>
        <v>0.9999971159768144</v>
      </c>
      <c r="G1182" s="1">
        <f t="shared" si="269"/>
        <v>1.4185582104163048</v>
      </c>
      <c r="H1182" s="1">
        <f t="shared" si="277"/>
        <v>14.185582104163048</v>
      </c>
      <c r="S1182" s="2">
        <v>11.81</v>
      </c>
      <c r="T1182" s="1">
        <f t="shared" si="270"/>
        <v>1.5488166189124747E-12</v>
      </c>
      <c r="U1182" s="1">
        <f t="shared" si="271"/>
        <v>6.5211077132500484E-3</v>
      </c>
      <c r="V1182" s="1">
        <f t="shared" si="272"/>
        <v>0.10978156929936782</v>
      </c>
      <c r="W1182" s="1">
        <f t="shared" si="273"/>
        <v>-3.2605230997892727E-3</v>
      </c>
      <c r="X1182" s="1">
        <f t="shared" si="274"/>
        <v>5.9569834472499169E-7</v>
      </c>
      <c r="Y1182" s="1">
        <f t="shared" si="275"/>
        <v>-6.3151396136902321E-2</v>
      </c>
      <c r="Z1182" s="1">
        <f t="shared" si="276"/>
        <v>-3.1575698068451161</v>
      </c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</row>
    <row r="1183" spans="1:44" ht="15" customHeight="1" x14ac:dyDescent="0.3">
      <c r="A1183" s="2">
        <v>11.82</v>
      </c>
      <c r="B1183" s="1">
        <f t="shared" si="264"/>
        <v>1.5135612484362015E-12</v>
      </c>
      <c r="C1183" s="1">
        <f t="shared" si="265"/>
        <v>6.6730038248767488E-3</v>
      </c>
      <c r="D1183" s="1">
        <f t="shared" si="266"/>
        <v>-6.6729599849306397E-3</v>
      </c>
      <c r="E1183" s="1">
        <f t="shared" si="267"/>
        <v>4.4454933308217728E-3</v>
      </c>
      <c r="F1183" s="1">
        <f t="shared" si="268"/>
        <v>0.99999718162501194</v>
      </c>
      <c r="G1183" s="1">
        <f t="shared" si="269"/>
        <v>1.4290049261512956</v>
      </c>
      <c r="H1183" s="1">
        <f t="shared" si="277"/>
        <v>14.290049261512955</v>
      </c>
      <c r="S1183" s="2">
        <v>11.82</v>
      </c>
      <c r="T1183" s="1">
        <f t="shared" si="270"/>
        <v>1.5135612484362015E-12</v>
      </c>
      <c r="U1183" s="1">
        <f t="shared" si="271"/>
        <v>6.6730038248767488E-3</v>
      </c>
      <c r="V1183" s="1">
        <f t="shared" si="272"/>
        <v>0.11000941550082077</v>
      </c>
      <c r="W1183" s="1">
        <f t="shared" si="273"/>
        <v>-3.3364718336069263E-3</v>
      </c>
      <c r="X1183" s="1">
        <f t="shared" si="274"/>
        <v>5.8213860282068107E-7</v>
      </c>
      <c r="Y1183" s="1">
        <f t="shared" si="275"/>
        <v>-6.4574912891923297E-2</v>
      </c>
      <c r="Z1183" s="1">
        <f t="shared" si="276"/>
        <v>-3.2287456445961649</v>
      </c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</row>
    <row r="1184" spans="1:44" ht="15" customHeight="1" x14ac:dyDescent="0.3">
      <c r="A1184" s="2">
        <v>11.83</v>
      </c>
      <c r="B1184" s="1">
        <f t="shared" si="264"/>
        <v>1.4791083881682012E-12</v>
      </c>
      <c r="C1184" s="1">
        <f t="shared" si="265"/>
        <v>6.8284380514590437E-3</v>
      </c>
      <c r="D1184" s="1">
        <f t="shared" si="266"/>
        <v>-6.8283952807797199E-3</v>
      </c>
      <c r="E1184" s="1">
        <f t="shared" si="267"/>
        <v>4.471399213463287E-3</v>
      </c>
      <c r="F1184" s="1">
        <f t="shared" si="268"/>
        <v>0.99999724577888238</v>
      </c>
      <c r="G1184" s="1">
        <f t="shared" si="269"/>
        <v>1.4397302354955208</v>
      </c>
      <c r="H1184" s="1">
        <f t="shared" si="277"/>
        <v>14.397302354955208</v>
      </c>
      <c r="S1184" s="2">
        <v>11.83</v>
      </c>
      <c r="T1184" s="1">
        <f t="shared" si="270"/>
        <v>1.4791083881682012E-12</v>
      </c>
      <c r="U1184" s="1">
        <f t="shared" si="271"/>
        <v>6.8284380514590437E-3</v>
      </c>
      <c r="V1184" s="1">
        <f t="shared" si="272"/>
        <v>0.11024256882840741</v>
      </c>
      <c r="W1184" s="1">
        <f t="shared" si="273"/>
        <v>-3.414189609469142E-3</v>
      </c>
      <c r="X1184" s="1">
        <f t="shared" si="274"/>
        <v>5.688875179699621E-7</v>
      </c>
      <c r="Y1184" s="1">
        <f t="shared" si="275"/>
        <v>-6.6029422506957813E-2</v>
      </c>
      <c r="Z1184" s="1">
        <f t="shared" si="276"/>
        <v>-3.3014711253478906</v>
      </c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</row>
    <row r="1185" spans="1:44" ht="15" customHeight="1" x14ac:dyDescent="0.3">
      <c r="A1185" s="2">
        <v>11.84</v>
      </c>
      <c r="B1185" s="1">
        <f t="shared" si="264"/>
        <v>1.4454397707459267E-12</v>
      </c>
      <c r="C1185" s="1">
        <f t="shared" si="265"/>
        <v>6.9874928062812619E-3</v>
      </c>
      <c r="D1185" s="1">
        <f t="shared" si="266"/>
        <v>-6.987451080529351E-3</v>
      </c>
      <c r="E1185" s="1">
        <f t="shared" si="267"/>
        <v>4.497908513421558E-3</v>
      </c>
      <c r="F1185" s="1">
        <f t="shared" si="268"/>
        <v>0.99999730847244039</v>
      </c>
      <c r="G1185" s="1">
        <f t="shared" si="269"/>
        <v>1.4507424747543916</v>
      </c>
      <c r="H1185" s="1">
        <f t="shared" si="277"/>
        <v>14.507424747543915</v>
      </c>
      <c r="S1185" s="2">
        <v>11.84</v>
      </c>
      <c r="T1185" s="1">
        <f t="shared" si="270"/>
        <v>1.4454397707459267E-12</v>
      </c>
      <c r="U1185" s="1">
        <f t="shared" si="271"/>
        <v>6.9874928062812619E-3</v>
      </c>
      <c r="V1185" s="1">
        <f t="shared" si="272"/>
        <v>0.11048115290310816</v>
      </c>
      <c r="W1185" s="1">
        <f t="shared" si="273"/>
        <v>-3.4937176343693868E-3</v>
      </c>
      <c r="X1185" s="1">
        <f t="shared" si="274"/>
        <v>5.5593806429651474E-7</v>
      </c>
      <c r="Y1185" s="1">
        <f t="shared" si="275"/>
        <v>-6.7515550010721667E-2</v>
      </c>
      <c r="Z1185" s="1">
        <f t="shared" si="276"/>
        <v>-3.3757775005360835</v>
      </c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</row>
    <row r="1186" spans="1:44" ht="15" customHeight="1" x14ac:dyDescent="0.3">
      <c r="A1186" s="2">
        <v>11.85</v>
      </c>
      <c r="B1186" s="1">
        <f t="shared" si="264"/>
        <v>1.4125375446227535E-12</v>
      </c>
      <c r="C1186" s="1">
        <f t="shared" si="265"/>
        <v>7.1502524222797964E-3</v>
      </c>
      <c r="D1186" s="1">
        <f t="shared" si="266"/>
        <v>-7.1502117176699556E-3</v>
      </c>
      <c r="E1186" s="1">
        <f t="shared" si="267"/>
        <v>4.5250352862783259E-3</v>
      </c>
      <c r="F1186" s="1">
        <f t="shared" si="268"/>
        <v>0.99999736973892639</v>
      </c>
      <c r="G1186" s="1">
        <f t="shared" si="269"/>
        <v>1.4620502760390692</v>
      </c>
      <c r="H1186" s="1">
        <f t="shared" si="277"/>
        <v>14.620502760390691</v>
      </c>
      <c r="S1186" s="2">
        <v>11.85</v>
      </c>
      <c r="T1186" s="1">
        <f t="shared" si="270"/>
        <v>1.4125375446227535E-12</v>
      </c>
      <c r="U1186" s="1">
        <f t="shared" si="271"/>
        <v>7.1502524222797964E-3</v>
      </c>
      <c r="V1186" s="1">
        <f t="shared" si="272"/>
        <v>0.11072529422535747</v>
      </c>
      <c r="W1186" s="1">
        <f t="shared" si="273"/>
        <v>-3.5750980751191605E-3</v>
      </c>
      <c r="X1186" s="1">
        <f t="shared" si="274"/>
        <v>5.4328337585176447E-7</v>
      </c>
      <c r="Y1186" s="1">
        <f t="shared" si="275"/>
        <v>-6.9033930772168323E-2</v>
      </c>
      <c r="Z1186" s="1">
        <f t="shared" si="276"/>
        <v>-3.4516965386084162</v>
      </c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</row>
    <row r="1187" spans="1:44" ht="15" customHeight="1" x14ac:dyDescent="0.3">
      <c r="A1187" s="2">
        <v>11.86</v>
      </c>
      <c r="B1187" s="1">
        <f t="shared" si="264"/>
        <v>1.3803842646028842E-12</v>
      </c>
      <c r="C1187" s="1">
        <f t="shared" si="265"/>
        <v>7.3168031967574022E-3</v>
      </c>
      <c r="D1187" s="1">
        <f t="shared" si="266"/>
        <v>-7.3167634900456989E-3</v>
      </c>
      <c r="E1187" s="1">
        <f t="shared" si="267"/>
        <v>4.552793915007616E-3</v>
      </c>
      <c r="F1187" s="1">
        <f t="shared" si="268"/>
        <v>0.99999742961082416</v>
      </c>
      <c r="G1187" s="1">
        <f t="shared" si="269"/>
        <v>1.4736625801318366</v>
      </c>
      <c r="H1187" s="1">
        <f t="shared" si="277"/>
        <v>14.736625801318365</v>
      </c>
      <c r="S1187" s="2">
        <v>11.86</v>
      </c>
      <c r="T1187" s="1">
        <f t="shared" si="270"/>
        <v>1.3803842646028842E-12</v>
      </c>
      <c r="U1187" s="1">
        <f t="shared" si="271"/>
        <v>7.3168031967574022E-3</v>
      </c>
      <c r="V1187" s="1">
        <f t="shared" si="272"/>
        <v>0.11097512224211599</v>
      </c>
      <c r="W1187" s="1">
        <f t="shared" si="273"/>
        <v>-3.6583740807053342E-3</v>
      </c>
      <c r="X1187" s="1">
        <f t="shared" si="274"/>
        <v>5.3091674297452552E-7</v>
      </c>
      <c r="Y1187" s="1">
        <f t="shared" si="275"/>
        <v>-7.0585210565950657E-2</v>
      </c>
      <c r="Z1187" s="1">
        <f t="shared" si="276"/>
        <v>-3.5292605282975331</v>
      </c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</row>
    <row r="1188" spans="1:44" ht="15" customHeight="1" x14ac:dyDescent="0.3">
      <c r="A1188" s="2">
        <v>11.87</v>
      </c>
      <c r="B1188" s="1">
        <f t="shared" si="264"/>
        <v>1.3489628825916532E-12</v>
      </c>
      <c r="C1188" s="1">
        <f t="shared" si="265"/>
        <v>7.4872334371392686E-3</v>
      </c>
      <c r="D1188" s="1">
        <f t="shared" si="266"/>
        <v>-7.4871947056108657E-3</v>
      </c>
      <c r="E1188" s="1">
        <f t="shared" si="267"/>
        <v>4.5811991176018104E-3</v>
      </c>
      <c r="F1188" s="1">
        <f t="shared" si="268"/>
        <v>0.99999748811987799</v>
      </c>
      <c r="G1188" s="1">
        <f t="shared" si="269"/>
        <v>1.4855886500329676</v>
      </c>
      <c r="H1188" s="1">
        <f t="shared" si="277"/>
        <v>14.855886500329675</v>
      </c>
      <c r="S1188" s="2">
        <v>11.87</v>
      </c>
      <c r="T1188" s="1">
        <f t="shared" si="270"/>
        <v>1.3489628825916532E-12</v>
      </c>
      <c r="U1188" s="1">
        <f t="shared" si="271"/>
        <v>7.4872334371392686E-3</v>
      </c>
      <c r="V1188" s="1">
        <f t="shared" si="272"/>
        <v>0.11123076941550507</v>
      </c>
      <c r="W1188" s="1">
        <f t="shared" si="273"/>
        <v>-3.7435898051683559E-3</v>
      </c>
      <c r="X1188" s="1">
        <f t="shared" si="274"/>
        <v>5.1883160873348871E-7</v>
      </c>
      <c r="Y1188" s="1">
        <f t="shared" si="275"/>
        <v>-7.2170045632676871E-2</v>
      </c>
      <c r="Z1188" s="1">
        <f t="shared" si="276"/>
        <v>-3.6085022816338435</v>
      </c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</row>
    <row r="1189" spans="1:44" ht="15" customHeight="1" x14ac:dyDescent="0.3">
      <c r="A1189" s="2">
        <v>11.88</v>
      </c>
      <c r="B1189" s="1">
        <f t="shared" si="264"/>
        <v>1.3182567385564021E-12</v>
      </c>
      <c r="C1189" s="1">
        <f t="shared" si="265"/>
        <v>7.6616335077947847E-3</v>
      </c>
      <c r="D1189" s="1">
        <f t="shared" si="266"/>
        <v>-7.6615957292518909E-3</v>
      </c>
      <c r="E1189" s="1">
        <f t="shared" si="267"/>
        <v>4.6102659548753156E-3</v>
      </c>
      <c r="F1189" s="1">
        <f t="shared" si="268"/>
        <v>0.99999754529710994</v>
      </c>
      <c r="G1189" s="1">
        <f t="shared" si="269"/>
        <v>1.4978380852318243</v>
      </c>
      <c r="H1189" s="1">
        <f t="shared" si="277"/>
        <v>14.978380852318242</v>
      </c>
      <c r="S1189" s="2">
        <v>11.88</v>
      </c>
      <c r="T1189" s="1">
        <f t="shared" si="270"/>
        <v>1.3182567385564021E-12</v>
      </c>
      <c r="U1189" s="1">
        <f t="shared" si="271"/>
        <v>7.6616335077947847E-3</v>
      </c>
      <c r="V1189" s="1">
        <f t="shared" si="272"/>
        <v>0.11149237129303993</v>
      </c>
      <c r="W1189" s="1">
        <f t="shared" si="273"/>
        <v>-3.8307904310133098E-3</v>
      </c>
      <c r="X1189" s="1">
        <f t="shared" si="274"/>
        <v>5.0702156545069496E-7</v>
      </c>
      <c r="Y1189" s="1">
        <f t="shared" si="275"/>
        <v>-7.3789102733616246E-2</v>
      </c>
      <c r="Z1189" s="1">
        <f t="shared" si="276"/>
        <v>-3.6894551366808126</v>
      </c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</row>
    <row r="1190" spans="1:44" ht="15" customHeight="1" x14ac:dyDescent="0.3">
      <c r="A1190" s="2">
        <v>11.89</v>
      </c>
      <c r="B1190" s="1">
        <f t="shared" si="264"/>
        <v>1.2882495516931293E-12</v>
      </c>
      <c r="C1190" s="1">
        <f t="shared" si="265"/>
        <v>7.8400958779498136E-3</v>
      </c>
      <c r="D1190" s="1">
        <f t="shared" si="266"/>
        <v>-7.8400590306999165E-3</v>
      </c>
      <c r="E1190" s="1">
        <f t="shared" si="267"/>
        <v>4.6400098384499862E-3</v>
      </c>
      <c r="F1190" s="1">
        <f t="shared" si="268"/>
        <v>0.99999760117283532</v>
      </c>
      <c r="G1190" s="1">
        <f t="shared" si="269"/>
        <v>1.5104208367480332</v>
      </c>
      <c r="H1190" s="1">
        <f t="shared" si="277"/>
        <v>15.10420836748033</v>
      </c>
      <c r="S1190" s="2">
        <v>11.89</v>
      </c>
      <c r="T1190" s="1">
        <f t="shared" si="270"/>
        <v>1.2882495516931293E-12</v>
      </c>
      <c r="U1190" s="1">
        <f t="shared" si="271"/>
        <v>7.8400958779498136E-3</v>
      </c>
      <c r="V1190" s="1">
        <f t="shared" si="272"/>
        <v>0.11176006657949869</v>
      </c>
      <c r="W1190" s="1">
        <f t="shared" si="273"/>
        <v>-3.92002219316623E-3</v>
      </c>
      <c r="X1190" s="1">
        <f t="shared" si="274"/>
        <v>4.9548035130414956E-7</v>
      </c>
      <c r="Y1190" s="1">
        <f t="shared" si="275"/>
        <v>-7.5443059199500631E-2</v>
      </c>
      <c r="Z1190" s="1">
        <f t="shared" si="276"/>
        <v>-3.7721529599750316</v>
      </c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</row>
    <row r="1191" spans="1:44" ht="15" customHeight="1" x14ac:dyDescent="0.3">
      <c r="A1191" s="2">
        <v>11.9</v>
      </c>
      <c r="B1191" s="1">
        <f t="shared" si="264"/>
        <v>1.2589254117941629E-12</v>
      </c>
      <c r="C1191" s="1">
        <f t="shared" si="265"/>
        <v>8.0227151707152698E-3</v>
      </c>
      <c r="D1191" s="1">
        <f t="shared" si="266"/>
        <v>-8.0226792335596347E-3</v>
      </c>
      <c r="E1191" s="1">
        <f t="shared" si="267"/>
        <v>4.6704465389266064E-3</v>
      </c>
      <c r="F1191" s="1">
        <f t="shared" si="268"/>
        <v>0.99999765577668009</v>
      </c>
      <c r="G1191" s="1">
        <f t="shared" si="269"/>
        <v>1.5233472229919656</v>
      </c>
      <c r="H1191" s="1">
        <f t="shared" si="277"/>
        <v>15.233472229919656</v>
      </c>
      <c r="S1191" s="2">
        <v>11.9</v>
      </c>
      <c r="T1191" s="1">
        <f t="shared" si="270"/>
        <v>1.2589254117941629E-12</v>
      </c>
      <c r="U1191" s="1">
        <f t="shared" si="271"/>
        <v>8.0227151707152698E-3</v>
      </c>
      <c r="V1191" s="1">
        <f t="shared" si="272"/>
        <v>0.11203399721046564</v>
      </c>
      <c r="W1191" s="1">
        <f t="shared" si="273"/>
        <v>-4.0113324034885432E-3</v>
      </c>
      <c r="X1191" s="1">
        <f t="shared" si="274"/>
        <v>4.8420184700775118E-7</v>
      </c>
      <c r="Y1191" s="1">
        <f t="shared" si="275"/>
        <v>-7.7132602973058392E-2</v>
      </c>
      <c r="Z1191" s="1">
        <f t="shared" si="276"/>
        <v>-3.8566301486529198</v>
      </c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</row>
    <row r="1192" spans="1:44" ht="15" customHeight="1" x14ac:dyDescent="0.3">
      <c r="A1192" s="2">
        <v>11.91</v>
      </c>
      <c r="B1192" s="1">
        <f t="shared" si="264"/>
        <v>1.2302687708123772E-12</v>
      </c>
      <c r="C1192" s="1">
        <f t="shared" si="265"/>
        <v>8.2095882132574311E-3</v>
      </c>
      <c r="D1192" s="1">
        <f t="shared" si="266"/>
        <v>-8.209553165479869E-3</v>
      </c>
      <c r="E1192" s="1">
        <f t="shared" si="267"/>
        <v>4.7015921942466449E-3</v>
      </c>
      <c r="F1192" s="1">
        <f t="shared" si="268"/>
        <v>0.99999770913759534</v>
      </c>
      <c r="G1192" s="1">
        <f t="shared" si="269"/>
        <v>1.5366279464973118</v>
      </c>
      <c r="H1192" s="1">
        <f t="shared" si="277"/>
        <v>15.366279464973118</v>
      </c>
      <c r="S1192" s="2">
        <v>11.91</v>
      </c>
      <c r="T1192" s="1">
        <f t="shared" si="270"/>
        <v>1.2302687708123772E-12</v>
      </c>
      <c r="U1192" s="1">
        <f t="shared" si="271"/>
        <v>8.2095882132574311E-3</v>
      </c>
      <c r="V1192" s="1">
        <f t="shared" si="272"/>
        <v>0.11231430842758718</v>
      </c>
      <c r="W1192" s="1">
        <f t="shared" si="273"/>
        <v>-4.1047694758623923E-3</v>
      </c>
      <c r="X1192" s="1">
        <f t="shared" si="274"/>
        <v>4.731800725668119E-7</v>
      </c>
      <c r="Y1192" s="1">
        <f t="shared" si="275"/>
        <v>-7.8858432644896628E-2</v>
      </c>
      <c r="Z1192" s="1">
        <f t="shared" si="276"/>
        <v>-3.9429216322448313</v>
      </c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</row>
    <row r="1193" spans="1:44" ht="15" customHeight="1" x14ac:dyDescent="0.3">
      <c r="A1193" s="2">
        <v>11.92</v>
      </c>
      <c r="B1193" s="1">
        <f t="shared" si="264"/>
        <v>1.2022644346174088E-12</v>
      </c>
      <c r="C1193" s="1">
        <f t="shared" si="265"/>
        <v>8.4008140881370059E-3</v>
      </c>
      <c r="D1193" s="1">
        <f t="shared" si="266"/>
        <v>-8.400779909492874E-3</v>
      </c>
      <c r="E1193" s="1">
        <f t="shared" si="267"/>
        <v>4.733463318248813E-3</v>
      </c>
      <c r="F1193" s="1">
        <f t="shared" si="268"/>
        <v>0.9999977612838733</v>
      </c>
      <c r="G1193" s="1">
        <f t="shared" si="269"/>
        <v>1.5502741115825387</v>
      </c>
      <c r="H1193" s="1">
        <f t="shared" si="277"/>
        <v>15.502741115825387</v>
      </c>
      <c r="S1193" s="2">
        <v>11.92</v>
      </c>
      <c r="T1193" s="1">
        <f t="shared" si="270"/>
        <v>1.2022644346174088E-12</v>
      </c>
      <c r="U1193" s="1">
        <f t="shared" si="271"/>
        <v>8.4008140881370059E-3</v>
      </c>
      <c r="V1193" s="1">
        <f t="shared" si="272"/>
        <v>0.11260114885558102</v>
      </c>
      <c r="W1193" s="1">
        <f t="shared" si="273"/>
        <v>-4.200382951860337E-3</v>
      </c>
      <c r="X1193" s="1">
        <f t="shared" si="274"/>
        <v>4.6240918410742016E-7</v>
      </c>
      <c r="Y1193" s="1">
        <f t="shared" si="275"/>
        <v>-8.0621257482342987E-2</v>
      </c>
      <c r="Z1193" s="1">
        <f t="shared" si="276"/>
        <v>-4.0310628741171488</v>
      </c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</row>
    <row r="1194" spans="1:44" ht="15" customHeight="1" x14ac:dyDescent="0.3">
      <c r="A1194" s="2">
        <v>11.93</v>
      </c>
      <c r="B1194" s="1">
        <f t="shared" si="264"/>
        <v>1.1748975549395258E-12</v>
      </c>
      <c r="C1194" s="1">
        <f t="shared" si="265"/>
        <v>8.5964941858440291E-3</v>
      </c>
      <c r="D1194" s="1">
        <f t="shared" si="266"/>
        <v>-8.5964608565495069E-3</v>
      </c>
      <c r="E1194" s="1">
        <f t="shared" si="267"/>
        <v>4.7660768094249179E-3</v>
      </c>
      <c r="F1194" s="1">
        <f t="shared" si="268"/>
        <v>0.9999978122431622</v>
      </c>
      <c r="G1194" s="1">
        <f t="shared" si="269"/>
        <v>1.5642972430022466</v>
      </c>
      <c r="H1194" s="1">
        <f t="shared" si="277"/>
        <v>15.642972430022466</v>
      </c>
      <c r="S1194" s="2">
        <v>11.93</v>
      </c>
      <c r="T1194" s="1">
        <f t="shared" si="270"/>
        <v>1.1748975549395258E-12</v>
      </c>
      <c r="U1194" s="1">
        <f t="shared" si="271"/>
        <v>8.5964941858440291E-3</v>
      </c>
      <c r="V1194" s="1">
        <f t="shared" si="272"/>
        <v>0.11289467058103883</v>
      </c>
      <c r="W1194" s="1">
        <f t="shared" si="273"/>
        <v>-4.298223527012944E-3</v>
      </c>
      <c r="X1194" s="1">
        <f t="shared" si="274"/>
        <v>4.5188347077797724E-7</v>
      </c>
      <c r="Y1194" s="1">
        <f t="shared" si="275"/>
        <v>-8.2421797450839912E-2</v>
      </c>
      <c r="Z1194" s="1">
        <f t="shared" si="276"/>
        <v>-4.1210898725419955</v>
      </c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</row>
    <row r="1195" spans="1:44" ht="15" customHeight="1" x14ac:dyDescent="0.3">
      <c r="A1195" s="2">
        <v>11.94</v>
      </c>
      <c r="B1195" s="1">
        <f t="shared" si="264"/>
        <v>1.1481536214968792E-12</v>
      </c>
      <c r="C1195" s="1">
        <f t="shared" si="265"/>
        <v>8.7967322585564417E-3</v>
      </c>
      <c r="D1195" s="1">
        <f t="shared" si="266"/>
        <v>-8.7966997592780431E-3</v>
      </c>
      <c r="E1195" s="1">
        <f t="shared" si="267"/>
        <v>4.7994499598796739E-3</v>
      </c>
      <c r="F1195" s="1">
        <f t="shared" si="268"/>
        <v>0.99999786204248131</v>
      </c>
      <c r="G1195" s="1">
        <f t="shared" si="269"/>
        <v>1.5787093056540742</v>
      </c>
      <c r="H1195" s="1">
        <f t="shared" si="277"/>
        <v>15.787093056540741</v>
      </c>
      <c r="S1195" s="2">
        <v>11.94</v>
      </c>
      <c r="T1195" s="1">
        <f t="shared" si="270"/>
        <v>1.1481536214968792E-12</v>
      </c>
      <c r="U1195" s="1">
        <f t="shared" si="271"/>
        <v>8.7967322585564417E-3</v>
      </c>
      <c r="V1195" s="1">
        <f t="shared" si="272"/>
        <v>0.1131950292330647</v>
      </c>
      <c r="W1195" s="1">
        <f t="shared" si="273"/>
        <v>-4.3983430776882299E-3</v>
      </c>
      <c r="X1195" s="1">
        <f t="shared" si="274"/>
        <v>4.4159735172126169E-7</v>
      </c>
      <c r="Y1195" s="1">
        <f t="shared" si="275"/>
        <v>-8.4260783227473129E-2</v>
      </c>
      <c r="Z1195" s="1">
        <f t="shared" si="276"/>
        <v>-4.2130391613736569</v>
      </c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</row>
    <row r="1196" spans="1:44" ht="15" customHeight="1" x14ac:dyDescent="0.3">
      <c r="A1196" s="2">
        <v>11.95</v>
      </c>
      <c r="B1196" s="1">
        <f t="shared" si="264"/>
        <v>1.122018454301964E-12</v>
      </c>
      <c r="C1196" s="1">
        <f t="shared" si="265"/>
        <v>9.0016344751508246E-3</v>
      </c>
      <c r="D1196" s="1">
        <f t="shared" si="266"/>
        <v>-9.0016027869951401E-3</v>
      </c>
      <c r="E1196" s="1">
        <f t="shared" si="267"/>
        <v>4.8336004644991895E-3</v>
      </c>
      <c r="F1196" s="1">
        <f t="shared" si="268"/>
        <v>0.99999791070823418</v>
      </c>
      <c r="G1196" s="1">
        <f t="shared" si="269"/>
        <v>1.5935227254118292</v>
      </c>
      <c r="H1196" s="1">
        <f t="shared" si="277"/>
        <v>15.93522725411829</v>
      </c>
      <c r="S1196" s="2">
        <v>11.95</v>
      </c>
      <c r="T1196" s="1">
        <f t="shared" si="270"/>
        <v>1.122018454301964E-12</v>
      </c>
      <c r="U1196" s="1">
        <f t="shared" si="271"/>
        <v>9.0016344751508246E-3</v>
      </c>
      <c r="V1196" s="1">
        <f t="shared" si="272"/>
        <v>0.11350238406579155</v>
      </c>
      <c r="W1196" s="1">
        <f t="shared" si="273"/>
        <v>-4.5007946885971852E-3</v>
      </c>
      <c r="X1196" s="1">
        <f t="shared" si="274"/>
        <v>4.315453731154198E-7</v>
      </c>
      <c r="Y1196" s="1">
        <f t="shared" si="275"/>
        <v>-8.6138956206201905E-2</v>
      </c>
      <c r="Z1196" s="1">
        <f t="shared" si="276"/>
        <v>-4.3069478103100955</v>
      </c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</row>
    <row r="1197" spans="1:44" ht="15" customHeight="1" x14ac:dyDescent="0.3">
      <c r="A1197" s="2">
        <v>11.96</v>
      </c>
      <c r="B1197" s="1">
        <f t="shared" si="264"/>
        <v>1.0964781961431817E-12</v>
      </c>
      <c r="C1197" s="1">
        <f t="shared" si="265"/>
        <v>9.2113094774947148E-3</v>
      </c>
      <c r="D1197" s="1">
        <f t="shared" si="266"/>
        <v>-9.2112785819984024E-3</v>
      </c>
      <c r="E1197" s="1">
        <f t="shared" si="267"/>
        <v>4.8685464303330674E-3</v>
      </c>
      <c r="F1197" s="1">
        <f t="shared" si="268"/>
        <v>0.99999795826622406</v>
      </c>
      <c r="G1197" s="1">
        <f t="shared" si="269"/>
        <v>1.6087504111610049</v>
      </c>
      <c r="H1197" s="1">
        <f t="shared" si="277"/>
        <v>16.087504111610048</v>
      </c>
      <c r="S1197" s="2">
        <v>11.96</v>
      </c>
      <c r="T1197" s="1">
        <f t="shared" si="270"/>
        <v>1.0964781961431817E-12</v>
      </c>
      <c r="U1197" s="1">
        <f t="shared" si="271"/>
        <v>9.2113094774947148E-3</v>
      </c>
      <c r="V1197" s="1">
        <f t="shared" si="272"/>
        <v>0.11381689804282019</v>
      </c>
      <c r="W1197" s="1">
        <f t="shared" si="273"/>
        <v>-4.6056326809400683E-3</v>
      </c>
      <c r="X1197" s="1">
        <f t="shared" si="274"/>
        <v>4.2172220528229956E-7</v>
      </c>
      <c r="Y1197" s="1">
        <f t="shared" si="275"/>
        <v>-8.8057068494347898E-2</v>
      </c>
      <c r="Z1197" s="1">
        <f t="shared" si="276"/>
        <v>-4.4028534247173949</v>
      </c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</row>
    <row r="1198" spans="1:44" ht="15" customHeight="1" x14ac:dyDescent="0.3">
      <c r="A1198" s="2">
        <v>11.97</v>
      </c>
      <c r="B1198" s="1">
        <f t="shared" si="264"/>
        <v>1.0715193052376033E-12</v>
      </c>
      <c r="C1198" s="1">
        <f t="shared" si="265"/>
        <v>9.4258684380496369E-3</v>
      </c>
      <c r="D1198" s="1">
        <f t="shared" si="266"/>
        <v>-9.425838317169621E-3</v>
      </c>
      <c r="E1198" s="1">
        <f t="shared" si="267"/>
        <v>4.9043063861949369E-3</v>
      </c>
      <c r="F1198" s="1">
        <f t="shared" si="268"/>
        <v>0.999998004741666</v>
      </c>
      <c r="G1198" s="1">
        <f t="shared" si="269"/>
        <v>1.6244057781187122</v>
      </c>
      <c r="H1198" s="1">
        <f t="shared" si="277"/>
        <v>16.24405778118712</v>
      </c>
      <c r="S1198" s="2">
        <v>11.97</v>
      </c>
      <c r="T1198" s="1">
        <f t="shared" si="270"/>
        <v>1.0715193052376033E-12</v>
      </c>
      <c r="U1198" s="1">
        <f t="shared" si="271"/>
        <v>9.4258684380496369E-3</v>
      </c>
      <c r="V1198" s="1">
        <f t="shared" si="272"/>
        <v>0.11413873792362422</v>
      </c>
      <c r="W1198" s="1">
        <f t="shared" si="273"/>
        <v>-4.7129126412080672E-3</v>
      </c>
      <c r="X1198" s="1">
        <f t="shared" si="274"/>
        <v>4.1212263986163024E-7</v>
      </c>
      <c r="Y1198" s="1">
        <f t="shared" si="275"/>
        <v>-9.0015882899877928E-2</v>
      </c>
      <c r="Z1198" s="1">
        <f t="shared" si="276"/>
        <v>-4.5007941449938969</v>
      </c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</row>
    <row r="1199" spans="1:44" ht="15" customHeight="1" x14ac:dyDescent="0.3">
      <c r="A1199" s="2">
        <v>11.98</v>
      </c>
      <c r="B1199" s="1">
        <f t="shared" si="264"/>
        <v>1.0471285480508967E-12</v>
      </c>
      <c r="C1199" s="1">
        <f t="shared" si="265"/>
        <v>9.6454251188165287E-3</v>
      </c>
      <c r="D1199" s="1">
        <f t="shared" si="266"/>
        <v>-9.6453957549204605E-3</v>
      </c>
      <c r="E1199" s="1">
        <f t="shared" si="267"/>
        <v>4.9408992924867435E-3</v>
      </c>
      <c r="F1199" s="1">
        <f t="shared" si="268"/>
        <v>0.99999805015920218</v>
      </c>
      <c r="G1199" s="1">
        <f t="shared" si="269"/>
        <v>1.6405027725266623</v>
      </c>
      <c r="H1199" s="1">
        <f t="shared" si="277"/>
        <v>16.405027725266621</v>
      </c>
      <c r="S1199" s="2">
        <v>11.98</v>
      </c>
      <c r="T1199" s="1">
        <f t="shared" si="270"/>
        <v>1.0471285480508967E-12</v>
      </c>
      <c r="U1199" s="1">
        <f t="shared" si="271"/>
        <v>9.6454251188165287E-3</v>
      </c>
      <c r="V1199" s="1">
        <f t="shared" si="272"/>
        <v>0.11446807435196843</v>
      </c>
      <c r="W1199" s="1">
        <f t="shared" si="273"/>
        <v>-4.822691450656144E-3</v>
      </c>
      <c r="X1199" s="1">
        <f t="shared" si="274"/>
        <v>4.0274158704949362E-7</v>
      </c>
      <c r="Y1199" s="1">
        <f t="shared" si="275"/>
        <v>-9.2016172909018645E-2</v>
      </c>
      <c r="Z1199" s="1">
        <f t="shared" si="276"/>
        <v>-4.6008086454509325</v>
      </c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</row>
    <row r="1200" spans="1:44" ht="15" customHeight="1" x14ac:dyDescent="0.3">
      <c r="A1200" s="2">
        <v>11.99</v>
      </c>
      <c r="B1200" s="1">
        <f t="shared" si="264"/>
        <v>1.0232929922807514E-12</v>
      </c>
      <c r="C1200" s="1">
        <f t="shared" si="265"/>
        <v>9.8700959316537131E-3</v>
      </c>
      <c r="D1200" s="1">
        <f t="shared" si="266"/>
        <v>-9.870067307510581E-3</v>
      </c>
      <c r="E1200" s="1">
        <f t="shared" si="267"/>
        <v>4.9783445512517639E-3</v>
      </c>
      <c r="F1200" s="1">
        <f t="shared" si="268"/>
        <v>0.99999809454291277</v>
      </c>
      <c r="G1200" s="1">
        <f t="shared" si="269"/>
        <v>1.6570558978127181</v>
      </c>
      <c r="H1200" s="1">
        <f t="shared" si="277"/>
        <v>16.570558978127181</v>
      </c>
      <c r="S1200" s="2">
        <v>11.99</v>
      </c>
      <c r="T1200" s="1">
        <f t="shared" si="270"/>
        <v>1.0232929922807514E-12</v>
      </c>
      <c r="U1200" s="1">
        <f t="shared" si="271"/>
        <v>9.8700959316537131E-3</v>
      </c>
      <c r="V1200" s="1">
        <f t="shared" si="272"/>
        <v>0.11480508194638649</v>
      </c>
      <c r="W1200" s="1">
        <f t="shared" si="273"/>
        <v>-4.935027315462164E-3</v>
      </c>
      <c r="X1200" s="1">
        <f t="shared" si="274"/>
        <v>3.9357407289967721E-7</v>
      </c>
      <c r="Y1200" s="1">
        <f t="shared" si="275"/>
        <v>-9.4058722653708002E-2</v>
      </c>
      <c r="Z1200" s="1">
        <f t="shared" si="276"/>
        <v>-4.7029361326853998</v>
      </c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</row>
    <row r="1201" spans="1:44" ht="15" customHeight="1" x14ac:dyDescent="0.3">
      <c r="A1201" s="2">
        <v>12</v>
      </c>
      <c r="B1201" s="1">
        <f t="shared" si="264"/>
        <v>9.9999999999999998E-13</v>
      </c>
      <c r="C1201" s="1">
        <f t="shared" si="265"/>
        <v>1.01E-2</v>
      </c>
      <c r="D1201" s="1">
        <f t="shared" si="266"/>
        <v>-1.0099972098771027E-2</v>
      </c>
      <c r="E1201" s="1">
        <f t="shared" si="267"/>
        <v>5.0166620164618378E-3</v>
      </c>
      <c r="F1201" s="1">
        <f t="shared" si="268"/>
        <v>0.99999813791633063</v>
      </c>
      <c r="G1201" s="1">
        <f t="shared" si="269"/>
        <v>1.674080242324349</v>
      </c>
      <c r="H1201" s="1">
        <f t="shared" si="277"/>
        <v>16.74080242324349</v>
      </c>
      <c r="S1201" s="2">
        <v>12</v>
      </c>
      <c r="T1201" s="1">
        <f t="shared" si="270"/>
        <v>9.9999999999999998E-13</v>
      </c>
      <c r="U1201" s="1">
        <f t="shared" si="271"/>
        <v>1.01E-2</v>
      </c>
      <c r="V1201" s="1">
        <f t="shared" si="272"/>
        <v>0.11514993939276573</v>
      </c>
      <c r="W1201" s="1">
        <f t="shared" si="273"/>
        <v>-5.0499797975885781E-3</v>
      </c>
      <c r="X1201" s="1">
        <f t="shared" si="274"/>
        <v>3.8461523668644745E-7</v>
      </c>
      <c r="Y1201" s="1">
        <f t="shared" si="275"/>
        <v>-9.614432686839032E-2</v>
      </c>
      <c r="Z1201" s="1">
        <f t="shared" si="276"/>
        <v>-4.8072163434195163</v>
      </c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</row>
    <row r="1202" spans="1:44" ht="15" customHeight="1" x14ac:dyDescent="0.3">
      <c r="A1202" s="2">
        <v>12.01</v>
      </c>
      <c r="B1202" s="1">
        <f t="shared" si="264"/>
        <v>9.7723722095580816E-13</v>
      </c>
      <c r="C1202" s="1">
        <f t="shared" si="265"/>
        <v>1.0335259222035643E-2</v>
      </c>
      <c r="D1202" s="1">
        <f t="shared" si="266"/>
        <v>-1.0335232027265343E-2</v>
      </c>
      <c r="E1202" s="1">
        <f t="shared" si="267"/>
        <v>5.0558720045442238E-3</v>
      </c>
      <c r="F1202" s="1">
        <f t="shared" si="268"/>
        <v>0.99999818030245269</v>
      </c>
      <c r="G1202" s="1">
        <f t="shared" si="269"/>
        <v>1.6915915087456486</v>
      </c>
      <c r="H1202" s="1">
        <f t="shared" si="277"/>
        <v>16.915915087456483</v>
      </c>
      <c r="S1202" s="2">
        <v>12.01</v>
      </c>
      <c r="T1202" s="1">
        <f t="shared" si="270"/>
        <v>9.7723722095580816E-13</v>
      </c>
      <c r="U1202" s="1">
        <f t="shared" si="271"/>
        <v>1.0335259222035643E-2</v>
      </c>
      <c r="V1202" s="1">
        <f t="shared" si="272"/>
        <v>0.11550282953908905</v>
      </c>
      <c r="W1202" s="1">
        <f t="shared" si="273"/>
        <v>-5.1676098463630188E-3</v>
      </c>
      <c r="X1202" s="1">
        <f t="shared" si="274"/>
        <v>3.7586032832734822E-7</v>
      </c>
      <c r="Y1202" s="1">
        <f t="shared" si="275"/>
        <v>-9.8273790835643457E-2</v>
      </c>
      <c r="Z1202" s="1">
        <f t="shared" si="276"/>
        <v>-4.9136895417821735</v>
      </c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</row>
    <row r="1203" spans="1:44" ht="15" customHeight="1" x14ac:dyDescent="0.3">
      <c r="A1203" s="2">
        <v>12.02</v>
      </c>
      <c r="B1203" s="1">
        <f t="shared" si="264"/>
        <v>9.5499258602143367E-13</v>
      </c>
      <c r="C1203" s="1">
        <f t="shared" si="265"/>
        <v>1.0575998335314109E-2</v>
      </c>
      <c r="D1203" s="1">
        <f t="shared" si="266"/>
        <v>-1.0575971830921569E-2</v>
      </c>
      <c r="E1203" s="1">
        <f t="shared" si="267"/>
        <v>5.095995305153595E-3</v>
      </c>
      <c r="F1203" s="1">
        <f t="shared" si="268"/>
        <v>0.9999982217237523</v>
      </c>
      <c r="G1203" s="1">
        <f t="shared" si="269"/>
        <v>1.7096060453187183</v>
      </c>
      <c r="H1203" s="1">
        <f t="shared" si="277"/>
        <v>17.096060453187182</v>
      </c>
      <c r="S1203" s="2">
        <v>12.02</v>
      </c>
      <c r="T1203" s="1">
        <f t="shared" si="270"/>
        <v>9.5499258602143367E-13</v>
      </c>
      <c r="U1203" s="1">
        <f t="shared" si="271"/>
        <v>1.0575998335314109E-2</v>
      </c>
      <c r="V1203" s="1">
        <f t="shared" si="272"/>
        <v>0.11586393949238299</v>
      </c>
      <c r="W1203" s="1">
        <f t="shared" si="273"/>
        <v>-5.2879798307943265E-3</v>
      </c>
      <c r="X1203" s="1">
        <f t="shared" si="274"/>
        <v>3.6730470586467795E-7</v>
      </c>
      <c r="Y1203" s="1">
        <f t="shared" si="275"/>
        <v>-0.10044793032010883</v>
      </c>
      <c r="Z1203" s="1">
        <f t="shared" si="276"/>
        <v>-5.0223965160054416</v>
      </c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</row>
    <row r="1204" spans="1:44" ht="15" customHeight="1" x14ac:dyDescent="0.3">
      <c r="A1204" s="2">
        <v>12.03</v>
      </c>
      <c r="B1204" s="1">
        <f t="shared" si="264"/>
        <v>9.3325430079698887E-13</v>
      </c>
      <c r="C1204" s="1">
        <f t="shared" si="265"/>
        <v>1.0822344982899849E-2</v>
      </c>
      <c r="D1204" s="1">
        <f t="shared" si="266"/>
        <v>-1.0822319153170197E-2</v>
      </c>
      <c r="E1204" s="1">
        <f t="shared" si="267"/>
        <v>5.1370531921950333E-3</v>
      </c>
      <c r="F1204" s="1">
        <f t="shared" si="268"/>
        <v>0.99999826220219123</v>
      </c>
      <c r="G1204" s="1">
        <f t="shared" si="269"/>
        <v>1.7281408790003261</v>
      </c>
      <c r="H1204" s="1">
        <f t="shared" si="277"/>
        <v>17.281408790003258</v>
      </c>
      <c r="S1204" s="2">
        <v>12.03</v>
      </c>
      <c r="T1204" s="1">
        <f t="shared" si="270"/>
        <v>9.3325430079698887E-13</v>
      </c>
      <c r="U1204" s="1">
        <f t="shared" si="271"/>
        <v>1.0822344982899849E-2</v>
      </c>
      <c r="V1204" s="1">
        <f t="shared" si="272"/>
        <v>0.11623346071792463</v>
      </c>
      <c r="W1204" s="1">
        <f t="shared" si="273"/>
        <v>-5.4111535726415463E-3</v>
      </c>
      <c r="X1204" s="1">
        <f t="shared" si="274"/>
        <v>3.5894383300427423E-7</v>
      </c>
      <c r="Y1204" s="1">
        <f t="shared" si="275"/>
        <v>-0.10266757149019491</v>
      </c>
      <c r="Z1204" s="1">
        <f t="shared" si="276"/>
        <v>-5.133378574509746</v>
      </c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</row>
    <row r="1205" spans="1:44" ht="15" customHeight="1" x14ac:dyDescent="0.3">
      <c r="A1205" s="2">
        <v>12.04</v>
      </c>
      <c r="B1205" s="1">
        <f t="shared" si="264"/>
        <v>9.1201083935590769E-13</v>
      </c>
      <c r="C1205" s="1">
        <f t="shared" si="265"/>
        <v>1.1074429781046193E-2</v>
      </c>
      <c r="D1205" s="1">
        <f t="shared" si="266"/>
        <v>-1.1074404610622271E-2</v>
      </c>
      <c r="E1205" s="1">
        <f t="shared" si="267"/>
        <v>5.1790674351037116E-3</v>
      </c>
      <c r="F1205" s="1">
        <f t="shared" si="268"/>
        <v>0.99999830175923143</v>
      </c>
      <c r="G1205" s="1">
        <f t="shared" si="269"/>
        <v>1.7472137506955703</v>
      </c>
      <c r="H1205" s="1">
        <f t="shared" si="277"/>
        <v>17.472137506955701</v>
      </c>
      <c r="S1205" s="2">
        <v>12.04</v>
      </c>
      <c r="T1205" s="1">
        <f t="shared" si="270"/>
        <v>9.1201083935590769E-13</v>
      </c>
      <c r="U1205" s="1">
        <f t="shared" si="271"/>
        <v>1.1074429781046193E-2</v>
      </c>
      <c r="V1205" s="1">
        <f t="shared" si="272"/>
        <v>0.11661158914075899</v>
      </c>
      <c r="W1205" s="1">
        <f t="shared" si="273"/>
        <v>-5.5371963802529978E-3</v>
      </c>
      <c r="X1205" s="1">
        <f t="shared" si="274"/>
        <v>3.5077327671033738E-7</v>
      </c>
      <c r="Y1205" s="1">
        <f t="shared" si="275"/>
        <v>-0.10493355082699654</v>
      </c>
      <c r="Z1205" s="1">
        <f t="shared" si="276"/>
        <v>-5.2466775413498272</v>
      </c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</row>
    <row r="1206" spans="1:44" ht="15" customHeight="1" x14ac:dyDescent="0.3">
      <c r="A1206" s="2">
        <v>12.05</v>
      </c>
      <c r="B1206" s="1">
        <f t="shared" si="264"/>
        <v>8.9125093813374051E-13</v>
      </c>
      <c r="C1206" s="1">
        <f t="shared" si="265"/>
        <v>1.1332386388449894E-2</v>
      </c>
      <c r="D1206" s="1">
        <f t="shared" si="266"/>
        <v>-1.1332361862324114E-2</v>
      </c>
      <c r="E1206" s="1">
        <f t="shared" si="267"/>
        <v>5.2220603103873518E-3</v>
      </c>
      <c r="F1206" s="1">
        <f t="shared" si="268"/>
        <v>0.99999834041584679</v>
      </c>
      <c r="G1206" s="1">
        <f t="shared" si="269"/>
        <v>1.7668431527224047</v>
      </c>
      <c r="H1206" s="1">
        <f t="shared" si="277"/>
        <v>17.668431527224044</v>
      </c>
      <c r="S1206" s="2">
        <v>12.05</v>
      </c>
      <c r="T1206" s="1">
        <f t="shared" si="270"/>
        <v>8.9125093813374051E-13</v>
      </c>
      <c r="U1206" s="1">
        <f t="shared" si="271"/>
        <v>1.1332386388449894E-2</v>
      </c>
      <c r="V1206" s="1">
        <f t="shared" si="272"/>
        <v>0.11699852524958101</v>
      </c>
      <c r="W1206" s="1">
        <f t="shared" si="273"/>
        <v>-5.6661750831936697E-3</v>
      </c>
      <c r="X1206" s="1">
        <f t="shared" si="274"/>
        <v>3.427887048549945E-7</v>
      </c>
      <c r="Y1206" s="1">
        <f t="shared" si="275"/>
        <v>-0.10724671501987358</v>
      </c>
      <c r="Z1206" s="1">
        <f t="shared" si="276"/>
        <v>-5.3623357509936795</v>
      </c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</row>
    <row r="1207" spans="1:44" ht="15" customHeight="1" x14ac:dyDescent="0.3">
      <c r="A1207" s="2">
        <v>12.06</v>
      </c>
      <c r="B1207" s="1">
        <f t="shared" si="264"/>
        <v>8.7096358995607888E-13</v>
      </c>
      <c r="C1207" s="1">
        <f t="shared" si="265"/>
        <v>1.1596351577118538E-2</v>
      </c>
      <c r="D1207" s="1">
        <f t="shared" si="266"/>
        <v>-1.1596327680624931E-2</v>
      </c>
      <c r="E1207" s="1">
        <f t="shared" si="267"/>
        <v>5.2660546134374884E-3</v>
      </c>
      <c r="F1207" s="1">
        <f t="shared" si="268"/>
        <v>0.9999983781925329</v>
      </c>
      <c r="G1207" s="1">
        <f t="shared" si="269"/>
        <v>1.7870483686739387</v>
      </c>
      <c r="H1207" s="1">
        <f t="shared" si="277"/>
        <v>17.870483686739387</v>
      </c>
      <c r="S1207" s="2">
        <v>12.06</v>
      </c>
      <c r="T1207" s="1">
        <f t="shared" si="270"/>
        <v>8.7096358995607888E-13</v>
      </c>
      <c r="U1207" s="1">
        <f t="shared" si="271"/>
        <v>1.1596351577118538E-2</v>
      </c>
      <c r="V1207" s="1">
        <f t="shared" si="272"/>
        <v>0.11739447420303711</v>
      </c>
      <c r="W1207" s="1">
        <f t="shared" si="273"/>
        <v>-5.7981580676790398E-3</v>
      </c>
      <c r="X1207" s="1">
        <f t="shared" si="274"/>
        <v>3.3498588392137338E-7</v>
      </c>
      <c r="Y1207" s="1">
        <f t="shared" si="275"/>
        <v>-0.10960792084811079</v>
      </c>
      <c r="Z1207" s="1">
        <f t="shared" si="276"/>
        <v>-5.4803960424055393</v>
      </c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</row>
    <row r="1208" spans="1:44" ht="15" customHeight="1" x14ac:dyDescent="0.3">
      <c r="A1208" s="2">
        <v>12.07</v>
      </c>
      <c r="B1208" s="1">
        <f t="shared" si="264"/>
        <v>8.5113803820237492E-13</v>
      </c>
      <c r="C1208" s="1">
        <f t="shared" si="265"/>
        <v>1.186646530488927E-2</v>
      </c>
      <c r="D1208" s="1">
        <f t="shared" si="266"/>
        <v>-1.1866442023695684E-2</v>
      </c>
      <c r="E1208" s="1">
        <f t="shared" si="267"/>
        <v>5.3110736706159477E-3</v>
      </c>
      <c r="F1208" s="1">
        <f t="shared" si="268"/>
        <v>0.99999841510931942</v>
      </c>
      <c r="G1208" s="1">
        <f t="shared" si="269"/>
        <v>1.8078495158599708</v>
      </c>
      <c r="H1208" s="1">
        <f t="shared" si="277"/>
        <v>18.078495158599708</v>
      </c>
      <c r="S1208" s="2">
        <v>12.07</v>
      </c>
      <c r="T1208" s="1">
        <f t="shared" si="270"/>
        <v>8.5113803820237492E-13</v>
      </c>
      <c r="U1208" s="1">
        <f t="shared" si="271"/>
        <v>1.186646530488927E-2</v>
      </c>
      <c r="V1208" s="1">
        <f t="shared" si="272"/>
        <v>0.11779964593850362</v>
      </c>
      <c r="W1208" s="1">
        <f t="shared" si="273"/>
        <v>-5.9332153128345373E-3</v>
      </c>
      <c r="X1208" s="1">
        <f t="shared" si="274"/>
        <v>3.2736067675894258E-7</v>
      </c>
      <c r="Y1208" s="1">
        <f t="shared" si="275"/>
        <v>-0.11201803504808161</v>
      </c>
      <c r="Z1208" s="1">
        <f t="shared" si="276"/>
        <v>-5.6009017524040798</v>
      </c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</row>
    <row r="1209" spans="1:44" ht="15" customHeight="1" x14ac:dyDescent="0.3">
      <c r="A1209" s="2">
        <v>12.08</v>
      </c>
      <c r="B1209" s="1">
        <f t="shared" si="264"/>
        <v>8.3176377110266952E-13</v>
      </c>
      <c r="C1209" s="1">
        <f t="shared" si="265"/>
        <v>1.2142870789635891E-2</v>
      </c>
      <c r="D1209" s="1">
        <f t="shared" si="266"/>
        <v>-1.2142848109736426E-2</v>
      </c>
      <c r="E1209" s="1">
        <f t="shared" si="267"/>
        <v>5.357141351622738E-3</v>
      </c>
      <c r="F1209" s="1">
        <f t="shared" si="268"/>
        <v>0.99999845118577979</v>
      </c>
      <c r="G1209" s="1">
        <f t="shared" si="269"/>
        <v>1.8292675905248945</v>
      </c>
      <c r="H1209" s="1">
        <f t="shared" si="277"/>
        <v>18.292675905248945</v>
      </c>
      <c r="S1209" s="2">
        <v>12.08</v>
      </c>
      <c r="T1209" s="1">
        <f t="shared" si="270"/>
        <v>8.3176377110266952E-13</v>
      </c>
      <c r="U1209" s="1">
        <f t="shared" si="271"/>
        <v>1.2142870789635891E-2</v>
      </c>
      <c r="V1209" s="1">
        <f t="shared" si="272"/>
        <v>0.11821425528339766</v>
      </c>
      <c r="W1209" s="1">
        <f t="shared" si="273"/>
        <v>-6.0714184277992217E-3</v>
      </c>
      <c r="X1209" s="1">
        <f t="shared" si="274"/>
        <v>3.1990904038996912E-7</v>
      </c>
      <c r="Y1209" s="1">
        <f t="shared" si="275"/>
        <v>-0.11447793416530808</v>
      </c>
      <c r="Z1209" s="1">
        <f t="shared" si="276"/>
        <v>-5.7238967082654035</v>
      </c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</row>
    <row r="1210" spans="1:44" ht="15" customHeight="1" x14ac:dyDescent="0.3">
      <c r="A1210" s="2">
        <v>12.09</v>
      </c>
      <c r="B1210" s="1">
        <f t="shared" si="264"/>
        <v>8.1283051616409777E-13</v>
      </c>
      <c r="C1210" s="1">
        <f t="shared" si="265"/>
        <v>1.2425714585205075E-2</v>
      </c>
      <c r="D1210" s="1">
        <f t="shared" si="266"/>
        <v>-1.2425692492912647E-2</v>
      </c>
      <c r="E1210" s="1">
        <f t="shared" si="267"/>
        <v>5.4042820821521079E-3</v>
      </c>
      <c r="F1210" s="1">
        <f t="shared" si="268"/>
        <v>0.99999848644104239</v>
      </c>
      <c r="G1210" s="1">
        <f t="shared" si="269"/>
        <v>1.8513245160567469</v>
      </c>
      <c r="H1210" s="1">
        <f t="shared" si="277"/>
        <v>18.513245160567468</v>
      </c>
      <c r="S1210" s="2">
        <v>12.09</v>
      </c>
      <c r="T1210" s="1">
        <f t="shared" si="270"/>
        <v>8.1283051616409777E-13</v>
      </c>
      <c r="U1210" s="1">
        <f t="shared" si="271"/>
        <v>1.2425714585205075E-2</v>
      </c>
      <c r="V1210" s="1">
        <f t="shared" si="272"/>
        <v>0.11863852206908193</v>
      </c>
      <c r="W1210" s="1">
        <f t="shared" si="273"/>
        <v>-6.2128406896939815E-3</v>
      </c>
      <c r="X1210" s="1">
        <f t="shared" si="274"/>
        <v>3.1262702386588945E-7</v>
      </c>
      <c r="Y1210" s="1">
        <f t="shared" si="275"/>
        <v>-0.1169885043908222</v>
      </c>
      <c r="Z1210" s="1">
        <f t="shared" si="276"/>
        <v>-5.8494252195411098</v>
      </c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</row>
    <row r="1211" spans="1:44" ht="15" customHeight="1" x14ac:dyDescent="0.3">
      <c r="A1211" s="2">
        <v>12.1</v>
      </c>
      <c r="B1211" s="1">
        <f t="shared" si="264"/>
        <v>7.9432823472428024E-13</v>
      </c>
      <c r="C1211" s="1">
        <f t="shared" si="265"/>
        <v>1.2715146659121108E-2</v>
      </c>
      <c r="D1211" s="1">
        <f t="shared" si="266"/>
        <v>-1.271512514106018E-2</v>
      </c>
      <c r="E1211" s="1">
        <f t="shared" si="267"/>
        <v>5.4525208568433634E-3</v>
      </c>
      <c r="F1211" s="1">
        <f t="shared" si="268"/>
        <v>0.99999852089379959</v>
      </c>
      <c r="G1211" s="1">
        <f t="shared" si="269"/>
        <v>1.8740431944211844</v>
      </c>
      <c r="H1211" s="1">
        <f t="shared" si="277"/>
        <v>18.740431944211842</v>
      </c>
      <c r="S1211" s="2">
        <v>12.1</v>
      </c>
      <c r="T1211" s="1">
        <f t="shared" si="270"/>
        <v>7.9432823472428024E-13</v>
      </c>
      <c r="U1211" s="1">
        <f t="shared" si="271"/>
        <v>1.2715146659121108E-2</v>
      </c>
      <c r="V1211" s="1">
        <f t="shared" si="272"/>
        <v>0.11907267124742203</v>
      </c>
      <c r="W1211" s="1">
        <f t="shared" si="273"/>
        <v>-6.3575570824740135E-3</v>
      </c>
      <c r="X1211" s="1">
        <f t="shared" si="274"/>
        <v>3.0551076617248181E-7</v>
      </c>
      <c r="Y1211" s="1">
        <f t="shared" si="275"/>
        <v>-0.11955064138120627</v>
      </c>
      <c r="Z1211" s="1">
        <f t="shared" si="276"/>
        <v>-5.977532069060314</v>
      </c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</row>
    <row r="1212" spans="1:44" ht="15" customHeight="1" x14ac:dyDescent="0.3">
      <c r="A1212" s="2">
        <v>12.11</v>
      </c>
      <c r="B1212" s="1">
        <f t="shared" si="264"/>
        <v>7.7624711662869047E-13</v>
      </c>
      <c r="C1212" s="1">
        <f t="shared" si="265"/>
        <v>1.3011320472100673E-2</v>
      </c>
      <c r="D1212" s="1">
        <f t="shared" si="266"/>
        <v>-1.3011299515200171E-2</v>
      </c>
      <c r="E1212" s="1">
        <f t="shared" si="267"/>
        <v>5.5018832525333614E-3</v>
      </c>
      <c r="F1212" s="1">
        <f t="shared" si="268"/>
        <v>0.99999855456231856</v>
      </c>
      <c r="G1212" s="1">
        <f t="shared" si="269"/>
        <v>1.8974475610753878</v>
      </c>
      <c r="H1212" s="1">
        <f t="shared" si="277"/>
        <v>18.974475610753878</v>
      </c>
      <c r="S1212" s="2">
        <v>12.11</v>
      </c>
      <c r="T1212" s="1">
        <f t="shared" si="270"/>
        <v>7.7624711662869047E-13</v>
      </c>
      <c r="U1212" s="1">
        <f t="shared" si="271"/>
        <v>1.3011320472100673E-2</v>
      </c>
      <c r="V1212" s="1">
        <f t="shared" si="272"/>
        <v>0.11951693301005897</v>
      </c>
      <c r="W1212" s="1">
        <f t="shared" si="273"/>
        <v>-6.5056443366863208E-3</v>
      </c>
      <c r="X1212" s="1">
        <f t="shared" si="274"/>
        <v>2.9855649418272029E-7</v>
      </c>
      <c r="Y1212" s="1">
        <f t="shared" si="275"/>
        <v>-0.12216525006168942</v>
      </c>
      <c r="Z1212" s="1">
        <f t="shared" si="276"/>
        <v>-6.1082625030844717</v>
      </c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</row>
    <row r="1213" spans="1:44" ht="15" customHeight="1" x14ac:dyDescent="0.3">
      <c r="A1213" s="2">
        <v>12.12</v>
      </c>
      <c r="B1213" s="1">
        <f t="shared" si="264"/>
        <v>7.5857757502918275E-13</v>
      </c>
      <c r="C1213" s="1">
        <f t="shared" si="265"/>
        <v>1.3314393059419729E-2</v>
      </c>
      <c r="D1213" s="1">
        <f t="shared" si="266"/>
        <v>-1.3314372650906112E-2</v>
      </c>
      <c r="E1213" s="1">
        <f t="shared" si="267"/>
        <v>5.5523954418176848E-3</v>
      </c>
      <c r="F1213" s="1">
        <f t="shared" si="268"/>
        <v>0.99999858746445058</v>
      </c>
      <c r="G1213" s="1">
        <f t="shared" si="269"/>
        <v>1.9215626436401594</v>
      </c>
      <c r="H1213" s="1">
        <f t="shared" si="277"/>
        <v>19.215626436401593</v>
      </c>
      <c r="S1213" s="2">
        <v>12.12</v>
      </c>
      <c r="T1213" s="1">
        <f t="shared" si="270"/>
        <v>7.5857757502918275E-13</v>
      </c>
      <c r="U1213" s="1">
        <f t="shared" si="271"/>
        <v>1.3314393059419729E-2</v>
      </c>
      <c r="V1213" s="1">
        <f t="shared" si="272"/>
        <v>0.11997154291045976</v>
      </c>
      <c r="W1213" s="1">
        <f t="shared" si="273"/>
        <v>-6.6571809701532507E-3</v>
      </c>
      <c r="X1213" s="1">
        <f t="shared" si="274"/>
        <v>2.9176052065622866E-7</v>
      </c>
      <c r="Y1213" s="1">
        <f t="shared" si="275"/>
        <v>-0.12483324441166663</v>
      </c>
      <c r="Z1213" s="1">
        <f t="shared" si="276"/>
        <v>-6.241662220583331</v>
      </c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</row>
    <row r="1214" spans="1:44" ht="15" customHeight="1" x14ac:dyDescent="0.3">
      <c r="A1214" s="2">
        <v>12.13</v>
      </c>
      <c r="B1214" s="1">
        <f t="shared" si="264"/>
        <v>7.4131024130091393E-13</v>
      </c>
      <c r="C1214" s="1">
        <f t="shared" si="265"/>
        <v>1.3624525114175766E-2</v>
      </c>
      <c r="D1214" s="1">
        <f t="shared" si="266"/>
        <v>-1.3624505241566252E-2</v>
      </c>
      <c r="E1214" s="1">
        <f t="shared" si="267"/>
        <v>5.604084206927709E-3</v>
      </c>
      <c r="F1214" s="1">
        <f t="shared" si="268"/>
        <v>0.9999986196176408</v>
      </c>
      <c r="G1214" s="1">
        <f t="shared" si="269"/>
        <v>1.9464146246342129</v>
      </c>
      <c r="H1214" s="1">
        <f t="shared" si="277"/>
        <v>19.464146246342128</v>
      </c>
      <c r="S1214" s="2">
        <v>12.13</v>
      </c>
      <c r="T1214" s="1">
        <f t="shared" si="270"/>
        <v>7.4131024130091393E-13</v>
      </c>
      <c r="U1214" s="1">
        <f t="shared" si="271"/>
        <v>1.3624525114175766E-2</v>
      </c>
      <c r="V1214" s="1">
        <f t="shared" si="272"/>
        <v>0.12043674198881114</v>
      </c>
      <c r="W1214" s="1">
        <f t="shared" si="273"/>
        <v>-6.8122473296037154E-3</v>
      </c>
      <c r="X1214" s="1">
        <f t="shared" si="274"/>
        <v>2.8511924228426908E-7</v>
      </c>
      <c r="Y1214" s="1">
        <f t="shared" si="275"/>
        <v>-0.12755554723200091</v>
      </c>
      <c r="Z1214" s="1">
        <f t="shared" si="276"/>
        <v>-6.3777773616000459</v>
      </c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</row>
    <row r="1215" spans="1:44" ht="15" customHeight="1" x14ac:dyDescent="0.3">
      <c r="A1215" s="2">
        <v>12.14</v>
      </c>
      <c r="B1215" s="1">
        <f t="shared" si="264"/>
        <v>7.2443596007498653E-13</v>
      </c>
      <c r="C1215" s="1">
        <f t="shared" si="265"/>
        <v>1.3941881072489204E-2</v>
      </c>
      <c r="D1215" s="1">
        <f t="shared" si="266"/>
        <v>-1.3941861723585152E-2</v>
      </c>
      <c r="E1215" s="1">
        <f t="shared" si="267"/>
        <v>5.656976953930859E-3</v>
      </c>
      <c r="F1215" s="1">
        <f t="shared" si="268"/>
        <v>0.99999865103893704</v>
      </c>
      <c r="G1215" s="1">
        <f t="shared" si="269"/>
        <v>1.9720309086030556</v>
      </c>
      <c r="H1215" s="1">
        <f t="shared" si="277"/>
        <v>19.720309086030554</v>
      </c>
      <c r="S1215" s="2">
        <v>12.14</v>
      </c>
      <c r="T1215" s="1">
        <f t="shared" si="270"/>
        <v>7.2443596007498653E-13</v>
      </c>
      <c r="U1215" s="1">
        <f t="shared" si="271"/>
        <v>1.3941881072489204E-2</v>
      </c>
      <c r="V1215" s="1">
        <f t="shared" si="272"/>
        <v>0.12091277689982198</v>
      </c>
      <c r="W1215" s="1">
        <f t="shared" si="273"/>
        <v>-6.9709256332739951E-3</v>
      </c>
      <c r="X1215" s="1">
        <f t="shared" si="274"/>
        <v>2.7862913777923833E-7</v>
      </c>
      <c r="Y1215" s="1">
        <f t="shared" si="275"/>
        <v>-0.13033308989345874</v>
      </c>
      <c r="Z1215" s="1">
        <f t="shared" si="276"/>
        <v>-6.5166544946729372</v>
      </c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</row>
    <row r="1216" spans="1:44" ht="15" customHeight="1" x14ac:dyDescent="0.3">
      <c r="A1216" s="2">
        <v>12.15</v>
      </c>
      <c r="B1216" s="1">
        <f t="shared" si="264"/>
        <v>7.0794578438413455E-13</v>
      </c>
      <c r="C1216" s="1">
        <f t="shared" si="265"/>
        <v>1.4266629200689886E-2</v>
      </c>
      <c r="D1216" s="1">
        <f t="shared" si="266"/>
        <v>-1.4266610363570334E-2</v>
      </c>
      <c r="E1216" s="1">
        <f t="shared" si="267"/>
        <v>5.7111017272617227E-3</v>
      </c>
      <c r="F1216" s="1">
        <f t="shared" si="268"/>
        <v>0.99999868174499917</v>
      </c>
      <c r="G1216" s="1">
        <f t="shared" si="269"/>
        <v>1.9984401940063869</v>
      </c>
      <c r="H1216" s="1">
        <f t="shared" si="277"/>
        <v>19.984401940063869</v>
      </c>
      <c r="S1216" s="2">
        <v>12.15</v>
      </c>
      <c r="T1216" s="1">
        <f t="shared" si="270"/>
        <v>7.0794578438413455E-13</v>
      </c>
      <c r="U1216" s="1">
        <f t="shared" si="271"/>
        <v>1.4266629200689886E-2</v>
      </c>
      <c r="V1216" s="1">
        <f t="shared" si="272"/>
        <v>0.12139990004350323</v>
      </c>
      <c r="W1216" s="1">
        <f t="shared" si="273"/>
        <v>-7.1333000145010752E-3</v>
      </c>
      <c r="X1216" s="1">
        <f t="shared" si="274"/>
        <v>2.7228676600764091E-7</v>
      </c>
      <c r="Y1216" s="1">
        <f t="shared" si="275"/>
        <v>-0.13316681206563308</v>
      </c>
      <c r="Z1216" s="1">
        <f t="shared" si="276"/>
        <v>-6.6583406032816539</v>
      </c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</row>
    <row r="1217" spans="1:44" ht="15" customHeight="1" x14ac:dyDescent="0.3">
      <c r="A1217" s="2">
        <v>12.16</v>
      </c>
      <c r="B1217" s="1">
        <f t="shared" si="264"/>
        <v>6.9183097091893335E-13</v>
      </c>
      <c r="C1217" s="1">
        <f t="shared" si="265"/>
        <v>1.4598941684533934E-2</v>
      </c>
      <c r="D1217" s="1">
        <f t="shared" si="266"/>
        <v>-1.4598923347549272E-2</v>
      </c>
      <c r="E1217" s="1">
        <f t="shared" si="267"/>
        <v>5.7664872245915457E-3</v>
      </c>
      <c r="F1217" s="1">
        <f t="shared" si="268"/>
        <v>0.99999871175210786</v>
      </c>
      <c r="G1217" s="1">
        <f t="shared" si="269"/>
        <v>2.0256725502626551</v>
      </c>
      <c r="H1217" s="1">
        <f t="shared" si="277"/>
        <v>20.256725502626551</v>
      </c>
      <c r="S1217" s="2">
        <v>12.16</v>
      </c>
      <c r="T1217" s="1">
        <f t="shared" si="270"/>
        <v>6.9183097091893335E-13</v>
      </c>
      <c r="U1217" s="1">
        <f t="shared" si="271"/>
        <v>1.4598941684533934E-2</v>
      </c>
      <c r="V1217" s="1">
        <f t="shared" si="272"/>
        <v>0.12189836969899348</v>
      </c>
      <c r="W1217" s="1">
        <f t="shared" si="273"/>
        <v>-7.2994565663311575E-3</v>
      </c>
      <c r="X1217" s="1">
        <f t="shared" si="274"/>
        <v>2.6608876416557126E-7</v>
      </c>
      <c r="Y1217" s="1">
        <f t="shared" si="275"/>
        <v>-0.13605766142568906</v>
      </c>
      <c r="Z1217" s="1">
        <f t="shared" si="276"/>
        <v>-6.8028830712844535</v>
      </c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</row>
    <row r="1218" spans="1:44" ht="15" customHeight="1" x14ac:dyDescent="0.3">
      <c r="A1218" s="2">
        <v>12.17</v>
      </c>
      <c r="B1218" s="1">
        <f t="shared" si="264"/>
        <v>6.7608297539198111E-13</v>
      </c>
      <c r="C1218" s="1">
        <f t="shared" si="265"/>
        <v>1.4938994720498909E-2</v>
      </c>
      <c r="D1218" s="1">
        <f t="shared" si="266"/>
        <v>-1.4938976872264698E-2</v>
      </c>
      <c r="E1218" s="1">
        <f t="shared" si="267"/>
        <v>5.8231628120441158E-3</v>
      </c>
      <c r="F1218" s="1">
        <f t="shared" si="268"/>
        <v>0.99999874107617315</v>
      </c>
      <c r="G1218" s="1">
        <f t="shared" si="269"/>
        <v>2.0537595003881615</v>
      </c>
      <c r="H1218" s="1">
        <f t="shared" si="277"/>
        <v>20.537595003881613</v>
      </c>
      <c r="S1218" s="2">
        <v>12.17</v>
      </c>
      <c r="T1218" s="1">
        <f t="shared" si="270"/>
        <v>6.7608297539198111E-13</v>
      </c>
      <c r="U1218" s="1">
        <f t="shared" si="271"/>
        <v>1.4938994720498909E-2</v>
      </c>
      <c r="V1218" s="1">
        <f t="shared" si="272"/>
        <v>0.12240845016150199</v>
      </c>
      <c r="W1218" s="1">
        <f t="shared" si="273"/>
        <v>-7.4694833871673362E-3</v>
      </c>
      <c r="X1218" s="1">
        <f t="shared" si="274"/>
        <v>2.6003184599572191E-7</v>
      </c>
      <c r="Y1218" s="1">
        <f t="shared" si="275"/>
        <v>-0.13900659334627916</v>
      </c>
      <c r="Z1218" s="1">
        <f t="shared" si="276"/>
        <v>-6.9503296673139578</v>
      </c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</row>
    <row r="1219" spans="1:44" ht="15" customHeight="1" x14ac:dyDescent="0.3">
      <c r="A1219" s="2">
        <v>12.18</v>
      </c>
      <c r="B1219" s="1">
        <f t="shared" ref="B1219:B1282" si="278">10^(-A1219)</f>
        <v>6.606934480075954E-13</v>
      </c>
      <c r="C1219" s="1">
        <f t="shared" ref="C1219:C1282" si="279">Kw/B1219</f>
        <v>1.5286968609205715E-2</v>
      </c>
      <c r="D1219" s="1">
        <f t="shared" ref="D1219:D1282" si="280">((WASB_Ca*WASB_Va)-(WASB_Cb*H1219))/(WASB_Va+H1219)</f>
        <v>-1.5286951238596658E-2</v>
      </c>
      <c r="E1219" s="1">
        <f t="shared" ref="E1219:E1282" si="281">(WASB_Ca*H1219)/(WASB_Va+H1219)</f>
        <v>5.8811585397661095E-3</v>
      </c>
      <c r="F1219" s="1">
        <f t="shared" ref="F1219:F1282" si="282">WASB_Ka/(B1219+WASB_Ka)</f>
        <v>0.99999876973274271</v>
      </c>
      <c r="G1219" s="1">
        <f t="shared" ref="G1219:G1282" si="283">(F1219-((B1219-C1219)/WASB_Ca)) / (1 + ((B1219-C1219)/WASB_Cb))</f>
        <v>2.0827341097109691</v>
      </c>
      <c r="H1219" s="1">
        <f t="shared" si="277"/>
        <v>20.827341097109688</v>
      </c>
      <c r="S1219" s="2">
        <v>12.18</v>
      </c>
      <c r="T1219" s="1">
        <f t="shared" ref="T1219:T1282" si="284">10^-S1219</f>
        <v>6.606934480075954E-13</v>
      </c>
      <c r="U1219" s="1">
        <f t="shared" ref="U1219:U1282" si="285">Kw/T1219</f>
        <v>1.5286968609205715E-2</v>
      </c>
      <c r="V1219" s="1">
        <f t="shared" ref="V1219:V1282" si="286">((SAWB_Cb*SAWB_Vb)-(SAWB_Ca*Z1219))/(Z1219+SAWB_Vb)</f>
        <v>0.12293041188244194</v>
      </c>
      <c r="W1219" s="1">
        <f t="shared" ref="W1219:W1282" si="287">(SAWB_Cb*Z1219)/(Z1219+SAWB_Vb)</f>
        <v>-7.6434706274806467E-3</v>
      </c>
      <c r="X1219" s="1">
        <f t="shared" ref="X1219:X1282" si="288">T1219/(T1219+SAWB_Ka)</f>
        <v>2.5411280004497436E-7</v>
      </c>
      <c r="Y1219" s="1">
        <f t="shared" ref="Y1219:Y1282" si="289">(X1219+((T1219-U1219)/SAWB_Cb))/(1-((T1219-U1219)/SAWB_Ca))</f>
        <v>-0.14201457056196626</v>
      </c>
      <c r="Z1219" s="1">
        <f t="shared" ref="Z1219:Z1282" si="290">(Y1219*SAWB_Cb*SAWB_Vb)/SAWB_Ca</f>
        <v>-7.1007285280983128</v>
      </c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</row>
    <row r="1220" spans="1:44" ht="15" customHeight="1" x14ac:dyDescent="0.3">
      <c r="A1220" s="2">
        <v>12.19</v>
      </c>
      <c r="B1220" s="1">
        <f t="shared" si="278"/>
        <v>6.4565422903465492E-13</v>
      </c>
      <c r="C1220" s="1">
        <f t="shared" si="279"/>
        <v>1.5643047851016074E-2</v>
      </c>
      <c r="D1220" s="1">
        <f t="shared" si="280"/>
        <v>-1.5643030947160123E-2</v>
      </c>
      <c r="E1220" s="1">
        <f t="shared" si="281"/>
        <v>5.9405051578600206E-3</v>
      </c>
      <c r="F1220" s="1">
        <f t="shared" si="282"/>
        <v>0.99999879773701095</v>
      </c>
      <c r="G1220" s="1">
        <f t="shared" si="283"/>
        <v>2.1126310811874887</v>
      </c>
      <c r="H1220" s="1">
        <f t="shared" ref="H1220:H1283" si="291">G1220*(WASB_Va * WASB_Ca)/WASB_Cb</f>
        <v>21.126310811874884</v>
      </c>
      <c r="S1220" s="2">
        <v>12.19</v>
      </c>
      <c r="T1220" s="1">
        <f t="shared" si="284"/>
        <v>6.4565422903465492E-13</v>
      </c>
      <c r="U1220" s="1">
        <f t="shared" si="285"/>
        <v>1.5643047851016074E-2</v>
      </c>
      <c r="V1220" s="1">
        <f t="shared" si="286"/>
        <v>0.12346453161282661</v>
      </c>
      <c r="W1220" s="1">
        <f t="shared" si="287"/>
        <v>-7.8215105376088709E-3</v>
      </c>
      <c r="X1220" s="1">
        <f t="shared" si="288"/>
        <v>2.4832848796166019E-7</v>
      </c>
      <c r="Y1220" s="1">
        <f t="shared" si="289"/>
        <v>-0.14508256281348747</v>
      </c>
      <c r="Z1220" s="1">
        <f t="shared" si="290"/>
        <v>-7.2541281406743741</v>
      </c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</row>
    <row r="1221" spans="1:44" ht="15" customHeight="1" x14ac:dyDescent="0.3">
      <c r="A1221" s="2">
        <v>12.2</v>
      </c>
      <c r="B1221" s="1">
        <f t="shared" si="278"/>
        <v>6.3095734448019283E-13</v>
      </c>
      <c r="C1221" s="1">
        <f t="shared" si="279"/>
        <v>1.6007421243857255E-2</v>
      </c>
      <c r="D1221" s="1">
        <f t="shared" si="280"/>
        <v>-1.6007404796129835E-2</v>
      </c>
      <c r="E1221" s="1">
        <f t="shared" si="281"/>
        <v>6.0012341326883059E-3</v>
      </c>
      <c r="F1221" s="1">
        <f t="shared" si="282"/>
        <v>0.99999882510382554</v>
      </c>
      <c r="G1221" s="1">
        <f t="shared" si="283"/>
        <v>2.1434868579028441</v>
      </c>
      <c r="H1221" s="1">
        <f t="shared" si="291"/>
        <v>21.434868579028439</v>
      </c>
      <c r="S1221" s="2">
        <v>12.2</v>
      </c>
      <c r="T1221" s="1">
        <f t="shared" si="284"/>
        <v>6.3095734448019283E-13</v>
      </c>
      <c r="U1221" s="1">
        <f t="shared" si="285"/>
        <v>1.6007421243857255E-2</v>
      </c>
      <c r="V1221" s="1">
        <f t="shared" si="286"/>
        <v>0.12401109255000697</v>
      </c>
      <c r="W1221" s="1">
        <f t="shared" si="287"/>
        <v>-8.003697516668986E-3</v>
      </c>
      <c r="X1221" s="1">
        <f t="shared" si="288"/>
        <v>2.4267584283157211E-7</v>
      </c>
      <c r="Y1221" s="1">
        <f t="shared" si="289"/>
        <v>-0.14821154646920709</v>
      </c>
      <c r="Z1221" s="1">
        <f t="shared" si="290"/>
        <v>-7.4105773234603545</v>
      </c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</row>
    <row r="1222" spans="1:44" ht="15" customHeight="1" x14ac:dyDescent="0.3">
      <c r="A1222" s="2">
        <v>12.21</v>
      </c>
      <c r="B1222" s="1">
        <f t="shared" si="278"/>
        <v>6.1659500186147956E-13</v>
      </c>
      <c r="C1222" s="1">
        <f t="shared" si="279"/>
        <v>1.6380281983325262E-2</v>
      </c>
      <c r="D1222" s="1">
        <f t="shared" si="280"/>
        <v>-1.6380265981343626E-2</v>
      </c>
      <c r="E1222" s="1">
        <f t="shared" si="281"/>
        <v>6.0633776635572708E-3</v>
      </c>
      <c r="F1222" s="1">
        <f t="shared" si="282"/>
        <v>0.99999885184769666</v>
      </c>
      <c r="G1222" s="1">
        <f t="shared" si="283"/>
        <v>2.1753397333951598</v>
      </c>
      <c r="H1222" s="1">
        <f t="shared" si="291"/>
        <v>21.753397333951597</v>
      </c>
      <c r="S1222" s="2">
        <v>12.21</v>
      </c>
      <c r="T1222" s="1">
        <f t="shared" si="284"/>
        <v>6.1659500186147956E-13</v>
      </c>
      <c r="U1222" s="1">
        <f t="shared" si="285"/>
        <v>1.6380281983325262E-2</v>
      </c>
      <c r="V1222" s="1">
        <f t="shared" si="286"/>
        <v>0.1245703844878266</v>
      </c>
      <c r="W1222" s="1">
        <f t="shared" si="287"/>
        <v>-8.1901281626088618E-3</v>
      </c>
      <c r="X1222" s="1">
        <f t="shared" si="288"/>
        <v>2.3715186755185512E-7</v>
      </c>
      <c r="Y1222" s="1">
        <f t="shared" si="289"/>
        <v>-0.15140250412309644</v>
      </c>
      <c r="Z1222" s="1">
        <f t="shared" si="290"/>
        <v>-7.570125206154823</v>
      </c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</row>
    <row r="1223" spans="1:44" ht="15" customHeight="1" x14ac:dyDescent="0.3">
      <c r="A1223" s="2">
        <v>12.22</v>
      </c>
      <c r="B1223" s="1">
        <f t="shared" si="278"/>
        <v>6.025595860743553E-13</v>
      </c>
      <c r="C1223" s="1">
        <f t="shared" si="279"/>
        <v>1.676182776511943E-2</v>
      </c>
      <c r="D1223" s="1">
        <f t="shared" si="280"/>
        <v>-1.6761812198737201E-2</v>
      </c>
      <c r="E1223" s="1">
        <f t="shared" si="281"/>
        <v>6.1269686997895327E-3</v>
      </c>
      <c r="F1223" s="1">
        <f t="shared" si="282"/>
        <v>0.99999887798280473</v>
      </c>
      <c r="G1223" s="1">
        <f t="shared" si="283"/>
        <v>2.2082299705099713</v>
      </c>
      <c r="H1223" s="1">
        <f t="shared" si="291"/>
        <v>22.082299705099711</v>
      </c>
      <c r="S1223" s="2">
        <v>12.22</v>
      </c>
      <c r="T1223" s="1">
        <f t="shared" si="284"/>
        <v>6.025595860743553E-13</v>
      </c>
      <c r="U1223" s="1">
        <f t="shared" si="285"/>
        <v>1.676182776511943E-2</v>
      </c>
      <c r="V1223" s="1">
        <f t="shared" si="286"/>
        <v>0.12514270397027383</v>
      </c>
      <c r="W1223" s="1">
        <f t="shared" si="287"/>
        <v>-8.3809013234246062E-3</v>
      </c>
      <c r="X1223" s="1">
        <f t="shared" si="288"/>
        <v>2.3175363324191612E-7</v>
      </c>
      <c r="Y1223" s="1">
        <f t="shared" si="289"/>
        <v>-0.15465642416858594</v>
      </c>
      <c r="Z1223" s="1">
        <f t="shared" si="290"/>
        <v>-7.7328212084292964</v>
      </c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</row>
    <row r="1224" spans="1:44" ht="15" customHeight="1" x14ac:dyDescent="0.3">
      <c r="A1224" s="2">
        <v>12.23</v>
      </c>
      <c r="B1224" s="1">
        <f t="shared" si="278"/>
        <v>5.8884365535558666E-13</v>
      </c>
      <c r="C1224" s="1">
        <f t="shared" si="279"/>
        <v>1.7152260889863685E-2</v>
      </c>
      <c r="D1224" s="1">
        <f t="shared" si="280"/>
        <v>-1.7152245749165421E-2</v>
      </c>
      <c r="E1224" s="1">
        <f t="shared" si="281"/>
        <v>6.1920409581942368E-3</v>
      </c>
      <c r="F1224" s="1">
        <f t="shared" si="282"/>
        <v>0.99999890352300624</v>
      </c>
      <c r="G1224" s="1">
        <f t="shared" si="283"/>
        <v>2.2421999295648476</v>
      </c>
      <c r="H1224" s="1">
        <f t="shared" si="291"/>
        <v>22.421999295648476</v>
      </c>
      <c r="S1224" s="2">
        <v>12.23</v>
      </c>
      <c r="T1224" s="1">
        <f t="shared" si="284"/>
        <v>5.8884365535558666E-13</v>
      </c>
      <c r="U1224" s="1">
        <f t="shared" si="285"/>
        <v>1.7152260889863685E-2</v>
      </c>
      <c r="V1224" s="1">
        <f t="shared" si="286"/>
        <v>0.12572835444871391</v>
      </c>
      <c r="W1224" s="1">
        <f t="shared" si="287"/>
        <v>-8.5761181495713022E-3</v>
      </c>
      <c r="X1224" s="1">
        <f t="shared" si="288"/>
        <v>2.2647827769049604E-7</v>
      </c>
      <c r="Y1224" s="1">
        <f t="shared" si="289"/>
        <v>-0.15797430034765272</v>
      </c>
      <c r="Z1224" s="1">
        <f t="shared" si="290"/>
        <v>-7.8987150173826359</v>
      </c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</row>
    <row r="1225" spans="1:44" ht="15" customHeight="1" x14ac:dyDescent="0.3">
      <c r="A1225" s="2">
        <v>12.24</v>
      </c>
      <c r="B1225" s="1">
        <f t="shared" si="278"/>
        <v>5.7543993733715476E-13</v>
      </c>
      <c r="C1225" s="1">
        <f t="shared" si="279"/>
        <v>1.7551788370368759E-2</v>
      </c>
      <c r="D1225" s="1">
        <f t="shared" si="280"/>
        <v>-1.7551773645664723E-2</v>
      </c>
      <c r="E1225" s="1">
        <f t="shared" si="281"/>
        <v>6.25862894094412E-3</v>
      </c>
      <c r="F1225" s="1">
        <f t="shared" si="282"/>
        <v>0.99999892848184291</v>
      </c>
      <c r="G1225" s="1">
        <f t="shared" si="283"/>
        <v>2.2772942066867268</v>
      </c>
      <c r="H1225" s="1">
        <f t="shared" si="291"/>
        <v>22.772942066867266</v>
      </c>
      <c r="S1225" s="2">
        <v>12.24</v>
      </c>
      <c r="T1225" s="1">
        <f t="shared" si="284"/>
        <v>5.7543993733715476E-13</v>
      </c>
      <c r="U1225" s="1">
        <f t="shared" si="285"/>
        <v>1.7551788370368759E-2</v>
      </c>
      <c r="V1225" s="1">
        <f t="shared" si="286"/>
        <v>0.12632764644278249</v>
      </c>
      <c r="W1225" s="1">
        <f t="shared" si="287"/>
        <v>-8.7758821475941665E-3</v>
      </c>
      <c r="X1225" s="1">
        <f t="shared" si="288"/>
        <v>2.2132300383809973E-7</v>
      </c>
      <c r="Y1225" s="1">
        <f t="shared" si="289"/>
        <v>-0.16135713127449489</v>
      </c>
      <c r="Z1225" s="1">
        <f t="shared" si="290"/>
        <v>-8.0678565637247424</v>
      </c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</row>
    <row r="1226" spans="1:44" ht="15" customHeight="1" x14ac:dyDescent="0.3">
      <c r="A1226" s="2">
        <v>12.25</v>
      </c>
      <c r="B1226" s="1">
        <f t="shared" si="278"/>
        <v>5.6234132519034702E-13</v>
      </c>
      <c r="C1226" s="1">
        <f t="shared" si="279"/>
        <v>1.7960622041393183E-2</v>
      </c>
      <c r="D1226" s="1">
        <f t="shared" si="280"/>
        <v>-1.7960607723214214E-2</v>
      </c>
      <c r="E1226" s="1">
        <f t="shared" si="281"/>
        <v>6.3267679538690355E-3</v>
      </c>
      <c r="F1226" s="1">
        <f t="shared" si="282"/>
        <v>0.99999895287254847</v>
      </c>
      <c r="G1226" s="1">
        <f t="shared" si="283"/>
        <v>2.3135597832771677</v>
      </c>
      <c r="H1226" s="1">
        <f t="shared" si="291"/>
        <v>23.135597832771676</v>
      </c>
      <c r="S1226" s="2">
        <v>12.25</v>
      </c>
      <c r="T1226" s="1">
        <f t="shared" si="284"/>
        <v>5.6234132519034702E-13</v>
      </c>
      <c r="U1226" s="1">
        <f t="shared" si="285"/>
        <v>1.7960622041393183E-2</v>
      </c>
      <c r="V1226" s="1">
        <f t="shared" si="286"/>
        <v>0.12694089770502745</v>
      </c>
      <c r="W1226" s="1">
        <f t="shared" si="287"/>
        <v>-8.9802992350091482E-3</v>
      </c>
      <c r="X1226" s="1">
        <f t="shared" si="288"/>
        <v>2.1628507829396517E-7</v>
      </c>
      <c r="Y1226" s="1">
        <f t="shared" si="289"/>
        <v>-0.16480591993317426</v>
      </c>
      <c r="Z1226" s="1">
        <f t="shared" si="290"/>
        <v>-8.2402959966587144</v>
      </c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</row>
    <row r="1227" spans="1:44" ht="15" customHeight="1" x14ac:dyDescent="0.3">
      <c r="A1227" s="2">
        <v>12.26</v>
      </c>
      <c r="B1227" s="1">
        <f t="shared" si="278"/>
        <v>5.4954087385762248E-13</v>
      </c>
      <c r="C1227" s="1">
        <f t="shared" si="279"/>
        <v>1.8378978671960901E-2</v>
      </c>
      <c r="D1227" s="1">
        <f t="shared" si="280"/>
        <v>-1.8378964751053373E-2</v>
      </c>
      <c r="E1227" s="1">
        <f t="shared" si="281"/>
        <v>6.3964941251755626E-3</v>
      </c>
      <c r="F1227" s="1">
        <f t="shared" si="282"/>
        <v>0.99999897670805493</v>
      </c>
      <c r="G1227" s="1">
        <f t="shared" si="283"/>
        <v>2.3510461876645139</v>
      </c>
      <c r="H1227" s="1">
        <f t="shared" si="291"/>
        <v>23.510461876645138</v>
      </c>
      <c r="S1227" s="2">
        <v>12.26</v>
      </c>
      <c r="T1227" s="1">
        <f t="shared" si="284"/>
        <v>5.4954087385762248E-13</v>
      </c>
      <c r="U1227" s="1">
        <f t="shared" si="285"/>
        <v>1.8378978671960901E-2</v>
      </c>
      <c r="V1227" s="1">
        <f t="shared" si="286"/>
        <v>0.12756843338938531</v>
      </c>
      <c r="W1227" s="1">
        <f t="shared" si="287"/>
        <v>-9.189477796461766E-3</v>
      </c>
      <c r="X1227" s="1">
        <f t="shared" si="288"/>
        <v>2.1136182988679143E-7</v>
      </c>
      <c r="Y1227" s="1">
        <f t="shared" si="289"/>
        <v>-0.16832167314861077</v>
      </c>
      <c r="Z1227" s="1">
        <f t="shared" si="290"/>
        <v>-8.4160836574305389</v>
      </c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</row>
    <row r="1228" spans="1:44" ht="15" customHeight="1" x14ac:dyDescent="0.3">
      <c r="A1228" s="2">
        <v>12.27</v>
      </c>
      <c r="B1228" s="1">
        <f t="shared" si="278"/>
        <v>5.3703179637025273E-13</v>
      </c>
      <c r="C1228" s="1">
        <f t="shared" si="279"/>
        <v>1.8807080080294959E-2</v>
      </c>
      <c r="D1228" s="1">
        <f t="shared" si="280"/>
        <v>-1.8807066547615887E-2</v>
      </c>
      <c r="E1228" s="1">
        <f t="shared" si="281"/>
        <v>6.4678444246026477E-3</v>
      </c>
      <c r="F1228" s="1">
        <f t="shared" si="282"/>
        <v>0.99999900000099995</v>
      </c>
      <c r="G1228" s="1">
        <f t="shared" si="283"/>
        <v>2.3898056701187196</v>
      </c>
      <c r="H1228" s="1">
        <f t="shared" si="291"/>
        <v>23.898056701187194</v>
      </c>
      <c r="S1228" s="2">
        <v>12.27</v>
      </c>
      <c r="T1228" s="1">
        <f t="shared" si="284"/>
        <v>5.3703179637025273E-13</v>
      </c>
      <c r="U1228" s="1">
        <f t="shared" si="285"/>
        <v>1.8807080080294959E-2</v>
      </c>
      <c r="V1228" s="1">
        <f t="shared" si="286"/>
        <v>0.12821058622358222</v>
      </c>
      <c r="W1228" s="1">
        <f t="shared" si="287"/>
        <v>-9.4035287411940744E-3</v>
      </c>
      <c r="X1228" s="1">
        <f t="shared" si="288"/>
        <v>2.0655064824845655E-7</v>
      </c>
      <c r="Y1228" s="1">
        <f t="shared" si="289"/>
        <v>-0.17190540103032947</v>
      </c>
      <c r="Z1228" s="1">
        <f t="shared" si="290"/>
        <v>-8.5952700515164739</v>
      </c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</row>
    <row r="1229" spans="1:44" ht="15" customHeight="1" x14ac:dyDescent="0.3">
      <c r="A1229" s="2">
        <v>12.28</v>
      </c>
      <c r="B1229" s="1">
        <f t="shared" si="278"/>
        <v>5.2480746024977259E-13</v>
      </c>
      <c r="C1229" s="1">
        <f t="shared" si="279"/>
        <v>1.9245153251428795E-2</v>
      </c>
      <c r="D1229" s="1">
        <f t="shared" si="280"/>
        <v>-1.9245140098141031E-2</v>
      </c>
      <c r="E1229" s="1">
        <f t="shared" si="281"/>
        <v>6.5408566830235043E-3</v>
      </c>
      <c r="F1229" s="1">
        <f t="shared" si="282"/>
        <v>0.99999902276373409</v>
      </c>
      <c r="G1229" s="1">
        <f t="shared" si="283"/>
        <v>2.429893392536095</v>
      </c>
      <c r="H1229" s="1">
        <f t="shared" si="291"/>
        <v>24.298933925360949</v>
      </c>
      <c r="S1229" s="2">
        <v>12.28</v>
      </c>
      <c r="T1229" s="1">
        <f t="shared" si="284"/>
        <v>5.2480746024977259E-13</v>
      </c>
      <c r="U1229" s="1">
        <f t="shared" si="285"/>
        <v>1.9245153251428795E-2</v>
      </c>
      <c r="V1229" s="1">
        <f t="shared" si="286"/>
        <v>0.12886769668555104</v>
      </c>
      <c r="W1229" s="1">
        <f t="shared" si="287"/>
        <v>-9.6225655618503419E-3</v>
      </c>
      <c r="X1229" s="1">
        <f t="shared" si="288"/>
        <v>2.0184898242996953E-7</v>
      </c>
      <c r="Y1229" s="1">
        <f t="shared" si="289"/>
        <v>-0.17555811638838495</v>
      </c>
      <c r="Z1229" s="1">
        <f t="shared" si="290"/>
        <v>-8.7779058194192476</v>
      </c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</row>
    <row r="1230" spans="1:44" ht="15" customHeight="1" x14ac:dyDescent="0.3">
      <c r="A1230" s="2">
        <v>12.29</v>
      </c>
      <c r="B1230" s="1">
        <f t="shared" si="278"/>
        <v>5.1286138399136499E-13</v>
      </c>
      <c r="C1230" s="1">
        <f t="shared" si="279"/>
        <v>1.9693430457556251E-2</v>
      </c>
      <c r="D1230" s="1">
        <f t="shared" si="280"/>
        <v>-1.9693417675023805E-2</v>
      </c>
      <c r="E1230" s="1">
        <f t="shared" si="281"/>
        <v>6.6155696125039676E-3</v>
      </c>
      <c r="F1230" s="1">
        <f t="shared" si="282"/>
        <v>0.99999904500832604</v>
      </c>
      <c r="G1230" s="1">
        <f t="shared" si="283"/>
        <v>2.4713676342492499</v>
      </c>
      <c r="H1230" s="1">
        <f t="shared" si="291"/>
        <v>24.713676342492498</v>
      </c>
      <c r="S1230" s="2">
        <v>12.29</v>
      </c>
      <c r="T1230" s="1">
        <f t="shared" si="284"/>
        <v>5.1286138399136499E-13</v>
      </c>
      <c r="U1230" s="1">
        <f t="shared" si="285"/>
        <v>1.9693430457556251E-2</v>
      </c>
      <c r="V1230" s="1">
        <f t="shared" si="286"/>
        <v>0.12954011318395639</v>
      </c>
      <c r="W1230" s="1">
        <f t="shared" si="287"/>
        <v>-9.8467043946521282E-3</v>
      </c>
      <c r="X1230" s="1">
        <f t="shared" si="288"/>
        <v>1.9725433954893515E-7</v>
      </c>
      <c r="Y1230" s="1">
        <f t="shared" si="289"/>
        <v>-0.17928083412089177</v>
      </c>
      <c r="Z1230" s="1">
        <f t="shared" si="290"/>
        <v>-8.9640417060445863</v>
      </c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</row>
    <row r="1231" spans="1:44" ht="15" customHeight="1" x14ac:dyDescent="0.3">
      <c r="A1231" s="2">
        <v>12.3</v>
      </c>
      <c r="B1231" s="1">
        <f t="shared" si="278"/>
        <v>5.0118723362727066E-13</v>
      </c>
      <c r="C1231" s="1">
        <f t="shared" si="279"/>
        <v>2.0152149381185747E-2</v>
      </c>
      <c r="D1231" s="1">
        <f t="shared" si="280"/>
        <v>-2.0152136960969222E-2</v>
      </c>
      <c r="E1231" s="1">
        <f t="shared" si="281"/>
        <v>6.6920228268282029E-3</v>
      </c>
      <c r="F1231" s="1">
        <f t="shared" si="282"/>
        <v>0.99999906674657024</v>
      </c>
      <c r="G1231" s="1">
        <f t="shared" si="283"/>
        <v>2.5142900155851562</v>
      </c>
      <c r="H1231" s="1">
        <f t="shared" si="291"/>
        <v>25.14290015585156</v>
      </c>
      <c r="S1231" s="2">
        <v>12.3</v>
      </c>
      <c r="T1231" s="1">
        <f t="shared" si="284"/>
        <v>5.0118723362727066E-13</v>
      </c>
      <c r="U1231" s="1">
        <f t="shared" si="285"/>
        <v>2.0152149381185747E-2</v>
      </c>
      <c r="V1231" s="1">
        <f t="shared" si="286"/>
        <v>0.13022819224292642</v>
      </c>
      <c r="W1231" s="1">
        <f t="shared" si="287"/>
        <v>-1.007606408097547E-2</v>
      </c>
      <c r="X1231" s="1">
        <f t="shared" si="288"/>
        <v>1.9276428346779717E-7</v>
      </c>
      <c r="Y1231" s="1">
        <f t="shared" si="289"/>
        <v>-0.18307457057263957</v>
      </c>
      <c r="Z1231" s="1">
        <f t="shared" si="290"/>
        <v>-9.1537285286319783</v>
      </c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</row>
    <row r="1232" spans="1:44" ht="15" customHeight="1" x14ac:dyDescent="0.3">
      <c r="A1232" s="2">
        <v>12.31</v>
      </c>
      <c r="B1232" s="1">
        <f t="shared" si="278"/>
        <v>4.8977881936844462E-13</v>
      </c>
      <c r="C1232" s="1">
        <f t="shared" si="279"/>
        <v>2.062155324116231E-2</v>
      </c>
      <c r="D1232" s="1">
        <f t="shared" si="280"/>
        <v>-2.0621541175014392E-2</v>
      </c>
      <c r="E1232" s="1">
        <f t="shared" si="281"/>
        <v>6.770256862502399E-3</v>
      </c>
      <c r="F1232" s="1">
        <f t="shared" si="282"/>
        <v>0.99999908798999249</v>
      </c>
      <c r="G1232" s="1">
        <f t="shared" si="283"/>
        <v>2.5587257409832782</v>
      </c>
      <c r="H1232" s="1">
        <f t="shared" si="291"/>
        <v>25.58725740983278</v>
      </c>
      <c r="S1232" s="2">
        <v>12.31</v>
      </c>
      <c r="T1232" s="1">
        <f t="shared" si="284"/>
        <v>4.8977881936844462E-13</v>
      </c>
      <c r="U1232" s="1">
        <f t="shared" si="285"/>
        <v>2.062155324116231E-2</v>
      </c>
      <c r="V1232" s="1">
        <f t="shared" si="286"/>
        <v>0.13093229869108572</v>
      </c>
      <c r="W1232" s="1">
        <f t="shared" si="287"/>
        <v>-1.0310766230361904E-2</v>
      </c>
      <c r="X1232" s="1">
        <f t="shared" si="288"/>
        <v>1.8837643350217592E-7</v>
      </c>
      <c r="Y1232" s="1">
        <f t="shared" si="289"/>
        <v>-0.18694034286426656</v>
      </c>
      <c r="Z1232" s="1">
        <f t="shared" si="290"/>
        <v>-9.3470171432133267</v>
      </c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</row>
    <row r="1233" spans="1:44" ht="15" customHeight="1" x14ac:dyDescent="0.3">
      <c r="A1233" s="2">
        <v>12.32</v>
      </c>
      <c r="B1233" s="1">
        <f t="shared" si="278"/>
        <v>4.7863009232263685E-13</v>
      </c>
      <c r="C1233" s="1">
        <f t="shared" si="279"/>
        <v>2.1101890921625864E-2</v>
      </c>
      <c r="D1233" s="1">
        <f t="shared" si="280"/>
        <v>-2.1101879201486977E-2</v>
      </c>
      <c r="E1233" s="1">
        <f t="shared" si="281"/>
        <v>6.8503132002478281E-3</v>
      </c>
      <c r="F1233" s="1">
        <f t="shared" si="282"/>
        <v>0.99999910874985631</v>
      </c>
      <c r="G1233" s="1">
        <f t="shared" si="283"/>
        <v>2.6047438637005924</v>
      </c>
      <c r="H1233" s="1">
        <f t="shared" si="291"/>
        <v>26.047438637005921</v>
      </c>
      <c r="S1233" s="2">
        <v>12.32</v>
      </c>
      <c r="T1233" s="1">
        <f t="shared" si="284"/>
        <v>4.7863009232263685E-13</v>
      </c>
      <c r="U1233" s="1">
        <f t="shared" si="285"/>
        <v>2.1101890921625864E-2</v>
      </c>
      <c r="V1233" s="1">
        <f t="shared" si="286"/>
        <v>0.13165280585499317</v>
      </c>
      <c r="W1233" s="1">
        <f t="shared" si="287"/>
        <v>-1.0550935284997726E-2</v>
      </c>
      <c r="X1233" s="1">
        <f t="shared" si="288"/>
        <v>1.8408846315859949E-7</v>
      </c>
      <c r="Y1233" s="1">
        <f t="shared" si="289"/>
        <v>-0.19087916819152478</v>
      </c>
      <c r="Z1233" s="1">
        <f t="shared" si="290"/>
        <v>-9.5439584095762378</v>
      </c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</row>
    <row r="1234" spans="1:44" ht="15" customHeight="1" x14ac:dyDescent="0.3">
      <c r="A1234" s="2">
        <v>12.33</v>
      </c>
      <c r="B1234" s="1">
        <f t="shared" si="278"/>
        <v>4.6773514128719676E-13</v>
      </c>
      <c r="C1234" s="1">
        <f t="shared" si="279"/>
        <v>2.1593417103972608E-2</v>
      </c>
      <c r="D1234" s="1">
        <f t="shared" si="280"/>
        <v>-2.1593405721966649E-2</v>
      </c>
      <c r="E1234" s="1">
        <f t="shared" si="281"/>
        <v>6.932234286994441E-3</v>
      </c>
      <c r="F1234" s="1">
        <f t="shared" si="282"/>
        <v>0.9999991290371687</v>
      </c>
      <c r="G1234" s="1">
        <f t="shared" si="283"/>
        <v>2.6524175743735623</v>
      </c>
      <c r="H1234" s="1">
        <f t="shared" si="291"/>
        <v>26.524175743735622</v>
      </c>
      <c r="S1234" s="2">
        <v>12.33</v>
      </c>
      <c r="T1234" s="1">
        <f t="shared" si="284"/>
        <v>4.6773514128719676E-13</v>
      </c>
      <c r="U1234" s="1">
        <f t="shared" si="285"/>
        <v>2.1593417103972608E-2</v>
      </c>
      <c r="V1234" s="1">
        <f t="shared" si="286"/>
        <v>0.13239009575708419</v>
      </c>
      <c r="W1234" s="1">
        <f t="shared" si="287"/>
        <v>-1.0796698585694721E-2</v>
      </c>
      <c r="X1234" s="1">
        <f t="shared" si="288"/>
        <v>1.7989809890097462E-7</v>
      </c>
      <c r="Y1234" s="1">
        <f t="shared" si="289"/>
        <v>-0.19489206309417439</v>
      </c>
      <c r="Z1234" s="1">
        <f t="shared" si="290"/>
        <v>-9.7446031547087202</v>
      </c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</row>
    <row r="1235" spans="1:44" ht="15" customHeight="1" x14ac:dyDescent="0.3">
      <c r="A1235" s="2">
        <v>12.34</v>
      </c>
      <c r="B1235" s="1">
        <f t="shared" si="278"/>
        <v>4.5708818961487372E-13</v>
      </c>
      <c r="C1235" s="1">
        <f t="shared" si="279"/>
        <v>2.2096392401890541E-2</v>
      </c>
      <c r="D1235" s="1">
        <f t="shared" si="280"/>
        <v>-2.2096381350320667E-2</v>
      </c>
      <c r="E1235" s="1">
        <f t="shared" si="281"/>
        <v>7.0160635583867781E-3</v>
      </c>
      <c r="F1235" s="1">
        <f t="shared" si="282"/>
        <v>0.99999914886268615</v>
      </c>
      <c r="G1235" s="1">
        <f t="shared" si="283"/>
        <v>2.7018245159844021</v>
      </c>
      <c r="H1235" s="1">
        <f t="shared" si="291"/>
        <v>27.018245159844021</v>
      </c>
      <c r="S1235" s="2">
        <v>12.34</v>
      </c>
      <c r="T1235" s="1">
        <f t="shared" si="284"/>
        <v>4.5708818961487372E-13</v>
      </c>
      <c r="U1235" s="1">
        <f t="shared" si="285"/>
        <v>2.2096392401890541E-2</v>
      </c>
      <c r="V1235" s="1">
        <f t="shared" si="286"/>
        <v>0.13314455931822389</v>
      </c>
      <c r="W1235" s="1">
        <f t="shared" si="287"/>
        <v>-1.1048186439407961E-2</v>
      </c>
      <c r="X1235" s="1">
        <f t="shared" si="288"/>
        <v>1.7580311894513245E-7</v>
      </c>
      <c r="Y1235" s="1">
        <f t="shared" si="289"/>
        <v>-0.19898004269410133</v>
      </c>
      <c r="Z1235" s="1">
        <f t="shared" si="290"/>
        <v>-9.9490021347050668</v>
      </c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</row>
    <row r="1236" spans="1:44" ht="15" customHeight="1" x14ac:dyDescent="0.3">
      <c r="A1236" s="2">
        <v>12.35</v>
      </c>
      <c r="B1236" s="1">
        <f t="shared" si="278"/>
        <v>4.4668359215096191E-13</v>
      </c>
      <c r="C1236" s="1">
        <f t="shared" si="279"/>
        <v>2.2611083499540288E-2</v>
      </c>
      <c r="D1236" s="1">
        <f t="shared" si="280"/>
        <v>-2.2611072770884866E-2</v>
      </c>
      <c r="E1236" s="1">
        <f t="shared" si="281"/>
        <v>7.1018454618141432E-3</v>
      </c>
      <c r="F1236" s="1">
        <f t="shared" si="282"/>
        <v>0.9999991682369207</v>
      </c>
      <c r="G1236" s="1">
        <f t="shared" si="283"/>
        <v>2.7530471280944311</v>
      </c>
      <c r="H1236" s="1">
        <f t="shared" si="291"/>
        <v>27.530471280944308</v>
      </c>
      <c r="S1236" s="2">
        <v>12.35</v>
      </c>
      <c r="T1236" s="1">
        <f t="shared" si="284"/>
        <v>4.4668359215096191E-13</v>
      </c>
      <c r="U1236" s="1">
        <f t="shared" si="285"/>
        <v>2.2611083499540288E-2</v>
      </c>
      <c r="V1236" s="1">
        <f t="shared" si="286"/>
        <v>0.13391659656497901</v>
      </c>
      <c r="W1236" s="1">
        <f t="shared" si="287"/>
        <v>-1.1305532188326337E-2</v>
      </c>
      <c r="X1236" s="1">
        <f t="shared" si="288"/>
        <v>1.7180135208081417E-7</v>
      </c>
      <c r="Y1236" s="1">
        <f t="shared" si="289"/>
        <v>-0.20314411990228201</v>
      </c>
      <c r="Z1236" s="1">
        <f t="shared" si="290"/>
        <v>-10.157205995114099</v>
      </c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</row>
    <row r="1237" spans="1:44" ht="15" customHeight="1" x14ac:dyDescent="0.3">
      <c r="A1237" s="2">
        <v>12.36</v>
      </c>
      <c r="B1237" s="1">
        <f t="shared" si="278"/>
        <v>4.3651583224016479E-13</v>
      </c>
      <c r="C1237" s="1">
        <f t="shared" si="279"/>
        <v>2.3137763292954569E-2</v>
      </c>
      <c r="D1237" s="1">
        <f t="shared" si="280"/>
        <v>-2.3137752879863183E-2</v>
      </c>
      <c r="E1237" s="1">
        <f t="shared" si="281"/>
        <v>7.1896254799771976E-3</v>
      </c>
      <c r="F1237" s="1">
        <f t="shared" si="282"/>
        <v>0.99999918717014447</v>
      </c>
      <c r="G1237" s="1">
        <f t="shared" si="283"/>
        <v>2.8061730235676201</v>
      </c>
      <c r="H1237" s="1">
        <f t="shared" si="291"/>
        <v>28.061730235676201</v>
      </c>
      <c r="S1237" s="2">
        <v>12.36</v>
      </c>
      <c r="T1237" s="1">
        <f t="shared" si="284"/>
        <v>4.3651583224016479E-13</v>
      </c>
      <c r="U1237" s="1">
        <f t="shared" si="285"/>
        <v>2.3137763292954569E-2</v>
      </c>
      <c r="V1237" s="1">
        <f t="shared" si="286"/>
        <v>0.13470661684171689</v>
      </c>
      <c r="W1237" s="1">
        <f t="shared" si="287"/>
        <v>-1.1568872280572304E-2</v>
      </c>
      <c r="X1237" s="1">
        <f t="shared" si="288"/>
        <v>1.6789067652047167E-7</v>
      </c>
      <c r="Y1237" s="1">
        <f t="shared" si="289"/>
        <v>-0.20738530459426024</v>
      </c>
      <c r="Z1237" s="1">
        <f t="shared" si="290"/>
        <v>-10.369265229713013</v>
      </c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</row>
    <row r="1238" spans="1:44" ht="15" customHeight="1" x14ac:dyDescent="0.3">
      <c r="A1238" s="2">
        <v>12.37</v>
      </c>
      <c r="B1238" s="1">
        <f t="shared" si="278"/>
        <v>4.2657951880159156E-13</v>
      </c>
      <c r="C1238" s="1">
        <f t="shared" si="279"/>
        <v>2.3676711034731273E-2</v>
      </c>
      <c r="D1238" s="1">
        <f t="shared" si="280"/>
        <v>-2.3676700930020816E-2</v>
      </c>
      <c r="E1238" s="1">
        <f t="shared" si="281"/>
        <v>7.2794501550034699E-3</v>
      </c>
      <c r="F1238" s="1">
        <f t="shared" si="282"/>
        <v>0.9999992056723962</v>
      </c>
      <c r="G1238" s="1">
        <f t="shared" si="283"/>
        <v>2.8612954014195973</v>
      </c>
      <c r="H1238" s="1">
        <f t="shared" si="291"/>
        <v>28.612954014195971</v>
      </c>
      <c r="S1238" s="2">
        <v>12.37</v>
      </c>
      <c r="T1238" s="1">
        <f t="shared" si="284"/>
        <v>4.2657951880159156E-13</v>
      </c>
      <c r="U1238" s="1">
        <f t="shared" si="285"/>
        <v>2.3676711034731273E-2</v>
      </c>
      <c r="V1238" s="1">
        <f t="shared" si="286"/>
        <v>0.13551503902764542</v>
      </c>
      <c r="W1238" s="1">
        <f t="shared" si="287"/>
        <v>-1.1838346342548472E-2</v>
      </c>
      <c r="X1238" s="1">
        <f t="shared" si="288"/>
        <v>1.640690187742725E-7</v>
      </c>
      <c r="Y1238" s="1">
        <f t="shared" si="289"/>
        <v>-0.21170460275385203</v>
      </c>
      <c r="Z1238" s="1">
        <f t="shared" si="290"/>
        <v>-10.5852301376926</v>
      </c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</row>
    <row r="1239" spans="1:44" ht="15" customHeight="1" x14ac:dyDescent="0.3">
      <c r="A1239" s="2">
        <v>12.38</v>
      </c>
      <c r="B1239" s="1">
        <f t="shared" si="278"/>
        <v>4.1686938347033292E-13</v>
      </c>
      <c r="C1239" s="1">
        <f t="shared" si="279"/>
        <v>2.4228212482096997E-2</v>
      </c>
      <c r="D1239" s="1">
        <f t="shared" si="280"/>
        <v>-2.4228202678747871E-2</v>
      </c>
      <c r="E1239" s="1">
        <f t="shared" si="281"/>
        <v>7.3713671131246444E-3</v>
      </c>
      <c r="F1239" s="1">
        <f t="shared" si="282"/>
        <v>0.99999922375348604</v>
      </c>
      <c r="G1239" s="1">
        <f t="shared" si="283"/>
        <v>2.9185134998997144</v>
      </c>
      <c r="H1239" s="1">
        <f t="shared" si="291"/>
        <v>29.185134998997142</v>
      </c>
      <c r="S1239" s="2">
        <v>12.38</v>
      </c>
      <c r="T1239" s="1">
        <f t="shared" si="284"/>
        <v>4.1686938347033292E-13</v>
      </c>
      <c r="U1239" s="1">
        <f t="shared" si="285"/>
        <v>2.4228212482096997E-2</v>
      </c>
      <c r="V1239" s="1">
        <f t="shared" si="286"/>
        <v>0.13634229175890841</v>
      </c>
      <c r="W1239" s="1">
        <f t="shared" si="287"/>
        <v>-1.2114097252969471E-2</v>
      </c>
      <c r="X1239" s="1">
        <f t="shared" si="288"/>
        <v>1.6033435255071162E-7</v>
      </c>
      <c r="Y1239" s="1">
        <f t="shared" si="289"/>
        <v>-0.21610301558484185</v>
      </c>
      <c r="Z1239" s="1">
        <f t="shared" si="290"/>
        <v>-10.805150779242094</v>
      </c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</row>
    <row r="1240" spans="1:44" ht="15" customHeight="1" x14ac:dyDescent="0.3">
      <c r="A1240" s="2">
        <v>12.39</v>
      </c>
      <c r="B1240" s="1">
        <f t="shared" si="278"/>
        <v>4.0738027780411177E-13</v>
      </c>
      <c r="C1240" s="1">
        <f t="shared" si="279"/>
        <v>2.4792560048418864E-2</v>
      </c>
      <c r="D1240" s="1">
        <f t="shared" si="280"/>
        <v>-2.4792550539571259E-2</v>
      </c>
      <c r="E1240" s="1">
        <f t="shared" si="281"/>
        <v>7.4654250899285433E-3</v>
      </c>
      <c r="F1240" s="1">
        <f t="shared" si="282"/>
        <v>0.99999924142300045</v>
      </c>
      <c r="G1240" s="1">
        <f t="shared" si="283"/>
        <v>2.9779330944562461</v>
      </c>
      <c r="H1240" s="1">
        <f t="shared" si="291"/>
        <v>29.77933094456246</v>
      </c>
      <c r="S1240" s="2">
        <v>12.39</v>
      </c>
      <c r="T1240" s="1">
        <f t="shared" si="284"/>
        <v>4.0738027780411177E-13</v>
      </c>
      <c r="U1240" s="1">
        <f t="shared" si="285"/>
        <v>2.4792560048418864E-2</v>
      </c>
      <c r="V1240" s="1">
        <f t="shared" si="286"/>
        <v>0.13718881365585356</v>
      </c>
      <c r="W1240" s="1">
        <f t="shared" si="287"/>
        <v>-1.2396271218617855E-2</v>
      </c>
      <c r="X1240" s="1">
        <f t="shared" si="288"/>
        <v>1.5668469768225234E-7</v>
      </c>
      <c r="Y1240" s="1">
        <f t="shared" si="289"/>
        <v>-0.22058153859048085</v>
      </c>
      <c r="Z1240" s="1">
        <f t="shared" si="290"/>
        <v>-11.029076929524043</v>
      </c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</row>
    <row r="1241" spans="1:44" ht="15" customHeight="1" x14ac:dyDescent="0.3">
      <c r="A1241" s="2">
        <v>12.4</v>
      </c>
      <c r="B1241" s="1">
        <f t="shared" si="278"/>
        <v>3.9810717055349631E-13</v>
      </c>
      <c r="C1241" s="1">
        <f t="shared" si="279"/>
        <v>2.5370052958246816E-2</v>
      </c>
      <c r="D1241" s="1">
        <f t="shared" si="280"/>
        <v>-2.5370043737197062E-2</v>
      </c>
      <c r="E1241" s="1">
        <f t="shared" si="281"/>
        <v>7.5616739561995099E-3</v>
      </c>
      <c r="F1241" s="1">
        <f t="shared" si="282"/>
        <v>0.99999925869030815</v>
      </c>
      <c r="G1241" s="1">
        <f t="shared" si="283"/>
        <v>3.0396670458595993</v>
      </c>
      <c r="H1241" s="1">
        <f t="shared" si="291"/>
        <v>30.396670458595992</v>
      </c>
      <c r="S1241" s="2">
        <v>12.4</v>
      </c>
      <c r="T1241" s="1">
        <f t="shared" si="284"/>
        <v>3.9810717055349631E-13</v>
      </c>
      <c r="U1241" s="1">
        <f t="shared" si="285"/>
        <v>2.5370052958246816E-2</v>
      </c>
      <c r="V1241" s="1">
        <f t="shared" si="286"/>
        <v>0.13805505355559611</v>
      </c>
      <c r="W1241" s="1">
        <f t="shared" si="287"/>
        <v>-1.2685017851865365E-2</v>
      </c>
      <c r="X1241" s="1">
        <f t="shared" si="288"/>
        <v>1.5311811907541353E-7</v>
      </c>
      <c r="Y1241" s="1">
        <f t="shared" si="289"/>
        <v>-0.22514116062067743</v>
      </c>
      <c r="Z1241" s="1">
        <f t="shared" si="290"/>
        <v>-11.257058031033873</v>
      </c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</row>
    <row r="1242" spans="1:44" ht="15" customHeight="1" x14ac:dyDescent="0.3">
      <c r="A1242" s="2">
        <v>12.41</v>
      </c>
      <c r="B1242" s="1">
        <f t="shared" si="278"/>
        <v>3.8904514499427974E-13</v>
      </c>
      <c r="C1242" s="1">
        <f t="shared" si="279"/>
        <v>2.596099740596558E-2</v>
      </c>
      <c r="D1242" s="1">
        <f t="shared" si="280"/>
        <v>-2.5960988466162606E-2</v>
      </c>
      <c r="E1242" s="1">
        <f t="shared" si="281"/>
        <v>7.6601647443604341E-3</v>
      </c>
      <c r="F1242" s="1">
        <f t="shared" si="282"/>
        <v>0.9999992755645648</v>
      </c>
      <c r="G1242" s="1">
        <f t="shared" si="283"/>
        <v>3.1038359044783754</v>
      </c>
      <c r="H1242" s="1">
        <f t="shared" si="291"/>
        <v>31.038359044783753</v>
      </c>
      <c r="S1242" s="2">
        <v>12.41</v>
      </c>
      <c r="T1242" s="1">
        <f t="shared" si="284"/>
        <v>3.8904514499427974E-13</v>
      </c>
      <c r="U1242" s="1">
        <f t="shared" si="285"/>
        <v>2.596099740596558E-2</v>
      </c>
      <c r="V1242" s="1">
        <f t="shared" si="286"/>
        <v>0.13894147074999674</v>
      </c>
      <c r="W1242" s="1">
        <f t="shared" si="287"/>
        <v>-1.2980490249998915E-2</v>
      </c>
      <c r="X1242" s="1">
        <f t="shared" si="288"/>
        <v>1.4963272568476701E-7</v>
      </c>
      <c r="Y1242" s="1">
        <f t="shared" si="289"/>
        <v>-0.22978286288679009</v>
      </c>
      <c r="Z1242" s="1">
        <f t="shared" si="290"/>
        <v>-11.489143144339506</v>
      </c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</row>
    <row r="1243" spans="1:44" ht="15" customHeight="1" x14ac:dyDescent="0.3">
      <c r="A1243" s="2">
        <v>12.42</v>
      </c>
      <c r="B1243" s="1">
        <f t="shared" si="278"/>
        <v>3.8018939632056036E-13</v>
      </c>
      <c r="C1243" s="1">
        <f t="shared" si="279"/>
        <v>2.6565706718143414E-2</v>
      </c>
      <c r="D1243" s="1">
        <f t="shared" si="280"/>
        <v>-2.6565698053185274E-2</v>
      </c>
      <c r="E1243" s="1">
        <f t="shared" si="281"/>
        <v>7.7609496755308791E-3</v>
      </c>
      <c r="F1243" s="1">
        <f t="shared" si="282"/>
        <v>0.99999929205471672</v>
      </c>
      <c r="G1243" s="1">
        <f t="shared" si="283"/>
        <v>3.1705685775368835</v>
      </c>
      <c r="H1243" s="1">
        <f t="shared" si="291"/>
        <v>31.705685775368835</v>
      </c>
      <c r="S1243" s="2">
        <v>12.42</v>
      </c>
      <c r="T1243" s="1">
        <f t="shared" si="284"/>
        <v>3.8018939632056036E-13</v>
      </c>
      <c r="U1243" s="1">
        <f t="shared" si="285"/>
        <v>2.6565706718143414E-2</v>
      </c>
      <c r="V1243" s="1">
        <f t="shared" si="286"/>
        <v>0.13984853522918511</v>
      </c>
      <c r="W1243" s="1">
        <f t="shared" si="287"/>
        <v>-1.3282845076395034E-2</v>
      </c>
      <c r="X1243" s="1">
        <f t="shared" si="288"/>
        <v>1.462266695102812E-7</v>
      </c>
      <c r="Y1243" s="1">
        <f t="shared" si="289"/>
        <v>-0.2345076179440484</v>
      </c>
      <c r="Z1243" s="1">
        <f t="shared" si="290"/>
        <v>-11.725380897202418</v>
      </c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</row>
    <row r="1244" spans="1:44" ht="15" customHeight="1" x14ac:dyDescent="0.3">
      <c r="A1244" s="2">
        <v>12.43</v>
      </c>
      <c r="B1244" s="1">
        <f t="shared" si="278"/>
        <v>3.7153522909717175E-13</v>
      </c>
      <c r="C1244" s="1">
        <f t="shared" si="279"/>
        <v>2.7184501519661904E-2</v>
      </c>
      <c r="D1244" s="1">
        <f t="shared" si="280"/>
        <v>-2.718449312329237E-2</v>
      </c>
      <c r="E1244" s="1">
        <f t="shared" si="281"/>
        <v>7.8640821872153956E-3</v>
      </c>
      <c r="F1244" s="1">
        <f t="shared" si="282"/>
        <v>0.99999930816950777</v>
      </c>
      <c r="G1244" s="1">
        <f t="shared" si="283"/>
        <v>3.2400030671479021</v>
      </c>
      <c r="H1244" s="1">
        <f t="shared" si="291"/>
        <v>32.400030671479016</v>
      </c>
      <c r="S1244" s="2">
        <v>12.43</v>
      </c>
      <c r="T1244" s="1">
        <f t="shared" si="284"/>
        <v>3.7153522909717175E-13</v>
      </c>
      <c r="U1244" s="1">
        <f t="shared" si="285"/>
        <v>2.7184501519661904E-2</v>
      </c>
      <c r="V1244" s="1">
        <f t="shared" si="286"/>
        <v>0.14077672793075446</v>
      </c>
      <c r="W1244" s="1">
        <f t="shared" si="287"/>
        <v>-1.3592242643584825E-2</v>
      </c>
      <c r="X1244" s="1">
        <f t="shared" si="288"/>
        <v>1.4289814461749107E-7</v>
      </c>
      <c r="Y1244" s="1">
        <f t="shared" si="289"/>
        <v>-0.23931638864165788</v>
      </c>
      <c r="Z1244" s="1">
        <f t="shared" si="290"/>
        <v>-11.965819432082894</v>
      </c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</row>
    <row r="1245" spans="1:44" ht="15" customHeight="1" x14ac:dyDescent="0.3">
      <c r="A1245" s="2">
        <v>12.44</v>
      </c>
      <c r="B1245" s="1">
        <f t="shared" si="278"/>
        <v>3.6307805477010062E-13</v>
      </c>
      <c r="C1245" s="1">
        <f t="shared" si="279"/>
        <v>2.7817709903715536E-2</v>
      </c>
      <c r="D1245" s="1">
        <f t="shared" si="280"/>
        <v>-2.7817701769820801E-2</v>
      </c>
      <c r="E1245" s="1">
        <f t="shared" si="281"/>
        <v>7.9696169616368003E-3</v>
      </c>
      <c r="F1245" s="1">
        <f t="shared" si="282"/>
        <v>0.9999993239174817</v>
      </c>
      <c r="G1245" s="1">
        <f t="shared" si="283"/>
        <v>3.3122872880368028</v>
      </c>
      <c r="H1245" s="1">
        <f t="shared" si="291"/>
        <v>33.122872880368028</v>
      </c>
      <c r="S1245" s="2">
        <v>12.44</v>
      </c>
      <c r="T1245" s="1">
        <f t="shared" si="284"/>
        <v>3.6307805477010062E-13</v>
      </c>
      <c r="U1245" s="1">
        <f t="shared" si="285"/>
        <v>2.7817709903715536E-2</v>
      </c>
      <c r="V1245" s="1">
        <f t="shared" si="286"/>
        <v>0.14172654099476131</v>
      </c>
      <c r="W1245" s="1">
        <f t="shared" si="287"/>
        <v>-1.3908846998253767E-2</v>
      </c>
      <c r="X1245" s="1">
        <f t="shared" si="288"/>
        <v>1.3964538617997132E-7</v>
      </c>
      <c r="Y1245" s="1">
        <f t="shared" si="289"/>
        <v>-0.24421012704073788</v>
      </c>
      <c r="Z1245" s="1">
        <f t="shared" si="290"/>
        <v>-12.210506352036896</v>
      </c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</row>
    <row r="1246" spans="1:44" ht="15" customHeight="1" x14ac:dyDescent="0.3">
      <c r="A1246" s="2">
        <v>12.45</v>
      </c>
      <c r="B1246" s="1">
        <f t="shared" si="278"/>
        <v>3.5481338923357479E-13</v>
      </c>
      <c r="C1246" s="1">
        <f t="shared" si="279"/>
        <v>2.8465667605771034E-2</v>
      </c>
      <c r="D1246" s="1">
        <f t="shared" si="280"/>
        <v>-2.8465659728376443E-2</v>
      </c>
      <c r="E1246" s="1">
        <f t="shared" si="281"/>
        <v>8.0776099547294061E-3</v>
      </c>
      <c r="F1246" s="1">
        <f t="shared" si="282"/>
        <v>0.99999933930698848</v>
      </c>
      <c r="G1246" s="1">
        <f t="shared" si="283"/>
        <v>3.3875799751802513</v>
      </c>
      <c r="H1246" s="1">
        <f t="shared" si="291"/>
        <v>33.875799751802511</v>
      </c>
      <c r="S1246" s="2">
        <v>12.45</v>
      </c>
      <c r="T1246" s="1">
        <f t="shared" si="284"/>
        <v>3.5481338923357479E-13</v>
      </c>
      <c r="U1246" s="1">
        <f t="shared" si="285"/>
        <v>2.8465667605771034E-2</v>
      </c>
      <c r="V1246" s="1">
        <f t="shared" si="286"/>
        <v>0.14269847802466437</v>
      </c>
      <c r="W1246" s="1">
        <f t="shared" si="287"/>
        <v>-1.4232826008221452E-2</v>
      </c>
      <c r="X1246" s="1">
        <f t="shared" si="288"/>
        <v>1.3646666954360512E-7</v>
      </c>
      <c r="Y1246" s="1">
        <f t="shared" si="289"/>
        <v>-0.24918977330031389</v>
      </c>
      <c r="Z1246" s="1">
        <f t="shared" si="290"/>
        <v>-12.459488665015694</v>
      </c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</row>
    <row r="1247" spans="1:44" ht="15" customHeight="1" x14ac:dyDescent="0.3">
      <c r="A1247" s="2">
        <v>12.46</v>
      </c>
      <c r="B1247" s="1">
        <f t="shared" si="278"/>
        <v>3.4673685045252984E-13</v>
      </c>
      <c r="C1247" s="1">
        <f t="shared" si="279"/>
        <v>2.9128718181578868E-2</v>
      </c>
      <c r="D1247" s="1">
        <f t="shared" si="280"/>
        <v>-2.9128710554845765E-2</v>
      </c>
      <c r="E1247" s="1">
        <f t="shared" si="281"/>
        <v>8.1881184258076264E-3</v>
      </c>
      <c r="F1247" s="1">
        <f t="shared" si="282"/>
        <v>0.99999935434618781</v>
      </c>
      <c r="G1247" s="1">
        <f t="shared" si="283"/>
        <v>3.4660516931094789</v>
      </c>
      <c r="H1247" s="1">
        <f t="shared" si="291"/>
        <v>34.66051693109479</v>
      </c>
      <c r="S1247" s="2">
        <v>12.46</v>
      </c>
      <c r="T1247" s="1">
        <f t="shared" si="284"/>
        <v>3.4673685045252984E-13</v>
      </c>
      <c r="U1247" s="1">
        <f t="shared" si="285"/>
        <v>2.9128718181578868E-2</v>
      </c>
      <c r="V1247" s="1">
        <f t="shared" si="286"/>
        <v>0.14369305435434218</v>
      </c>
      <c r="W1247" s="1">
        <f t="shared" si="287"/>
        <v>-1.4564351451447395E-2</v>
      </c>
      <c r="X1247" s="1">
        <f t="shared" si="288"/>
        <v>1.333603093121524E-7</v>
      </c>
      <c r="Y1247" s="1">
        <f t="shared" si="289"/>
        <v>-0.25425625453166895</v>
      </c>
      <c r="Z1247" s="1">
        <f t="shared" si="290"/>
        <v>-12.712812726583449</v>
      </c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</row>
    <row r="1248" spans="1:44" ht="15" customHeight="1" x14ac:dyDescent="0.3">
      <c r="A1248" s="2">
        <v>12.47</v>
      </c>
      <c r="B1248" s="1">
        <f t="shared" si="278"/>
        <v>3.3884415613920079E-13</v>
      </c>
      <c r="C1248" s="1">
        <f t="shared" si="279"/>
        <v>2.9807213189330647E-2</v>
      </c>
      <c r="D1248" s="1">
        <f t="shared" si="280"/>
        <v>-2.9807205807553284E-2</v>
      </c>
      <c r="E1248" s="1">
        <f t="shared" si="281"/>
        <v>8.3012009679255486E-3</v>
      </c>
      <c r="F1248" s="1">
        <f t="shared" si="282"/>
        <v>0.99999936904305353</v>
      </c>
      <c r="G1248" s="1">
        <f t="shared" si="283"/>
        <v>3.5478859604162136</v>
      </c>
      <c r="H1248" s="1">
        <f t="shared" si="291"/>
        <v>35.478859604162132</v>
      </c>
      <c r="S1248" s="2">
        <v>12.47</v>
      </c>
      <c r="T1248" s="1">
        <f t="shared" si="284"/>
        <v>3.3884415613920079E-13</v>
      </c>
      <c r="U1248" s="1">
        <f t="shared" si="285"/>
        <v>2.9807213189330647E-2</v>
      </c>
      <c r="V1248" s="1">
        <f t="shared" si="286"/>
        <v>0.14471079732132924</v>
      </c>
      <c r="W1248" s="1">
        <f t="shared" si="287"/>
        <v>-1.4903599107109746E-2</v>
      </c>
      <c r="X1248" s="1">
        <f t="shared" si="288"/>
        <v>1.3032465845363532E-7</v>
      </c>
      <c r="Y1248" s="1">
        <f t="shared" si="289"/>
        <v>-0.25941048362144081</v>
      </c>
      <c r="Z1248" s="1">
        <f t="shared" si="290"/>
        <v>-12.97052418107204</v>
      </c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</row>
    <row r="1249" spans="1:44" ht="15" customHeight="1" x14ac:dyDescent="0.3">
      <c r="A1249" s="2">
        <v>12.48</v>
      </c>
      <c r="B1249" s="1">
        <f t="shared" si="278"/>
        <v>3.311311214825894E-13</v>
      </c>
      <c r="C1249" s="1">
        <f t="shared" si="279"/>
        <v>3.0501512376060518E-2</v>
      </c>
      <c r="D1249" s="1">
        <f t="shared" si="280"/>
        <v>-3.0501505233663039E-2</v>
      </c>
      <c r="E1249" s="1">
        <f t="shared" si="281"/>
        <v>8.4169175389438387E-3</v>
      </c>
      <c r="F1249" s="1">
        <f t="shared" si="282"/>
        <v>0.99999938340537831</v>
      </c>
      <c r="G1249" s="1">
        <f t="shared" si="283"/>
        <v>3.6332805050998376</v>
      </c>
      <c r="H1249" s="1">
        <f t="shared" si="291"/>
        <v>36.332805050998374</v>
      </c>
      <c r="S1249" s="2">
        <v>12.48</v>
      </c>
      <c r="T1249" s="1">
        <f t="shared" si="284"/>
        <v>3.311311214825894E-13</v>
      </c>
      <c r="U1249" s="1">
        <f t="shared" si="285"/>
        <v>3.0501512376060518E-2</v>
      </c>
      <c r="V1249" s="1">
        <f t="shared" si="286"/>
        <v>0.14575224654641822</v>
      </c>
      <c r="W1249" s="1">
        <f t="shared" si="287"/>
        <v>-1.5250748848806065E-2</v>
      </c>
      <c r="X1249" s="1">
        <f t="shared" si="288"/>
        <v>1.2735810742706015E-7</v>
      </c>
      <c r="Y1249" s="1">
        <f t="shared" si="289"/>
        <v>-0.26465335802395618</v>
      </c>
      <c r="Z1249" s="1">
        <f t="shared" si="290"/>
        <v>-13.232667901197809</v>
      </c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</row>
    <row r="1250" spans="1:44" ht="15" customHeight="1" x14ac:dyDescent="0.3">
      <c r="A1250" s="2">
        <v>12.49</v>
      </c>
      <c r="B1250" s="1">
        <f t="shared" si="278"/>
        <v>3.2359365692962775E-13</v>
      </c>
      <c r="C1250" s="1">
        <f t="shared" si="279"/>
        <v>3.1211983868387312E-2</v>
      </c>
      <c r="D1250" s="1">
        <f t="shared" si="280"/>
        <v>-3.1211976959920763E-2</v>
      </c>
      <c r="E1250" s="1">
        <f t="shared" si="281"/>
        <v>8.5353294933201273E-3</v>
      </c>
      <c r="F1250" s="1">
        <f t="shared" si="282"/>
        <v>0.99999939744077704</v>
      </c>
      <c r="G1250" s="1">
        <f t="shared" si="283"/>
        <v>3.7224486688679939</v>
      </c>
      <c r="H1250" s="1">
        <f t="shared" si="291"/>
        <v>37.224486688679939</v>
      </c>
      <c r="S1250" s="2">
        <v>12.49</v>
      </c>
      <c r="T1250" s="1">
        <f t="shared" si="284"/>
        <v>3.2359365692962775E-13</v>
      </c>
      <c r="U1250" s="1">
        <f t="shared" si="285"/>
        <v>3.1211983868387312E-2</v>
      </c>
      <c r="V1250" s="1">
        <f t="shared" si="286"/>
        <v>0.14681795421977323</v>
      </c>
      <c r="W1250" s="1">
        <f t="shared" si="287"/>
        <v>-1.5605984739924417E-2</v>
      </c>
      <c r="X1250" s="1">
        <f t="shared" si="288"/>
        <v>1.2445908332902225E-7</v>
      </c>
      <c r="Y1250" s="1">
        <f t="shared" si="289"/>
        <v>-0.2699857585233631</v>
      </c>
      <c r="Z1250" s="1">
        <f t="shared" si="290"/>
        <v>-13.499287926168154</v>
      </c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</row>
    <row r="1251" spans="1:44" ht="15" customHeight="1" x14ac:dyDescent="0.3">
      <c r="A1251" s="2">
        <v>12.5</v>
      </c>
      <c r="B1251" s="1">
        <f t="shared" si="278"/>
        <v>3.1622776601683746E-13</v>
      </c>
      <c r="C1251" s="1">
        <f t="shared" si="279"/>
        <v>3.1939004367700675E-2</v>
      </c>
      <c r="D1251" s="1">
        <f t="shared" si="280"/>
        <v>-3.193899768784015E-2</v>
      </c>
      <c r="E1251" s="1">
        <f t="shared" si="281"/>
        <v>8.6564996146400244E-3</v>
      </c>
      <c r="F1251" s="1">
        <f t="shared" si="282"/>
        <v>0.99999941115669144</v>
      </c>
      <c r="G1251" s="1">
        <f t="shared" si="283"/>
        <v>3.8156209814265893</v>
      </c>
      <c r="H1251" s="1">
        <f t="shared" si="291"/>
        <v>38.156209814265893</v>
      </c>
      <c r="S1251" s="2">
        <v>12.5</v>
      </c>
      <c r="T1251" s="1">
        <f t="shared" si="284"/>
        <v>3.1622776601683746E-13</v>
      </c>
      <c r="U1251" s="1">
        <f t="shared" si="285"/>
        <v>3.1939004367700675E-2</v>
      </c>
      <c r="V1251" s="1">
        <f t="shared" si="286"/>
        <v>0.1479084853937094</v>
      </c>
      <c r="W1251" s="1">
        <f t="shared" si="287"/>
        <v>-1.5969495131236473E-2</v>
      </c>
      <c r="X1251" s="1">
        <f t="shared" si="288"/>
        <v>1.2162604905973218E-7</v>
      </c>
      <c r="Y1251" s="1">
        <f t="shared" si="289"/>
        <v>-0.27540854796625008</v>
      </c>
      <c r="Z1251" s="1">
        <f t="shared" si="290"/>
        <v>-13.770427398312503</v>
      </c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</row>
    <row r="1252" spans="1:44" ht="15" customHeight="1" x14ac:dyDescent="0.3">
      <c r="A1252" s="2">
        <v>12.51</v>
      </c>
      <c r="B1252" s="1">
        <f t="shared" si="278"/>
        <v>3.0902954325135866E-13</v>
      </c>
      <c r="C1252" s="1">
        <f t="shared" si="279"/>
        <v>3.2682959349892494E-2</v>
      </c>
      <c r="D1252" s="1">
        <f t="shared" si="280"/>
        <v>-3.2682952893434286E-2</v>
      </c>
      <c r="E1252" s="1">
        <f t="shared" si="281"/>
        <v>8.780492148905715E-3</v>
      </c>
      <c r="F1252" s="1">
        <f t="shared" si="282"/>
        <v>0.9999994245603937</v>
      </c>
      <c r="G1252" s="1">
        <f t="shared" si="283"/>
        <v>3.9130469292596088</v>
      </c>
      <c r="H1252" s="1">
        <f t="shared" si="291"/>
        <v>39.130469292596089</v>
      </c>
      <c r="S1252" s="2">
        <v>12.51</v>
      </c>
      <c r="T1252" s="1">
        <f t="shared" si="284"/>
        <v>3.0902954325135866E-13</v>
      </c>
      <c r="U1252" s="1">
        <f t="shared" si="285"/>
        <v>3.2682959349892494E-2</v>
      </c>
      <c r="V1252" s="1">
        <f t="shared" si="286"/>
        <v>0.14902441828228988</v>
      </c>
      <c r="W1252" s="1">
        <f t="shared" si="287"/>
        <v>-1.6341472760763285E-2</v>
      </c>
      <c r="X1252" s="1">
        <f t="shared" si="288"/>
        <v>1.1885750250803035E-7</v>
      </c>
      <c r="Y1252" s="1">
        <f t="shared" si="289"/>
        <v>-0.2809225699655149</v>
      </c>
      <c r="Z1252" s="1">
        <f t="shared" si="290"/>
        <v>-14.046128498275744</v>
      </c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</row>
    <row r="1253" spans="1:44" ht="15" customHeight="1" x14ac:dyDescent="0.3">
      <c r="A1253" s="2">
        <v>12.52</v>
      </c>
      <c r="B1253" s="1">
        <f t="shared" si="278"/>
        <v>3.0199517204020122E-13</v>
      </c>
      <c r="C1253" s="1">
        <f t="shared" si="279"/>
        <v>3.3444243269741741E-2</v>
      </c>
      <c r="D1253" s="1">
        <f t="shared" si="280"/>
        <v>-3.3444237031600592E-2</v>
      </c>
      <c r="E1253" s="1">
        <f t="shared" si="281"/>
        <v>8.9073728386000993E-3</v>
      </c>
      <c r="F1253" s="1">
        <f t="shared" si="282"/>
        <v>0.99999943765899102</v>
      </c>
      <c r="G1253" s="1">
        <f t="shared" si="283"/>
        <v>4.0149969475202205</v>
      </c>
      <c r="H1253" s="1">
        <f t="shared" si="291"/>
        <v>40.149969475202205</v>
      </c>
      <c r="S1253" s="2">
        <v>12.52</v>
      </c>
      <c r="T1253" s="1">
        <f t="shared" si="284"/>
        <v>3.0199517204020122E-13</v>
      </c>
      <c r="U1253" s="1">
        <f t="shared" si="285"/>
        <v>3.3444243269741741E-2</v>
      </c>
      <c r="V1253" s="1">
        <f t="shared" si="286"/>
        <v>0.15016634456790323</v>
      </c>
      <c r="W1253" s="1">
        <f t="shared" si="287"/>
        <v>-1.6722114855967744E-2</v>
      </c>
      <c r="X1253" s="1">
        <f t="shared" si="288"/>
        <v>1.1615197575494821E-7</v>
      </c>
      <c r="Y1253" s="1">
        <f t="shared" si="289"/>
        <v>-0.28652864757638136</v>
      </c>
      <c r="Z1253" s="1">
        <f t="shared" si="290"/>
        <v>-14.326432378819067</v>
      </c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</row>
    <row r="1254" spans="1:44" ht="15" customHeight="1" x14ac:dyDescent="0.3">
      <c r="A1254" s="2">
        <v>12.53</v>
      </c>
      <c r="B1254" s="1">
        <f t="shared" si="278"/>
        <v>2.9512092266663824E-13</v>
      </c>
      <c r="C1254" s="1">
        <f t="shared" si="279"/>
        <v>3.4223259770059494E-2</v>
      </c>
      <c r="D1254" s="1">
        <f t="shared" si="280"/>
        <v>-3.4223253745265914E-2</v>
      </c>
      <c r="E1254" s="1">
        <f t="shared" si="281"/>
        <v>9.0372089575443196E-3</v>
      </c>
      <c r="F1254" s="1">
        <f t="shared" si="282"/>
        <v>0.99999945045942817</v>
      </c>
      <c r="G1254" s="1">
        <f t="shared" si="283"/>
        <v>4.1217646685711031</v>
      </c>
      <c r="H1254" s="1">
        <f t="shared" si="291"/>
        <v>41.217646685711031</v>
      </c>
      <c r="S1254" s="2">
        <v>12.53</v>
      </c>
      <c r="T1254" s="1">
        <f t="shared" si="284"/>
        <v>2.9512092266663824E-13</v>
      </c>
      <c r="U1254" s="1">
        <f t="shared" si="285"/>
        <v>3.4223259770059494E-2</v>
      </c>
      <c r="V1254" s="1">
        <f t="shared" si="286"/>
        <v>0.15133486971498133</v>
      </c>
      <c r="W1254" s="1">
        <f t="shared" si="287"/>
        <v>-1.7111623238327111E-2</v>
      </c>
      <c r="X1254" s="1">
        <f t="shared" si="288"/>
        <v>1.1350803429540093E-7</v>
      </c>
      <c r="Y1254" s="1">
        <f t="shared" si="289"/>
        <v>-0.29222758194554666</v>
      </c>
      <c r="Z1254" s="1">
        <f t="shared" si="290"/>
        <v>-14.611379097277332</v>
      </c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</row>
    <row r="1255" spans="1:44" ht="15" customHeight="1" x14ac:dyDescent="0.3">
      <c r="A1255" s="2">
        <v>12.54</v>
      </c>
      <c r="B1255" s="1">
        <f t="shared" si="278"/>
        <v>2.884031503126603E-13</v>
      </c>
      <c r="C1255" s="1">
        <f t="shared" si="279"/>
        <v>3.5020421895705728E-2</v>
      </c>
      <c r="D1255" s="1">
        <f t="shared" si="280"/>
        <v>-3.502041607940333E-2</v>
      </c>
      <c r="E1255" s="1">
        <f t="shared" si="281"/>
        <v>9.1700693465672223E-3</v>
      </c>
      <c r="F1255" s="1">
        <f t="shared" si="282"/>
        <v>0.99999946296849207</v>
      </c>
      <c r="G1255" s="1">
        <f t="shared" si="283"/>
        <v>4.2336694666002188</v>
      </c>
      <c r="H1255" s="1">
        <f t="shared" si="291"/>
        <v>42.336694666002188</v>
      </c>
      <c r="S1255" s="2">
        <v>12.54</v>
      </c>
      <c r="T1255" s="1">
        <f t="shared" si="284"/>
        <v>2.884031503126603E-13</v>
      </c>
      <c r="U1255" s="1">
        <f t="shared" si="285"/>
        <v>3.5020421895705728E-2</v>
      </c>
      <c r="V1255" s="1">
        <f t="shared" si="286"/>
        <v>0.15253061329102444</v>
      </c>
      <c r="W1255" s="1">
        <f t="shared" si="287"/>
        <v>-1.7510204430341476E-2</v>
      </c>
      <c r="X1255" s="1">
        <f t="shared" si="288"/>
        <v>1.1092427627759599E-7</v>
      </c>
      <c r="Y1255" s="1">
        <f t="shared" si="289"/>
        <v>-0.29802015093457346</v>
      </c>
      <c r="Z1255" s="1">
        <f t="shared" si="290"/>
        <v>-14.901007546728673</v>
      </c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</row>
    <row r="1256" spans="1:44" ht="15" customHeight="1" x14ac:dyDescent="0.3">
      <c r="A1256" s="2">
        <v>12.55</v>
      </c>
      <c r="B1256" s="1">
        <f t="shared" si="278"/>
        <v>2.8183829312644412E-13</v>
      </c>
      <c r="C1256" s="1">
        <f t="shared" si="279"/>
        <v>3.5836152312591282E-2</v>
      </c>
      <c r="D1256" s="1">
        <f t="shared" si="280"/>
        <v>-3.5836146700034245E-2</v>
      </c>
      <c r="E1256" s="1">
        <f t="shared" si="281"/>
        <v>9.3060244500057076E-3</v>
      </c>
      <c r="F1256" s="1">
        <f t="shared" si="282"/>
        <v>0.99999947519281518</v>
      </c>
      <c r="G1256" s="1">
        <f t="shared" si="283"/>
        <v>4.3510593448152557</v>
      </c>
      <c r="H1256" s="1">
        <f t="shared" si="291"/>
        <v>43.510593448152555</v>
      </c>
      <c r="S1256" s="2">
        <v>12.55</v>
      </c>
      <c r="T1256" s="1">
        <f t="shared" si="284"/>
        <v>2.8183829312644412E-13</v>
      </c>
      <c r="U1256" s="1">
        <f t="shared" si="285"/>
        <v>3.5836152312591282E-2</v>
      </c>
      <c r="V1256" s="1">
        <f t="shared" si="286"/>
        <v>0.15375420929510419</v>
      </c>
      <c r="W1256" s="1">
        <f t="shared" si="287"/>
        <v>-1.7918069765034739E-2</v>
      </c>
      <c r="X1256" s="1">
        <f t="shared" si="288"/>
        <v>1.0839933175975441E-7</v>
      </c>
      <c r="Y1256" s="1">
        <f t="shared" si="289"/>
        <v>-0.3039071077187499</v>
      </c>
      <c r="Z1256" s="1">
        <f t="shared" si="290"/>
        <v>-15.195355385937496</v>
      </c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</row>
    <row r="1257" spans="1:44" ht="15" customHeight="1" x14ac:dyDescent="0.3">
      <c r="A1257" s="2">
        <v>12.56</v>
      </c>
      <c r="B1257" s="1">
        <f t="shared" si="278"/>
        <v>2.7542287033381544E-13</v>
      </c>
      <c r="C1257" s="1">
        <f t="shared" si="279"/>
        <v>3.6670883531780392E-2</v>
      </c>
      <c r="D1257" s="1">
        <f t="shared" si="280"/>
        <v>-3.6670878118330891E-2</v>
      </c>
      <c r="E1257" s="1">
        <f t="shared" si="281"/>
        <v>9.4451463530551491E-3</v>
      </c>
      <c r="F1257" s="1">
        <f t="shared" si="282"/>
        <v>0.99999948713887898</v>
      </c>
      <c r="G1257" s="1">
        <f t="shared" si="283"/>
        <v>4.474314220258794</v>
      </c>
      <c r="H1257" s="1">
        <f t="shared" si="291"/>
        <v>44.74314220258794</v>
      </c>
      <c r="S1257" s="2">
        <v>12.56</v>
      </c>
      <c r="T1257" s="1">
        <f t="shared" si="284"/>
        <v>2.7542287033381544E-13</v>
      </c>
      <c r="U1257" s="1">
        <f t="shared" si="285"/>
        <v>3.6670883531780392E-2</v>
      </c>
      <c r="V1257" s="1">
        <f t="shared" si="286"/>
        <v>0.15500630649401792</v>
      </c>
      <c r="W1257" s="1">
        <f t="shared" si="287"/>
        <v>-1.833543549800597E-2</v>
      </c>
      <c r="X1257" s="1">
        <f t="shared" si="288"/>
        <v>1.0593186198375305E-7</v>
      </c>
      <c r="Y1257" s="1">
        <f t="shared" si="289"/>
        <v>-0.30988917936276045</v>
      </c>
      <c r="Z1257" s="1">
        <f t="shared" si="290"/>
        <v>-15.494458968138023</v>
      </c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</row>
    <row r="1258" spans="1:44" ht="15" customHeight="1" x14ac:dyDescent="0.3">
      <c r="A1258" s="2">
        <v>12.57</v>
      </c>
      <c r="B1258" s="1">
        <f t="shared" si="278"/>
        <v>2.6915348039269041E-13</v>
      </c>
      <c r="C1258" s="1">
        <f t="shared" si="279"/>
        <v>3.7525058138814585E-2</v>
      </c>
      <c r="D1258" s="1">
        <f t="shared" si="280"/>
        <v>-3.7525052919940391E-2</v>
      </c>
      <c r="E1258" s="1">
        <f t="shared" si="281"/>
        <v>9.5875088199900652E-3</v>
      </c>
      <c r="F1258" s="1">
        <f t="shared" si="282"/>
        <v>0.99999949881301753</v>
      </c>
      <c r="G1258" s="1">
        <f t="shared" si="283"/>
        <v>4.603849671631087</v>
      </c>
      <c r="H1258" s="1">
        <f t="shared" si="291"/>
        <v>46.038496716310867</v>
      </c>
      <c r="S1258" s="2">
        <v>12.57</v>
      </c>
      <c r="T1258" s="1">
        <f t="shared" si="284"/>
        <v>2.6915348039269041E-13</v>
      </c>
      <c r="U1258" s="1">
        <f t="shared" si="285"/>
        <v>3.7525058138814585E-2</v>
      </c>
      <c r="V1258" s="1">
        <f t="shared" si="286"/>
        <v>0.15628756876627406</v>
      </c>
      <c r="W1258" s="1">
        <f t="shared" si="287"/>
        <v>-1.8762522922091351E-2</v>
      </c>
      <c r="X1258" s="1">
        <f t="shared" si="288"/>
        <v>1.0352055866529683E-7</v>
      </c>
      <c r="Y1258" s="1">
        <f t="shared" si="289"/>
        <v>-0.31596706537464914</v>
      </c>
      <c r="Z1258" s="1">
        <f t="shared" si="290"/>
        <v>-15.798353268732455</v>
      </c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</row>
    <row r="1259" spans="1:44" ht="15" customHeight="1" x14ac:dyDescent="0.3">
      <c r="A1259" s="2">
        <v>12.58</v>
      </c>
      <c r="B1259" s="1">
        <f t="shared" si="278"/>
        <v>2.6302679918953709E-13</v>
      </c>
      <c r="C1259" s="1">
        <f t="shared" si="279"/>
        <v>3.839912902837684E-2</v>
      </c>
      <c r="D1259" s="1">
        <f t="shared" si="280"/>
        <v>-3.8399123999648885E-2</v>
      </c>
      <c r="E1259" s="1">
        <f t="shared" si="281"/>
        <v>9.733187333274813E-3</v>
      </c>
      <c r="F1259" s="1">
        <f t="shared" si="282"/>
        <v>0.99999951022142053</v>
      </c>
      <c r="G1259" s="1">
        <f t="shared" si="283"/>
        <v>4.7401212280906542</v>
      </c>
      <c r="H1259" s="1">
        <f t="shared" si="291"/>
        <v>47.401212280906542</v>
      </c>
      <c r="S1259" s="2">
        <v>12.58</v>
      </c>
      <c r="T1259" s="1">
        <f t="shared" si="284"/>
        <v>2.6302679918953709E-13</v>
      </c>
      <c r="U1259" s="1">
        <f t="shared" si="285"/>
        <v>3.839912902837684E-2</v>
      </c>
      <c r="V1259" s="1">
        <f t="shared" si="286"/>
        <v>0.1575986754540889</v>
      </c>
      <c r="W1259" s="1">
        <f t="shared" si="287"/>
        <v>-1.9199558484696299E-2</v>
      </c>
      <c r="X1259" s="1">
        <f t="shared" si="288"/>
        <v>1.0116414330025242E-7</v>
      </c>
      <c r="Y1259" s="1">
        <f t="shared" si="289"/>
        <v>-0.32214143623965313</v>
      </c>
      <c r="Z1259" s="1">
        <f t="shared" si="290"/>
        <v>-16.107071811982657</v>
      </c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</row>
    <row r="1260" spans="1:44" ht="15" customHeight="1" x14ac:dyDescent="0.3">
      <c r="A1260" s="2">
        <v>12.59</v>
      </c>
      <c r="B1260" s="1">
        <f t="shared" si="278"/>
        <v>2.5703957827688533E-13</v>
      </c>
      <c r="C1260" s="1">
        <f t="shared" si="279"/>
        <v>3.92935596444225E-2</v>
      </c>
      <c r="D1260" s="1">
        <f t="shared" si="280"/>
        <v>-3.9293554801512538E-2</v>
      </c>
      <c r="E1260" s="1">
        <f t="shared" si="281"/>
        <v>9.8822591335854231E-3</v>
      </c>
      <c r="F1260" s="1">
        <f t="shared" si="282"/>
        <v>0.99999952137013681</v>
      </c>
      <c r="G1260" s="1">
        <f t="shared" si="283"/>
        <v>4.8836292923794744</v>
      </c>
      <c r="H1260" s="1">
        <f t="shared" si="291"/>
        <v>48.836292923794744</v>
      </c>
      <c r="S1260" s="2">
        <v>12.59</v>
      </c>
      <c r="T1260" s="1">
        <f t="shared" si="284"/>
        <v>2.5703957827688533E-13</v>
      </c>
      <c r="U1260" s="1">
        <f t="shared" si="285"/>
        <v>3.92935596444225E-2</v>
      </c>
      <c r="V1260" s="1">
        <f t="shared" si="286"/>
        <v>0.15894032172358283</v>
      </c>
      <c r="W1260" s="1">
        <f t="shared" si="287"/>
        <v>-1.9646773907860945E-2</v>
      </c>
      <c r="X1260" s="1">
        <f t="shared" si="288"/>
        <v>9.8861366486769749E-8</v>
      </c>
      <c r="Y1260" s="1">
        <f t="shared" si="289"/>
        <v>-0.32841293193564541</v>
      </c>
      <c r="Z1260" s="1">
        <f t="shared" si="290"/>
        <v>-16.420646596782269</v>
      </c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</row>
    <row r="1261" spans="1:44" ht="15" customHeight="1" x14ac:dyDescent="0.3">
      <c r="A1261" s="2">
        <v>12.6</v>
      </c>
      <c r="B1261" s="1">
        <f t="shared" si="278"/>
        <v>2.511886431509579E-13</v>
      </c>
      <c r="C1261" s="1">
        <f t="shared" si="279"/>
        <v>4.0208824225903238E-2</v>
      </c>
      <c r="D1261" s="1">
        <f t="shared" si="280"/>
        <v>-4.0208819564581513E-2</v>
      </c>
      <c r="E1261" s="1">
        <f t="shared" si="281"/>
        <v>1.0034803260763586E-2</v>
      </c>
      <c r="F1261" s="1">
        <f t="shared" si="282"/>
        <v>0.99999953226507743</v>
      </c>
      <c r="G1261" s="1">
        <f t="shared" si="283"/>
        <v>5.0349248104922539</v>
      </c>
      <c r="H1261" s="1">
        <f t="shared" si="291"/>
        <v>50.349248104922538</v>
      </c>
      <c r="S1261" s="2">
        <v>12.6</v>
      </c>
      <c r="T1261" s="1">
        <f t="shared" si="284"/>
        <v>2.511886431509579E-13</v>
      </c>
      <c r="U1261" s="1">
        <f t="shared" si="285"/>
        <v>4.0208824225903238E-2</v>
      </c>
      <c r="V1261" s="1">
        <f t="shared" si="286"/>
        <v>0.16031321893336659</v>
      </c>
      <c r="W1261" s="1">
        <f t="shared" si="287"/>
        <v>-2.0104406311122192E-2</v>
      </c>
      <c r="X1261" s="1">
        <f t="shared" si="288"/>
        <v>9.6611007262834631E-8</v>
      </c>
      <c r="Y1261" s="1">
        <f t="shared" si="289"/>
        <v>-0.33478216043203457</v>
      </c>
      <c r="Z1261" s="1">
        <f t="shared" si="290"/>
        <v>-16.73910802160173</v>
      </c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</row>
    <row r="1262" spans="1:44" ht="15" customHeight="1" x14ac:dyDescent="0.3">
      <c r="A1262" s="2">
        <v>12.61</v>
      </c>
      <c r="B1262" s="1">
        <f t="shared" si="278"/>
        <v>2.4547089156850296E-13</v>
      </c>
      <c r="C1262" s="1">
        <f t="shared" si="279"/>
        <v>4.1145408058215392E-2</v>
      </c>
      <c r="D1262" s="1">
        <f t="shared" si="280"/>
        <v>-4.1145403574348476E-2</v>
      </c>
      <c r="E1262" s="1">
        <f t="shared" si="281"/>
        <v>1.0190900595724747E-2</v>
      </c>
      <c r="F1262" s="1">
        <f t="shared" si="282"/>
        <v>0.99999954291201931</v>
      </c>
      <c r="G1262" s="1">
        <f t="shared" si="283"/>
        <v>5.1946158233869486</v>
      </c>
      <c r="H1262" s="1">
        <f t="shared" si="291"/>
        <v>51.946158233869483</v>
      </c>
      <c r="S1262" s="2">
        <v>12.61</v>
      </c>
      <c r="T1262" s="1">
        <f t="shared" si="284"/>
        <v>2.4547089156850296E-13</v>
      </c>
      <c r="U1262" s="1">
        <f t="shared" si="285"/>
        <v>4.1145408058215392E-2</v>
      </c>
      <c r="V1262" s="1">
        <f t="shared" si="286"/>
        <v>0.16171809501171355</v>
      </c>
      <c r="W1262" s="1">
        <f t="shared" si="287"/>
        <v>-2.0572698337237849E-2</v>
      </c>
      <c r="X1262" s="1">
        <f t="shared" si="288"/>
        <v>9.4411872458898639E-8</v>
      </c>
      <c r="Y1262" s="1">
        <f t="shared" si="289"/>
        <v>-0.34124969617411549</v>
      </c>
      <c r="Z1262" s="1">
        <f t="shared" si="290"/>
        <v>-17.062484808705776</v>
      </c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</row>
    <row r="1263" spans="1:44" ht="15" customHeight="1" x14ac:dyDescent="0.3">
      <c r="A1263" s="2">
        <v>12.62</v>
      </c>
      <c r="B1263" s="1">
        <f t="shared" si="278"/>
        <v>2.3988329190194898E-13</v>
      </c>
      <c r="C1263" s="1">
        <f t="shared" si="279"/>
        <v>4.2103807730503887E-2</v>
      </c>
      <c r="D1263" s="1">
        <f t="shared" si="280"/>
        <v>-4.2103803420052412E-2</v>
      </c>
      <c r="E1263" s="1">
        <f t="shared" si="281"/>
        <v>1.0350633903342068E-2</v>
      </c>
      <c r="F1263" s="1">
        <f t="shared" si="282"/>
        <v>0.99999955331660739</v>
      </c>
      <c r="G1263" s="1">
        <f t="shared" si="283"/>
        <v>5.3633750650869301</v>
      </c>
      <c r="H1263" s="1">
        <f t="shared" si="291"/>
        <v>53.633750650869295</v>
      </c>
      <c r="S1263" s="2">
        <v>12.62</v>
      </c>
      <c r="T1263" s="1">
        <f t="shared" si="284"/>
        <v>2.3988329190194898E-13</v>
      </c>
      <c r="U1263" s="1">
        <f t="shared" si="285"/>
        <v>4.2103807730503887E-2</v>
      </c>
      <c r="V1263" s="1">
        <f t="shared" si="286"/>
        <v>0.16315569484251607</v>
      </c>
      <c r="W1263" s="1">
        <f t="shared" si="287"/>
        <v>-2.1051898280838695E-2</v>
      </c>
      <c r="X1263" s="1">
        <f t="shared" si="288"/>
        <v>9.2262796065248349E-8</v>
      </c>
      <c r="Y1263" s="1">
        <f t="shared" si="289"/>
        <v>-0.34781607855497793</v>
      </c>
      <c r="Z1263" s="1">
        <f t="shared" si="290"/>
        <v>-17.390803927748898</v>
      </c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</row>
    <row r="1264" spans="1:44" ht="15" customHeight="1" x14ac:dyDescent="0.3">
      <c r="A1264" s="2">
        <v>12.63</v>
      </c>
      <c r="B1264" s="1">
        <f t="shared" si="278"/>
        <v>2.3442288153199137E-13</v>
      </c>
      <c r="C1264" s="1">
        <f t="shared" si="279"/>
        <v>4.3084531398961012E-2</v>
      </c>
      <c r="D1264" s="1">
        <f t="shared" si="280"/>
        <v>-4.3084527257977567E-2</v>
      </c>
      <c r="E1264" s="1">
        <f t="shared" si="281"/>
        <v>1.0514087876329594E-2</v>
      </c>
      <c r="F1264" s="1">
        <f t="shared" si="282"/>
        <v>0.99999956348435837</v>
      </c>
      <c r="G1264" s="1">
        <f t="shared" si="283"/>
        <v>5.5419488074813383</v>
      </c>
      <c r="H1264" s="1">
        <f t="shared" si="291"/>
        <v>55.41948807481338</v>
      </c>
      <c r="S1264" s="2">
        <v>12.63</v>
      </c>
      <c r="T1264" s="1">
        <f t="shared" si="284"/>
        <v>2.3442288153199137E-13</v>
      </c>
      <c r="U1264" s="1">
        <f t="shared" si="285"/>
        <v>4.3084531398961012E-2</v>
      </c>
      <c r="V1264" s="1">
        <f t="shared" si="286"/>
        <v>0.16462678066023353</v>
      </c>
      <c r="W1264" s="1">
        <f t="shared" si="287"/>
        <v>-2.1542260220077849E-2</v>
      </c>
      <c r="X1264" s="1">
        <f t="shared" si="288"/>
        <v>9.0162638613771464E-8</v>
      </c>
      <c r="Y1264" s="1">
        <f t="shared" si="289"/>
        <v>-0.35448181037724741</v>
      </c>
      <c r="Z1264" s="1">
        <f t="shared" si="290"/>
        <v>-17.724090518862372</v>
      </c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</row>
    <row r="1265" spans="1:44" ht="15" customHeight="1" x14ac:dyDescent="0.3">
      <c r="A1265" s="2">
        <v>12.64</v>
      </c>
      <c r="B1265" s="1">
        <f t="shared" si="278"/>
        <v>2.2908676527677649E-13</v>
      </c>
      <c r="C1265" s="1">
        <f t="shared" si="279"/>
        <v>4.4088099056256914E-2</v>
      </c>
      <c r="D1265" s="1">
        <f t="shared" si="280"/>
        <v>-4.4088095080883939E-2</v>
      </c>
      <c r="E1265" s="1">
        <f t="shared" si="281"/>
        <v>1.0681349180147324E-2</v>
      </c>
      <c r="F1265" s="1">
        <f t="shared" si="282"/>
        <v>0.99999957342066315</v>
      </c>
      <c r="G1265" s="1">
        <f t="shared" si="283"/>
        <v>5.7311671971824074</v>
      </c>
      <c r="H1265" s="1">
        <f t="shared" si="291"/>
        <v>57.311671971824069</v>
      </c>
      <c r="S1265" s="2">
        <v>12.64</v>
      </c>
      <c r="T1265" s="1">
        <f t="shared" si="284"/>
        <v>2.2908676527677649E-13</v>
      </c>
      <c r="U1265" s="1">
        <f t="shared" si="285"/>
        <v>4.4088099056256914E-2</v>
      </c>
      <c r="V1265" s="1">
        <f t="shared" si="286"/>
        <v>0.16613213245403818</v>
      </c>
      <c r="W1265" s="1">
        <f t="shared" si="287"/>
        <v>-2.2044044151346059E-2</v>
      </c>
      <c r="X1265" s="1">
        <f t="shared" si="288"/>
        <v>8.811028657379844E-8</v>
      </c>
      <c r="Y1265" s="1">
        <f t="shared" si="289"/>
        <v>-0.36124735630702925</v>
      </c>
      <c r="Z1265" s="1">
        <f t="shared" si="290"/>
        <v>-18.062367815351461</v>
      </c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</row>
    <row r="1266" spans="1:44" ht="15" customHeight="1" x14ac:dyDescent="0.3">
      <c r="A1266" s="2">
        <v>12.65</v>
      </c>
      <c r="B1266" s="1">
        <f t="shared" si="278"/>
        <v>2.238721138568332E-13</v>
      </c>
      <c r="C1266" s="1">
        <f t="shared" si="279"/>
        <v>4.5115042807247423E-2</v>
      </c>
      <c r="D1266" s="1">
        <f t="shared" si="280"/>
        <v>-4.5115038993715162E-2</v>
      </c>
      <c r="E1266" s="1">
        <f t="shared" si="281"/>
        <v>1.0852506498952526E-2</v>
      </c>
      <c r="F1266" s="1">
        <f t="shared" si="282"/>
        <v>0.99999958313079029</v>
      </c>
      <c r="G1266" s="1">
        <f t="shared" si="283"/>
        <v>5.9319563865827369</v>
      </c>
      <c r="H1266" s="1">
        <f t="shared" si="291"/>
        <v>59.319563865827369</v>
      </c>
      <c r="S1266" s="2">
        <v>12.65</v>
      </c>
      <c r="T1266" s="1">
        <f t="shared" si="284"/>
        <v>2.238721138568332E-13</v>
      </c>
      <c r="U1266" s="1">
        <f t="shared" si="285"/>
        <v>4.5115042807247423E-2</v>
      </c>
      <c r="V1266" s="1">
        <f t="shared" si="286"/>
        <v>0.16767254838137696</v>
      </c>
      <c r="W1266" s="1">
        <f t="shared" si="287"/>
        <v>-2.2557516127125653E-2</v>
      </c>
      <c r="X1266" s="1">
        <f t="shared" si="288"/>
        <v>8.6104651761693392E-8</v>
      </c>
      <c r="Y1266" s="1">
        <f t="shared" si="289"/>
        <v>-0.36811314132259898</v>
      </c>
      <c r="Z1266" s="1">
        <f t="shared" si="290"/>
        <v>-18.405657066129947</v>
      </c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</row>
    <row r="1267" spans="1:44" ht="15" customHeight="1" x14ac:dyDescent="0.3">
      <c r="A1267" s="2">
        <v>12.66</v>
      </c>
      <c r="B1267" s="1">
        <f t="shared" si="278"/>
        <v>2.1877616239495453E-13</v>
      </c>
      <c r="C1267" s="1">
        <f t="shared" si="279"/>
        <v>4.6165907151102525E-2</v>
      </c>
      <c r="D1267" s="1">
        <f t="shared" si="280"/>
        <v>-4.6165903495727037E-2</v>
      </c>
      <c r="E1267" s="1">
        <f t="shared" si="281"/>
        <v>1.1027650582621173E-2</v>
      </c>
      <c r="F1267" s="1">
        <f t="shared" si="282"/>
        <v>0.99999959261988813</v>
      </c>
      <c r="G1267" s="1">
        <f t="shared" si="283"/>
        <v>6.1453528332620255</v>
      </c>
      <c r="H1267" s="1">
        <f t="shared" si="291"/>
        <v>61.453528332620252</v>
      </c>
      <c r="S1267" s="2">
        <v>12.66</v>
      </c>
      <c r="T1267" s="1">
        <f t="shared" si="284"/>
        <v>2.1877616239495453E-13</v>
      </c>
      <c r="U1267" s="1">
        <f t="shared" si="285"/>
        <v>4.6165907151102525E-2</v>
      </c>
      <c r="V1267" s="1">
        <f t="shared" si="286"/>
        <v>0.16924884519116437</v>
      </c>
      <c r="W1267" s="1">
        <f t="shared" si="287"/>
        <v>-2.3082948397054791E-2</v>
      </c>
      <c r="X1267" s="1">
        <f t="shared" si="288"/>
        <v>8.4144670763887066E-8</v>
      </c>
      <c r="Y1267" s="1">
        <f t="shared" si="289"/>
        <v>-0.37507954916047703</v>
      </c>
      <c r="Z1267" s="1">
        <f t="shared" si="290"/>
        <v>-18.753977458023854</v>
      </c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</row>
    <row r="1268" spans="1:44" ht="15" customHeight="1" x14ac:dyDescent="0.3">
      <c r="A1268" s="2">
        <v>12.67</v>
      </c>
      <c r="B1268" s="1">
        <f t="shared" si="278"/>
        <v>2.1379620895022253E-13</v>
      </c>
      <c r="C1268" s="1">
        <f t="shared" si="279"/>
        <v>4.7241249270007168E-2</v>
      </c>
      <c r="D1268" s="1">
        <f t="shared" si="280"/>
        <v>-4.7241245769188374E-2</v>
      </c>
      <c r="E1268" s="1">
        <f t="shared" si="281"/>
        <v>1.1206874294864727E-2</v>
      </c>
      <c r="F1268" s="1">
        <f t="shared" si="282"/>
        <v>0.99999960189298787</v>
      </c>
      <c r="G1268" s="1">
        <f t="shared" si="283"/>
        <v>6.3725202338002536</v>
      </c>
      <c r="H1268" s="1">
        <f t="shared" si="291"/>
        <v>63.725202338002532</v>
      </c>
      <c r="S1268" s="2">
        <v>12.67</v>
      </c>
      <c r="T1268" s="1">
        <f t="shared" si="284"/>
        <v>2.1379620895022253E-13</v>
      </c>
      <c r="U1268" s="1">
        <f t="shared" si="285"/>
        <v>4.7241249270007168E-2</v>
      </c>
      <c r="V1268" s="1">
        <f t="shared" si="286"/>
        <v>0.17086185865683373</v>
      </c>
      <c r="W1268" s="1">
        <f t="shared" si="287"/>
        <v>-2.3620619552277913E-2</v>
      </c>
      <c r="X1268" s="1">
        <f t="shared" si="288"/>
        <v>8.2229304373041905E-8</v>
      </c>
      <c r="Y1268" s="1">
        <f t="shared" si="289"/>
        <v>-0.3821469207616936</v>
      </c>
      <c r="Z1268" s="1">
        <f t="shared" si="290"/>
        <v>-19.107346038084682</v>
      </c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</row>
    <row r="1269" spans="1:44" ht="15" customHeight="1" x14ac:dyDescent="0.3">
      <c r="A1269" s="2">
        <v>12.68</v>
      </c>
      <c r="B1269" s="1">
        <f t="shared" si="278"/>
        <v>2.0892961308540331E-13</v>
      </c>
      <c r="C1269" s="1">
        <f t="shared" si="279"/>
        <v>4.834163932458662E-2</v>
      </c>
      <c r="D1269" s="1">
        <f t="shared" si="280"/>
        <v>-4.8341635974806375E-2</v>
      </c>
      <c r="E1269" s="1">
        <f t="shared" si="281"/>
        <v>1.1390272662467728E-2</v>
      </c>
      <c r="F1269" s="1">
        <f t="shared" si="282"/>
        <v>0.99999961095500645</v>
      </c>
      <c r="G1269" s="1">
        <f t="shared" si="283"/>
        <v>6.614769676162835</v>
      </c>
      <c r="H1269" s="1">
        <f t="shared" si="291"/>
        <v>66.147696761628339</v>
      </c>
      <c r="S1269" s="2">
        <v>12.68</v>
      </c>
      <c r="T1269" s="1">
        <f t="shared" si="284"/>
        <v>2.0892961308540331E-13</v>
      </c>
      <c r="U1269" s="1">
        <f t="shared" si="285"/>
        <v>4.834163932458662E-2</v>
      </c>
      <c r="V1269" s="1">
        <f t="shared" si="286"/>
        <v>0.17251244401947527</v>
      </c>
      <c r="W1269" s="1">
        <f t="shared" si="287"/>
        <v>-2.4170814673158431E-2</v>
      </c>
      <c r="X1269" s="1">
        <f t="shared" si="288"/>
        <v>8.0357537037051602E-8</v>
      </c>
      <c r="Y1269" s="1">
        <f t="shared" si="289"/>
        <v>-0.38931555272115564</v>
      </c>
      <c r="Z1269" s="1">
        <f t="shared" si="290"/>
        <v>-19.465777636057783</v>
      </c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</row>
    <row r="1270" spans="1:44" ht="15" customHeight="1" x14ac:dyDescent="0.3">
      <c r="A1270" s="2">
        <v>12.69</v>
      </c>
      <c r="B1270" s="1">
        <f t="shared" si="278"/>
        <v>2.0417379446695228E-13</v>
      </c>
      <c r="C1270" s="1">
        <f t="shared" si="279"/>
        <v>4.9467660756213221E-2</v>
      </c>
      <c r="D1270" s="1">
        <f t="shared" si="280"/>
        <v>-4.9467657554033463E-2</v>
      </c>
      <c r="E1270" s="1">
        <f t="shared" si="281"/>
        <v>1.1577942925672245E-2</v>
      </c>
      <c r="F1270" s="1">
        <f t="shared" si="282"/>
        <v>0.99999961981074825</v>
      </c>
      <c r="G1270" s="1">
        <f t="shared" si="283"/>
        <v>6.8735837477071415</v>
      </c>
      <c r="H1270" s="1">
        <f t="shared" si="291"/>
        <v>68.735837477071414</v>
      </c>
      <c r="S1270" s="2">
        <v>12.69</v>
      </c>
      <c r="T1270" s="1">
        <f t="shared" si="284"/>
        <v>2.0417379446695228E-13</v>
      </c>
      <c r="U1270" s="1">
        <f t="shared" si="285"/>
        <v>4.9467660756213221E-2</v>
      </c>
      <c r="V1270" s="1">
        <f t="shared" si="286"/>
        <v>0.17420147644129638</v>
      </c>
      <c r="W1270" s="1">
        <f t="shared" si="287"/>
        <v>-2.4733825480432129E-2</v>
      </c>
      <c r="X1270" s="1">
        <f t="shared" si="288"/>
        <v>7.8528376320582966E-8</v>
      </c>
      <c r="Y1270" s="1">
        <f t="shared" si="289"/>
        <v>-0.39658569574316949</v>
      </c>
      <c r="Z1270" s="1">
        <f t="shared" si="290"/>
        <v>-19.829284787158475</v>
      </c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</row>
    <row r="1271" spans="1:44" ht="15" customHeight="1" x14ac:dyDescent="0.3">
      <c r="A1271" s="2">
        <v>12.7</v>
      </c>
      <c r="B1271" s="1">
        <f t="shared" si="278"/>
        <v>1.9952623149688807E-13</v>
      </c>
      <c r="C1271" s="1">
        <f t="shared" si="279"/>
        <v>5.061991059635447E-2</v>
      </c>
      <c r="D1271" s="1">
        <f t="shared" si="280"/>
        <v>-5.0619907538415408E-2</v>
      </c>
      <c r="E1271" s="1">
        <f t="shared" si="281"/>
        <v>1.1769984589735901E-2</v>
      </c>
      <c r="F1271" s="1">
        <f t="shared" si="282"/>
        <v>0.99999962846490897</v>
      </c>
      <c r="G1271" s="1">
        <f t="shared" si="283"/>
        <v>7.150645535278656</v>
      </c>
      <c r="H1271" s="1">
        <f t="shared" si="291"/>
        <v>71.50645535278656</v>
      </c>
      <c r="S1271" s="2">
        <v>12.7</v>
      </c>
      <c r="T1271" s="1">
        <f t="shared" si="284"/>
        <v>1.9952623149688807E-13</v>
      </c>
      <c r="U1271" s="1">
        <f t="shared" si="285"/>
        <v>5.061991059635447E-2</v>
      </c>
      <c r="V1271" s="1">
        <f t="shared" si="286"/>
        <v>0.17592985146964379</v>
      </c>
      <c r="W1271" s="1">
        <f t="shared" si="287"/>
        <v>-2.5309950489881272E-2</v>
      </c>
      <c r="X1271" s="1">
        <f t="shared" si="288"/>
        <v>7.6740852378874996E-8</v>
      </c>
      <c r="Y1271" s="1">
        <f t="shared" si="289"/>
        <v>-0.403957553106288</v>
      </c>
      <c r="Z1271" s="1">
        <f t="shared" si="290"/>
        <v>-20.197877655314404</v>
      </c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</row>
    <row r="1272" spans="1:44" ht="15" customHeight="1" x14ac:dyDescent="0.3">
      <c r="A1272" s="2">
        <v>12.71</v>
      </c>
      <c r="B1272" s="1">
        <f t="shared" si="278"/>
        <v>1.9498445997580327E-13</v>
      </c>
      <c r="C1272" s="1">
        <f t="shared" si="279"/>
        <v>5.1798999783128179E-2</v>
      </c>
      <c r="D1272" s="1">
        <f t="shared" si="280"/>
        <v>-5.1798996866146522E-2</v>
      </c>
      <c r="E1272" s="1">
        <f t="shared" si="281"/>
        <v>1.1966499477691087E-2</v>
      </c>
      <c r="F1272" s="1">
        <f t="shared" si="282"/>
        <v>0.99999963692207705</v>
      </c>
      <c r="G1272" s="1">
        <f t="shared" si="283"/>
        <v>7.447873716109366</v>
      </c>
      <c r="H1272" s="1">
        <f t="shared" si="291"/>
        <v>74.478737161093662</v>
      </c>
      <c r="S1272" s="2">
        <v>12.71</v>
      </c>
      <c r="T1272" s="1">
        <f t="shared" si="284"/>
        <v>1.9498445997580327E-13</v>
      </c>
      <c r="U1272" s="1">
        <f t="shared" si="285"/>
        <v>5.1798999783128179E-2</v>
      </c>
      <c r="V1272" s="1">
        <f t="shared" si="286"/>
        <v>0.17769848551183637</v>
      </c>
      <c r="W1272" s="1">
        <f t="shared" si="287"/>
        <v>-2.5899495170612127E-2</v>
      </c>
      <c r="X1272" s="1">
        <f t="shared" si="288"/>
        <v>7.499401744351357E-8</v>
      </c>
      <c r="Y1272" s="1">
        <f t="shared" si="289"/>
        <v>-0.41143127914078681</v>
      </c>
      <c r="Z1272" s="1">
        <f t="shared" si="290"/>
        <v>-20.571563957039338</v>
      </c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</row>
    <row r="1273" spans="1:44" ht="15" customHeight="1" x14ac:dyDescent="0.3">
      <c r="A1273" s="2">
        <v>12.72</v>
      </c>
      <c r="B1273" s="1">
        <f t="shared" si="278"/>
        <v>1.9054607179632417E-13</v>
      </c>
      <c r="C1273" s="1">
        <f t="shared" si="279"/>
        <v>5.3005553485227182E-2</v>
      </c>
      <c r="D1273" s="1">
        <f t="shared" si="280"/>
        <v>-5.300555070599431E-2</v>
      </c>
      <c r="E1273" s="1">
        <f t="shared" si="281"/>
        <v>1.2167591784332386E-2</v>
      </c>
      <c r="F1273" s="1">
        <f t="shared" si="282"/>
        <v>0.99999964518673656</v>
      </c>
      <c r="G1273" s="1">
        <f t="shared" si="283"/>
        <v>7.7674652860871403</v>
      </c>
      <c r="H1273" s="1">
        <f t="shared" si="291"/>
        <v>77.674652860871404</v>
      </c>
      <c r="S1273" s="2">
        <v>12.72</v>
      </c>
      <c r="T1273" s="1">
        <f t="shared" si="284"/>
        <v>1.9054607179632417E-13</v>
      </c>
      <c r="U1273" s="1">
        <f t="shared" si="285"/>
        <v>5.3005553485227182E-2</v>
      </c>
      <c r="V1273" s="1">
        <f t="shared" si="286"/>
        <v>0.17950831632105235</v>
      </c>
      <c r="W1273" s="1">
        <f t="shared" si="287"/>
        <v>-2.6502772107017448E-2</v>
      </c>
      <c r="X1273" s="1">
        <f t="shared" si="288"/>
        <v>7.328694531991717E-8</v>
      </c>
      <c r="Y1273" s="1">
        <f t="shared" si="289"/>
        <v>-0.41900697772214696</v>
      </c>
      <c r="Z1273" s="1">
        <f t="shared" si="290"/>
        <v>-20.950348886107346</v>
      </c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</row>
    <row r="1274" spans="1:44" ht="15" customHeight="1" x14ac:dyDescent="0.3">
      <c r="A1274" s="2">
        <v>12.73</v>
      </c>
      <c r="B1274" s="1">
        <f t="shared" si="278"/>
        <v>1.8620871366628623E-13</v>
      </c>
      <c r="C1274" s="1">
        <f t="shared" si="279"/>
        <v>5.424021143339567E-2</v>
      </c>
      <c r="D1274" s="1">
        <f t="shared" si="280"/>
        <v>-5.4240208788776056E-2</v>
      </c>
      <c r="E1274" s="1">
        <f t="shared" si="281"/>
        <v>1.2373368131462675E-2</v>
      </c>
      <c r="F1274" s="1">
        <f t="shared" si="282"/>
        <v>0.99999965326326989</v>
      </c>
      <c r="G1274" s="1">
        <f t="shared" si="283"/>
        <v>8.1119479376652457</v>
      </c>
      <c r="H1274" s="1">
        <f t="shared" si="291"/>
        <v>81.11947937665245</v>
      </c>
      <c r="S1274" s="2">
        <v>12.73</v>
      </c>
      <c r="T1274" s="1">
        <f t="shared" si="284"/>
        <v>1.8620871366628623E-13</v>
      </c>
      <c r="U1274" s="1">
        <f t="shared" si="285"/>
        <v>5.424021143339567E-2</v>
      </c>
      <c r="V1274" s="1">
        <f t="shared" si="286"/>
        <v>0.18136030349354371</v>
      </c>
      <c r="W1274" s="1">
        <f t="shared" si="287"/>
        <v>-2.7120101164514569E-2</v>
      </c>
      <c r="X1274" s="1">
        <f t="shared" si="288"/>
        <v>7.1618730896251717E-8</v>
      </c>
      <c r="Y1274" s="1">
        <f t="shared" si="289"/>
        <v>-0.42668470078412918</v>
      </c>
      <c r="Z1274" s="1">
        <f t="shared" si="290"/>
        <v>-21.334235039206462</v>
      </c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</row>
    <row r="1275" spans="1:44" ht="15" customHeight="1" x14ac:dyDescent="0.3">
      <c r="A1275" s="2">
        <v>12.74</v>
      </c>
      <c r="B1275" s="1">
        <f t="shared" si="278"/>
        <v>1.8197008586099787E-13</v>
      </c>
      <c r="C1275" s="1">
        <f t="shared" si="279"/>
        <v>5.550362825962022E-2</v>
      </c>
      <c r="D1275" s="1">
        <f t="shared" si="280"/>
        <v>-5.5503625746549691E-2</v>
      </c>
      <c r="E1275" s="1">
        <f t="shared" si="281"/>
        <v>1.2583937624424947E-2</v>
      </c>
      <c r="F1275" s="1">
        <f t="shared" si="282"/>
        <v>0.99999966115595862</v>
      </c>
      <c r="G1275" s="1">
        <f t="shared" si="283"/>
        <v>8.4842447292989327</v>
      </c>
      <c r="H1275" s="1">
        <f t="shared" si="291"/>
        <v>84.84244729298932</v>
      </c>
      <c r="S1275" s="2">
        <v>12.74</v>
      </c>
      <c r="T1275" s="1">
        <f t="shared" si="284"/>
        <v>1.8197008586099787E-13</v>
      </c>
      <c r="U1275" s="1">
        <f t="shared" si="285"/>
        <v>5.550362825962022E-2</v>
      </c>
      <c r="V1275" s="1">
        <f t="shared" si="286"/>
        <v>0.18325542897742306</v>
      </c>
      <c r="W1275" s="1">
        <f t="shared" si="287"/>
        <v>-2.7751809659141018E-2</v>
      </c>
      <c r="X1275" s="1">
        <f t="shared" si="288"/>
        <v>6.998848966353323E-8</v>
      </c>
      <c r="Y1275" s="1">
        <f t="shared" si="289"/>
        <v>-0.43446444685498498</v>
      </c>
      <c r="Z1275" s="1">
        <f t="shared" si="290"/>
        <v>-21.723222342749249</v>
      </c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</row>
    <row r="1276" spans="1:44" ht="15" customHeight="1" x14ac:dyDescent="0.3">
      <c r="A1276" s="2">
        <v>12.75</v>
      </c>
      <c r="B1276" s="1">
        <f t="shared" si="278"/>
        <v>1.7782794100389184E-13</v>
      </c>
      <c r="C1276" s="1">
        <f t="shared" si="279"/>
        <v>5.6796473844225391E-2</v>
      </c>
      <c r="D1276" s="1">
        <f t="shared" si="280"/>
        <v>-5.6796471459709542E-2</v>
      </c>
      <c r="E1276" s="1">
        <f t="shared" si="281"/>
        <v>1.2799411909951592E-2</v>
      </c>
      <c r="F1276" s="1">
        <f t="shared" si="282"/>
        <v>0.99999966886898806</v>
      </c>
      <c r="G1276" s="1">
        <f t="shared" si="283"/>
        <v>8.8877545485771137</v>
      </c>
      <c r="H1276" s="1">
        <f t="shared" si="291"/>
        <v>88.877545485771137</v>
      </c>
      <c r="S1276" s="2">
        <v>12.75</v>
      </c>
      <c r="T1276" s="1">
        <f t="shared" si="284"/>
        <v>1.7782794100389184E-13</v>
      </c>
      <c r="U1276" s="1">
        <f t="shared" si="285"/>
        <v>5.6796473844225391E-2</v>
      </c>
      <c r="V1276" s="1">
        <f t="shared" si="286"/>
        <v>0.18519469759330684</v>
      </c>
      <c r="W1276" s="1">
        <f t="shared" si="287"/>
        <v>-2.8398232531102286E-2</v>
      </c>
      <c r="X1276" s="1">
        <f t="shared" si="288"/>
        <v>6.8395357246648579E-8</v>
      </c>
      <c r="Y1276" s="1">
        <f t="shared" si="289"/>
        <v>-0.44234615962058971</v>
      </c>
      <c r="Z1276" s="1">
        <f t="shared" si="290"/>
        <v>-22.117307981029487</v>
      </c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</row>
    <row r="1277" spans="1:44" ht="15" customHeight="1" x14ac:dyDescent="0.3">
      <c r="A1277" s="2">
        <v>12.76</v>
      </c>
      <c r="B1277" s="1">
        <f t="shared" si="278"/>
        <v>1.7378008287493713E-13</v>
      </c>
      <c r="C1277" s="1">
        <f t="shared" si="279"/>
        <v>5.8119433671052982E-2</v>
      </c>
      <c r="D1277" s="1">
        <f t="shared" si="280"/>
        <v>-5.8119431412165544E-2</v>
      </c>
      <c r="E1277" s="1">
        <f t="shared" si="281"/>
        <v>1.3019905235360923E-2</v>
      </c>
      <c r="F1277" s="1">
        <f t="shared" si="282"/>
        <v>0.99999967640644771</v>
      </c>
      <c r="G1277" s="1">
        <f t="shared" si="283"/>
        <v>9.3264530600066653</v>
      </c>
      <c r="H1277" s="1">
        <f t="shared" si="291"/>
        <v>93.264530600066649</v>
      </c>
      <c r="S1277" s="2">
        <v>12.76</v>
      </c>
      <c r="T1277" s="1">
        <f t="shared" si="284"/>
        <v>1.7378008287493713E-13</v>
      </c>
      <c r="U1277" s="1">
        <f t="shared" si="285"/>
        <v>5.8119433671052982E-2</v>
      </c>
      <c r="V1277" s="1">
        <f t="shared" si="286"/>
        <v>0.18717913756708457</v>
      </c>
      <c r="W1277" s="1">
        <f t="shared" si="287"/>
        <v>-2.905971252236152E-2</v>
      </c>
      <c r="X1277" s="1">
        <f t="shared" si="288"/>
        <v>6.6838488946053457E-8</v>
      </c>
      <c r="Y1277" s="1">
        <f t="shared" si="289"/>
        <v>-0.45032972651828107</v>
      </c>
      <c r="Z1277" s="1">
        <f t="shared" si="290"/>
        <v>-22.516486325914052</v>
      </c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</row>
    <row r="1278" spans="1:44" ht="15" customHeight="1" x14ac:dyDescent="0.3">
      <c r="A1278" s="2">
        <v>12.77</v>
      </c>
      <c r="B1278" s="1">
        <f t="shared" si="278"/>
        <v>1.6982436524617405E-13</v>
      </c>
      <c r="C1278" s="1">
        <f t="shared" si="279"/>
        <v>5.9473209190914617E-2</v>
      </c>
      <c r="D1278" s="1">
        <f t="shared" si="280"/>
        <v>-5.9473207054795939E-2</v>
      </c>
      <c r="E1278" s="1">
        <f t="shared" si="281"/>
        <v>1.3245534509132658E-2</v>
      </c>
      <c r="F1278" s="1">
        <f t="shared" si="282"/>
        <v>0.99999968377233395</v>
      </c>
      <c r="G1278" s="1">
        <f t="shared" si="283"/>
        <v>9.8050204912896746</v>
      </c>
      <c r="H1278" s="1">
        <f t="shared" si="291"/>
        <v>98.050204912896746</v>
      </c>
      <c r="S1278" s="2">
        <v>12.77</v>
      </c>
      <c r="T1278" s="1">
        <f t="shared" si="284"/>
        <v>1.6982436524617405E-13</v>
      </c>
      <c r="U1278" s="1">
        <f t="shared" si="285"/>
        <v>5.9473209190914617E-2</v>
      </c>
      <c r="V1278" s="1">
        <f t="shared" si="286"/>
        <v>0.18920980107509738</v>
      </c>
      <c r="W1278" s="1">
        <f t="shared" si="287"/>
        <v>-2.9736600358365787E-2</v>
      </c>
      <c r="X1278" s="1">
        <f t="shared" si="288"/>
        <v>6.5317059289902271E-8</v>
      </c>
      <c r="Y1278" s="1">
        <f t="shared" si="289"/>
        <v>-0.45841497736530268</v>
      </c>
      <c r="Z1278" s="1">
        <f t="shared" si="290"/>
        <v>-22.920748868265132</v>
      </c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</row>
    <row r="1279" spans="1:44" ht="15" customHeight="1" x14ac:dyDescent="0.3">
      <c r="A1279" s="2">
        <v>12.78</v>
      </c>
      <c r="B1279" s="1">
        <f t="shared" si="278"/>
        <v>1.6595869074375568E-13</v>
      </c>
      <c r="C1279" s="1">
        <f t="shared" si="279"/>
        <v>6.0858518193510264E-2</v>
      </c>
      <c r="D1279" s="1">
        <f t="shared" si="280"/>
        <v>-6.0858516177365783E-2</v>
      </c>
      <c r="E1279" s="1">
        <f t="shared" si="281"/>
        <v>1.3476419362894294E-2</v>
      </c>
      <c r="F1279" s="1">
        <f t="shared" si="282"/>
        <v>0.9999996909705523</v>
      </c>
      <c r="G1279" s="1">
        <f t="shared" si="283"/>
        <v>10.329004968714036</v>
      </c>
      <c r="H1279" s="1">
        <f t="shared" si="291"/>
        <v>103.29004968714035</v>
      </c>
      <c r="S1279" s="2">
        <v>12.78</v>
      </c>
      <c r="T1279" s="1">
        <f t="shared" si="284"/>
        <v>1.6595869074375568E-13</v>
      </c>
      <c r="U1279" s="1">
        <f t="shared" si="285"/>
        <v>6.0858518193510264E-2</v>
      </c>
      <c r="V1279" s="1">
        <f t="shared" si="286"/>
        <v>0.19128776480201626</v>
      </c>
      <c r="W1279" s="1">
        <f t="shared" si="287"/>
        <v>-3.0429254934005417E-2</v>
      </c>
      <c r="X1279" s="1">
        <f t="shared" si="288"/>
        <v>6.3830261596372714E-8</v>
      </c>
      <c r="Y1279" s="1">
        <f t="shared" si="289"/>
        <v>-0.46660168302582128</v>
      </c>
      <c r="Z1279" s="1">
        <f t="shared" si="290"/>
        <v>-23.330084151291064</v>
      </c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</row>
    <row r="1280" spans="1:44" ht="15" customHeight="1" x14ac:dyDescent="0.3">
      <c r="A1280" s="2">
        <v>12.79</v>
      </c>
      <c r="B1280" s="1">
        <f t="shared" si="278"/>
        <v>1.6218100973589265E-13</v>
      </c>
      <c r="C1280" s="1">
        <f t="shared" si="279"/>
        <v>6.2276095188009827E-2</v>
      </c>
      <c r="D1280" s="1">
        <f t="shared" si="280"/>
        <v>-6.2276093289108589E-2</v>
      </c>
      <c r="E1280" s="1">
        <f t="shared" si="281"/>
        <v>1.3712682214851432E-2</v>
      </c>
      <c r="F1280" s="1">
        <f t="shared" si="282"/>
        <v>0.99999969800491917</v>
      </c>
      <c r="G1280" s="1">
        <f t="shared" si="283"/>
        <v>10.905033500328635</v>
      </c>
      <c r="H1280" s="1">
        <f t="shared" si="291"/>
        <v>109.05033500328635</v>
      </c>
      <c r="S1280" s="2">
        <v>12.79</v>
      </c>
      <c r="T1280" s="1">
        <f t="shared" si="284"/>
        <v>1.6218100973589265E-13</v>
      </c>
      <c r="U1280" s="1">
        <f t="shared" si="285"/>
        <v>6.2276095188009827E-2</v>
      </c>
      <c r="V1280" s="1">
        <f t="shared" si="286"/>
        <v>0.19341413051171435</v>
      </c>
      <c r="W1280" s="1">
        <f t="shared" si="287"/>
        <v>-3.1138043503904787E-2</v>
      </c>
      <c r="X1280" s="1">
        <f t="shared" si="288"/>
        <v>6.2377307545953053E-8</v>
      </c>
      <c r="Y1280" s="1">
        <f t="shared" si="289"/>
        <v>-0.47488955412054185</v>
      </c>
      <c r="Z1280" s="1">
        <f t="shared" si="290"/>
        <v>-23.744477706027094</v>
      </c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</row>
    <row r="1281" spans="1:44" ht="15" customHeight="1" x14ac:dyDescent="0.3">
      <c r="A1281" s="2">
        <v>12.8</v>
      </c>
      <c r="B1281" s="1">
        <f t="shared" si="278"/>
        <v>1.5848931924611046E-13</v>
      </c>
      <c r="C1281" s="1">
        <f t="shared" si="279"/>
        <v>6.3726691792499873E-2</v>
      </c>
      <c r="D1281" s="1">
        <f t="shared" si="280"/>
        <v>-6.3726690008173131E-2</v>
      </c>
      <c r="E1281" s="1">
        <f t="shared" si="281"/>
        <v>1.3954448334695524E-2</v>
      </c>
      <c r="F1281" s="1">
        <f t="shared" si="282"/>
        <v>0.99999970487916445</v>
      </c>
      <c r="G1281" s="1">
        <f t="shared" si="283"/>
        <v>11.541087651917964</v>
      </c>
      <c r="H1281" s="1">
        <f t="shared" si="291"/>
        <v>115.41087651917964</v>
      </c>
      <c r="S1281" s="2">
        <v>12.8</v>
      </c>
      <c r="T1281" s="1">
        <f t="shared" si="284"/>
        <v>1.5848931924611046E-13</v>
      </c>
      <c r="U1281" s="1">
        <f t="shared" si="285"/>
        <v>6.3726691792499873E-2</v>
      </c>
      <c r="V1281" s="1">
        <f t="shared" si="286"/>
        <v>0.19559002563143704</v>
      </c>
      <c r="W1281" s="1">
        <f t="shared" si="287"/>
        <v>-3.1863341877145686E-2</v>
      </c>
      <c r="X1281" s="1">
        <f t="shared" si="288"/>
        <v>6.0957426763465145E-8</v>
      </c>
      <c r="Y1281" s="1">
        <f t="shared" si="289"/>
        <v>-0.48327823978300344</v>
      </c>
      <c r="Z1281" s="1">
        <f t="shared" si="290"/>
        <v>-24.163911989150172</v>
      </c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</row>
    <row r="1282" spans="1:44" ht="15" customHeight="1" x14ac:dyDescent="0.3">
      <c r="A1282" s="2">
        <v>12.81</v>
      </c>
      <c r="B1282" s="1">
        <f t="shared" si="278"/>
        <v>1.5488166189124729E-13</v>
      </c>
      <c r="C1282" s="1">
        <f t="shared" si="279"/>
        <v>6.5211077132500558E-2</v>
      </c>
      <c r="D1282" s="1">
        <f t="shared" si="280"/>
        <v>-6.5211075460140253E-2</v>
      </c>
      <c r="E1282" s="1">
        <f t="shared" si="281"/>
        <v>1.4201845910023377E-2</v>
      </c>
      <c r="F1282" s="1">
        <f t="shared" si="282"/>
        <v>0.99999971159693279</v>
      </c>
      <c r="G1282" s="1">
        <f t="shared" si="283"/>
        <v>12.246868304668176</v>
      </c>
      <c r="H1282" s="1">
        <f t="shared" si="291"/>
        <v>122.46868304668176</v>
      </c>
      <c r="S1282" s="2">
        <v>12.81</v>
      </c>
      <c r="T1282" s="1">
        <f t="shared" si="284"/>
        <v>1.5488166189124729E-13</v>
      </c>
      <c r="U1282" s="1">
        <f t="shared" si="285"/>
        <v>6.5211077132500558E-2</v>
      </c>
      <c r="V1282" s="1">
        <f t="shared" si="286"/>
        <v>0.19781660384957758</v>
      </c>
      <c r="W1282" s="1">
        <f t="shared" si="287"/>
        <v>-3.260553461652585E-2</v>
      </c>
      <c r="X1282" s="1">
        <f t="shared" si="288"/>
        <v>5.9569866409602839E-8</v>
      </c>
      <c r="Y1282" s="1">
        <f t="shared" si="289"/>
        <v>-0.49176732646666488</v>
      </c>
      <c r="Z1282" s="1">
        <f t="shared" si="290"/>
        <v>-24.588366323333243</v>
      </c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</row>
    <row r="1283" spans="1:44" ht="15" customHeight="1" x14ac:dyDescent="0.3">
      <c r="A1283" s="2">
        <v>12.82</v>
      </c>
      <c r="B1283" s="1">
        <f t="shared" ref="B1283:B1346" si="292">10^(-A1283)</f>
        <v>1.5135612484362054E-13</v>
      </c>
      <c r="C1283" s="1">
        <f t="shared" ref="C1283:C1346" si="293">Kw/B1283</f>
        <v>6.6730038248767318E-2</v>
      </c>
      <c r="D1283" s="1">
        <f t="shared" ref="D1283:D1346" si="294">((WASB_Ca*WASB_Va)-(WASB_Cb*H1283))/(WASB_Va+H1283)</f>
        <v>-6.6730036685824792E-2</v>
      </c>
      <c r="E1283" s="1">
        <f t="shared" ref="E1283:E1346" si="295">(WASB_Ca*H1283)/(WASB_Va+H1283)</f>
        <v>1.4455006114304132E-2</v>
      </c>
      <c r="F1283" s="1">
        <f t="shared" ref="F1283:F1346" si="296">WASB_Ka/(B1283+WASB_Ka)</f>
        <v>0.99999971816178623</v>
      </c>
      <c r="G1283" s="1">
        <f t="shared" ref="G1283:G1346" si="297">(F1283-((B1283-C1283)/WASB_Ca)) / (1 + ((B1283-C1283)/WASB_Cb))</f>
        <v>13.034284989558744</v>
      </c>
      <c r="H1283" s="1">
        <f t="shared" si="291"/>
        <v>130.34284989558742</v>
      </c>
      <c r="S1283" s="2">
        <v>12.82</v>
      </c>
      <c r="T1283" s="1">
        <f t="shared" ref="T1283:T1346" si="298">10^-S1283</f>
        <v>1.5135612484362054E-13</v>
      </c>
      <c r="U1283" s="1">
        <f t="shared" ref="U1283:U1346" si="299">Kw/T1283</f>
        <v>6.6730038248767318E-2</v>
      </c>
      <c r="V1283" s="1">
        <f t="shared" ref="V1283:V1346" si="300">((SAWB_Cb*SAWB_Vb)-(SAWB_Ca*Z1283))/(Z1283+SAWB_Vb)</f>
        <v>0.20009504572737929</v>
      </c>
      <c r="W1283" s="1">
        <f t="shared" ref="W1283:W1346" si="301">(SAWB_Cb*Z1283)/(Z1283+SAWB_Vb)</f>
        <v>-3.3365015242459765E-2</v>
      </c>
      <c r="X1283" s="1">
        <f t="shared" ref="X1283:X1346" si="302">T1283/(T1283+SAWB_Ka)</f>
        <v>5.8213890781766007E-8</v>
      </c>
      <c r="Y1283" s="1">
        <f t="shared" ref="Y1283:Y1346" si="303">(X1283+((T1283-U1283)/SAWB_Cb))/(1-((T1283-U1283)/SAWB_Ca))</f>
        <v>-0.5003563368069448</v>
      </c>
      <c r="Z1283" s="1">
        <f t="shared" ref="Z1283:Z1346" si="304">(Y1283*SAWB_Cb*SAWB_Vb)/SAWB_Ca</f>
        <v>-25.017816840347241</v>
      </c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</row>
    <row r="1284" spans="1:44" ht="15" customHeight="1" x14ac:dyDescent="0.3">
      <c r="A1284" s="2">
        <v>12.83</v>
      </c>
      <c r="B1284" s="1">
        <f t="shared" si="292"/>
        <v>1.4791083881682047E-13</v>
      </c>
      <c r="C1284" s="1">
        <f t="shared" si="293"/>
        <v>6.8284380514590279E-2</v>
      </c>
      <c r="D1284" s="1">
        <f t="shared" si="294"/>
        <v>-6.8284379058574873E-2</v>
      </c>
      <c r="E1284" s="1">
        <f t="shared" si="295"/>
        <v>1.4714063176429145E-2</v>
      </c>
      <c r="F1284" s="1">
        <f t="shared" si="296"/>
        <v>0.99999972457720565</v>
      </c>
      <c r="G1284" s="1">
        <f t="shared" si="297"/>
        <v>13.918122432732018</v>
      </c>
      <c r="H1284" s="1">
        <f t="shared" ref="H1284:H1347" si="305">G1284*(WASB_Va * WASB_Ca)/WASB_Cb</f>
        <v>139.18122432732017</v>
      </c>
      <c r="S1284" s="2">
        <v>12.83</v>
      </c>
      <c r="T1284" s="1">
        <f t="shared" si="298"/>
        <v>1.4791083881682047E-13</v>
      </c>
      <c r="U1284" s="1">
        <f t="shared" si="299"/>
        <v>6.8284380514590279E-2</v>
      </c>
      <c r="V1284" s="1">
        <f t="shared" si="300"/>
        <v>0.20242655932488537</v>
      </c>
      <c r="W1284" s="1">
        <f t="shared" si="301"/>
        <v>-3.4142186441628454E-2</v>
      </c>
      <c r="X1284" s="1">
        <f t="shared" si="302"/>
        <v>5.6888780923981983E-8</v>
      </c>
      <c r="Y1284" s="1">
        <f t="shared" si="303"/>
        <v>-0.50904472854235638</v>
      </c>
      <c r="Z1284" s="1">
        <f t="shared" si="304"/>
        <v>-25.452236427117818</v>
      </c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</row>
    <row r="1285" spans="1:44" ht="15" customHeight="1" x14ac:dyDescent="0.3">
      <c r="A1285" s="2">
        <v>12.84</v>
      </c>
      <c r="B1285" s="1">
        <f t="shared" si="292"/>
        <v>1.4454397707459251E-13</v>
      </c>
      <c r="C1285" s="1">
        <f t="shared" si="293"/>
        <v>6.9874928062812702E-2</v>
      </c>
      <c r="D1285" s="1">
        <f t="shared" si="294"/>
        <v>-6.9874926711290475E-2</v>
      </c>
      <c r="E1285" s="1">
        <f t="shared" si="295"/>
        <v>1.4979154451881747E-2</v>
      </c>
      <c r="F1285" s="1">
        <f t="shared" si="296"/>
        <v>0.99999973084659211</v>
      </c>
      <c r="G1285" s="1">
        <f t="shared" si="297"/>
        <v>14.91696399373979</v>
      </c>
      <c r="H1285" s="1">
        <f t="shared" si="305"/>
        <v>149.1696399373979</v>
      </c>
      <c r="S1285" s="2">
        <v>12.84</v>
      </c>
      <c r="T1285" s="1">
        <f t="shared" si="298"/>
        <v>1.4454397707459251E-13</v>
      </c>
      <c r="U1285" s="1">
        <f t="shared" si="299"/>
        <v>6.9874928062812702E-2</v>
      </c>
      <c r="V1285" s="1">
        <f t="shared" si="300"/>
        <v>0.20481238084146605</v>
      </c>
      <c r="W1285" s="1">
        <f t="shared" si="301"/>
        <v>-3.4937460280488684E-2</v>
      </c>
      <c r="X1285" s="1">
        <f t="shared" si="302"/>
        <v>5.559383424570716E-8</v>
      </c>
      <c r="Y1285" s="1">
        <f t="shared" si="303"/>
        <v>-0.5178318934988948</v>
      </c>
      <c r="Z1285" s="1">
        <f t="shared" si="304"/>
        <v>-25.891594674944741</v>
      </c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</row>
    <row r="1286" spans="1:44" ht="15" customHeight="1" x14ac:dyDescent="0.3">
      <c r="A1286" s="2">
        <v>12.85</v>
      </c>
      <c r="B1286" s="1">
        <f t="shared" si="292"/>
        <v>1.4125375446227519E-13</v>
      </c>
      <c r="C1286" s="1">
        <f t="shared" si="293"/>
        <v>7.1502524222798042E-2</v>
      </c>
      <c r="D1286" s="1">
        <f t="shared" si="294"/>
        <v>-7.1502522973390423E-2</v>
      </c>
      <c r="E1286" s="1">
        <f t="shared" si="295"/>
        <v>1.5250420495565072E-2</v>
      </c>
      <c r="F1286" s="1">
        <f t="shared" si="296"/>
        <v>0.99999973697327005</v>
      </c>
      <c r="G1286" s="1">
        <f t="shared" si="297"/>
        <v>16.054495436201208</v>
      </c>
      <c r="H1286" s="1">
        <f t="shared" si="305"/>
        <v>160.54495436201208</v>
      </c>
      <c r="S1286" s="2">
        <v>12.85</v>
      </c>
      <c r="T1286" s="1">
        <f t="shared" si="298"/>
        <v>1.4125375446227519E-13</v>
      </c>
      <c r="U1286" s="1">
        <f t="shared" si="299"/>
        <v>7.1502524222798042E-2</v>
      </c>
      <c r="V1286" s="1">
        <f t="shared" si="300"/>
        <v>0.20725377527126951</v>
      </c>
      <c r="W1286" s="1">
        <f t="shared" si="301"/>
        <v>-3.5751258423756503E-2</v>
      </c>
      <c r="X1286" s="1">
        <f t="shared" si="302"/>
        <v>5.4328364149303757E-8</v>
      </c>
      <c r="Y1286" s="1">
        <f t="shared" si="303"/>
        <v>-0.52671715664184249</v>
      </c>
      <c r="Z1286" s="1">
        <f t="shared" si="304"/>
        <v>-26.335857832092124</v>
      </c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</row>
    <row r="1287" spans="1:44" ht="15" customHeight="1" x14ac:dyDescent="0.3">
      <c r="A1287" s="2">
        <v>12.86</v>
      </c>
      <c r="B1287" s="1">
        <f t="shared" si="292"/>
        <v>1.3803842646028828E-13</v>
      </c>
      <c r="C1287" s="1">
        <f t="shared" si="293"/>
        <v>7.3168031967574099E-2</v>
      </c>
      <c r="D1287" s="1">
        <f t="shared" si="294"/>
        <v>-7.3168030817956684E-2</v>
      </c>
      <c r="E1287" s="1">
        <f t="shared" si="295"/>
        <v>1.5528005136326115E-2</v>
      </c>
      <c r="F1287" s="1">
        <f t="shared" si="296"/>
        <v>0.99999974296048777</v>
      </c>
      <c r="G1287" s="1">
        <f t="shared" si="297"/>
        <v>17.361385253883498</v>
      </c>
      <c r="H1287" s="1">
        <f t="shared" si="305"/>
        <v>173.61385253883498</v>
      </c>
      <c r="S1287" s="2">
        <v>12.86</v>
      </c>
      <c r="T1287" s="1">
        <f t="shared" si="298"/>
        <v>1.3803842646028828E-13</v>
      </c>
      <c r="U1287" s="1">
        <f t="shared" si="299"/>
        <v>7.3168031967574099E-2</v>
      </c>
      <c r="V1287" s="1">
        <f t="shared" si="300"/>
        <v>0.20975203707393802</v>
      </c>
      <c r="W1287" s="1">
        <f t="shared" si="301"/>
        <v>-3.6584012357979347E-2</v>
      </c>
      <c r="X1287" s="1">
        <f t="shared" si="302"/>
        <v>5.3091699665997538E-8</v>
      </c>
      <c r="Y1287" s="1">
        <f t="shared" si="303"/>
        <v>-0.53569977519908574</v>
      </c>
      <c r="Z1287" s="1">
        <f t="shared" si="304"/>
        <v>-26.784988759954288</v>
      </c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</row>
    <row r="1288" spans="1:44" ht="15" customHeight="1" x14ac:dyDescent="0.3">
      <c r="A1288" s="2">
        <v>12.87</v>
      </c>
      <c r="B1288" s="1">
        <f t="shared" si="292"/>
        <v>1.3489628825916516E-13</v>
      </c>
      <c r="C1288" s="1">
        <f t="shared" si="293"/>
        <v>7.4872334371392776E-2</v>
      </c>
      <c r="D1288" s="1">
        <f t="shared" si="294"/>
        <v>-7.4872333319294063E-2</v>
      </c>
      <c r="E1288" s="1">
        <f t="shared" si="295"/>
        <v>1.5812055553215677E-2</v>
      </c>
      <c r="F1288" s="1">
        <f t="shared" si="296"/>
        <v>0.99999974881141984</v>
      </c>
      <c r="G1288" s="1">
        <f t="shared" si="297"/>
        <v>18.878062679839065</v>
      </c>
      <c r="H1288" s="1">
        <f t="shared" si="305"/>
        <v>188.78062679839064</v>
      </c>
      <c r="S1288" s="2">
        <v>12.87</v>
      </c>
      <c r="T1288" s="1">
        <f t="shared" si="298"/>
        <v>1.3489628825916516E-13</v>
      </c>
      <c r="U1288" s="1">
        <f t="shared" si="299"/>
        <v>7.4872334371392776E-2</v>
      </c>
      <c r="V1288" s="1">
        <f t="shared" si="300"/>
        <v>0.21230849086094797</v>
      </c>
      <c r="W1288" s="1">
        <f t="shared" si="301"/>
        <v>-3.7436163620315988E-2</v>
      </c>
      <c r="X1288" s="1">
        <f t="shared" si="302"/>
        <v>5.1883185100121569E-8</v>
      </c>
      <c r="Y1288" s="1">
        <f t="shared" si="303"/>
        <v>-0.54477893786002218</v>
      </c>
      <c r="Z1288" s="1">
        <f t="shared" si="304"/>
        <v>-27.23894689300111</v>
      </c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</row>
    <row r="1289" spans="1:44" ht="15" customHeight="1" x14ac:dyDescent="0.3">
      <c r="A1289" s="2">
        <v>12.88</v>
      </c>
      <c r="B1289" s="1">
        <f t="shared" si="292"/>
        <v>1.3182567385564006E-13</v>
      </c>
      <c r="C1289" s="1">
        <f t="shared" si="293"/>
        <v>7.6616335077947934E-2</v>
      </c>
      <c r="D1289" s="1">
        <f t="shared" si="294"/>
        <v>-7.6616334121148127E-2</v>
      </c>
      <c r="E1289" s="1">
        <f t="shared" si="295"/>
        <v>1.6102722353524685E-2</v>
      </c>
      <c r="F1289" s="1">
        <f t="shared" si="296"/>
        <v>0.99999975452916856</v>
      </c>
      <c r="G1289" s="1">
        <f t="shared" si="297"/>
        <v>20.658936588836493</v>
      </c>
      <c r="H1289" s="1">
        <f t="shared" si="305"/>
        <v>206.58936588836491</v>
      </c>
      <c r="S1289" s="2">
        <v>12.88</v>
      </c>
      <c r="T1289" s="1">
        <f t="shared" si="298"/>
        <v>1.3182567385564006E-13</v>
      </c>
      <c r="U1289" s="1">
        <f t="shared" si="299"/>
        <v>7.6616335077947934E-2</v>
      </c>
      <c r="V1289" s="1">
        <f t="shared" si="300"/>
        <v>0.2149244920979361</v>
      </c>
      <c r="W1289" s="1">
        <f t="shared" si="301"/>
        <v>-3.8308164032645364E-2</v>
      </c>
      <c r="X1289" s="1">
        <f t="shared" si="302"/>
        <v>5.0702179681458097E-8</v>
      </c>
      <c r="Y1289" s="1">
        <f t="shared" si="303"/>
        <v>-0.55395376405406338</v>
      </c>
      <c r="Z1289" s="1">
        <f t="shared" si="304"/>
        <v>-27.697688202703169</v>
      </c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</row>
    <row r="1290" spans="1:44" ht="15" customHeight="1" x14ac:dyDescent="0.3">
      <c r="A1290" s="2">
        <v>12.89</v>
      </c>
      <c r="B1290" s="1">
        <f t="shared" si="292"/>
        <v>1.288249551693128E-13</v>
      </c>
      <c r="C1290" s="1">
        <f t="shared" si="293"/>
        <v>7.8400958779498223E-2</v>
      </c>
      <c r="D1290" s="1">
        <f t="shared" si="294"/>
        <v>-7.840095791582806E-2</v>
      </c>
      <c r="E1290" s="1">
        <f t="shared" si="295"/>
        <v>1.6400159652638007E-2</v>
      </c>
      <c r="F1290" s="1">
        <f t="shared" si="296"/>
        <v>0.99999976011676561</v>
      </c>
      <c r="G1290" s="1">
        <f t="shared" si="297"/>
        <v>22.779009720050844</v>
      </c>
      <c r="H1290" s="1">
        <f t="shared" si="305"/>
        <v>227.79009720050843</v>
      </c>
      <c r="S1290" s="2">
        <v>12.89</v>
      </c>
      <c r="T1290" s="1">
        <f t="shared" si="298"/>
        <v>1.288249551693128E-13</v>
      </c>
      <c r="U1290" s="1">
        <f t="shared" si="299"/>
        <v>7.8400958779498223E-2</v>
      </c>
      <c r="V1290" s="1">
        <f t="shared" si="300"/>
        <v>0.2176014278233844</v>
      </c>
      <c r="W1290" s="1">
        <f t="shared" si="301"/>
        <v>-3.9200475941128132E-2</v>
      </c>
      <c r="X1290" s="1">
        <f t="shared" si="302"/>
        <v>4.9548057225494825E-8</v>
      </c>
      <c r="Y1290" s="1">
        <f t="shared" si="303"/>
        <v>-0.56322330331265724</v>
      </c>
      <c r="Z1290" s="1">
        <f t="shared" si="304"/>
        <v>-28.161165165632863</v>
      </c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</row>
    <row r="1291" spans="1:44" ht="15" customHeight="1" x14ac:dyDescent="0.3">
      <c r="A1291" s="2">
        <v>12.9</v>
      </c>
      <c r="B1291" s="1">
        <f t="shared" si="292"/>
        <v>1.2589254117941612E-13</v>
      </c>
      <c r="C1291" s="1">
        <f t="shared" si="293"/>
        <v>8.0227151707152805E-2</v>
      </c>
      <c r="D1291" s="1">
        <f t="shared" si="294"/>
        <v>-8.0227150934492369E-2</v>
      </c>
      <c r="E1291" s="1">
        <f t="shared" si="295"/>
        <v>1.6704525155748728E-2</v>
      </c>
      <c r="F1291" s="1">
        <f t="shared" si="296"/>
        <v>0.99999976557717341</v>
      </c>
      <c r="G1291" s="1">
        <f t="shared" si="297"/>
        <v>25.344640674300127</v>
      </c>
      <c r="H1291" s="1">
        <f t="shared" si="305"/>
        <v>253.44640674300126</v>
      </c>
      <c r="S1291" s="2">
        <v>12.9</v>
      </c>
      <c r="T1291" s="1">
        <f t="shared" si="298"/>
        <v>1.2589254117941612E-13</v>
      </c>
      <c r="U1291" s="1">
        <f t="shared" si="299"/>
        <v>8.0227151707152805E-2</v>
      </c>
      <c r="V1291" s="1">
        <f t="shared" si="300"/>
        <v>0.22034071738404831</v>
      </c>
      <c r="W1291" s="1">
        <f t="shared" si="301"/>
        <v>-4.0113572461349438E-2</v>
      </c>
      <c r="X1291" s="1">
        <f t="shared" si="302"/>
        <v>4.842020580141284E-8</v>
      </c>
      <c r="Y1291" s="1">
        <f t="shared" si="303"/>
        <v>-0.57258653471868093</v>
      </c>
      <c r="Z1291" s="1">
        <f t="shared" si="304"/>
        <v>-28.629326735934047</v>
      </c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</row>
    <row r="1292" spans="1:44" ht="15" customHeight="1" x14ac:dyDescent="0.3">
      <c r="A1292" s="2">
        <v>12.91</v>
      </c>
      <c r="B1292" s="1">
        <f t="shared" si="292"/>
        <v>1.2302687708123759E-13</v>
      </c>
      <c r="C1292" s="1">
        <f t="shared" si="293"/>
        <v>8.2095882132574391E-2</v>
      </c>
      <c r="D1292" s="1">
        <f t="shared" si="294"/>
        <v>-8.2095881448852076E-2</v>
      </c>
      <c r="E1292" s="1">
        <f t="shared" si="295"/>
        <v>1.7015980241475347E-2</v>
      </c>
      <c r="F1292" s="1">
        <f t="shared" si="296"/>
        <v>0.99999977091328718</v>
      </c>
      <c r="G1292" s="1">
        <f t="shared" si="297"/>
        <v>28.511842444850828</v>
      </c>
      <c r="H1292" s="1">
        <f t="shared" si="305"/>
        <v>285.11842444850828</v>
      </c>
      <c r="S1292" s="2">
        <v>12.91</v>
      </c>
      <c r="T1292" s="1">
        <f t="shared" si="298"/>
        <v>1.2302687708123759E-13</v>
      </c>
      <c r="U1292" s="1">
        <f t="shared" si="299"/>
        <v>8.2095882132574391E-2</v>
      </c>
      <c r="V1292" s="1">
        <f t="shared" si="300"/>
        <v>0.22314381318751178</v>
      </c>
      <c r="W1292" s="1">
        <f t="shared" si="301"/>
        <v>-4.1047937729170592E-2</v>
      </c>
      <c r="X1292" s="1">
        <f t="shared" si="302"/>
        <v>4.7318027407634016E-8</v>
      </c>
      <c r="Y1292" s="1">
        <f t="shared" si="303"/>
        <v>-0.58204236644689822</v>
      </c>
      <c r="Z1292" s="1">
        <f t="shared" si="304"/>
        <v>-29.102118322344907</v>
      </c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</row>
    <row r="1293" spans="1:44" ht="15" customHeight="1" x14ac:dyDescent="0.3">
      <c r="A1293" s="2">
        <v>12.92</v>
      </c>
      <c r="B1293" s="1">
        <f t="shared" si="292"/>
        <v>1.2022644346174119E-13</v>
      </c>
      <c r="C1293" s="1">
        <f t="shared" si="293"/>
        <v>8.4008140881369833E-2</v>
      </c>
      <c r="D1293" s="1">
        <f t="shared" si="294"/>
        <v>-8.4008140284561175E-2</v>
      </c>
      <c r="E1293" s="1">
        <f t="shared" si="295"/>
        <v>1.7334690047426861E-2</v>
      </c>
      <c r="F1293" s="1">
        <f t="shared" si="296"/>
        <v>0.99999977612793622</v>
      </c>
      <c r="G1293" s="1">
        <f t="shared" si="297"/>
        <v>32.519088503555899</v>
      </c>
      <c r="H1293" s="1">
        <f t="shared" si="305"/>
        <v>325.19088503555895</v>
      </c>
      <c r="S1293" s="2">
        <v>12.92</v>
      </c>
      <c r="T1293" s="1">
        <f t="shared" si="298"/>
        <v>1.2022644346174119E-13</v>
      </c>
      <c r="U1293" s="1">
        <f t="shared" si="299"/>
        <v>8.4008140881369833E-2</v>
      </c>
      <c r="V1293" s="1">
        <f t="shared" si="300"/>
        <v>0.22601220147227258</v>
      </c>
      <c r="W1293" s="1">
        <f t="shared" si="301"/>
        <v>-4.2004067157424198E-2</v>
      </c>
      <c r="X1293" s="1">
        <f t="shared" si="302"/>
        <v>4.6240937654752968E-8</v>
      </c>
      <c r="Y1293" s="1">
        <f t="shared" si="303"/>
        <v>-0.59158963539908949</v>
      </c>
      <c r="Z1293" s="1">
        <f t="shared" si="304"/>
        <v>-29.579481769954477</v>
      </c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</row>
    <row r="1294" spans="1:44" ht="15" customHeight="1" x14ac:dyDescent="0.3">
      <c r="A1294" s="2">
        <v>12.93</v>
      </c>
      <c r="B1294" s="1">
        <f t="shared" si="292"/>
        <v>1.1748975549395285E-13</v>
      </c>
      <c r="C1294" s="1">
        <f t="shared" si="293"/>
        <v>8.5964941858440086E-2</v>
      </c>
      <c r="D1294" s="1">
        <f t="shared" si="294"/>
        <v>-8.5964941346566667E-2</v>
      </c>
      <c r="E1294" s="1">
        <f t="shared" si="295"/>
        <v>1.7660823557761111E-2</v>
      </c>
      <c r="F1294" s="1">
        <f t="shared" si="296"/>
        <v>0.99999978122388544</v>
      </c>
      <c r="G1294" s="1">
        <f t="shared" si="297"/>
        <v>37.750088532991242</v>
      </c>
      <c r="H1294" s="1">
        <f t="shared" si="305"/>
        <v>377.50088532991242</v>
      </c>
      <c r="S1294" s="2">
        <v>12.93</v>
      </c>
      <c r="T1294" s="1">
        <f t="shared" si="298"/>
        <v>1.1748975549395285E-13</v>
      </c>
      <c r="U1294" s="1">
        <f t="shared" si="299"/>
        <v>8.5964941858440086E-2</v>
      </c>
      <c r="V1294" s="1">
        <f t="shared" si="300"/>
        <v>0.22894740309576789</v>
      </c>
      <c r="W1294" s="1">
        <f t="shared" si="301"/>
        <v>-4.2982467698589301E-2</v>
      </c>
      <c r="X1294" s="1">
        <f t="shared" si="302"/>
        <v>4.5188365455685708E-8</v>
      </c>
      <c r="Y1294" s="1">
        <f t="shared" si="303"/>
        <v>-0.60122710693729864</v>
      </c>
      <c r="Z1294" s="1">
        <f t="shared" si="304"/>
        <v>-30.061355346864932</v>
      </c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</row>
    <row r="1295" spans="1:44" ht="15" customHeight="1" x14ac:dyDescent="0.3">
      <c r="A1295" s="2">
        <v>12.94</v>
      </c>
      <c r="B1295" s="1">
        <f t="shared" si="292"/>
        <v>1.1481536214968819E-13</v>
      </c>
      <c r="C1295" s="1">
        <f t="shared" si="293"/>
        <v>8.7967322585564209E-2</v>
      </c>
      <c r="D1295" s="1">
        <f t="shared" si="294"/>
        <v>-8.7967322156692673E-2</v>
      </c>
      <c r="E1295" s="1">
        <f t="shared" si="295"/>
        <v>1.7994553692782109E-2</v>
      </c>
      <c r="F1295" s="1">
        <f t="shared" si="296"/>
        <v>0.99999978620383678</v>
      </c>
      <c r="G1295" s="1">
        <f t="shared" si="297"/>
        <v>44.864212090887527</v>
      </c>
      <c r="H1295" s="1">
        <f t="shared" si="305"/>
        <v>448.64212090887526</v>
      </c>
      <c r="S1295" s="2">
        <v>12.94</v>
      </c>
      <c r="T1295" s="1">
        <f t="shared" si="298"/>
        <v>1.1481536214968819E-13</v>
      </c>
      <c r="U1295" s="1">
        <f t="shared" si="299"/>
        <v>8.7967322585564209E-2</v>
      </c>
      <c r="V1295" s="1">
        <f t="shared" si="300"/>
        <v>0.23195097434074999</v>
      </c>
      <c r="W1295" s="1">
        <f t="shared" si="301"/>
        <v>-4.3983658113583332E-2</v>
      </c>
      <c r="X1295" s="1">
        <f t="shared" si="302"/>
        <v>4.4159752722873144E-8</v>
      </c>
      <c r="Y1295" s="1">
        <f t="shared" si="303"/>
        <v>-0.61095347471844708</v>
      </c>
      <c r="Z1295" s="1">
        <f t="shared" si="304"/>
        <v>-30.547673735922352</v>
      </c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</row>
    <row r="1296" spans="1:44" ht="15" customHeight="1" x14ac:dyDescent="0.3">
      <c r="A1296" s="2">
        <v>12.95</v>
      </c>
      <c r="B1296" s="1">
        <f t="shared" si="292"/>
        <v>1.1220184543019628E-13</v>
      </c>
      <c r="C1296" s="1">
        <f t="shared" si="293"/>
        <v>9.001634475150834E-2</v>
      </c>
      <c r="D1296" s="1">
        <f t="shared" si="294"/>
        <v>-9.0016344403749324E-2</v>
      </c>
      <c r="E1296" s="1">
        <f t="shared" si="295"/>
        <v>1.833605740062489E-2</v>
      </c>
      <c r="F1296" s="1">
        <f t="shared" si="296"/>
        <v>0.99999979107043069</v>
      </c>
      <c r="G1296" s="1">
        <f t="shared" si="297"/>
        <v>55.098226968619379</v>
      </c>
      <c r="H1296" s="1">
        <f t="shared" si="305"/>
        <v>550.98226968619372</v>
      </c>
      <c r="S1296" s="2">
        <v>12.95</v>
      </c>
      <c r="T1296" s="1">
        <f t="shared" si="298"/>
        <v>1.1220184543019628E-13</v>
      </c>
      <c r="U1296" s="1">
        <f t="shared" si="299"/>
        <v>9.001634475150834E-2</v>
      </c>
      <c r="V1296" s="1">
        <f t="shared" si="300"/>
        <v>0.23502450774044989</v>
      </c>
      <c r="W1296" s="1">
        <f t="shared" si="301"/>
        <v>-4.500816924681663E-2</v>
      </c>
      <c r="X1296" s="1">
        <f t="shared" si="302"/>
        <v>4.3154554072375255E-8</v>
      </c>
      <c r="Y1296" s="1">
        <f t="shared" si="303"/>
        <v>-0.62076736063343818</v>
      </c>
      <c r="Z1296" s="1">
        <f t="shared" si="304"/>
        <v>-31.038368031671911</v>
      </c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</row>
    <row r="1297" spans="1:44" ht="15" customHeight="1" x14ac:dyDescent="0.3">
      <c r="A1297" s="2">
        <v>12.96</v>
      </c>
      <c r="B1297" s="1">
        <f t="shared" si="292"/>
        <v>1.0964781961431805E-13</v>
      </c>
      <c r="C1297" s="1">
        <f t="shared" si="293"/>
        <v>9.2113094774947266E-2</v>
      </c>
      <c r="D1297" s="1">
        <f t="shared" si="294"/>
        <v>-9.2113094506454427E-2</v>
      </c>
      <c r="E1297" s="1">
        <f t="shared" si="295"/>
        <v>1.868551575107574E-2</v>
      </c>
      <c r="F1297" s="1">
        <f t="shared" si="296"/>
        <v>0.9999997958262471</v>
      </c>
      <c r="G1297" s="1">
        <f t="shared" si="297"/>
        <v>71.075464640856126</v>
      </c>
      <c r="H1297" s="1">
        <f t="shared" si="305"/>
        <v>710.75464640856126</v>
      </c>
      <c r="S1297" s="2">
        <v>12.96</v>
      </c>
      <c r="T1297" s="1">
        <f t="shared" si="298"/>
        <v>1.0964781961431805E-13</v>
      </c>
      <c r="U1297" s="1">
        <f t="shared" si="299"/>
        <v>9.2113094774947266E-2</v>
      </c>
      <c r="V1297" s="1">
        <f t="shared" si="300"/>
        <v>0.23816963292295973</v>
      </c>
      <c r="W1297" s="1">
        <f t="shared" si="301"/>
        <v>-4.6056544307653248E-2</v>
      </c>
      <c r="X1297" s="1">
        <f t="shared" si="302"/>
        <v>4.2172236534701636E-8</v>
      </c>
      <c r="Y1297" s="1">
        <f t="shared" si="303"/>
        <v>-0.63066731485362026</v>
      </c>
      <c r="Z1297" s="1">
        <f t="shared" si="304"/>
        <v>-31.533365742681013</v>
      </c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</row>
    <row r="1298" spans="1:44" ht="15" customHeight="1" x14ac:dyDescent="0.3">
      <c r="A1298" s="2">
        <v>12.97</v>
      </c>
      <c r="B1298" s="1">
        <f t="shared" si="292"/>
        <v>1.0715193052376022E-13</v>
      </c>
      <c r="C1298" s="1">
        <f t="shared" si="293"/>
        <v>9.4258684380496463E-2</v>
      </c>
      <c r="D1298" s="1">
        <f t="shared" si="294"/>
        <v>-9.4258684189465508E-2</v>
      </c>
      <c r="E1298" s="1">
        <f t="shared" si="295"/>
        <v>1.9043114031577581E-2</v>
      </c>
      <c r="F1298" s="1">
        <f t="shared" si="296"/>
        <v>0.99999980047380821</v>
      </c>
      <c r="G1298" s="1">
        <f t="shared" si="297"/>
        <v>99.505660339932007</v>
      </c>
      <c r="H1298" s="1">
        <f t="shared" si="305"/>
        <v>995.05660339932001</v>
      </c>
      <c r="S1298" s="2">
        <v>12.97</v>
      </c>
      <c r="T1298" s="1">
        <f t="shared" si="298"/>
        <v>1.0715193052376022E-13</v>
      </c>
      <c r="U1298" s="1">
        <f t="shared" si="299"/>
        <v>9.4258684380496463E-2</v>
      </c>
      <c r="V1298" s="1">
        <f t="shared" si="300"/>
        <v>0.24138801747528088</v>
      </c>
      <c r="W1298" s="1">
        <f t="shared" si="301"/>
        <v>-4.7129339158426958E-2</v>
      </c>
      <c r="X1298" s="1">
        <f t="shared" si="302"/>
        <v>4.1212279272224972E-8</v>
      </c>
      <c r="Y1298" s="1">
        <f t="shared" si="303"/>
        <v>-0.64065181598727494</v>
      </c>
      <c r="Z1298" s="1">
        <f t="shared" si="304"/>
        <v>-32.032590799363746</v>
      </c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</row>
    <row r="1299" spans="1:44" ht="15" customHeight="1" x14ac:dyDescent="0.3">
      <c r="A1299" s="2">
        <v>12.98</v>
      </c>
      <c r="B1299" s="1">
        <f t="shared" si="292"/>
        <v>1.0471285480508955E-13</v>
      </c>
      <c r="C1299" s="1">
        <f t="shared" si="293"/>
        <v>9.6454251188165391E-2</v>
      </c>
      <c r="D1299" s="1">
        <f t="shared" si="294"/>
        <v>-9.645425107283305E-2</v>
      </c>
      <c r="E1299" s="1">
        <f t="shared" si="295"/>
        <v>1.9409041845472173E-2</v>
      </c>
      <c r="F1299" s="1">
        <f t="shared" si="296"/>
        <v>0.99999980501557795</v>
      </c>
      <c r="G1299" s="1">
        <f t="shared" si="297"/>
        <v>164.21671904146882</v>
      </c>
      <c r="H1299" s="1">
        <f t="shared" si="305"/>
        <v>1642.1671904146881</v>
      </c>
      <c r="S1299" s="2">
        <v>12.98</v>
      </c>
      <c r="T1299" s="1">
        <f t="shared" si="298"/>
        <v>1.0471285480508955E-13</v>
      </c>
      <c r="U1299" s="1">
        <f t="shared" si="299"/>
        <v>9.6454251188165391E-2</v>
      </c>
      <c r="V1299" s="1">
        <f t="shared" si="300"/>
        <v>0.24468136782750377</v>
      </c>
      <c r="W1299" s="1">
        <f t="shared" si="301"/>
        <v>-4.8227122609167915E-2</v>
      </c>
      <c r="X1299" s="1">
        <f t="shared" si="302"/>
        <v>4.0274173303025341E-8</v>
      </c>
      <c r="Y1299" s="1">
        <f t="shared" si="303"/>
        <v>-0.65071927134858987</v>
      </c>
      <c r="Z1299" s="1">
        <f t="shared" si="304"/>
        <v>-32.535963567429491</v>
      </c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</row>
    <row r="1300" spans="1:44" ht="15" customHeight="1" x14ac:dyDescent="0.3">
      <c r="A1300" s="2">
        <v>12.99</v>
      </c>
      <c r="B1300" s="1">
        <f t="shared" si="292"/>
        <v>1.0232929922807502E-13</v>
      </c>
      <c r="C1300" s="1">
        <f t="shared" si="293"/>
        <v>9.8700959316537246E-2</v>
      </c>
      <c r="D1300" s="1">
        <f t="shared" si="294"/>
        <v>-9.8700959275180397E-2</v>
      </c>
      <c r="E1300" s="1">
        <f t="shared" si="295"/>
        <v>1.9783493212530066E-2</v>
      </c>
      <c r="F1300" s="1">
        <f t="shared" si="296"/>
        <v>0.99999980945396449</v>
      </c>
      <c r="G1300" s="1">
        <f t="shared" si="297"/>
        <v>456.87928410275464</v>
      </c>
      <c r="H1300" s="1">
        <f t="shared" si="305"/>
        <v>4568.7928410275463</v>
      </c>
      <c r="S1300" s="2">
        <v>12.99</v>
      </c>
      <c r="T1300" s="1">
        <f t="shared" si="298"/>
        <v>1.0232929922807502E-13</v>
      </c>
      <c r="U1300" s="1">
        <f t="shared" si="299"/>
        <v>9.8700959316537246E-2</v>
      </c>
      <c r="V1300" s="1">
        <f t="shared" si="300"/>
        <v>0.24805143015757791</v>
      </c>
      <c r="W1300" s="1">
        <f t="shared" si="301"/>
        <v>-4.935047671919264E-2</v>
      </c>
      <c r="X1300" s="1">
        <f t="shared" si="302"/>
        <v>3.9357421231022186E-8</v>
      </c>
      <c r="Y1300" s="1">
        <f t="shared" si="303"/>
        <v>-0.66086801734126288</v>
      </c>
      <c r="Z1300" s="1">
        <f t="shared" si="304"/>
        <v>-33.043400867063141</v>
      </c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</row>
    <row r="1301" spans="1:44" ht="15" customHeight="1" x14ac:dyDescent="0.3">
      <c r="A1301" s="2">
        <v>13</v>
      </c>
      <c r="B1301" s="1">
        <f t="shared" si="292"/>
        <v>1E-13</v>
      </c>
      <c r="C1301" s="1">
        <f t="shared" si="293"/>
        <v>0.10099999999999999</v>
      </c>
      <c r="D1301" s="1">
        <f t="shared" si="294"/>
        <v>-0.10100000003093478</v>
      </c>
      <c r="E1301" s="1">
        <f t="shared" si="295"/>
        <v>2.0166666671822462E-2</v>
      </c>
      <c r="F1301" s="1">
        <f t="shared" si="296"/>
        <v>0.99999981379132097</v>
      </c>
      <c r="G1301" s="1">
        <f t="shared" si="297"/>
        <v>-604.99998143913695</v>
      </c>
      <c r="H1301" s="1">
        <f t="shared" si="305"/>
        <v>-6049.999814391369</v>
      </c>
      <c r="S1301" s="2">
        <v>13</v>
      </c>
      <c r="T1301" s="1">
        <f t="shared" si="298"/>
        <v>1E-13</v>
      </c>
      <c r="U1301" s="1">
        <f t="shared" si="299"/>
        <v>0.10099999999999999</v>
      </c>
      <c r="V1301" s="1">
        <f t="shared" si="300"/>
        <v>0.25149999131715817</v>
      </c>
      <c r="W1301" s="1">
        <f t="shared" si="301"/>
        <v>-5.0499997105719389E-2</v>
      </c>
      <c r="X1301" s="1">
        <f t="shared" si="302"/>
        <v>3.8461536982248577E-8</v>
      </c>
      <c r="Y1301" s="1">
        <f t="shared" si="303"/>
        <v>-0.67109631995867014</v>
      </c>
      <c r="Z1301" s="1">
        <f t="shared" si="304"/>
        <v>-33.554815997933503</v>
      </c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</row>
    <row r="1302" spans="1:44" ht="15" customHeight="1" x14ac:dyDescent="0.3">
      <c r="A1302" s="2">
        <v>13.01</v>
      </c>
      <c r="B1302" s="1">
        <f t="shared" si="292"/>
        <v>9.772372209558072E-14</v>
      </c>
      <c r="C1302" s="1">
        <f t="shared" si="293"/>
        <v>0.10335259222035653</v>
      </c>
      <c r="D1302" s="1">
        <f t="shared" si="294"/>
        <v>-0.10335259232193736</v>
      </c>
      <c r="E1302" s="1">
        <f t="shared" si="295"/>
        <v>2.0558765386989558E-2</v>
      </c>
      <c r="F1302" s="1">
        <f t="shared" si="296"/>
        <v>0.9999998180299472</v>
      </c>
      <c r="G1302" s="1">
        <f t="shared" si="297"/>
        <v>-183.96598881825261</v>
      </c>
      <c r="H1302" s="1">
        <f t="shared" si="305"/>
        <v>-1839.6598881825259</v>
      </c>
      <c r="S1302" s="2">
        <v>13.01</v>
      </c>
      <c r="T1302" s="1">
        <f t="shared" si="298"/>
        <v>9.772372209558072E-14</v>
      </c>
      <c r="U1302" s="1">
        <f t="shared" si="299"/>
        <v>0.10335259222035653</v>
      </c>
      <c r="V1302" s="1">
        <f t="shared" si="300"/>
        <v>0.25502887977902006</v>
      </c>
      <c r="W1302" s="1">
        <f t="shared" si="301"/>
        <v>-5.1676293259673364E-2</v>
      </c>
      <c r="X1302" s="1">
        <f t="shared" si="302"/>
        <v>3.7586045547127864E-8</v>
      </c>
      <c r="Y1302" s="1">
        <f t="shared" si="303"/>
        <v>-0.68140237540223025</v>
      </c>
      <c r="Z1302" s="1">
        <f t="shared" si="304"/>
        <v>-34.070118770111513</v>
      </c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</row>
    <row r="1303" spans="1:44" ht="15" customHeight="1" x14ac:dyDescent="0.3">
      <c r="A1303" s="2">
        <v>13.02</v>
      </c>
      <c r="B1303" s="1">
        <f t="shared" si="292"/>
        <v>9.5499258602143264E-14</v>
      </c>
      <c r="C1303" s="1">
        <f t="shared" si="293"/>
        <v>0.10575998335314121</v>
      </c>
      <c r="D1303" s="1">
        <f t="shared" si="294"/>
        <v>-0.10575998352376001</v>
      </c>
      <c r="E1303" s="1">
        <f t="shared" si="295"/>
        <v>2.0959997253960003E-2</v>
      </c>
      <c r="F1303" s="1">
        <f t="shared" si="296"/>
        <v>0.9999998221720906</v>
      </c>
      <c r="G1303" s="1">
        <f t="shared" si="297"/>
        <v>-109.16696463192852</v>
      </c>
      <c r="H1303" s="1">
        <f t="shared" si="305"/>
        <v>-1091.6696463192852</v>
      </c>
      <c r="S1303" s="2">
        <v>13.02</v>
      </c>
      <c r="T1303" s="1">
        <f t="shared" si="298"/>
        <v>9.5499258602143264E-14</v>
      </c>
      <c r="U1303" s="1">
        <f t="shared" si="299"/>
        <v>0.10575998335314121</v>
      </c>
      <c r="V1303" s="1">
        <f t="shared" si="300"/>
        <v>0.25863996660653488</v>
      </c>
      <c r="W1303" s="1">
        <f t="shared" si="301"/>
        <v>-5.2879988868844964E-2</v>
      </c>
      <c r="X1303" s="1">
        <f t="shared" si="302"/>
        <v>3.6730482728618999E-8</v>
      </c>
      <c r="Y1303" s="1">
        <f t="shared" si="303"/>
        <v>-0.69178431081925917</v>
      </c>
      <c r="Z1303" s="1">
        <f t="shared" si="304"/>
        <v>-34.589215540962961</v>
      </c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</row>
    <row r="1304" spans="1:44" ht="15" customHeight="1" x14ac:dyDescent="0.3">
      <c r="A1304" s="2">
        <v>13.03</v>
      </c>
      <c r="B1304" s="1">
        <f t="shared" si="292"/>
        <v>9.3325430079699117E-14</v>
      </c>
      <c r="C1304" s="1">
        <f t="shared" si="293"/>
        <v>0.10822344982899823</v>
      </c>
      <c r="D1304" s="1">
        <f t="shared" si="294"/>
        <v>-0.1082234500670835</v>
      </c>
      <c r="E1304" s="1">
        <f t="shared" si="295"/>
        <v>2.1370575011180584E-2</v>
      </c>
      <c r="F1304" s="1">
        <f t="shared" si="296"/>
        <v>0.99999982621994732</v>
      </c>
      <c r="G1304" s="1">
        <f t="shared" si="297"/>
        <v>-77.962077364785856</v>
      </c>
      <c r="H1304" s="1">
        <f t="shared" si="305"/>
        <v>-779.62077364785853</v>
      </c>
      <c r="S1304" s="2">
        <v>13.03</v>
      </c>
      <c r="T1304" s="1">
        <f t="shared" si="298"/>
        <v>9.3325430079699117E-14</v>
      </c>
      <c r="U1304" s="1">
        <f t="shared" si="299"/>
        <v>0.10822344982899823</v>
      </c>
      <c r="V1304" s="1">
        <f t="shared" si="300"/>
        <v>0.26233516644573684</v>
      </c>
      <c r="W1304" s="1">
        <f t="shared" si="301"/>
        <v>-5.4111722148578963E-2</v>
      </c>
      <c r="X1304" s="1">
        <f t="shared" si="302"/>
        <v>3.5894394896092027E-8</v>
      </c>
      <c r="Y1304" s="1">
        <f t="shared" si="303"/>
        <v>-0.70224018516138442</v>
      </c>
      <c r="Z1304" s="1">
        <f t="shared" si="304"/>
        <v>-35.112009258069222</v>
      </c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</row>
    <row r="1305" spans="1:44" ht="15" customHeight="1" x14ac:dyDescent="0.3">
      <c r="A1305" s="2">
        <v>13.04</v>
      </c>
      <c r="B1305" s="1">
        <f t="shared" si="292"/>
        <v>9.1201083935590996E-14</v>
      </c>
      <c r="C1305" s="1">
        <f t="shared" si="293"/>
        <v>0.11074429781046165</v>
      </c>
      <c r="D1305" s="1">
        <f t="shared" si="294"/>
        <v>-0.11074429811447765</v>
      </c>
      <c r="E1305" s="1">
        <f t="shared" si="295"/>
        <v>2.1790716352412941E-2</v>
      </c>
      <c r="F1305" s="1">
        <f t="shared" si="296"/>
        <v>0.99999983017566363</v>
      </c>
      <c r="G1305" s="1">
        <f t="shared" si="297"/>
        <v>-60.843573363951677</v>
      </c>
      <c r="H1305" s="1">
        <f t="shared" si="305"/>
        <v>-608.43573363951668</v>
      </c>
      <c r="S1305" s="2">
        <v>13.04</v>
      </c>
      <c r="T1305" s="1">
        <f t="shared" si="298"/>
        <v>9.1201083935590996E-14</v>
      </c>
      <c r="U1305" s="1">
        <f t="shared" si="299"/>
        <v>0.11074429781046165</v>
      </c>
      <c r="V1305" s="1">
        <f t="shared" si="300"/>
        <v>0.26611643854049344</v>
      </c>
      <c r="W1305" s="1">
        <f t="shared" si="301"/>
        <v>-5.5372146180164478E-2</v>
      </c>
      <c r="X1305" s="1">
        <f t="shared" si="302"/>
        <v>3.5077338744807571E-8</v>
      </c>
      <c r="Y1305" s="1">
        <f t="shared" si="303"/>
        <v>-0.71276799016416692</v>
      </c>
      <c r="Z1305" s="1">
        <f t="shared" si="304"/>
        <v>-35.638399508208337</v>
      </c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</row>
    <row r="1306" spans="1:44" ht="15" customHeight="1" x14ac:dyDescent="0.3">
      <c r="A1306" s="2">
        <v>13.05</v>
      </c>
      <c r="B1306" s="1">
        <f t="shared" si="292"/>
        <v>8.9125093813374273E-14</v>
      </c>
      <c r="C1306" s="1">
        <f t="shared" si="293"/>
        <v>0.11332386388449865</v>
      </c>
      <c r="D1306" s="1">
        <f t="shared" si="294"/>
        <v>-0.11332386425294463</v>
      </c>
      <c r="E1306" s="1">
        <f t="shared" si="295"/>
        <v>2.2220644042157442E-2</v>
      </c>
      <c r="F1306" s="1">
        <f t="shared" si="296"/>
        <v>0.99999983404133674</v>
      </c>
      <c r="G1306" s="1">
        <f t="shared" si="297"/>
        <v>-50.031980858510877</v>
      </c>
      <c r="H1306" s="1">
        <f t="shared" si="305"/>
        <v>-500.31980858510877</v>
      </c>
      <c r="S1306" s="2">
        <v>13.05</v>
      </c>
      <c r="T1306" s="1">
        <f t="shared" si="298"/>
        <v>8.9125093813374273E-14</v>
      </c>
      <c r="U1306" s="1">
        <f t="shared" si="299"/>
        <v>0.11332386388449865</v>
      </c>
      <c r="V1306" s="1">
        <f t="shared" si="300"/>
        <v>0.26998578777132076</v>
      </c>
      <c r="W1306" s="1">
        <f t="shared" si="301"/>
        <v>-5.6661929257106926E-2</v>
      </c>
      <c r="X1306" s="1">
        <f t="shared" si="302"/>
        <v>3.4278881060871451E-8</v>
      </c>
      <c r="Y1306" s="1">
        <f t="shared" si="303"/>
        <v>-0.72336565144829501</v>
      </c>
      <c r="Z1306" s="1">
        <f t="shared" si="304"/>
        <v>-36.168282572414746</v>
      </c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</row>
    <row r="1307" spans="1:44" ht="15" customHeight="1" x14ac:dyDescent="0.3">
      <c r="A1307" s="2">
        <v>13.06</v>
      </c>
      <c r="B1307" s="1">
        <f t="shared" si="292"/>
        <v>8.7096358995607795E-14</v>
      </c>
      <c r="C1307" s="1">
        <f t="shared" si="293"/>
        <v>0.11596351577118551</v>
      </c>
      <c r="D1307" s="1">
        <f t="shared" si="294"/>
        <v>-0.11596351620259486</v>
      </c>
      <c r="E1307" s="1">
        <f t="shared" si="295"/>
        <v>2.266058603376581E-2</v>
      </c>
      <c r="F1307" s="1">
        <f t="shared" si="296"/>
        <v>0.99999983781901658</v>
      </c>
      <c r="G1307" s="1">
        <f t="shared" si="297"/>
        <v>-42.585704326373303</v>
      </c>
      <c r="H1307" s="1">
        <f t="shared" si="305"/>
        <v>-425.85704326373303</v>
      </c>
      <c r="S1307" s="2">
        <v>13.06</v>
      </c>
      <c r="T1307" s="1">
        <f t="shared" si="298"/>
        <v>8.7096358995607795E-14</v>
      </c>
      <c r="U1307" s="1">
        <f t="shared" si="299"/>
        <v>0.11596351577118551</v>
      </c>
      <c r="V1307" s="1">
        <f t="shared" si="300"/>
        <v>0.2739452657183965</v>
      </c>
      <c r="W1307" s="1">
        <f t="shared" si="301"/>
        <v>-5.7981755239465499E-2</v>
      </c>
      <c r="X1307" s="1">
        <f t="shared" si="302"/>
        <v>3.3498598491539167E-8</v>
      </c>
      <c r="Y1307" s="1">
        <f t="shared" si="303"/>
        <v>-0.73403102974236423</v>
      </c>
      <c r="Z1307" s="1">
        <f t="shared" si="304"/>
        <v>-36.701551487118209</v>
      </c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</row>
    <row r="1308" spans="1:44" ht="15" customHeight="1" x14ac:dyDescent="0.3">
      <c r="A1308" s="2">
        <v>13.07</v>
      </c>
      <c r="B1308" s="1">
        <f t="shared" si="292"/>
        <v>8.511380382023738E-14</v>
      </c>
      <c r="C1308" s="1">
        <f t="shared" si="293"/>
        <v>0.11866465304889284</v>
      </c>
      <c r="D1308" s="1">
        <f t="shared" si="294"/>
        <v>-0.11866465354183237</v>
      </c>
      <c r="E1308" s="1">
        <f t="shared" si="295"/>
        <v>2.3110775590305395E-2</v>
      </c>
      <c r="F1308" s="1">
        <f t="shared" si="296"/>
        <v>0.99999984151070587</v>
      </c>
      <c r="G1308" s="1">
        <f t="shared" si="297"/>
        <v>-37.146323994455258</v>
      </c>
      <c r="H1308" s="1">
        <f t="shared" si="305"/>
        <v>-371.46323994455258</v>
      </c>
      <c r="S1308" s="2">
        <v>13.07</v>
      </c>
      <c r="T1308" s="1">
        <f t="shared" si="298"/>
        <v>8.511380382023738E-14</v>
      </c>
      <c r="U1308" s="1">
        <f t="shared" si="299"/>
        <v>0.11866465304889284</v>
      </c>
      <c r="V1308" s="1">
        <f t="shared" si="300"/>
        <v>0.27799697174933874</v>
      </c>
      <c r="W1308" s="1">
        <f t="shared" si="301"/>
        <v>-5.9332323916446252E-2</v>
      </c>
      <c r="X1308" s="1">
        <f t="shared" si="302"/>
        <v>3.27360773207482E-8</v>
      </c>
      <c r="Y1308" s="1">
        <f t="shared" si="303"/>
        <v>-0.74476192222690563</v>
      </c>
      <c r="Z1308" s="1">
        <f t="shared" si="304"/>
        <v>-37.238096111345286</v>
      </c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</row>
    <row r="1309" spans="1:44" ht="15" customHeight="1" x14ac:dyDescent="0.3">
      <c r="A1309" s="2">
        <v>13.08</v>
      </c>
      <c r="B1309" s="1">
        <f t="shared" si="292"/>
        <v>8.3176377110266858E-14</v>
      </c>
      <c r="C1309" s="1">
        <f t="shared" si="293"/>
        <v>0.12142870789635905</v>
      </c>
      <c r="D1309" s="1">
        <f t="shared" si="294"/>
        <v>-0.12142870844942812</v>
      </c>
      <c r="E1309" s="1">
        <f t="shared" si="295"/>
        <v>2.3571451408238017E-2</v>
      </c>
      <c r="F1309" s="1">
        <f t="shared" si="296"/>
        <v>0.99999984511836204</v>
      </c>
      <c r="G1309" s="1">
        <f t="shared" si="297"/>
        <v>-32.999820960558772</v>
      </c>
      <c r="H1309" s="1">
        <f t="shared" si="305"/>
        <v>-329.9982096055877</v>
      </c>
      <c r="S1309" s="2">
        <v>13.08</v>
      </c>
      <c r="T1309" s="1">
        <f t="shared" si="298"/>
        <v>8.3176377110266858E-14</v>
      </c>
      <c r="U1309" s="1">
        <f t="shared" si="299"/>
        <v>0.12142870789635905</v>
      </c>
      <c r="V1309" s="1">
        <f t="shared" si="300"/>
        <v>0.2821430541323155</v>
      </c>
      <c r="W1309" s="1">
        <f t="shared" si="301"/>
        <v>-6.0714351377438497E-2</v>
      </c>
      <c r="X1309" s="1">
        <f t="shared" si="302"/>
        <v>3.1990913249760992E-8</v>
      </c>
      <c r="Y1309" s="1">
        <f t="shared" si="303"/>
        <v>-0.75555606399892095</v>
      </c>
      <c r="Z1309" s="1">
        <f t="shared" si="304"/>
        <v>-37.77780319994605</v>
      </c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</row>
    <row r="1310" spans="1:44" ht="15" customHeight="1" x14ac:dyDescent="0.3">
      <c r="A1310" s="2">
        <v>13.09</v>
      </c>
      <c r="B1310" s="1">
        <f t="shared" si="292"/>
        <v>8.1283051616409697E-14</v>
      </c>
      <c r="C1310" s="1">
        <f t="shared" si="293"/>
        <v>0.12425714585205087</v>
      </c>
      <c r="D1310" s="1">
        <f t="shared" si="294"/>
        <v>-0.12425714646388079</v>
      </c>
      <c r="E1310" s="1">
        <f t="shared" si="295"/>
        <v>2.4042857743980132E-2</v>
      </c>
      <c r="F1310" s="1">
        <f t="shared" si="296"/>
        <v>0.99999984864389813</v>
      </c>
      <c r="G1310" s="1">
        <f t="shared" si="297"/>
        <v>-29.734978654369272</v>
      </c>
      <c r="H1310" s="1">
        <f t="shared" si="305"/>
        <v>-297.34978654369269</v>
      </c>
      <c r="S1310" s="2">
        <v>13.09</v>
      </c>
      <c r="T1310" s="1">
        <f t="shared" si="298"/>
        <v>8.1283051616409697E-14</v>
      </c>
      <c r="U1310" s="1">
        <f t="shared" si="299"/>
        <v>0.12425714585205087</v>
      </c>
      <c r="V1310" s="1">
        <f t="shared" si="300"/>
        <v>0.28638571117508638</v>
      </c>
      <c r="W1310" s="1">
        <f t="shared" si="301"/>
        <v>-6.2128570391695462E-2</v>
      </c>
      <c r="X1310" s="1">
        <f t="shared" si="302"/>
        <v>3.1262711182800434E-8</v>
      </c>
      <c r="Y1310" s="1">
        <f t="shared" si="303"/>
        <v>-0.76641112965587233</v>
      </c>
      <c r="Z1310" s="1">
        <f t="shared" si="304"/>
        <v>-38.320556482793613</v>
      </c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</row>
    <row r="1311" spans="1:44" ht="15" customHeight="1" x14ac:dyDescent="0.3">
      <c r="A1311" s="2">
        <v>13.1</v>
      </c>
      <c r="B1311" s="1">
        <f t="shared" si="292"/>
        <v>7.9432823472427931E-14</v>
      </c>
      <c r="C1311" s="1">
        <f t="shared" si="293"/>
        <v>0.12715146659121124</v>
      </c>
      <c r="D1311" s="1">
        <f t="shared" si="294"/>
        <v>-0.12715146726046442</v>
      </c>
      <c r="E1311" s="1">
        <f t="shared" si="295"/>
        <v>2.4525244543410738E-2</v>
      </c>
      <c r="F1311" s="1">
        <f t="shared" si="296"/>
        <v>0.99999985208918318</v>
      </c>
      <c r="G1311" s="1">
        <f t="shared" si="297"/>
        <v>-27.098253263596828</v>
      </c>
      <c r="H1311" s="1">
        <f t="shared" si="305"/>
        <v>-270.98253263596825</v>
      </c>
      <c r="S1311" s="2">
        <v>13.1</v>
      </c>
      <c r="T1311" s="1">
        <f t="shared" si="298"/>
        <v>7.9432823472427931E-14</v>
      </c>
      <c r="U1311" s="1">
        <f t="shared" si="299"/>
        <v>0.12715146659121124</v>
      </c>
      <c r="V1311" s="1">
        <f t="shared" si="300"/>
        <v>0.29072719239057354</v>
      </c>
      <c r="W1311" s="1">
        <f t="shared" si="301"/>
        <v>-6.3575730796857854E-2</v>
      </c>
      <c r="X1311" s="1">
        <f t="shared" si="302"/>
        <v>3.0551085017564992E-8</v>
      </c>
      <c r="Y1311" s="1">
        <f t="shared" si="303"/>
        <v>-0.77732473499765764</v>
      </c>
      <c r="Z1311" s="1">
        <f t="shared" si="304"/>
        <v>-38.86623674988288</v>
      </c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</row>
    <row r="1312" spans="1:44" ht="15" customHeight="1" x14ac:dyDescent="0.3">
      <c r="A1312" s="2">
        <v>13.11</v>
      </c>
      <c r="B1312" s="1">
        <f t="shared" si="292"/>
        <v>7.7624711662868969E-14</v>
      </c>
      <c r="C1312" s="1">
        <f t="shared" si="293"/>
        <v>0.13011320472100688</v>
      </c>
      <c r="D1312" s="1">
        <f t="shared" si="294"/>
        <v>-0.13011320544637622</v>
      </c>
      <c r="E1312" s="1">
        <f t="shared" si="295"/>
        <v>2.5018867574396034E-2</v>
      </c>
      <c r="F1312" s="1">
        <f t="shared" si="296"/>
        <v>0.99999985545604386</v>
      </c>
      <c r="G1312" s="1">
        <f t="shared" si="297"/>
        <v>-24.924813420093848</v>
      </c>
      <c r="H1312" s="1">
        <f t="shared" si="305"/>
        <v>-249.24813420093847</v>
      </c>
      <c r="S1312" s="2">
        <v>13.11</v>
      </c>
      <c r="T1312" s="1">
        <f t="shared" si="298"/>
        <v>7.7624711662868969E-14</v>
      </c>
      <c r="U1312" s="1">
        <f t="shared" si="299"/>
        <v>0.13011320472100688</v>
      </c>
      <c r="V1312" s="1">
        <f t="shared" si="300"/>
        <v>0.29516979968958384</v>
      </c>
      <c r="W1312" s="1">
        <f t="shared" si="301"/>
        <v>-6.5056599896527942E-2</v>
      </c>
      <c r="X1312" s="1">
        <f t="shared" si="302"/>
        <v>2.9855657440512374E-8</v>
      </c>
      <c r="Y1312" s="1">
        <f t="shared" si="303"/>
        <v>-0.78829443884474992</v>
      </c>
      <c r="Z1312" s="1">
        <f t="shared" si="304"/>
        <v>-39.414721942237492</v>
      </c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</row>
    <row r="1313" spans="1:44" ht="15" customHeight="1" x14ac:dyDescent="0.3">
      <c r="A1313" s="2">
        <v>13.12</v>
      </c>
      <c r="B1313" s="1">
        <f t="shared" si="292"/>
        <v>7.5857757502918174E-14</v>
      </c>
      <c r="C1313" s="1">
        <f t="shared" si="293"/>
        <v>0.13314393059419746</v>
      </c>
      <c r="D1313" s="1">
        <f t="shared" si="294"/>
        <v>-0.13314393137440564</v>
      </c>
      <c r="E1313" s="1">
        <f t="shared" si="295"/>
        <v>2.5523988562400936E-2</v>
      </c>
      <c r="F1313" s="1">
        <f t="shared" si="296"/>
        <v>0.99999985874626551</v>
      </c>
      <c r="G1313" s="1">
        <f t="shared" si="297"/>
        <v>-23.102861523039831</v>
      </c>
      <c r="H1313" s="1">
        <f t="shared" si="305"/>
        <v>-231.02861523039829</v>
      </c>
      <c r="S1313" s="2">
        <v>13.12</v>
      </c>
      <c r="T1313" s="1">
        <f t="shared" si="298"/>
        <v>7.5857757502918174E-14</v>
      </c>
      <c r="U1313" s="1">
        <f t="shared" si="299"/>
        <v>0.13314393059419746</v>
      </c>
      <c r="V1313" s="1">
        <f t="shared" si="300"/>
        <v>0.29971588860131215</v>
      </c>
      <c r="W1313" s="1">
        <f t="shared" si="301"/>
        <v>-6.657196286710404E-2</v>
      </c>
      <c r="X1313" s="1">
        <f t="shared" si="302"/>
        <v>2.9176059726802965E-8</v>
      </c>
      <c r="Y1313" s="1">
        <f t="shared" si="303"/>
        <v>-0.79931774497028751</v>
      </c>
      <c r="Z1313" s="1">
        <f t="shared" si="304"/>
        <v>-39.965887248514377</v>
      </c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</row>
    <row r="1314" spans="1:44" ht="15" customHeight="1" x14ac:dyDescent="0.3">
      <c r="A1314" s="2">
        <v>13.13</v>
      </c>
      <c r="B1314" s="1">
        <f t="shared" si="292"/>
        <v>7.4131024130091305E-14</v>
      </c>
      <c r="C1314" s="1">
        <f t="shared" si="293"/>
        <v>0.13624525114175781</v>
      </c>
      <c r="D1314" s="1">
        <f t="shared" si="294"/>
        <v>-0.13624525197555648</v>
      </c>
      <c r="E1314" s="1">
        <f t="shared" si="295"/>
        <v>2.6040875329259416E-2</v>
      </c>
      <c r="F1314" s="1">
        <f t="shared" si="296"/>
        <v>0.99999986196159263</v>
      </c>
      <c r="G1314" s="1">
        <f t="shared" si="297"/>
        <v>-21.553892366499081</v>
      </c>
      <c r="H1314" s="1">
        <f t="shared" si="305"/>
        <v>-215.53892366499079</v>
      </c>
      <c r="S1314" s="2">
        <v>13.13</v>
      </c>
      <c r="T1314" s="1">
        <f t="shared" si="298"/>
        <v>7.4131024130091305E-14</v>
      </c>
      <c r="U1314" s="1">
        <f t="shared" si="299"/>
        <v>0.13624525114175781</v>
      </c>
      <c r="V1314" s="1">
        <f t="shared" si="300"/>
        <v>0.3043678695222744</v>
      </c>
      <c r="W1314" s="1">
        <f t="shared" si="301"/>
        <v>-6.8122623174091457E-2</v>
      </c>
      <c r="X1314" s="1">
        <f t="shared" si="302"/>
        <v>2.8511931544797161E-8</v>
      </c>
      <c r="Y1314" s="1">
        <f t="shared" si="303"/>
        <v>-0.81039210414353691</v>
      </c>
      <c r="Z1314" s="1">
        <f t="shared" si="304"/>
        <v>-40.519605207176838</v>
      </c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</row>
    <row r="1315" spans="1:44" ht="15" customHeight="1" x14ac:dyDescent="0.3">
      <c r="A1315" s="2">
        <v>13.14</v>
      </c>
      <c r="B1315" s="1">
        <f t="shared" si="292"/>
        <v>7.2443596007498585E-14</v>
      </c>
      <c r="C1315" s="1">
        <f t="shared" si="293"/>
        <v>0.13941881072489218</v>
      </c>
      <c r="D1315" s="1">
        <f t="shared" si="294"/>
        <v>-0.13941881161106151</v>
      </c>
      <c r="E1315" s="1">
        <f t="shared" si="295"/>
        <v>2.6569801935176916E-2</v>
      </c>
      <c r="F1315" s="1">
        <f t="shared" si="296"/>
        <v>0.99999986510372996</v>
      </c>
      <c r="G1315" s="1">
        <f t="shared" si="297"/>
        <v>-20.221159022247928</v>
      </c>
      <c r="H1315" s="1">
        <f t="shared" si="305"/>
        <v>-202.21159022247926</v>
      </c>
      <c r="S1315" s="2">
        <v>13.14</v>
      </c>
      <c r="T1315" s="1">
        <f t="shared" si="298"/>
        <v>7.2443596007498585E-14</v>
      </c>
      <c r="U1315" s="1">
        <f t="shared" si="299"/>
        <v>0.13941881072489218</v>
      </c>
      <c r="V1315" s="1">
        <f t="shared" si="300"/>
        <v>0.30912820899433008</v>
      </c>
      <c r="W1315" s="1">
        <f t="shared" si="301"/>
        <v>-6.9709402998110029E-2</v>
      </c>
      <c r="X1315" s="1">
        <f t="shared" si="302"/>
        <v>2.7862920765003233E-8</v>
      </c>
      <c r="Y1315" s="1">
        <f t="shared" si="303"/>
        <v>-0.82151491628176132</v>
      </c>
      <c r="Z1315" s="1">
        <f t="shared" si="304"/>
        <v>-41.075745814088066</v>
      </c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</row>
    <row r="1316" spans="1:44" ht="15" customHeight="1" x14ac:dyDescent="0.3">
      <c r="A1316" s="2">
        <v>13.15</v>
      </c>
      <c r="B1316" s="1">
        <f t="shared" si="292"/>
        <v>7.0794578438413629E-14</v>
      </c>
      <c r="C1316" s="1">
        <f t="shared" si="293"/>
        <v>0.14266629200689851</v>
      </c>
      <c r="D1316" s="1">
        <f t="shared" si="294"/>
        <v>-0.1426662929442464</v>
      </c>
      <c r="E1316" s="1">
        <f t="shared" si="295"/>
        <v>2.7111048824041067E-2</v>
      </c>
      <c r="F1316" s="1">
        <f t="shared" si="296"/>
        <v>0.9999998681743435</v>
      </c>
      <c r="G1316" s="1">
        <f t="shared" si="297"/>
        <v>-19.062623176193021</v>
      </c>
      <c r="H1316" s="1">
        <f t="shared" si="305"/>
        <v>-190.6262317619302</v>
      </c>
      <c r="S1316" s="2">
        <v>13.15</v>
      </c>
      <c r="T1316" s="1">
        <f t="shared" si="298"/>
        <v>7.0794578438413629E-14</v>
      </c>
      <c r="U1316" s="1">
        <f t="shared" si="299"/>
        <v>0.14266629200689851</v>
      </c>
      <c r="V1316" s="1">
        <f t="shared" si="300"/>
        <v>0.31399943101247768</v>
      </c>
      <c r="W1316" s="1">
        <f t="shared" si="301"/>
        <v>-7.1333143670825896E-2</v>
      </c>
      <c r="X1316" s="1">
        <f t="shared" si="302"/>
        <v>2.722868327337326E-8</v>
      </c>
      <c r="Y1316" s="1">
        <f t="shared" si="303"/>
        <v>-0.83268353270718976</v>
      </c>
      <c r="Z1316" s="1">
        <f t="shared" si="304"/>
        <v>-41.634176635359488</v>
      </c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</row>
    <row r="1317" spans="1:44" ht="15" customHeight="1" x14ac:dyDescent="0.3">
      <c r="A1317" s="2">
        <v>13.16</v>
      </c>
      <c r="B1317" s="1">
        <f t="shared" si="292"/>
        <v>6.9183097091893504E-14</v>
      </c>
      <c r="C1317" s="1">
        <f t="shared" si="293"/>
        <v>0.14598941684533898</v>
      </c>
      <c r="D1317" s="1">
        <f t="shared" si="294"/>
        <v>-0.14598941783270042</v>
      </c>
      <c r="E1317" s="1">
        <f t="shared" si="295"/>
        <v>2.7664902972116739E-2</v>
      </c>
      <c r="F1317" s="1">
        <f t="shared" si="296"/>
        <v>0.99999987117506139</v>
      </c>
      <c r="G1317" s="1">
        <f t="shared" si="297"/>
        <v>-18.046479565857311</v>
      </c>
      <c r="H1317" s="1">
        <f t="shared" si="305"/>
        <v>-180.46479565857311</v>
      </c>
      <c r="S1317" s="2">
        <v>13.16</v>
      </c>
      <c r="T1317" s="1">
        <f t="shared" si="298"/>
        <v>6.9183097091893504E-14</v>
      </c>
      <c r="U1317" s="1">
        <f t="shared" si="299"/>
        <v>0.14598941684533898</v>
      </c>
      <c r="V1317" s="1">
        <f t="shared" si="300"/>
        <v>0.31898411836311091</v>
      </c>
      <c r="W1317" s="1">
        <f t="shared" si="301"/>
        <v>-7.2994706121036951E-2</v>
      </c>
      <c r="X1317" s="1">
        <f t="shared" si="302"/>
        <v>2.6608882788849456E-8</v>
      </c>
      <c r="Y1317" s="1">
        <f t="shared" si="303"/>
        <v>-0.84389525850537528</v>
      </c>
      <c r="Z1317" s="1">
        <f t="shared" si="304"/>
        <v>-42.194762925268762</v>
      </c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</row>
    <row r="1318" spans="1:44" ht="15" customHeight="1" x14ac:dyDescent="0.3">
      <c r="A1318" s="2">
        <v>13.17</v>
      </c>
      <c r="B1318" s="1">
        <f t="shared" si="292"/>
        <v>6.760829753919804E-14</v>
      </c>
      <c r="C1318" s="1">
        <f t="shared" si="293"/>
        <v>0.14938994720498924</v>
      </c>
      <c r="D1318" s="1">
        <f t="shared" si="294"/>
        <v>-0.14938994824122587</v>
      </c>
      <c r="E1318" s="1">
        <f t="shared" si="295"/>
        <v>2.8231658040204308E-2</v>
      </c>
      <c r="F1318" s="1">
        <f t="shared" si="296"/>
        <v>0.9999998741074746</v>
      </c>
      <c r="G1318" s="1">
        <f t="shared" si="297"/>
        <v>-17.148220870156315</v>
      </c>
      <c r="H1318" s="1">
        <f t="shared" si="305"/>
        <v>-171.48220870156314</v>
      </c>
      <c r="S1318" s="2">
        <v>13.17</v>
      </c>
      <c r="T1318" s="1">
        <f t="shared" si="298"/>
        <v>6.760829753919804E-14</v>
      </c>
      <c r="U1318" s="1">
        <f t="shared" si="299"/>
        <v>0.14938994720498924</v>
      </c>
      <c r="V1318" s="1">
        <f t="shared" si="300"/>
        <v>0.32408491399344241</v>
      </c>
      <c r="W1318" s="1">
        <f t="shared" si="301"/>
        <v>-7.4694971331147469E-2</v>
      </c>
      <c r="X1318" s="1">
        <f t="shared" si="302"/>
        <v>2.600319068506407E-8</v>
      </c>
      <c r="Y1318" s="1">
        <f t="shared" si="303"/>
        <v>-0.85514735498090022</v>
      </c>
      <c r="Z1318" s="1">
        <f t="shared" si="304"/>
        <v>-42.757367749045002</v>
      </c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</row>
    <row r="1319" spans="1:44" ht="15" customHeight="1" x14ac:dyDescent="0.3">
      <c r="A1319" s="2">
        <v>13.18</v>
      </c>
      <c r="B1319" s="1">
        <f t="shared" si="292"/>
        <v>6.6069344800759472E-14</v>
      </c>
      <c r="C1319" s="1">
        <f t="shared" si="293"/>
        <v>0.15286968609205731</v>
      </c>
      <c r="D1319" s="1">
        <f t="shared" si="294"/>
        <v>-0.15286968717605653</v>
      </c>
      <c r="E1319" s="1">
        <f t="shared" si="295"/>
        <v>2.8811614529342753E-2</v>
      </c>
      <c r="F1319" s="1">
        <f t="shared" si="296"/>
        <v>0.99999987697313808</v>
      </c>
      <c r="G1319" s="1">
        <f t="shared" si="297"/>
        <v>-16.348658031623955</v>
      </c>
      <c r="H1319" s="1">
        <f t="shared" si="305"/>
        <v>-163.48658031623955</v>
      </c>
      <c r="S1319" s="2">
        <v>13.18</v>
      </c>
      <c r="T1319" s="1">
        <f t="shared" si="298"/>
        <v>6.6069344800759472E-14</v>
      </c>
      <c r="U1319" s="1">
        <f t="shared" si="299"/>
        <v>0.15286968609205731</v>
      </c>
      <c r="V1319" s="1">
        <f t="shared" si="300"/>
        <v>0.32930452241283265</v>
      </c>
      <c r="W1319" s="1">
        <f t="shared" si="301"/>
        <v>-7.6434840804277551E-2</v>
      </c>
      <c r="X1319" s="1">
        <f t="shared" si="302"/>
        <v>2.54112858160971E-8</v>
      </c>
      <c r="Y1319" s="1">
        <f t="shared" si="303"/>
        <v>-0.86643704220605888</v>
      </c>
      <c r="Z1319" s="1">
        <f t="shared" si="304"/>
        <v>-43.321852110302942</v>
      </c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</row>
    <row r="1320" spans="1:44" ht="15" customHeight="1" x14ac:dyDescent="0.3">
      <c r="A1320" s="2">
        <v>13.19</v>
      </c>
      <c r="B1320" s="1">
        <f t="shared" si="292"/>
        <v>6.4565422903465431E-14</v>
      </c>
      <c r="C1320" s="1">
        <f t="shared" si="293"/>
        <v>0.1564304785101609</v>
      </c>
      <c r="D1320" s="1">
        <f t="shared" si="294"/>
        <v>-0.15643047964083553</v>
      </c>
      <c r="E1320" s="1">
        <f t="shared" si="295"/>
        <v>2.9405079940139255E-2</v>
      </c>
      <c r="F1320" s="1">
        <f t="shared" si="296"/>
        <v>0.99999987977357097</v>
      </c>
      <c r="G1320" s="1">
        <f t="shared" si="297"/>
        <v>-15.632551837567839</v>
      </c>
      <c r="H1320" s="1">
        <f t="shared" si="305"/>
        <v>-156.32551837567837</v>
      </c>
      <c r="S1320" s="2">
        <v>13.19</v>
      </c>
      <c r="T1320" s="1">
        <f t="shared" si="298"/>
        <v>6.4565422903465431E-14</v>
      </c>
      <c r="U1320" s="1">
        <f t="shared" si="299"/>
        <v>0.1564304785101609</v>
      </c>
      <c r="V1320" s="1">
        <f t="shared" si="300"/>
        <v>0.33464571112675501</v>
      </c>
      <c r="W1320" s="1">
        <f t="shared" si="301"/>
        <v>-7.8215237042251667E-2</v>
      </c>
      <c r="X1320" s="1">
        <f t="shared" si="302"/>
        <v>2.4832854346200647E-8</v>
      </c>
      <c r="Y1320" s="1">
        <f t="shared" si="303"/>
        <v>-0.87776150165777589</v>
      </c>
      <c r="Z1320" s="1">
        <f t="shared" si="304"/>
        <v>-43.888075082888797</v>
      </c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</row>
    <row r="1321" spans="1:44" ht="15" customHeight="1" x14ac:dyDescent="0.3">
      <c r="A1321" s="2">
        <v>13.2</v>
      </c>
      <c r="B1321" s="1">
        <f t="shared" si="292"/>
        <v>6.3095734448019215E-14</v>
      </c>
      <c r="C1321" s="1">
        <f t="shared" si="293"/>
        <v>0.16007421243857273</v>
      </c>
      <c r="D1321" s="1">
        <f t="shared" si="294"/>
        <v>-0.16007421361486029</v>
      </c>
      <c r="E1321" s="1">
        <f t="shared" si="295"/>
        <v>3.0012368935810049E-2</v>
      </c>
      <c r="F1321" s="1">
        <f t="shared" si="296"/>
        <v>0.99999988251025829</v>
      </c>
      <c r="G1321" s="1">
        <f t="shared" si="297"/>
        <v>-14.987646344347333</v>
      </c>
      <c r="H1321" s="1">
        <f t="shared" si="305"/>
        <v>-149.87646344347331</v>
      </c>
      <c r="S1321" s="2">
        <v>13.2</v>
      </c>
      <c r="T1321" s="1">
        <f t="shared" si="298"/>
        <v>6.3095734448019215E-14</v>
      </c>
      <c r="U1321" s="1">
        <f t="shared" si="299"/>
        <v>0.16007421243857273</v>
      </c>
      <c r="V1321" s="1">
        <f t="shared" si="300"/>
        <v>0.34011131210416456</v>
      </c>
      <c r="W1321" s="1">
        <f t="shared" si="301"/>
        <v>-8.0037104034721529E-2</v>
      </c>
      <c r="X1321" s="1">
        <f t="shared" si="302"/>
        <v>2.4267589583399161E-8</v>
      </c>
      <c r="Y1321" s="1">
        <f t="shared" si="303"/>
        <v>-0.8891178789377302</v>
      </c>
      <c r="Z1321" s="1">
        <f t="shared" si="304"/>
        <v>-44.455893946886505</v>
      </c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</row>
    <row r="1322" spans="1:44" ht="15" customHeight="1" x14ac:dyDescent="0.3">
      <c r="A1322" s="2">
        <v>13.21</v>
      </c>
      <c r="B1322" s="1">
        <f t="shared" si="292"/>
        <v>6.1659500186147887E-14</v>
      </c>
      <c r="C1322" s="1">
        <f t="shared" si="293"/>
        <v>0.16380281983325279</v>
      </c>
      <c r="D1322" s="1">
        <f t="shared" si="294"/>
        <v>-0.16380282105411498</v>
      </c>
      <c r="E1322" s="1">
        <f t="shared" si="295"/>
        <v>3.0633803509019165E-2</v>
      </c>
      <c r="F1322" s="1">
        <f t="shared" si="296"/>
        <v>0.99999988518465099</v>
      </c>
      <c r="G1322" s="1">
        <f t="shared" si="297"/>
        <v>-14.403972897861433</v>
      </c>
      <c r="H1322" s="1">
        <f t="shared" si="305"/>
        <v>-144.03972897861431</v>
      </c>
      <c r="S1322" s="2">
        <v>13.21</v>
      </c>
      <c r="T1322" s="1">
        <f t="shared" si="298"/>
        <v>6.1659500186147887E-14</v>
      </c>
      <c r="U1322" s="1">
        <f t="shared" si="299"/>
        <v>0.16380281983325279</v>
      </c>
      <c r="V1322" s="1">
        <f t="shared" si="300"/>
        <v>0.34570422327904649</v>
      </c>
      <c r="W1322" s="1">
        <f t="shared" si="301"/>
        <v>-8.1901407759682174E-2</v>
      </c>
      <c r="X1322" s="1">
        <f t="shared" si="302"/>
        <v>2.3715191816877309E-8</v>
      </c>
      <c r="Y1322" s="1">
        <f t="shared" si="303"/>
        <v>-0.90050328657033452</v>
      </c>
      <c r="Z1322" s="1">
        <f t="shared" si="304"/>
        <v>-45.025164328516723</v>
      </c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</row>
    <row r="1323" spans="1:44" ht="15" customHeight="1" x14ac:dyDescent="0.3">
      <c r="A1323" s="2">
        <v>13.22</v>
      </c>
      <c r="B1323" s="1">
        <f t="shared" si="292"/>
        <v>6.0255958607435464E-14</v>
      </c>
      <c r="C1323" s="1">
        <f t="shared" si="293"/>
        <v>0.16761827765119447</v>
      </c>
      <c r="D1323" s="1">
        <f t="shared" si="294"/>
        <v>-0.16761827891561668</v>
      </c>
      <c r="E1323" s="1">
        <f t="shared" si="295"/>
        <v>3.1269713152602782E-2</v>
      </c>
      <c r="F1323" s="1">
        <f t="shared" si="296"/>
        <v>0.99999988779816706</v>
      </c>
      <c r="G1323" s="1">
        <f t="shared" si="297"/>
        <v>-13.873340310077428</v>
      </c>
      <c r="H1323" s="1">
        <f t="shared" si="305"/>
        <v>-138.73340310077427</v>
      </c>
      <c r="S1323" s="2">
        <v>13.22</v>
      </c>
      <c r="T1323" s="1">
        <f t="shared" si="298"/>
        <v>6.0255958607435464E-14</v>
      </c>
      <c r="U1323" s="1">
        <f t="shared" si="299"/>
        <v>0.16761827765119447</v>
      </c>
      <c r="V1323" s="1">
        <f t="shared" si="300"/>
        <v>0.35142741008693473</v>
      </c>
      <c r="W1323" s="1">
        <f t="shared" si="301"/>
        <v>-8.3809136695644895E-2</v>
      </c>
      <c r="X1323" s="1">
        <f t="shared" si="302"/>
        <v>2.3175368158069784E-8</v>
      </c>
      <c r="Y1323" s="1">
        <f t="shared" si="303"/>
        <v>-0.91191480687293425</v>
      </c>
      <c r="Z1323" s="1">
        <f t="shared" si="304"/>
        <v>-45.59574034364671</v>
      </c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</row>
    <row r="1324" spans="1:44" ht="15" customHeight="1" x14ac:dyDescent="0.3">
      <c r="A1324" s="2">
        <v>13.23</v>
      </c>
      <c r="B1324" s="1">
        <f t="shared" si="292"/>
        <v>5.8884365535558603E-14</v>
      </c>
      <c r="C1324" s="1">
        <f t="shared" si="293"/>
        <v>0.17152260889863702</v>
      </c>
      <c r="D1324" s="1">
        <f t="shared" si="294"/>
        <v>-0.1715226102056277</v>
      </c>
      <c r="E1324" s="1">
        <f t="shared" si="295"/>
        <v>3.1920435034271284E-2</v>
      </c>
      <c r="F1324" s="1">
        <f t="shared" si="296"/>
        <v>0.9999998903521925</v>
      </c>
      <c r="G1324" s="1">
        <f t="shared" si="297"/>
        <v>-13.388955580270331</v>
      </c>
      <c r="H1324" s="1">
        <f t="shared" si="305"/>
        <v>-133.88955580270328</v>
      </c>
      <c r="S1324" s="2">
        <v>13.23</v>
      </c>
      <c r="T1324" s="1">
        <f t="shared" si="298"/>
        <v>5.8884365535558603E-14</v>
      </c>
      <c r="U1324" s="1">
        <f t="shared" si="299"/>
        <v>0.17152260889863702</v>
      </c>
      <c r="V1324" s="1">
        <f t="shared" si="300"/>
        <v>0.35728390703723095</v>
      </c>
      <c r="W1324" s="1">
        <f t="shared" si="301"/>
        <v>-8.5761302345743654E-2</v>
      </c>
      <c r="X1324" s="1">
        <f t="shared" si="302"/>
        <v>2.2647832385367448E-8</v>
      </c>
      <c r="Y1324" s="1">
        <f t="shared" si="303"/>
        <v>-0.92334949489234885</v>
      </c>
      <c r="Z1324" s="1">
        <f t="shared" si="304"/>
        <v>-46.167474744617444</v>
      </c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</row>
    <row r="1325" spans="1:44" ht="15" customHeight="1" x14ac:dyDescent="0.3">
      <c r="A1325" s="2">
        <v>13.24</v>
      </c>
      <c r="B1325" s="1">
        <f t="shared" si="292"/>
        <v>5.7543993733715408E-14</v>
      </c>
      <c r="C1325" s="1">
        <f t="shared" si="293"/>
        <v>0.17551788370368779</v>
      </c>
      <c r="D1325" s="1">
        <f t="shared" si="294"/>
        <v>-0.17551788505227797</v>
      </c>
      <c r="E1325" s="1">
        <f t="shared" si="295"/>
        <v>3.258631417537966E-2</v>
      </c>
      <c r="F1325" s="1">
        <f t="shared" si="296"/>
        <v>0.99999989284808088</v>
      </c>
      <c r="G1325" s="1">
        <f t="shared" si="297"/>
        <v>-12.945137758885123</v>
      </c>
      <c r="H1325" s="1">
        <f t="shared" si="305"/>
        <v>-129.45137758885122</v>
      </c>
      <c r="S1325" s="2">
        <v>13.24</v>
      </c>
      <c r="T1325" s="1">
        <f t="shared" si="298"/>
        <v>5.7543993733715408E-14</v>
      </c>
      <c r="U1325" s="1">
        <f t="shared" si="299"/>
        <v>0.17551788370368779</v>
      </c>
      <c r="V1325" s="1">
        <f t="shared" si="300"/>
        <v>0.36327681932213829</v>
      </c>
      <c r="W1325" s="1">
        <f t="shared" si="301"/>
        <v>-8.7758939774046099E-2</v>
      </c>
      <c r="X1325" s="1">
        <f t="shared" si="302"/>
        <v>2.2132304792359307E-8</v>
      </c>
      <c r="Y1325" s="1">
        <f t="shared" si="303"/>
        <v>-0.93480438140157196</v>
      </c>
      <c r="Z1325" s="1">
        <f t="shared" si="304"/>
        <v>-46.740219070078602</v>
      </c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</row>
    <row r="1326" spans="1:44" ht="15" customHeight="1" x14ac:dyDescent="0.3">
      <c r="A1326" s="2">
        <v>13.25</v>
      </c>
      <c r="B1326" s="1">
        <f t="shared" si="292"/>
        <v>5.6234132519034836E-14</v>
      </c>
      <c r="C1326" s="1">
        <f t="shared" si="293"/>
        <v>0.17960622041393143</v>
      </c>
      <c r="D1326" s="1">
        <f t="shared" si="294"/>
        <v>-0.1796062218031742</v>
      </c>
      <c r="E1326" s="1">
        <f t="shared" si="295"/>
        <v>3.3267703633862368E-2</v>
      </c>
      <c r="F1326" s="1">
        <f t="shared" si="296"/>
        <v>0.99999989528715616</v>
      </c>
      <c r="G1326" s="1">
        <f t="shared" si="297"/>
        <v>-12.537099317230451</v>
      </c>
      <c r="H1326" s="1">
        <f t="shared" si="305"/>
        <v>-125.37099317230451</v>
      </c>
      <c r="S1326" s="2">
        <v>13.25</v>
      </c>
      <c r="T1326" s="1">
        <f t="shared" si="298"/>
        <v>5.6234132519034836E-14</v>
      </c>
      <c r="U1326" s="1">
        <f t="shared" si="299"/>
        <v>0.17960622041393143</v>
      </c>
      <c r="V1326" s="1">
        <f t="shared" si="300"/>
        <v>0.36940932446307451</v>
      </c>
      <c r="W1326" s="1">
        <f t="shared" si="301"/>
        <v>-8.9803108154358158E-2</v>
      </c>
      <c r="X1326" s="1">
        <f t="shared" si="302"/>
        <v>2.1628512039528547E-8</v>
      </c>
      <c r="Y1326" s="1">
        <f t="shared" si="303"/>
        <v>-0.9462764759502823</v>
      </c>
      <c r="Z1326" s="1">
        <f t="shared" si="304"/>
        <v>-47.313823797514111</v>
      </c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</row>
    <row r="1327" spans="1:44" ht="15" customHeight="1" x14ac:dyDescent="0.3">
      <c r="A1327" s="2">
        <v>13.26</v>
      </c>
      <c r="B1327" s="1">
        <f t="shared" si="292"/>
        <v>5.495408738576239E-14</v>
      </c>
      <c r="C1327" s="1">
        <f t="shared" si="293"/>
        <v>0.18378978671960852</v>
      </c>
      <c r="D1327" s="1">
        <f t="shared" si="294"/>
        <v>-0.18378978814857846</v>
      </c>
      <c r="E1327" s="1">
        <f t="shared" si="295"/>
        <v>3.3964964691429747E-2</v>
      </c>
      <c r="F1327" s="1">
        <f t="shared" si="296"/>
        <v>0.99999989767071118</v>
      </c>
      <c r="G1327" s="1">
        <f t="shared" si="297"/>
        <v>-12.160777145492514</v>
      </c>
      <c r="H1327" s="1">
        <f t="shared" si="305"/>
        <v>-121.60777145492513</v>
      </c>
      <c r="S1327" s="2">
        <v>13.26</v>
      </c>
      <c r="T1327" s="1">
        <f t="shared" si="298"/>
        <v>5.495408738576239E-14</v>
      </c>
      <c r="U1327" s="1">
        <f t="shared" si="299"/>
        <v>0.18378978671960852</v>
      </c>
      <c r="V1327" s="1">
        <f t="shared" si="300"/>
        <v>0.37568467399544081</v>
      </c>
      <c r="W1327" s="1">
        <f t="shared" si="301"/>
        <v>-9.1894891331813611E-2</v>
      </c>
      <c r="X1327" s="1">
        <f t="shared" si="302"/>
        <v>2.1136187009324048E-8</v>
      </c>
      <c r="Y1327" s="1">
        <f t="shared" si="303"/>
        <v>-0.95776276996258591</v>
      </c>
      <c r="Z1327" s="1">
        <f t="shared" si="304"/>
        <v>-47.888138498129294</v>
      </c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</row>
    <row r="1328" spans="1:44" ht="15" customHeight="1" x14ac:dyDescent="0.3">
      <c r="A1328" s="2">
        <v>13.27</v>
      </c>
      <c r="B1328" s="1">
        <f t="shared" si="292"/>
        <v>5.3703179637025215E-14</v>
      </c>
      <c r="C1328" s="1">
        <f t="shared" si="293"/>
        <v>0.1880708008029498</v>
      </c>
      <c r="D1328" s="1">
        <f t="shared" si="294"/>
        <v>-0.18807080227074269</v>
      </c>
      <c r="E1328" s="1">
        <f t="shared" si="295"/>
        <v>3.4678467045123777E-2</v>
      </c>
      <c r="F1328" s="1">
        <f t="shared" si="296"/>
        <v>0.99999990000001004</v>
      </c>
      <c r="G1328" s="1">
        <f t="shared" si="297"/>
        <v>-11.812700515154971</v>
      </c>
      <c r="H1328" s="1">
        <f t="shared" si="305"/>
        <v>-118.1270051515497</v>
      </c>
      <c r="S1328" s="2">
        <v>13.27</v>
      </c>
      <c r="T1328" s="1">
        <f t="shared" si="298"/>
        <v>5.3703179637025215E-14</v>
      </c>
      <c r="U1328" s="1">
        <f t="shared" si="299"/>
        <v>0.1880708008029498</v>
      </c>
      <c r="V1328" s="1">
        <f t="shared" si="300"/>
        <v>0.38210619519262234</v>
      </c>
      <c r="W1328" s="1">
        <f t="shared" si="301"/>
        <v>-9.4035398397540784E-2</v>
      </c>
      <c r="X1328" s="1">
        <f t="shared" si="302"/>
        <v>2.0655068664531672E-8</v>
      </c>
      <c r="Y1328" s="1">
        <f t="shared" si="303"/>
        <v>-0.96926023987520615</v>
      </c>
      <c r="Z1328" s="1">
        <f t="shared" si="304"/>
        <v>-48.463011993760304</v>
      </c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</row>
    <row r="1329" spans="1:44" ht="15" customHeight="1" x14ac:dyDescent="0.3">
      <c r="A1329" s="2">
        <v>13.28</v>
      </c>
      <c r="B1329" s="1">
        <f t="shared" si="292"/>
        <v>5.2480746024977203E-14</v>
      </c>
      <c r="C1329" s="1">
        <f t="shared" si="293"/>
        <v>0.19245153251428815</v>
      </c>
      <c r="D1329" s="1">
        <f t="shared" si="294"/>
        <v>-0.19245153402002019</v>
      </c>
      <c r="E1329" s="1">
        <f t="shared" si="295"/>
        <v>3.5408589003336696E-2</v>
      </c>
      <c r="F1329" s="1">
        <f t="shared" si="296"/>
        <v>0.99999990227628743</v>
      </c>
      <c r="G1329" s="1">
        <f t="shared" si="297"/>
        <v>-11.489886905176407</v>
      </c>
      <c r="H1329" s="1">
        <f t="shared" si="305"/>
        <v>-114.89886905176407</v>
      </c>
      <c r="S1329" s="2">
        <v>13.28</v>
      </c>
      <c r="T1329" s="1">
        <f t="shared" si="298"/>
        <v>5.2480746024977203E-14</v>
      </c>
      <c r="U1329" s="1">
        <f t="shared" si="299"/>
        <v>0.19245153251428815</v>
      </c>
      <c r="V1329" s="1">
        <f t="shared" si="300"/>
        <v>0.38867729283015684</v>
      </c>
      <c r="W1329" s="1">
        <f t="shared" si="301"/>
        <v>-9.6225764276718945E-2</v>
      </c>
      <c r="X1329" s="1">
        <f t="shared" si="302"/>
        <v>2.018490190986865E-8</v>
      </c>
      <c r="Y1329" s="1">
        <f t="shared" si="303"/>
        <v>-0.98076585030924568</v>
      </c>
      <c r="Z1329" s="1">
        <f t="shared" si="304"/>
        <v>-49.038292515462288</v>
      </c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</row>
    <row r="1330" spans="1:44" ht="15" customHeight="1" x14ac:dyDescent="0.3">
      <c r="A1330" s="2">
        <v>13.29</v>
      </c>
      <c r="B1330" s="1">
        <f t="shared" si="292"/>
        <v>5.1286138399136433E-14</v>
      </c>
      <c r="C1330" s="1">
        <f t="shared" si="293"/>
        <v>0.19693430457556277</v>
      </c>
      <c r="D1330" s="1">
        <f t="shared" si="294"/>
        <v>-0.19693430611837037</v>
      </c>
      <c r="E1330" s="1">
        <f t="shared" si="295"/>
        <v>3.6155717686395063E-2</v>
      </c>
      <c r="F1330" s="1">
        <f t="shared" si="296"/>
        <v>0.99999990450075049</v>
      </c>
      <c r="G1330" s="1">
        <f t="shared" si="297"/>
        <v>-11.189759064941528</v>
      </c>
      <c r="H1330" s="1">
        <f t="shared" si="305"/>
        <v>-111.89759064941528</v>
      </c>
      <c r="S1330" s="2">
        <v>13.29</v>
      </c>
      <c r="T1330" s="1">
        <f t="shared" si="298"/>
        <v>5.1286138399136433E-14</v>
      </c>
      <c r="U1330" s="1">
        <f t="shared" si="299"/>
        <v>0.19693430457556277</v>
      </c>
      <c r="V1330" s="1">
        <f t="shared" si="300"/>
        <v>0.39540145099099017</v>
      </c>
      <c r="W1330" s="1">
        <f t="shared" si="301"/>
        <v>-9.8467150330330058E-2</v>
      </c>
      <c r="X1330" s="1">
        <f t="shared" si="302"/>
        <v>1.9725437456728811E-8</v>
      </c>
      <c r="Y1330" s="1">
        <f t="shared" si="303"/>
        <v>-0.99227655726845143</v>
      </c>
      <c r="Z1330" s="1">
        <f t="shared" si="304"/>
        <v>-49.613827863422571</v>
      </c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</row>
    <row r="1331" spans="1:44" ht="15" customHeight="1" x14ac:dyDescent="0.3">
      <c r="A1331" s="2">
        <v>13.3</v>
      </c>
      <c r="B1331" s="1">
        <f t="shared" si="292"/>
        <v>5.0118723362727011E-14</v>
      </c>
      <c r="C1331" s="1">
        <f t="shared" si="293"/>
        <v>0.20152149381185769</v>
      </c>
      <c r="D1331" s="1">
        <f t="shared" si="294"/>
        <v>-0.20152149539089695</v>
      </c>
      <c r="E1331" s="1">
        <f t="shared" si="295"/>
        <v>3.6920249231816159E-2</v>
      </c>
      <c r="F1331" s="1">
        <f t="shared" si="296"/>
        <v>0.99999990667457861</v>
      </c>
      <c r="G1331" s="1">
        <f t="shared" si="297"/>
        <v>-10.910078429102807</v>
      </c>
      <c r="H1331" s="1">
        <f t="shared" si="305"/>
        <v>-109.10078429102806</v>
      </c>
      <c r="S1331" s="2">
        <v>13.3</v>
      </c>
      <c r="T1331" s="1">
        <f t="shared" si="298"/>
        <v>5.0118723362727011E-14</v>
      </c>
      <c r="U1331" s="1">
        <f t="shared" si="299"/>
        <v>0.20152149381185769</v>
      </c>
      <c r="V1331" s="1">
        <f t="shared" si="300"/>
        <v>0.40228223491278509</v>
      </c>
      <c r="W1331" s="1">
        <f t="shared" si="301"/>
        <v>-0.10076074497092836</v>
      </c>
      <c r="X1331" s="1">
        <f t="shared" si="302"/>
        <v>1.9276431691006486E-8</v>
      </c>
      <c r="Y1331" s="1">
        <f t="shared" si="303"/>
        <v>-1.0037893113568519</v>
      </c>
      <c r="Z1331" s="1">
        <f t="shared" si="304"/>
        <v>-50.189465567842589</v>
      </c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</row>
    <row r="1332" spans="1:44" ht="15" customHeight="1" x14ac:dyDescent="0.3">
      <c r="A1332" s="2">
        <v>13.31</v>
      </c>
      <c r="B1332" s="1">
        <f t="shared" si="292"/>
        <v>4.8977881936844408E-14</v>
      </c>
      <c r="C1332" s="1">
        <f t="shared" si="293"/>
        <v>0.20621553241162335</v>
      </c>
      <c r="D1332" s="1">
        <f t="shared" si="294"/>
        <v>-0.20621553402606949</v>
      </c>
      <c r="E1332" s="1">
        <f t="shared" si="295"/>
        <v>3.7702589004344915E-2</v>
      </c>
      <c r="F1332" s="1">
        <f t="shared" si="296"/>
        <v>0.99999990879892442</v>
      </c>
      <c r="G1332" s="1">
        <f t="shared" si="297"/>
        <v>-10.648891242713486</v>
      </c>
      <c r="H1332" s="1">
        <f t="shared" si="305"/>
        <v>-106.48891242713485</v>
      </c>
      <c r="S1332" s="2">
        <v>13.31</v>
      </c>
      <c r="T1332" s="1">
        <f t="shared" si="298"/>
        <v>4.8977881936844408E-14</v>
      </c>
      <c r="U1332" s="1">
        <f t="shared" si="299"/>
        <v>0.20621553241162335</v>
      </c>
      <c r="V1332" s="1">
        <f t="shared" si="300"/>
        <v>0.40932329287825314</v>
      </c>
      <c r="W1332" s="1">
        <f t="shared" si="301"/>
        <v>-0.10310776429275105</v>
      </c>
      <c r="X1332" s="1">
        <f t="shared" si="302"/>
        <v>1.8837646543929376E-8</v>
      </c>
      <c r="Y1332" s="1">
        <f t="shared" si="303"/>
        <v>-1.0153010610085376</v>
      </c>
      <c r="Z1332" s="1">
        <f t="shared" si="304"/>
        <v>-50.765053050426879</v>
      </c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</row>
    <row r="1333" spans="1:44" ht="15" customHeight="1" x14ac:dyDescent="0.3">
      <c r="A1333" s="2">
        <v>13.32</v>
      </c>
      <c r="B1333" s="1">
        <f t="shared" si="292"/>
        <v>4.7863009232263627E-14</v>
      </c>
      <c r="C1333" s="1">
        <f t="shared" si="293"/>
        <v>0.21101890921625888</v>
      </c>
      <c r="D1333" s="1">
        <f t="shared" si="294"/>
        <v>-0.211018910865306</v>
      </c>
      <c r="E1333" s="1">
        <f t="shared" si="295"/>
        <v>3.8503151810884331E-2</v>
      </c>
      <c r="F1333" s="1">
        <f t="shared" si="296"/>
        <v>0.99999991087491413</v>
      </c>
      <c r="G1333" s="1">
        <f t="shared" si="297"/>
        <v>-10.404484653321376</v>
      </c>
      <c r="H1333" s="1">
        <f t="shared" si="305"/>
        <v>-104.04484653321376</v>
      </c>
      <c r="S1333" s="2">
        <v>13.32</v>
      </c>
      <c r="T1333" s="1">
        <f t="shared" si="298"/>
        <v>4.7863009232263627E-14</v>
      </c>
      <c r="U1333" s="1">
        <f t="shared" si="299"/>
        <v>0.21101890921625888</v>
      </c>
      <c r="V1333" s="1">
        <f t="shared" si="300"/>
        <v>0.4165283581495276</v>
      </c>
      <c r="W1333" s="1">
        <f t="shared" si="301"/>
        <v>-0.1055094527165092</v>
      </c>
      <c r="X1333" s="1">
        <f t="shared" si="302"/>
        <v>1.840884936583104E-8</v>
      </c>
      <c r="Y1333" s="1">
        <f t="shared" si="303"/>
        <v>-1.0268087557223426</v>
      </c>
      <c r="Z1333" s="1">
        <f t="shared" si="304"/>
        <v>-51.340437786117128</v>
      </c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</row>
    <row r="1334" spans="1:44" ht="15" customHeight="1" x14ac:dyDescent="0.3">
      <c r="A1334" s="2">
        <v>13.33</v>
      </c>
      <c r="B1334" s="1">
        <f t="shared" si="292"/>
        <v>4.6773514128719624E-14</v>
      </c>
      <c r="C1334" s="1">
        <f t="shared" si="293"/>
        <v>0.21593417103972631</v>
      </c>
      <c r="D1334" s="1">
        <f t="shared" si="294"/>
        <v>-0.21593417272258672</v>
      </c>
      <c r="E1334" s="1">
        <f t="shared" si="295"/>
        <v>3.9322362120431123E-2</v>
      </c>
      <c r="F1334" s="1">
        <f t="shared" si="296"/>
        <v>0.99999991290364854</v>
      </c>
      <c r="G1334" s="1">
        <f t="shared" si="297"/>
        <v>-10.175350683147677</v>
      </c>
      <c r="H1334" s="1">
        <f t="shared" si="305"/>
        <v>-101.75350683147677</v>
      </c>
      <c r="S1334" s="2">
        <v>13.33</v>
      </c>
      <c r="T1334" s="1">
        <f t="shared" si="298"/>
        <v>4.6773514128719624E-14</v>
      </c>
      <c r="U1334" s="1">
        <f t="shared" si="299"/>
        <v>0.21593417103972631</v>
      </c>
      <c r="V1334" s="1">
        <f t="shared" si="300"/>
        <v>0.42390125094758591</v>
      </c>
      <c r="W1334" s="1">
        <f t="shared" si="301"/>
        <v>-0.1079670836491953</v>
      </c>
      <c r="X1334" s="1">
        <f t="shared" si="302"/>
        <v>1.7989812802797251E-8</v>
      </c>
      <c r="Y1334" s="1">
        <f t="shared" si="303"/>
        <v>-1.0383093492941142</v>
      </c>
      <c r="Z1334" s="1">
        <f t="shared" si="304"/>
        <v>-51.915467464705713</v>
      </c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</row>
    <row r="1335" spans="1:44" ht="15" customHeight="1" x14ac:dyDescent="0.3">
      <c r="A1335" s="2">
        <v>13.34</v>
      </c>
      <c r="B1335" s="1">
        <f t="shared" si="292"/>
        <v>4.5708818961487318E-14</v>
      </c>
      <c r="C1335" s="1">
        <f t="shared" si="293"/>
        <v>0.22096392401890569</v>
      </c>
      <c r="D1335" s="1">
        <f t="shared" si="294"/>
        <v>-0.22096392573480989</v>
      </c>
      <c r="E1335" s="1">
        <f t="shared" si="295"/>
        <v>4.0160654289134977E-2</v>
      </c>
      <c r="F1335" s="1">
        <f t="shared" si="296"/>
        <v>0.99999991488620343</v>
      </c>
      <c r="G1335" s="1">
        <f t="shared" si="297"/>
        <v>-9.9601564793406645</v>
      </c>
      <c r="H1335" s="1">
        <f t="shared" si="305"/>
        <v>-99.601564793406638</v>
      </c>
      <c r="S1335" s="2">
        <v>13.34</v>
      </c>
      <c r="T1335" s="1">
        <f t="shared" si="298"/>
        <v>4.5708818961487318E-14</v>
      </c>
      <c r="U1335" s="1">
        <f t="shared" si="299"/>
        <v>0.22096392401890569</v>
      </c>
      <c r="V1335" s="1">
        <f t="shared" si="300"/>
        <v>0.43144588047778132</v>
      </c>
      <c r="W1335" s="1">
        <f t="shared" si="301"/>
        <v>-0.11048196015926046</v>
      </c>
      <c r="X1335" s="1">
        <f t="shared" si="302"/>
        <v>1.7580314676119959E-8</v>
      </c>
      <c r="Y1335" s="1">
        <f t="shared" si="303"/>
        <v>-1.0497998030393165</v>
      </c>
      <c r="Z1335" s="1">
        <f t="shared" si="304"/>
        <v>-52.489990151965827</v>
      </c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</row>
    <row r="1336" spans="1:44" ht="15" customHeight="1" x14ac:dyDescent="0.3">
      <c r="A1336" s="2">
        <v>13.35</v>
      </c>
      <c r="B1336" s="1">
        <f t="shared" si="292"/>
        <v>4.4668359215096292E-14</v>
      </c>
      <c r="C1336" s="1">
        <f t="shared" si="293"/>
        <v>0.22611083499540238</v>
      </c>
      <c r="D1336" s="1">
        <f t="shared" si="294"/>
        <v>-0.22611083674359794</v>
      </c>
      <c r="E1336" s="1">
        <f t="shared" si="295"/>
        <v>4.1018472790599655E-2</v>
      </c>
      <c r="F1336" s="1">
        <f t="shared" si="296"/>
        <v>0.99999991682362976</v>
      </c>
      <c r="G1336" s="1">
        <f t="shared" si="297"/>
        <v>-9.7577196020028723</v>
      </c>
      <c r="H1336" s="1">
        <f t="shared" si="305"/>
        <v>-97.577196020028723</v>
      </c>
      <c r="S1336" s="2">
        <v>13.35</v>
      </c>
      <c r="T1336" s="1">
        <f t="shared" si="298"/>
        <v>4.4668359215096292E-14</v>
      </c>
      <c r="U1336" s="1">
        <f t="shared" si="299"/>
        <v>0.22611083499540238</v>
      </c>
      <c r="V1336" s="1">
        <f t="shared" si="300"/>
        <v>0.43916624700255436</v>
      </c>
      <c r="W1336" s="1">
        <f t="shared" si="301"/>
        <v>-0.11305541566751812</v>
      </c>
      <c r="X1336" s="1">
        <f t="shared" si="302"/>
        <v>1.7180137864495279E-8</v>
      </c>
      <c r="Y1336" s="1">
        <f t="shared" si="303"/>
        <v>-1.0612770889987215</v>
      </c>
      <c r="Z1336" s="1">
        <f t="shared" si="304"/>
        <v>-53.063854449936073</v>
      </c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</row>
    <row r="1337" spans="1:44" ht="15" customHeight="1" x14ac:dyDescent="0.3">
      <c r="A1337" s="2">
        <v>13.36</v>
      </c>
      <c r="B1337" s="1">
        <f t="shared" si="292"/>
        <v>4.3651583224016581E-14</v>
      </c>
      <c r="C1337" s="1">
        <f t="shared" si="293"/>
        <v>0.23137763292954514</v>
      </c>
      <c r="D1337" s="1">
        <f t="shared" si="294"/>
        <v>-0.23137763470929715</v>
      </c>
      <c r="E1337" s="1">
        <f t="shared" si="295"/>
        <v>4.1896272451549525E-2</v>
      </c>
      <c r="F1337" s="1">
        <f t="shared" si="296"/>
        <v>0.99999991871695504</v>
      </c>
      <c r="G1337" s="1">
        <f t="shared" si="297"/>
        <v>-9.566987382042889</v>
      </c>
      <c r="H1337" s="1">
        <f t="shared" si="305"/>
        <v>-95.66987382042889</v>
      </c>
      <c r="S1337" s="2">
        <v>13.36</v>
      </c>
      <c r="T1337" s="1">
        <f t="shared" si="298"/>
        <v>4.3651583224016581E-14</v>
      </c>
      <c r="U1337" s="1">
        <f t="shared" si="299"/>
        <v>0.23137763292954514</v>
      </c>
      <c r="V1337" s="1">
        <f t="shared" si="300"/>
        <v>0.44706644396243006</v>
      </c>
      <c r="W1337" s="1">
        <f t="shared" si="301"/>
        <v>-0.11568881465414335</v>
      </c>
      <c r="X1337" s="1">
        <f t="shared" si="302"/>
        <v>1.6789070188902725E-8</v>
      </c>
      <c r="Y1337" s="1">
        <f t="shared" si="303"/>
        <v>-1.0727381931200297</v>
      </c>
      <c r="Z1337" s="1">
        <f t="shared" si="304"/>
        <v>-53.636909656001478</v>
      </c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</row>
    <row r="1338" spans="1:44" ht="15" customHeight="1" x14ac:dyDescent="0.3">
      <c r="A1338" s="2">
        <v>13.37</v>
      </c>
      <c r="B1338" s="1">
        <f t="shared" si="292"/>
        <v>4.2657951880159256E-14</v>
      </c>
      <c r="C1338" s="1">
        <f t="shared" si="293"/>
        <v>0.23676711034731218</v>
      </c>
      <c r="D1338" s="1">
        <f t="shared" si="294"/>
        <v>-0.2367671121579023</v>
      </c>
      <c r="E1338" s="1">
        <f t="shared" si="295"/>
        <v>4.2794518692983716E-2</v>
      </c>
      <c r="F1338" s="1">
        <f t="shared" si="296"/>
        <v>0.9999999205671829</v>
      </c>
      <c r="G1338" s="1">
        <f t="shared" si="297"/>
        <v>-9.3870195877739935</v>
      </c>
      <c r="H1338" s="1">
        <f t="shared" si="305"/>
        <v>-93.870195877739931</v>
      </c>
      <c r="S1338" s="2">
        <v>13.37</v>
      </c>
      <c r="T1338" s="1">
        <f t="shared" si="298"/>
        <v>4.2657951880159256E-14</v>
      </c>
      <c r="U1338" s="1">
        <f t="shared" si="299"/>
        <v>0.23676711034731218</v>
      </c>
      <c r="V1338" s="1">
        <f t="shared" si="300"/>
        <v>0.4551506601464072</v>
      </c>
      <c r="W1338" s="1">
        <f t="shared" si="301"/>
        <v>-0.11838355338213573</v>
      </c>
      <c r="X1338" s="1">
        <f t="shared" si="302"/>
        <v>1.6406904300105509E-8</v>
      </c>
      <c r="Y1338" s="1">
        <f t="shared" si="303"/>
        <v>-1.0841801184083102</v>
      </c>
      <c r="Z1338" s="1">
        <f t="shared" si="304"/>
        <v>-54.209005920415514</v>
      </c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</row>
    <row r="1339" spans="1:44" ht="15" customHeight="1" x14ac:dyDescent="0.3">
      <c r="A1339" s="2">
        <v>13.38</v>
      </c>
      <c r="B1339" s="1">
        <f t="shared" si="292"/>
        <v>4.1686938347033385E-14</v>
      </c>
      <c r="C1339" s="1">
        <f t="shared" si="293"/>
        <v>0.24228212482096942</v>
      </c>
      <c r="D1339" s="1">
        <f t="shared" si="294"/>
        <v>-0.24228212666169571</v>
      </c>
      <c r="E1339" s="1">
        <f t="shared" si="295"/>
        <v>4.3713687776949284E-2</v>
      </c>
      <c r="F1339" s="1">
        <f t="shared" si="296"/>
        <v>0.99999992237529434</v>
      </c>
      <c r="G1339" s="1">
        <f t="shared" si="297"/>
        <v>-9.2169737976057977</v>
      </c>
      <c r="H1339" s="1">
        <f t="shared" si="305"/>
        <v>-92.169737976057974</v>
      </c>
      <c r="S1339" s="2">
        <v>13.38</v>
      </c>
      <c r="T1339" s="1">
        <f t="shared" si="298"/>
        <v>4.1686938347033385E-14</v>
      </c>
      <c r="U1339" s="1">
        <f t="shared" si="299"/>
        <v>0.24228212482096942</v>
      </c>
      <c r="V1339" s="1">
        <f t="shared" si="300"/>
        <v>0.46342318191291454</v>
      </c>
      <c r="W1339" s="1">
        <f t="shared" si="301"/>
        <v>-0.12114106063763817</v>
      </c>
      <c r="X1339" s="1">
        <f t="shared" si="302"/>
        <v>1.6033437568710946E-8</v>
      </c>
      <c r="Y1339" s="1">
        <f t="shared" si="303"/>
        <v>-1.0955998880383409</v>
      </c>
      <c r="Z1339" s="1">
        <f t="shared" si="304"/>
        <v>-54.779994401917044</v>
      </c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</row>
    <row r="1340" spans="1:44" ht="15" customHeight="1" x14ac:dyDescent="0.3">
      <c r="A1340" s="2">
        <v>13.39</v>
      </c>
      <c r="B1340" s="1">
        <f t="shared" si="292"/>
        <v>4.0738027780411126E-14</v>
      </c>
      <c r="C1340" s="1">
        <f t="shared" si="293"/>
        <v>0.24792560048418893</v>
      </c>
      <c r="D1340" s="1">
        <f t="shared" si="294"/>
        <v>-0.2479256023543655</v>
      </c>
      <c r="E1340" s="1">
        <f t="shared" si="295"/>
        <v>4.4654267059060913E-2</v>
      </c>
      <c r="F1340" s="1">
        <f t="shared" si="296"/>
        <v>0.99999992414224825</v>
      </c>
      <c r="G1340" s="1">
        <f t="shared" si="297"/>
        <v>-9.0560929984429652</v>
      </c>
      <c r="H1340" s="1">
        <f t="shared" si="305"/>
        <v>-90.560929984429649</v>
      </c>
      <c r="S1340" s="2">
        <v>13.39</v>
      </c>
      <c r="T1340" s="1">
        <f t="shared" si="298"/>
        <v>4.0738027780411126E-14</v>
      </c>
      <c r="U1340" s="1">
        <f t="shared" si="299"/>
        <v>0.24792560048418893</v>
      </c>
      <c r="V1340" s="1">
        <f t="shared" si="300"/>
        <v>0.47188839546249017</v>
      </c>
      <c r="W1340" s="1">
        <f t="shared" si="301"/>
        <v>-0.12396279848749672</v>
      </c>
      <c r="X1340" s="1">
        <f t="shared" si="302"/>
        <v>1.5668471977734032E-8</v>
      </c>
      <c r="Y1340" s="1">
        <f t="shared" si="303"/>
        <v>-1.1069945484219983</v>
      </c>
      <c r="Z1340" s="1">
        <f t="shared" si="304"/>
        <v>-55.349727421099914</v>
      </c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</row>
    <row r="1341" spans="1:44" ht="15" customHeight="1" x14ac:dyDescent="0.3">
      <c r="A1341" s="2">
        <v>13.4</v>
      </c>
      <c r="B1341" s="1">
        <f t="shared" si="292"/>
        <v>3.9810717055349592E-14</v>
      </c>
      <c r="C1341" s="1">
        <f t="shared" si="293"/>
        <v>0.25370052958246841</v>
      </c>
      <c r="D1341" s="1">
        <f t="shared" si="294"/>
        <v>-0.25370053148142474</v>
      </c>
      <c r="E1341" s="1">
        <f t="shared" si="295"/>
        <v>4.5616755246904131E-2</v>
      </c>
      <c r="F1341" s="1">
        <f t="shared" si="296"/>
        <v>0.99999992586898134</v>
      </c>
      <c r="G1341" s="1">
        <f t="shared" si="297"/>
        <v>-8.9036950244541746</v>
      </c>
      <c r="H1341" s="1">
        <f t="shared" si="305"/>
        <v>-89.036950244541742</v>
      </c>
      <c r="S1341" s="2">
        <v>13.4</v>
      </c>
      <c r="T1341" s="1">
        <f t="shared" si="298"/>
        <v>3.9810717055349592E-14</v>
      </c>
      <c r="U1341" s="1">
        <f t="shared" si="299"/>
        <v>0.25370052958246841</v>
      </c>
      <c r="V1341" s="1">
        <f t="shared" si="300"/>
        <v>0.48055078916340938</v>
      </c>
      <c r="W1341" s="1">
        <f t="shared" si="301"/>
        <v>-0.12685026305446978</v>
      </c>
      <c r="X1341" s="1">
        <f t="shared" si="302"/>
        <v>1.5311814017605883E-8</v>
      </c>
      <c r="Y1341" s="1">
        <f t="shared" si="303"/>
        <v>-1.118361172224088</v>
      </c>
      <c r="Z1341" s="1">
        <f t="shared" si="304"/>
        <v>-55.918058611204401</v>
      </c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</row>
    <row r="1342" spans="1:44" ht="15" customHeight="1" x14ac:dyDescent="0.3">
      <c r="A1342" s="2">
        <v>13.41</v>
      </c>
      <c r="B1342" s="1">
        <f t="shared" si="292"/>
        <v>3.8904514499427932E-14</v>
      </c>
      <c r="C1342" s="1">
        <f t="shared" si="293"/>
        <v>0.25960997405965608</v>
      </c>
      <c r="D1342" s="1">
        <f t="shared" si="294"/>
        <v>-0.25960997598673718</v>
      </c>
      <c r="E1342" s="1">
        <f t="shared" si="295"/>
        <v>4.6601662664456193E-2</v>
      </c>
      <c r="F1342" s="1">
        <f t="shared" si="296"/>
        <v>0.99999992755640921</v>
      </c>
      <c r="G1342" s="1">
        <f t="shared" si="297"/>
        <v>-8.7591635252790052</v>
      </c>
      <c r="H1342" s="1">
        <f t="shared" si="305"/>
        <v>-87.591635252790041</v>
      </c>
      <c r="S1342" s="2">
        <v>13.41</v>
      </c>
      <c r="T1342" s="1">
        <f t="shared" si="298"/>
        <v>3.8904514499427932E-14</v>
      </c>
      <c r="U1342" s="1">
        <f t="shared" si="299"/>
        <v>0.25960997405965608</v>
      </c>
      <c r="V1342" s="1">
        <f t="shared" si="300"/>
        <v>0.48941495593147311</v>
      </c>
      <c r="W1342" s="1">
        <f t="shared" si="301"/>
        <v>-0.12980498531049103</v>
      </c>
      <c r="X1342" s="1">
        <f t="shared" si="302"/>
        <v>1.4963274583572691E-8</v>
      </c>
      <c r="Y1342" s="1">
        <f t="shared" si="303"/>
        <v>-1.1296968613201377</v>
      </c>
      <c r="Z1342" s="1">
        <f t="shared" si="304"/>
        <v>-56.484843066006881</v>
      </c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</row>
    <row r="1343" spans="1:44" ht="15" customHeight="1" x14ac:dyDescent="0.3">
      <c r="A1343" s="2">
        <v>13.42</v>
      </c>
      <c r="B1343" s="1">
        <f t="shared" si="292"/>
        <v>3.8018939632055994E-14</v>
      </c>
      <c r="C1343" s="1">
        <f t="shared" si="293"/>
        <v>0.26565706718143445</v>
      </c>
      <c r="D1343" s="1">
        <f t="shared" si="294"/>
        <v>-0.26565706913600001</v>
      </c>
      <c r="E1343" s="1">
        <f t="shared" si="295"/>
        <v>4.7609511522666667E-2</v>
      </c>
      <c r="F1343" s="1">
        <f t="shared" si="296"/>
        <v>0.99999992920542669</v>
      </c>
      <c r="G1343" s="1">
        <f t="shared" si="297"/>
        <v>-8.6219402113616788</v>
      </c>
      <c r="H1343" s="1">
        <f t="shared" si="305"/>
        <v>-86.219402113616781</v>
      </c>
      <c r="S1343" s="2">
        <v>13.42</v>
      </c>
      <c r="T1343" s="1">
        <f t="shared" si="298"/>
        <v>3.8018939632055994E-14</v>
      </c>
      <c r="U1343" s="1">
        <f t="shared" si="299"/>
        <v>0.26565706718143445</v>
      </c>
      <c r="V1343" s="1">
        <f t="shared" si="300"/>
        <v>0.49848559566523298</v>
      </c>
      <c r="W1343" s="1">
        <f t="shared" si="301"/>
        <v>-0.13282853188841098</v>
      </c>
      <c r="X1343" s="1">
        <f t="shared" si="302"/>
        <v>1.4622668875429857E-8</v>
      </c>
      <c r="Y1343" s="1">
        <f t="shared" si="303"/>
        <v>-1.140998749689943</v>
      </c>
      <c r="Z1343" s="1">
        <f t="shared" si="304"/>
        <v>-57.04993748449715</v>
      </c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</row>
    <row r="1344" spans="1:44" ht="15" customHeight="1" x14ac:dyDescent="0.3">
      <c r="A1344" s="2">
        <v>13.43</v>
      </c>
      <c r="B1344" s="1">
        <f t="shared" si="292"/>
        <v>3.7153522909717136E-14</v>
      </c>
      <c r="C1344" s="1">
        <f t="shared" si="293"/>
        <v>0.2718450151966193</v>
      </c>
      <c r="D1344" s="1">
        <f t="shared" si="294"/>
        <v>-0.27184501717804382</v>
      </c>
      <c r="E1344" s="1">
        <f t="shared" si="295"/>
        <v>4.8640836196340638E-2</v>
      </c>
      <c r="F1344" s="1">
        <f t="shared" si="296"/>
        <v>0.99999993081690763</v>
      </c>
      <c r="G1344" s="1">
        <f t="shared" si="297"/>
        <v>-8.4915181705755067</v>
      </c>
      <c r="H1344" s="1">
        <f t="shared" si="305"/>
        <v>-84.91518170575506</v>
      </c>
      <c r="S1344" s="2">
        <v>13.43</v>
      </c>
      <c r="T1344" s="1">
        <f t="shared" si="298"/>
        <v>3.7153522909717136E-14</v>
      </c>
      <c r="U1344" s="1">
        <f t="shared" si="299"/>
        <v>0.2718450151966193</v>
      </c>
      <c r="V1344" s="1">
        <f t="shared" si="300"/>
        <v>0.50776751773793927</v>
      </c>
      <c r="W1344" s="1">
        <f t="shared" si="301"/>
        <v>-0.1359225059126464</v>
      </c>
      <c r="X1344" s="1">
        <f t="shared" si="302"/>
        <v>1.4289816299538506E-8</v>
      </c>
      <c r="Y1344" s="1">
        <f t="shared" si="303"/>
        <v>-1.1522640062408764</v>
      </c>
      <c r="Z1344" s="1">
        <f t="shared" si="304"/>
        <v>-57.613200312043823</v>
      </c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</row>
    <row r="1345" spans="1:44" ht="15" customHeight="1" x14ac:dyDescent="0.3">
      <c r="A1345" s="2">
        <v>13.44</v>
      </c>
      <c r="B1345" s="1">
        <f t="shared" si="292"/>
        <v>3.6307805477010024E-14</v>
      </c>
      <c r="C1345" s="1">
        <f t="shared" si="293"/>
        <v>0.27817709903715565</v>
      </c>
      <c r="D1345" s="1">
        <f t="shared" si="294"/>
        <v>-0.27817710104482768</v>
      </c>
      <c r="E1345" s="1">
        <f t="shared" si="295"/>
        <v>4.9696183507471278E-2</v>
      </c>
      <c r="F1345" s="1">
        <f t="shared" si="296"/>
        <v>0.99999993239170704</v>
      </c>
      <c r="G1345" s="1">
        <f t="shared" si="297"/>
        <v>-8.3674360873625719</v>
      </c>
      <c r="H1345" s="1">
        <f t="shared" si="305"/>
        <v>-83.674360873625716</v>
      </c>
      <c r="S1345" s="2">
        <v>13.44</v>
      </c>
      <c r="T1345" s="1">
        <f t="shared" si="298"/>
        <v>3.6307805477010024E-14</v>
      </c>
      <c r="U1345" s="1">
        <f t="shared" si="299"/>
        <v>0.27817709903715565</v>
      </c>
      <c r="V1345" s="1">
        <f t="shared" si="300"/>
        <v>0.51726564354753668</v>
      </c>
      <c r="W1345" s="1">
        <f t="shared" si="301"/>
        <v>-0.1390885478491789</v>
      </c>
      <c r="X1345" s="1">
        <f t="shared" si="302"/>
        <v>1.3964540373072386E-8</v>
      </c>
      <c r="Y1345" s="1">
        <f t="shared" si="303"/>
        <v>-1.1634898375552334</v>
      </c>
      <c r="Z1345" s="1">
        <f t="shared" si="304"/>
        <v>-58.174491877761668</v>
      </c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</row>
    <row r="1346" spans="1:44" ht="15" customHeight="1" x14ac:dyDescent="0.3">
      <c r="A1346" s="2">
        <v>13.45</v>
      </c>
      <c r="B1346" s="1">
        <f t="shared" si="292"/>
        <v>3.5481338923357439E-14</v>
      </c>
      <c r="C1346" s="1">
        <f t="shared" si="293"/>
        <v>0.28465667605771067</v>
      </c>
      <c r="D1346" s="1">
        <f t="shared" si="294"/>
        <v>-0.28465667809103273</v>
      </c>
      <c r="E1346" s="1">
        <f t="shared" si="295"/>
        <v>5.0776113015172125E-2</v>
      </c>
      <c r="F1346" s="1">
        <f t="shared" si="296"/>
        <v>0.99999993393065967</v>
      </c>
      <c r="G1346" s="1">
        <f t="shared" si="297"/>
        <v>-8.2492732253323098</v>
      </c>
      <c r="H1346" s="1">
        <f t="shared" si="305"/>
        <v>-82.492732253323098</v>
      </c>
      <c r="S1346" s="2">
        <v>13.45</v>
      </c>
      <c r="T1346" s="1">
        <f t="shared" si="298"/>
        <v>3.5481338923357439E-14</v>
      </c>
      <c r="U1346" s="1">
        <f t="shared" si="299"/>
        <v>0.28465667605771067</v>
      </c>
      <c r="V1346" s="1">
        <f t="shared" si="300"/>
        <v>0.52698500912605084</v>
      </c>
      <c r="W1346" s="1">
        <f t="shared" si="301"/>
        <v>-0.14232833637535031</v>
      </c>
      <c r="X1346" s="1">
        <f t="shared" si="302"/>
        <v>1.3646668630444369E-8</v>
      </c>
      <c r="Y1346" s="1">
        <f t="shared" si="303"/>
        <v>-1.1746734905561624</v>
      </c>
      <c r="Z1346" s="1">
        <f t="shared" si="304"/>
        <v>-58.73367452780812</v>
      </c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</row>
    <row r="1347" spans="1:44" ht="15" customHeight="1" x14ac:dyDescent="0.3">
      <c r="A1347" s="2">
        <v>13.46</v>
      </c>
      <c r="B1347" s="1">
        <f t="shared" ref="B1347:B1401" si="306">10^(-A1347)</f>
        <v>3.4673685045252941E-14</v>
      </c>
      <c r="C1347" s="1">
        <f t="shared" ref="C1347:C1401" si="307">Kw/B1347</f>
        <v>0.29128718181578905</v>
      </c>
      <c r="D1347" s="1">
        <f t="shared" ref="D1347:D1401" si="308">((WASB_Ca*WASB_Va)-(WASB_Cb*H1347))/(WASB_Va+H1347)</f>
        <v>-0.29128718387417718</v>
      </c>
      <c r="E1347" s="1">
        <f t="shared" ref="E1347:E1401" si="309">(WASB_Ca*H1347)/(WASB_Va+H1347)</f>
        <v>5.1881197312362862E-2</v>
      </c>
      <c r="F1347" s="1">
        <f t="shared" ref="F1347:F1401" si="310">WASB_Ka/(B1347+WASB_Ka)</f>
        <v>0.99999993543458132</v>
      </c>
      <c r="G1347" s="1">
        <f t="shared" ref="G1347:G1401" si="311">(F1347-((B1347-C1347)/WASB_Ca)) / (1 + ((B1347-C1347)/WASB_Cb))</f>
        <v>-8.1366450582212639</v>
      </c>
      <c r="H1347" s="1">
        <f t="shared" si="305"/>
        <v>-81.366450582212636</v>
      </c>
      <c r="S1347" s="2">
        <v>13.46</v>
      </c>
      <c r="T1347" s="1">
        <f t="shared" ref="T1347:T1401" si="312">10^-S1347</f>
        <v>3.4673685045252941E-14</v>
      </c>
      <c r="U1347" s="1">
        <f t="shared" ref="U1347:U1401" si="313">Kw/T1347</f>
        <v>0.29128718181578905</v>
      </c>
      <c r="V1347" s="1">
        <f t="shared" ref="V1347:V1401" si="314">((SAWB_Cb*SAWB_Vb)-(SAWB_Ca*Z1347))/(Z1347+SAWB_Vb)</f>
        <v>0.53693076780976512</v>
      </c>
      <c r="W1347" s="1">
        <f t="shared" ref="W1347:W1401" si="315">(SAWB_Cb*Z1347)/(Z1347+SAWB_Vb)</f>
        <v>-0.14564358926992174</v>
      </c>
      <c r="X1347" s="1">
        <f t="shared" ref="X1347:X1401" si="316">T1347/(T1347+SAWB_Ka)</f>
        <v>1.3336032531862903E-8</v>
      </c>
      <c r="Y1347" s="1">
        <f t="shared" ref="Y1347:Y1401" si="317">(X1347+((T1347-U1347)/SAWB_Cb))/(1-((T1347-U1347)/SAWB_Ca))</f>
        <v>-1.185812255087052</v>
      </c>
      <c r="Z1347" s="1">
        <f t="shared" ref="Z1347:Z1401" si="318">(Y1347*SAWB_Cb*SAWB_Vb)/SAWB_Ca</f>
        <v>-59.290612754352601</v>
      </c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</row>
    <row r="1348" spans="1:44" ht="15" customHeight="1" x14ac:dyDescent="0.3">
      <c r="A1348" s="2">
        <v>13.47</v>
      </c>
      <c r="B1348" s="1">
        <f t="shared" si="306"/>
        <v>3.3884415613920161E-14</v>
      </c>
      <c r="C1348" s="1">
        <f t="shared" si="307"/>
        <v>0.29807213189330578</v>
      </c>
      <c r="D1348" s="1">
        <f t="shared" si="308"/>
        <v>-0.29807213397618948</v>
      </c>
      <c r="E1348" s="1">
        <f t="shared" si="309"/>
        <v>5.3012022329364909E-2</v>
      </c>
      <c r="F1348" s="1">
        <f t="shared" si="310"/>
        <v>0.99999993690426958</v>
      </c>
      <c r="G1348" s="1">
        <f t="shared" si="311"/>
        <v>-8.0291994535290208</v>
      </c>
      <c r="H1348" s="1">
        <f t="shared" ref="H1348:H1401" si="319">G1348*(WASB_Va * WASB_Ca)/WASB_Cb</f>
        <v>-80.2919945352902</v>
      </c>
      <c r="S1348" s="2">
        <v>13.47</v>
      </c>
      <c r="T1348" s="1">
        <f t="shared" si="312"/>
        <v>3.3884415613920161E-14</v>
      </c>
      <c r="U1348" s="1">
        <f t="shared" si="313"/>
        <v>0.29807213189330578</v>
      </c>
      <c r="V1348" s="1">
        <f t="shared" si="314"/>
        <v>0.54710819297157631</v>
      </c>
      <c r="W1348" s="1">
        <f t="shared" si="315"/>
        <v>-0.14903606432385877</v>
      </c>
      <c r="X1348" s="1">
        <f t="shared" si="316"/>
        <v>1.3032467373970238E-8</v>
      </c>
      <c r="Y1348" s="1">
        <f t="shared" si="317"/>
        <v>-1.1969034663995084</v>
      </c>
      <c r="Z1348" s="1">
        <f t="shared" si="318"/>
        <v>-59.845173319975423</v>
      </c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</row>
    <row r="1349" spans="1:44" ht="15" customHeight="1" x14ac:dyDescent="0.3">
      <c r="A1349" s="2">
        <v>13.48</v>
      </c>
      <c r="B1349" s="1">
        <f t="shared" si="306"/>
        <v>3.3113112148259022E-14</v>
      </c>
      <c r="C1349" s="1">
        <f t="shared" si="307"/>
        <v>0.30501512376060441</v>
      </c>
      <c r="D1349" s="1">
        <f t="shared" si="308"/>
        <v>-0.30501512586742618</v>
      </c>
      <c r="E1349" s="1">
        <f t="shared" si="309"/>
        <v>5.4169187644571029E-2</v>
      </c>
      <c r="F1349" s="1">
        <f t="shared" si="310"/>
        <v>0.9999999383405036</v>
      </c>
      <c r="G1349" s="1">
        <f t="shared" si="311"/>
        <v>-7.9266133289501397</v>
      </c>
      <c r="H1349" s="1">
        <f t="shared" si="319"/>
        <v>-79.266133289501397</v>
      </c>
      <c r="S1349" s="2">
        <v>13.48</v>
      </c>
      <c r="T1349" s="1">
        <f t="shared" si="312"/>
        <v>3.3113112148259022E-14</v>
      </c>
      <c r="U1349" s="1">
        <f t="shared" si="313"/>
        <v>0.30501512376060441</v>
      </c>
      <c r="V1349" s="1">
        <f t="shared" si="314"/>
        <v>0.5575226808170235</v>
      </c>
      <c r="W1349" s="1">
        <f t="shared" si="315"/>
        <v>-0.15250756027234119</v>
      </c>
      <c r="X1349" s="1">
        <f t="shared" si="316"/>
        <v>1.2735812202514095E-8</v>
      </c>
      <c r="Y1349" s="1">
        <f t="shared" si="317"/>
        <v>-1.2079445075454744</v>
      </c>
      <c r="Z1349" s="1">
        <f t="shared" si="318"/>
        <v>-60.39722537727372</v>
      </c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</row>
    <row r="1350" spans="1:44" ht="15" customHeight="1" x14ac:dyDescent="0.3">
      <c r="A1350" s="2">
        <v>13.49</v>
      </c>
      <c r="B1350" s="1">
        <f t="shared" si="306"/>
        <v>3.2359365692962746E-14</v>
      </c>
      <c r="C1350" s="1">
        <f t="shared" si="307"/>
        <v>0.31211983868387339</v>
      </c>
      <c r="D1350" s="1">
        <f t="shared" si="308"/>
        <v>-0.31211984081408833</v>
      </c>
      <c r="E1350" s="1">
        <f t="shared" si="309"/>
        <v>5.5353306802348047E-2</v>
      </c>
      <c r="F1350" s="1">
        <f t="shared" si="310"/>
        <v>0.999999939744045</v>
      </c>
      <c r="G1350" s="1">
        <f t="shared" si="311"/>
        <v>-7.8285897146503522</v>
      </c>
      <c r="H1350" s="1">
        <f t="shared" si="319"/>
        <v>-78.285897146503515</v>
      </c>
      <c r="S1350" s="2">
        <v>13.49</v>
      </c>
      <c r="T1350" s="1">
        <f t="shared" si="312"/>
        <v>3.2359365692962746E-14</v>
      </c>
      <c r="U1350" s="1">
        <f t="shared" si="313"/>
        <v>0.31211983868387339</v>
      </c>
      <c r="V1350" s="1">
        <f t="shared" si="314"/>
        <v>0.56817975324541381</v>
      </c>
      <c r="W1350" s="1">
        <f t="shared" si="315"/>
        <v>-0.15605991774847125</v>
      </c>
      <c r="X1350" s="1">
        <f t="shared" si="316"/>
        <v>1.2445909727008078E-8</v>
      </c>
      <c r="Y1350" s="1">
        <f t="shared" si="317"/>
        <v>-1.2189328116692559</v>
      </c>
      <c r="Z1350" s="1">
        <f t="shared" si="318"/>
        <v>-60.946640583462802</v>
      </c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</row>
    <row r="1351" spans="1:44" ht="15" customHeight="1" x14ac:dyDescent="0.3">
      <c r="A1351" s="2">
        <v>13.5</v>
      </c>
      <c r="B1351" s="1">
        <f t="shared" si="306"/>
        <v>3.1622776601683714E-14</v>
      </c>
      <c r="C1351" s="1">
        <f t="shared" si="307"/>
        <v>0.31939004367700707</v>
      </c>
      <c r="D1351" s="1">
        <f t="shared" si="308"/>
        <v>-0.31939004583008263</v>
      </c>
      <c r="E1351" s="1">
        <f t="shared" si="309"/>
        <v>5.6565007638347105E-2</v>
      </c>
      <c r="F1351" s="1">
        <f t="shared" si="310"/>
        <v>0.99999994111563784</v>
      </c>
      <c r="G1351" s="1">
        <f t="shared" si="311"/>
        <v>-7.7348551650547517</v>
      </c>
      <c r="H1351" s="1">
        <f t="shared" si="319"/>
        <v>-77.348551650547506</v>
      </c>
      <c r="S1351" s="2">
        <v>13.5</v>
      </c>
      <c r="T1351" s="1">
        <f t="shared" si="312"/>
        <v>3.1622776601683714E-14</v>
      </c>
      <c r="U1351" s="1">
        <f t="shared" si="313"/>
        <v>0.31939004367700707</v>
      </c>
      <c r="V1351" s="1">
        <f t="shared" si="314"/>
        <v>0.57908506077761102</v>
      </c>
      <c r="W1351" s="1">
        <f t="shared" si="315"/>
        <v>-0.15969502025920368</v>
      </c>
      <c r="X1351" s="1">
        <f t="shared" si="316"/>
        <v>1.2162606237333974E-8</v>
      </c>
      <c r="Y1351" s="1">
        <f t="shared" si="317"/>
        <v>-1.2298658641957076</v>
      </c>
      <c r="Z1351" s="1">
        <f t="shared" si="318"/>
        <v>-61.493293209785385</v>
      </c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</row>
    <row r="1352" spans="1:44" ht="15" customHeight="1" x14ac:dyDescent="0.3">
      <c r="A1352" s="2">
        <v>13.51</v>
      </c>
      <c r="B1352" s="1">
        <f t="shared" si="306"/>
        <v>3.0902954325135829E-14</v>
      </c>
      <c r="C1352" s="1">
        <f t="shared" si="307"/>
        <v>0.32682959349892532</v>
      </c>
      <c r="D1352" s="1">
        <f t="shared" si="308"/>
        <v>-0.32682959567434111</v>
      </c>
      <c r="E1352" s="1">
        <f t="shared" si="309"/>
        <v>5.7804932612390177E-2</v>
      </c>
      <c r="F1352" s="1">
        <f t="shared" si="310"/>
        <v>0.99999994245600965</v>
      </c>
      <c r="G1352" s="1">
        <f t="shared" si="311"/>
        <v>-7.6451574725787514</v>
      </c>
      <c r="H1352" s="1">
        <f t="shared" si="319"/>
        <v>-76.451574725787509</v>
      </c>
      <c r="S1352" s="2">
        <v>13.51</v>
      </c>
      <c r="T1352" s="1">
        <f t="shared" si="312"/>
        <v>3.0902954325135829E-14</v>
      </c>
      <c r="U1352" s="1">
        <f t="shared" si="313"/>
        <v>0.32682959349892532</v>
      </c>
      <c r="V1352" s="1">
        <f t="shared" si="314"/>
        <v>0.59024438555201741</v>
      </c>
      <c r="W1352" s="1">
        <f t="shared" si="315"/>
        <v>-0.16341479518400581</v>
      </c>
      <c r="X1352" s="1">
        <f t="shared" si="316"/>
        <v>1.188575152224269E-8</v>
      </c>
      <c r="Y1352" s="1">
        <f t="shared" si="317"/>
        <v>-1.2407412049110911</v>
      </c>
      <c r="Z1352" s="1">
        <f t="shared" si="318"/>
        <v>-62.037060245554549</v>
      </c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</row>
    <row r="1353" spans="1:44" ht="15" customHeight="1" x14ac:dyDescent="0.3">
      <c r="A1353" s="2">
        <v>13.52</v>
      </c>
      <c r="B1353" s="1">
        <f t="shared" si="306"/>
        <v>3.0199517204020097E-14</v>
      </c>
      <c r="C1353" s="1">
        <f t="shared" si="307"/>
        <v>0.33444243269741769</v>
      </c>
      <c r="D1353" s="1">
        <f t="shared" si="308"/>
        <v>-0.33444243489466524</v>
      </c>
      <c r="E1353" s="1">
        <f t="shared" si="309"/>
        <v>5.9073739149110863E-2</v>
      </c>
      <c r="F1353" s="1">
        <f t="shared" si="310"/>
        <v>0.99999994376587054</v>
      </c>
      <c r="G1353" s="1">
        <f t="shared" si="311"/>
        <v>-7.5592636429901425</v>
      </c>
      <c r="H1353" s="1">
        <f t="shared" si="319"/>
        <v>-75.592636429901418</v>
      </c>
      <c r="S1353" s="2">
        <v>13.52</v>
      </c>
      <c r="T1353" s="1">
        <f t="shared" si="312"/>
        <v>3.0199517204020097E-14</v>
      </c>
      <c r="U1353" s="1">
        <f t="shared" si="313"/>
        <v>0.33444243269741769</v>
      </c>
      <c r="V1353" s="1">
        <f t="shared" si="314"/>
        <v>0.60166364439034026</v>
      </c>
      <c r="W1353" s="1">
        <f t="shared" si="315"/>
        <v>-0.16722121479678009</v>
      </c>
      <c r="X1353" s="1">
        <f t="shared" si="316"/>
        <v>1.1615198789710269E-8</v>
      </c>
      <c r="Y1353" s="1">
        <f t="shared" si="317"/>
        <v>-1.251556429933534</v>
      </c>
      <c r="Z1353" s="1">
        <f t="shared" si="318"/>
        <v>-62.577821496676705</v>
      </c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</row>
    <row r="1354" spans="1:44" ht="15" customHeight="1" x14ac:dyDescent="0.3">
      <c r="A1354" s="2">
        <v>13.53</v>
      </c>
      <c r="B1354" s="1">
        <f t="shared" si="306"/>
        <v>2.9512092266663796E-14</v>
      </c>
      <c r="C1354" s="1">
        <f t="shared" si="307"/>
        <v>0.34223259770059528</v>
      </c>
      <c r="D1354" s="1">
        <f t="shared" si="308"/>
        <v>-0.34223259991917765</v>
      </c>
      <c r="E1354" s="1">
        <f t="shared" si="309"/>
        <v>6.03720999865296E-2</v>
      </c>
      <c r="F1354" s="1">
        <f t="shared" si="310"/>
        <v>0.99999994504591561</v>
      </c>
      <c r="G1354" s="1">
        <f t="shared" si="311"/>
        <v>-7.4769580981263211</v>
      </c>
      <c r="H1354" s="1">
        <f t="shared" si="319"/>
        <v>-74.769580981263204</v>
      </c>
      <c r="S1354" s="2">
        <v>13.53</v>
      </c>
      <c r="T1354" s="1">
        <f t="shared" si="312"/>
        <v>2.9512092266663796E-14</v>
      </c>
      <c r="U1354" s="1">
        <f t="shared" si="313"/>
        <v>0.34223259770059528</v>
      </c>
      <c r="V1354" s="1">
        <f t="shared" si="314"/>
        <v>0.61334889193476605</v>
      </c>
      <c r="W1354" s="1">
        <f t="shared" si="315"/>
        <v>-0.1711162973115887</v>
      </c>
      <c r="X1354" s="1">
        <f t="shared" si="316"/>
        <v>1.1350804589106846E-8</v>
      </c>
      <c r="Y1354" s="1">
        <f t="shared" si="317"/>
        <v>-1.2623091935703745</v>
      </c>
      <c r="Z1354" s="1">
        <f t="shared" si="318"/>
        <v>-63.115459678518718</v>
      </c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</row>
    <row r="1355" spans="1:44" ht="15" customHeight="1" x14ac:dyDescent="0.3">
      <c r="A1355" s="2">
        <v>13.54</v>
      </c>
      <c r="B1355" s="1">
        <f t="shared" si="306"/>
        <v>2.8840315031265997E-14</v>
      </c>
      <c r="C1355" s="1">
        <f t="shared" si="307"/>
        <v>0.35020421895705767</v>
      </c>
      <c r="D1355" s="1">
        <f t="shared" si="308"/>
        <v>-0.35020422119648897</v>
      </c>
      <c r="E1355" s="1">
        <f t="shared" si="309"/>
        <v>6.1700703532748168E-2</v>
      </c>
      <c r="F1355" s="1">
        <f t="shared" si="310"/>
        <v>0.99999994629682332</v>
      </c>
      <c r="G1355" s="1">
        <f t="shared" si="311"/>
        <v>-7.3980410767283242</v>
      </c>
      <c r="H1355" s="1">
        <f t="shared" si="319"/>
        <v>-73.980410767283232</v>
      </c>
      <c r="S1355" s="2">
        <v>13.54</v>
      </c>
      <c r="T1355" s="1">
        <f t="shared" si="312"/>
        <v>2.8840315031265997E-14</v>
      </c>
      <c r="U1355" s="1">
        <f t="shared" si="313"/>
        <v>0.35020421895705767</v>
      </c>
      <c r="V1355" s="1">
        <f t="shared" si="314"/>
        <v>0.62530632385821761</v>
      </c>
      <c r="W1355" s="1">
        <f t="shared" si="315"/>
        <v>-0.1751021079527392</v>
      </c>
      <c r="X1355" s="1">
        <f t="shared" si="316"/>
        <v>1.1092428735137251E-8</v>
      </c>
      <c r="Y1355" s="1">
        <f t="shared" si="317"/>
        <v>-1.2729972100600597</v>
      </c>
      <c r="Z1355" s="1">
        <f t="shared" si="318"/>
        <v>-63.649860503002991</v>
      </c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</row>
    <row r="1356" spans="1:44" ht="15" customHeight="1" x14ac:dyDescent="0.3">
      <c r="A1356" s="2">
        <v>13.55</v>
      </c>
      <c r="B1356" s="1">
        <f t="shared" si="306"/>
        <v>2.8183829312644381E-14</v>
      </c>
      <c r="C1356" s="1">
        <f t="shared" si="307"/>
        <v>0.35836152312591318</v>
      </c>
      <c r="D1356" s="1">
        <f t="shared" si="308"/>
        <v>-0.3583615253857193</v>
      </c>
      <c r="E1356" s="1">
        <f t="shared" si="309"/>
        <v>6.3060254230953211E-2</v>
      </c>
      <c r="F1356" s="1">
        <f t="shared" si="310"/>
        <v>0.99999994751925669</v>
      </c>
      <c r="G1356" s="1">
        <f t="shared" si="311"/>
        <v>-7.3223272083729718</v>
      </c>
      <c r="H1356" s="1">
        <f t="shared" si="319"/>
        <v>-73.223272083729711</v>
      </c>
      <c r="S1356" s="2">
        <v>13.55</v>
      </c>
      <c r="T1356" s="1">
        <f t="shared" si="312"/>
        <v>2.8183829312644381E-14</v>
      </c>
      <c r="U1356" s="1">
        <f t="shared" si="313"/>
        <v>0.35836152312591318</v>
      </c>
      <c r="V1356" s="1">
        <f t="shared" si="314"/>
        <v>0.63754228014937564</v>
      </c>
      <c r="W1356" s="1">
        <f t="shared" si="315"/>
        <v>-0.17918076004979186</v>
      </c>
      <c r="X1356" s="1">
        <f t="shared" si="316"/>
        <v>1.0839934233512895E-8</v>
      </c>
      <c r="Y1356" s="1">
        <f t="shared" si="317"/>
        <v>-1.2836182551966333</v>
      </c>
      <c r="Z1356" s="1">
        <f t="shared" si="318"/>
        <v>-64.180912759831656</v>
      </c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</row>
    <row r="1357" spans="1:44" ht="15" customHeight="1" x14ac:dyDescent="0.3">
      <c r="A1357" s="2">
        <v>13.56</v>
      </c>
      <c r="B1357" s="1">
        <f t="shared" si="306"/>
        <v>2.7542287033381511E-14</v>
      </c>
      <c r="C1357" s="1">
        <f t="shared" si="307"/>
        <v>0.36670883531780435</v>
      </c>
      <c r="D1357" s="1">
        <f t="shared" si="308"/>
        <v>-0.36670883759752115</v>
      </c>
      <c r="E1357" s="1">
        <f t="shared" si="309"/>
        <v>6.4451472932920181E-2</v>
      </c>
      <c r="F1357" s="1">
        <f t="shared" si="310"/>
        <v>0.99999994871386433</v>
      </c>
      <c r="G1357" s="1">
        <f t="shared" si="311"/>
        <v>-7.2496442390313085</v>
      </c>
      <c r="H1357" s="1">
        <f t="shared" si="319"/>
        <v>-72.496442390313078</v>
      </c>
      <c r="S1357" s="2">
        <v>13.56</v>
      </c>
      <c r="T1357" s="1">
        <f t="shared" si="312"/>
        <v>2.7542287033381511E-14</v>
      </c>
      <c r="U1357" s="1">
        <f t="shared" si="313"/>
        <v>0.36670883531780435</v>
      </c>
      <c r="V1357" s="1">
        <f t="shared" si="314"/>
        <v>0.6500632484742257</v>
      </c>
      <c r="W1357" s="1">
        <f t="shared" si="315"/>
        <v>-0.18335441615807524</v>
      </c>
      <c r="X1357" s="1">
        <f t="shared" si="316"/>
        <v>1.0593187208315732E-8</v>
      </c>
      <c r="Y1357" s="1">
        <f t="shared" si="317"/>
        <v>-1.2941701678352322</v>
      </c>
      <c r="Z1357" s="1">
        <f t="shared" si="318"/>
        <v>-64.708508391761612</v>
      </c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</row>
    <row r="1358" spans="1:44" ht="15" customHeight="1" x14ac:dyDescent="0.3">
      <c r="A1358" s="2">
        <v>13.57</v>
      </c>
      <c r="B1358" s="1">
        <f t="shared" si="306"/>
        <v>2.6915348039269012E-14</v>
      </c>
      <c r="C1358" s="1">
        <f t="shared" si="307"/>
        <v>0.37525058138814626</v>
      </c>
      <c r="D1358" s="1">
        <f t="shared" si="308"/>
        <v>-0.37525058368732062</v>
      </c>
      <c r="E1358" s="1">
        <f t="shared" si="309"/>
        <v>6.587509728122011E-2</v>
      </c>
      <c r="F1358" s="1">
        <f t="shared" si="310"/>
        <v>0.99999994988127916</v>
      </c>
      <c r="G1358" s="1">
        <f t="shared" si="311"/>
        <v>-7.1798318897720801</v>
      </c>
      <c r="H1358" s="1">
        <f t="shared" si="319"/>
        <v>-71.79831889772079</v>
      </c>
      <c r="S1358" s="2">
        <v>13.57</v>
      </c>
      <c r="T1358" s="1">
        <f t="shared" si="312"/>
        <v>2.6915348039269012E-14</v>
      </c>
      <c r="U1358" s="1">
        <f t="shared" si="313"/>
        <v>0.37525058138814626</v>
      </c>
      <c r="V1358" s="1">
        <f t="shared" si="314"/>
        <v>0.66287586761590911</v>
      </c>
      <c r="W1358" s="1">
        <f t="shared" si="315"/>
        <v>-0.18762528920530303</v>
      </c>
      <c r="X1358" s="1">
        <f t="shared" si="316"/>
        <v>1.0352056831015306E-8</v>
      </c>
      <c r="Y1358" s="1">
        <f t="shared" si="317"/>
        <v>-1.3046508512773969</v>
      </c>
      <c r="Z1358" s="1">
        <f t="shared" si="318"/>
        <v>-65.232542563869842</v>
      </c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</row>
    <row r="1359" spans="1:44" ht="15" customHeight="1" x14ac:dyDescent="0.3">
      <c r="A1359" s="2">
        <v>13.58</v>
      </c>
      <c r="B1359" s="1">
        <f t="shared" si="306"/>
        <v>2.6302679918953771E-14</v>
      </c>
      <c r="C1359" s="1">
        <f t="shared" si="307"/>
        <v>0.38399129028376749</v>
      </c>
      <c r="D1359" s="1">
        <f t="shared" si="308"/>
        <v>-0.38399129260195647</v>
      </c>
      <c r="E1359" s="1">
        <f t="shared" si="309"/>
        <v>6.7331882100326063E-2</v>
      </c>
      <c r="F1359" s="1">
        <f t="shared" si="310"/>
        <v>0.99999995102212047</v>
      </c>
      <c r="G1359" s="1">
        <f t="shared" si="311"/>
        <v>-7.1127408326598349</v>
      </c>
      <c r="H1359" s="1">
        <f t="shared" si="319"/>
        <v>-71.127408326598342</v>
      </c>
      <c r="S1359" s="2">
        <v>13.58</v>
      </c>
      <c r="T1359" s="1">
        <f t="shared" si="312"/>
        <v>2.6302679918953771E-14</v>
      </c>
      <c r="U1359" s="1">
        <f t="shared" si="313"/>
        <v>0.38399129028376749</v>
      </c>
      <c r="V1359" s="1">
        <f t="shared" si="314"/>
        <v>0.67598693099468765</v>
      </c>
      <c r="W1359" s="1">
        <f t="shared" si="315"/>
        <v>-0.19199564366489588</v>
      </c>
      <c r="X1359" s="1">
        <f t="shared" si="316"/>
        <v>1.0116415251101899E-8</v>
      </c>
      <c r="Y1359" s="1">
        <f t="shared" si="317"/>
        <v>-1.3150582745353325</v>
      </c>
      <c r="Z1359" s="1">
        <f t="shared" si="318"/>
        <v>-65.752913726766621</v>
      </c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</row>
    <row r="1360" spans="1:44" ht="15" customHeight="1" x14ac:dyDescent="0.3">
      <c r="A1360" s="2">
        <v>13.59</v>
      </c>
      <c r="B1360" s="1">
        <f t="shared" si="306"/>
        <v>2.5703957827688596E-14</v>
      </c>
      <c r="C1360" s="1">
        <f t="shared" si="307"/>
        <v>0.39293559644422404</v>
      </c>
      <c r="D1360" s="1">
        <f t="shared" si="308"/>
        <v>-0.39293559878099482</v>
      </c>
      <c r="E1360" s="1">
        <f t="shared" si="309"/>
        <v>6.8822599796832473E-2</v>
      </c>
      <c r="F1360" s="1">
        <f t="shared" si="310"/>
        <v>0.999999952136993</v>
      </c>
      <c r="G1360" s="1">
        <f t="shared" si="311"/>
        <v>-7.0482317700436727</v>
      </c>
      <c r="H1360" s="1">
        <f t="shared" si="319"/>
        <v>-70.482317700436724</v>
      </c>
      <c r="S1360" s="2">
        <v>13.59</v>
      </c>
      <c r="T1360" s="1">
        <f t="shared" si="312"/>
        <v>2.5703957827688596E-14</v>
      </c>
      <c r="U1360" s="1">
        <f t="shared" si="313"/>
        <v>0.39293559644422404</v>
      </c>
      <c r="V1360" s="1">
        <f t="shared" si="314"/>
        <v>0.68940339026991493</v>
      </c>
      <c r="W1360" s="1">
        <f t="shared" si="315"/>
        <v>-0.19646779675663834</v>
      </c>
      <c r="X1360" s="1">
        <f t="shared" si="316"/>
        <v>9.8861375282983591E-9</v>
      </c>
      <c r="Y1360" s="1">
        <f t="shared" si="317"/>
        <v>-1.3253904734746822</v>
      </c>
      <c r="Z1360" s="1">
        <f t="shared" si="318"/>
        <v>-66.269523673734099</v>
      </c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</row>
    <row r="1361" spans="1:44" ht="15" customHeight="1" x14ac:dyDescent="0.3">
      <c r="A1361" s="2">
        <v>13.6</v>
      </c>
      <c r="B1361" s="1">
        <f t="shared" si="306"/>
        <v>2.511886431509576E-14</v>
      </c>
      <c r="C1361" s="1">
        <f t="shared" si="307"/>
        <v>0.40208824225903284</v>
      </c>
      <c r="D1361" s="1">
        <f t="shared" si="308"/>
        <v>-0.40208824461396248</v>
      </c>
      <c r="E1361" s="1">
        <f t="shared" si="309"/>
        <v>7.0348040768993744E-2</v>
      </c>
      <c r="F1361" s="1">
        <f t="shared" si="310"/>
        <v>0.99999995322648805</v>
      </c>
      <c r="G1361" s="1">
        <f t="shared" si="311"/>
        <v>-6.9861746052605858</v>
      </c>
      <c r="H1361" s="1">
        <f t="shared" si="319"/>
        <v>-69.861746052605852</v>
      </c>
      <c r="S1361" s="2">
        <v>13.6</v>
      </c>
      <c r="T1361" s="1">
        <f t="shared" si="312"/>
        <v>2.511886431509576E-14</v>
      </c>
      <c r="U1361" s="1">
        <f t="shared" si="313"/>
        <v>0.40208824225903284</v>
      </c>
      <c r="V1361" s="1">
        <f t="shared" si="314"/>
        <v>0.70313235902588511</v>
      </c>
      <c r="W1361" s="1">
        <f t="shared" si="315"/>
        <v>-0.20104411967529506</v>
      </c>
      <c r="X1361" s="1">
        <f t="shared" si="316"/>
        <v>9.6611015663153316E-9</v>
      </c>
      <c r="Y1361" s="1">
        <f t="shared" si="317"/>
        <v>-1.3356455518356605</v>
      </c>
      <c r="Z1361" s="1">
        <f t="shared" si="318"/>
        <v>-66.782277591783028</v>
      </c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</row>
    <row r="1362" spans="1:44" ht="15" customHeight="1" x14ac:dyDescent="0.3">
      <c r="A1362" s="2">
        <v>13.61</v>
      </c>
      <c r="B1362" s="1">
        <f t="shared" si="306"/>
        <v>2.4547089156850271E-14</v>
      </c>
      <c r="C1362" s="1">
        <f t="shared" si="307"/>
        <v>0.41145408058215438</v>
      </c>
      <c r="D1362" s="1">
        <f t="shared" si="308"/>
        <v>-0.41145408295482938</v>
      </c>
      <c r="E1362" s="1">
        <f t="shared" si="309"/>
        <v>7.1909013825804891E-2</v>
      </c>
      <c r="F1362" s="1">
        <f t="shared" si="310"/>
        <v>0.99999995429118316</v>
      </c>
      <c r="G1362" s="1">
        <f t="shared" si="311"/>
        <v>-6.9264476943364359</v>
      </c>
      <c r="H1362" s="1">
        <f t="shared" si="319"/>
        <v>-69.264476943364357</v>
      </c>
      <c r="S1362" s="2">
        <v>13.61</v>
      </c>
      <c r="T1362" s="1">
        <f t="shared" si="312"/>
        <v>2.4547089156850271E-14</v>
      </c>
      <c r="U1362" s="1">
        <f t="shared" si="313"/>
        <v>0.41145408058215438</v>
      </c>
      <c r="V1362" s="1">
        <f t="shared" si="314"/>
        <v>0.7171811165435551</v>
      </c>
      <c r="W1362" s="1">
        <f t="shared" si="315"/>
        <v>-0.20572703884785171</v>
      </c>
      <c r="X1362" s="1">
        <f t="shared" si="316"/>
        <v>9.4411880481140707E-9</v>
      </c>
      <c r="Y1362" s="1">
        <f t="shared" si="317"/>
        <v>-1.3458216821328253</v>
      </c>
      <c r="Z1362" s="1">
        <f t="shared" si="318"/>
        <v>-67.291084106641264</v>
      </c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</row>
    <row r="1363" spans="1:44" ht="15" customHeight="1" x14ac:dyDescent="0.3">
      <c r="A1363" s="2">
        <v>13.62</v>
      </c>
      <c r="B1363" s="1">
        <f t="shared" si="306"/>
        <v>2.3988329190194874E-14</v>
      </c>
      <c r="C1363" s="1">
        <f t="shared" si="307"/>
        <v>0.42103807730503928</v>
      </c>
      <c r="D1363" s="1">
        <f t="shared" si="308"/>
        <v>-0.4210380796950558</v>
      </c>
      <c r="E1363" s="1">
        <f t="shared" si="309"/>
        <v>7.3506346615842641E-2</v>
      </c>
      <c r="F1363" s="1">
        <f t="shared" si="310"/>
        <v>0.99999995533164288</v>
      </c>
      <c r="G1363" s="1">
        <f t="shared" si="311"/>
        <v>-6.8689371696028134</v>
      </c>
      <c r="H1363" s="1">
        <f t="shared" si="319"/>
        <v>-68.689371696028132</v>
      </c>
      <c r="S1363" s="2">
        <v>13.62</v>
      </c>
      <c r="T1363" s="1">
        <f t="shared" si="312"/>
        <v>2.3988329190194874E-14</v>
      </c>
      <c r="U1363" s="1">
        <f t="shared" si="313"/>
        <v>0.42103807730503928</v>
      </c>
      <c r="V1363" s="1">
        <f t="shared" si="314"/>
        <v>0.73155711166011927</v>
      </c>
      <c r="W1363" s="1">
        <f t="shared" si="315"/>
        <v>-0.21051903722003978</v>
      </c>
      <c r="X1363" s="1">
        <f t="shared" si="316"/>
        <v>9.226280372643009E-9</v>
      </c>
      <c r="Y1363" s="1">
        <f t="shared" si="317"/>
        <v>-1.3559171064340376</v>
      </c>
      <c r="Z1363" s="1">
        <f t="shared" si="318"/>
        <v>-67.795855321701879</v>
      </c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</row>
    <row r="1364" spans="1:44" ht="15" customHeight="1" x14ac:dyDescent="0.3">
      <c r="A1364" s="2">
        <v>13.63</v>
      </c>
      <c r="B1364" s="1">
        <f t="shared" si="306"/>
        <v>2.3442288153199111E-14</v>
      </c>
      <c r="C1364" s="1">
        <f t="shared" si="307"/>
        <v>0.43084531398961057</v>
      </c>
      <c r="D1364" s="1">
        <f t="shared" si="308"/>
        <v>-0.43084531639657409</v>
      </c>
      <c r="E1364" s="1">
        <f t="shared" si="309"/>
        <v>7.5140886066095675E-2</v>
      </c>
      <c r="F1364" s="1">
        <f t="shared" si="310"/>
        <v>0.99999995634841865</v>
      </c>
      <c r="G1364" s="1">
        <f t="shared" si="311"/>
        <v>-6.8135363272932015</v>
      </c>
      <c r="H1364" s="1">
        <f t="shared" si="319"/>
        <v>-68.135363272932011</v>
      </c>
      <c r="S1364" s="2">
        <v>13.63</v>
      </c>
      <c r="T1364" s="1">
        <f t="shared" si="312"/>
        <v>2.3442288153199111E-14</v>
      </c>
      <c r="U1364" s="1">
        <f t="shared" si="313"/>
        <v>0.43084531398961057</v>
      </c>
      <c r="V1364" s="1">
        <f t="shared" si="314"/>
        <v>0.74626796671847917</v>
      </c>
      <c r="W1364" s="1">
        <f t="shared" si="315"/>
        <v>-0.21542265557282642</v>
      </c>
      <c r="X1364" s="1">
        <f t="shared" si="316"/>
        <v>9.0162645930143219E-9</v>
      </c>
      <c r="Y1364" s="1">
        <f t="shared" si="317"/>
        <v>-1.365930137019524</v>
      </c>
      <c r="Z1364" s="1">
        <f t="shared" si="318"/>
        <v>-68.296506850976186</v>
      </c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</row>
    <row r="1365" spans="1:44" ht="15" customHeight="1" x14ac:dyDescent="0.3">
      <c r="A1365" s="2">
        <v>13.64</v>
      </c>
      <c r="B1365" s="1">
        <f t="shared" si="306"/>
        <v>2.2908676527677622E-14</v>
      </c>
      <c r="C1365" s="1">
        <f t="shared" si="307"/>
        <v>0.44088099056256969</v>
      </c>
      <c r="D1365" s="1">
        <f t="shared" si="308"/>
        <v>-0.44088099298609401</v>
      </c>
      <c r="E1365" s="1">
        <f t="shared" si="309"/>
        <v>7.6813498831015681E-2</v>
      </c>
      <c r="F1365" s="1">
        <f t="shared" si="310"/>
        <v>0.99999995734205005</v>
      </c>
      <c r="G1365" s="1">
        <f t="shared" si="311"/>
        <v>-6.7601450721673899</v>
      </c>
      <c r="H1365" s="1">
        <f t="shared" si="319"/>
        <v>-67.601450721673899</v>
      </c>
      <c r="S1365" s="2">
        <v>13.64</v>
      </c>
      <c r="T1365" s="1">
        <f t="shared" si="312"/>
        <v>2.2908676527677622E-14</v>
      </c>
      <c r="U1365" s="1">
        <f t="shared" si="313"/>
        <v>0.44088099056256969</v>
      </c>
      <c r="V1365" s="1">
        <f t="shared" si="314"/>
        <v>0.76132148160870405</v>
      </c>
      <c r="W1365" s="1">
        <f t="shared" si="315"/>
        <v>-0.22044049386956799</v>
      </c>
      <c r="X1365" s="1">
        <f t="shared" si="316"/>
        <v>8.8110293560879225E-9</v>
      </c>
      <c r="Y1365" s="1">
        <f t="shared" si="317"/>
        <v>-1.3758591569222587</v>
      </c>
      <c r="Z1365" s="1">
        <f t="shared" si="318"/>
        <v>-68.792957846112927</v>
      </c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</row>
    <row r="1366" spans="1:44" ht="15" customHeight="1" x14ac:dyDescent="0.3">
      <c r="A1366" s="2">
        <v>13.65</v>
      </c>
      <c r="B1366" s="1">
        <f t="shared" si="306"/>
        <v>2.2387211385683295E-14</v>
      </c>
      <c r="C1366" s="1">
        <f t="shared" si="307"/>
        <v>0.45115042807247474</v>
      </c>
      <c r="D1366" s="1">
        <f t="shared" si="308"/>
        <v>-0.45115043051218312</v>
      </c>
      <c r="E1366" s="1">
        <f t="shared" si="309"/>
        <v>7.8525071752030509E-2</v>
      </c>
      <c r="F1366" s="1">
        <f t="shared" si="310"/>
        <v>0.99999995831306343</v>
      </c>
      <c r="G1366" s="1">
        <f t="shared" si="311"/>
        <v>-6.7086694130627968</v>
      </c>
      <c r="H1366" s="1">
        <f t="shared" si="319"/>
        <v>-67.086694130627961</v>
      </c>
      <c r="S1366" s="2">
        <v>13.65</v>
      </c>
      <c r="T1366" s="1">
        <f t="shared" si="312"/>
        <v>2.2387211385683295E-14</v>
      </c>
      <c r="U1366" s="1">
        <f t="shared" si="313"/>
        <v>0.45115042807247474</v>
      </c>
      <c r="V1366" s="1">
        <f t="shared" si="314"/>
        <v>0.7767256379036469</v>
      </c>
      <c r="W1366" s="1">
        <f t="shared" si="315"/>
        <v>-0.22557521263454894</v>
      </c>
      <c r="X1366" s="1">
        <f t="shared" si="316"/>
        <v>8.6104658434303755E-9</v>
      </c>
      <c r="Y1366" s="1">
        <f t="shared" si="317"/>
        <v>-1.3857026203512133</v>
      </c>
      <c r="Z1366" s="1">
        <f t="shared" si="318"/>
        <v>-69.285131017560659</v>
      </c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</row>
    <row r="1367" spans="1:44" ht="15" customHeight="1" x14ac:dyDescent="0.3">
      <c r="A1367" s="2">
        <v>13.66</v>
      </c>
      <c r="B1367" s="1">
        <f t="shared" si="306"/>
        <v>2.1877616239495426E-14</v>
      </c>
      <c r="C1367" s="1">
        <f t="shared" si="307"/>
        <v>0.46165907151102586</v>
      </c>
      <c r="D1367" s="1">
        <f t="shared" si="308"/>
        <v>-0.4616590739665502</v>
      </c>
      <c r="E1367" s="1">
        <f t="shared" si="309"/>
        <v>8.027651232775837E-2</v>
      </c>
      <c r="F1367" s="1">
        <f t="shared" si="310"/>
        <v>0.99999995926197394</v>
      </c>
      <c r="G1367" s="1">
        <f t="shared" si="311"/>
        <v>-6.6590210040063695</v>
      </c>
      <c r="H1367" s="1">
        <f t="shared" si="319"/>
        <v>-66.590210040063695</v>
      </c>
      <c r="S1367" s="2">
        <v>13.66</v>
      </c>
      <c r="T1367" s="1">
        <f t="shared" si="312"/>
        <v>2.1877616239495426E-14</v>
      </c>
      <c r="U1367" s="1">
        <f t="shared" si="313"/>
        <v>0.46165907151102586</v>
      </c>
      <c r="V1367" s="1">
        <f t="shared" si="314"/>
        <v>0.79248860309087421</v>
      </c>
      <c r="W1367" s="1">
        <f t="shared" si="315"/>
        <v>-0.23082953436362472</v>
      </c>
      <c r="X1367" s="1">
        <f t="shared" si="316"/>
        <v>8.4144677136180501E-9</v>
      </c>
      <c r="Y1367" s="1">
        <f t="shared" si="317"/>
        <v>-1.3954590529992588</v>
      </c>
      <c r="Z1367" s="1">
        <f t="shared" si="318"/>
        <v>-69.772952649962932</v>
      </c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</row>
    <row r="1368" spans="1:44" ht="15" customHeight="1" x14ac:dyDescent="0.3">
      <c r="A1368" s="2">
        <v>13.67</v>
      </c>
      <c r="B1368" s="1">
        <f t="shared" si="306"/>
        <v>2.1379620895022229E-14</v>
      </c>
      <c r="C1368" s="1">
        <f t="shared" si="307"/>
        <v>0.47241249270007218</v>
      </c>
      <c r="D1368" s="1">
        <f t="shared" si="308"/>
        <v>-0.47241249517105233</v>
      </c>
      <c r="E1368" s="1">
        <f t="shared" si="309"/>
        <v>8.2068749195175386E-2</v>
      </c>
      <c r="F1368" s="1">
        <f t="shared" si="310"/>
        <v>0.99999996018928461</v>
      </c>
      <c r="G1368" s="1">
        <f t="shared" si="311"/>
        <v>-6.6111167261571469</v>
      </c>
      <c r="H1368" s="1">
        <f t="shared" si="319"/>
        <v>-66.111167261571467</v>
      </c>
      <c r="S1368" s="2">
        <v>13.67</v>
      </c>
      <c r="T1368" s="1">
        <f t="shared" si="312"/>
        <v>2.1379620895022229E-14</v>
      </c>
      <c r="U1368" s="1">
        <f t="shared" si="313"/>
        <v>0.47241249270007218</v>
      </c>
      <c r="V1368" s="1">
        <f t="shared" si="314"/>
        <v>0.80861873490317526</v>
      </c>
      <c r="W1368" s="1">
        <f t="shared" si="315"/>
        <v>-0.2362062449677251</v>
      </c>
      <c r="X1368" s="1">
        <f t="shared" si="316"/>
        <v>8.2229310458534914E-9</v>
      </c>
      <c r="Y1368" s="1">
        <f t="shared" si="317"/>
        <v>-1.4051270522378325</v>
      </c>
      <c r="Z1368" s="1">
        <f t="shared" si="318"/>
        <v>-70.256352611891629</v>
      </c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</row>
    <row r="1369" spans="1:44" ht="15" customHeight="1" x14ac:dyDescent="0.3">
      <c r="A1369" s="2">
        <v>13.68</v>
      </c>
      <c r="B1369" s="1">
        <f t="shared" si="306"/>
        <v>2.0892961308540382E-14</v>
      </c>
      <c r="C1369" s="1">
        <f t="shared" si="307"/>
        <v>0.48341639324586499</v>
      </c>
      <c r="D1369" s="1">
        <f t="shared" si="308"/>
        <v>-0.48341639573194906</v>
      </c>
      <c r="E1369" s="1">
        <f t="shared" si="309"/>
        <v>8.3902732621991494E-2</v>
      </c>
      <c r="F1369" s="1">
        <f t="shared" si="310"/>
        <v>0.99999996109548706</v>
      </c>
      <c r="G1369" s="1">
        <f t="shared" si="311"/>
        <v>-6.5648783064025968</v>
      </c>
      <c r="H1369" s="1">
        <f t="shared" si="319"/>
        <v>-65.648783064025963</v>
      </c>
      <c r="S1369" s="2">
        <v>13.68</v>
      </c>
      <c r="T1369" s="1">
        <f t="shared" si="312"/>
        <v>2.0892961308540382E-14</v>
      </c>
      <c r="U1369" s="1">
        <f t="shared" si="313"/>
        <v>0.48341639324586499</v>
      </c>
      <c r="V1369" s="1">
        <f t="shared" si="314"/>
        <v>0.82512458574994163</v>
      </c>
      <c r="W1369" s="1">
        <f t="shared" si="315"/>
        <v>-0.24170819524998055</v>
      </c>
      <c r="X1369" s="1">
        <f t="shared" si="316"/>
        <v>8.035754284865261E-9</v>
      </c>
      <c r="Y1369" s="1">
        <f t="shared" si="317"/>
        <v>-1.4147052872007131</v>
      </c>
      <c r="Z1369" s="1">
        <f t="shared" si="318"/>
        <v>-70.735264360035657</v>
      </c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</row>
    <row r="1370" spans="1:44" ht="15" customHeight="1" x14ac:dyDescent="0.3">
      <c r="A1370" s="2">
        <v>13.69</v>
      </c>
      <c r="B1370" s="1">
        <f t="shared" si="306"/>
        <v>2.0417379446695278E-14</v>
      </c>
      <c r="C1370" s="1">
        <f t="shared" si="307"/>
        <v>0.494676607562131</v>
      </c>
      <c r="D1370" s="1">
        <f t="shared" si="308"/>
        <v>-0.49467661006297498</v>
      </c>
      <c r="E1370" s="1">
        <f t="shared" si="309"/>
        <v>8.5779435010495828E-2</v>
      </c>
      <c r="F1370" s="1">
        <f t="shared" si="310"/>
        <v>0.99999996198106178</v>
      </c>
      <c r="G1370" s="1">
        <f t="shared" si="311"/>
        <v>-6.5202319689131407</v>
      </c>
      <c r="H1370" s="1">
        <f t="shared" si="319"/>
        <v>-65.2023196891314</v>
      </c>
      <c r="S1370" s="2">
        <v>13.69</v>
      </c>
      <c r="T1370" s="1">
        <f t="shared" si="312"/>
        <v>2.0417379446695278E-14</v>
      </c>
      <c r="U1370" s="1">
        <f t="shared" si="313"/>
        <v>0.494676607562131</v>
      </c>
      <c r="V1370" s="1">
        <f t="shared" si="314"/>
        <v>0.84201490725177819</v>
      </c>
      <c r="W1370" s="1">
        <f t="shared" si="315"/>
        <v>-0.24733830241725943</v>
      </c>
      <c r="X1370" s="1">
        <f t="shared" si="316"/>
        <v>7.852838187061885E-9</v>
      </c>
      <c r="Y1370" s="1">
        <f t="shared" si="317"/>
        <v>-1.424192498759498</v>
      </c>
      <c r="Z1370" s="1">
        <f t="shared" si="318"/>
        <v>-71.209624937974894</v>
      </c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</row>
    <row r="1371" spans="1:44" ht="15" customHeight="1" x14ac:dyDescent="0.3">
      <c r="A1371" s="2">
        <v>13.7</v>
      </c>
      <c r="B1371" s="1">
        <f t="shared" si="306"/>
        <v>1.9952623149688784E-14</v>
      </c>
      <c r="C1371" s="1">
        <f t="shared" si="307"/>
        <v>0.50619910596354523</v>
      </c>
      <c r="D1371" s="1">
        <f t="shared" si="308"/>
        <v>-0.50619910847881322</v>
      </c>
      <c r="E1371" s="1">
        <f t="shared" si="309"/>
        <v>8.7699851413135521E-2</v>
      </c>
      <c r="F1371" s="1">
        <f t="shared" si="310"/>
        <v>0.99999996284647841</v>
      </c>
      <c r="G1371" s="1">
        <f t="shared" si="311"/>
        <v>-6.4771081163790774</v>
      </c>
      <c r="H1371" s="1">
        <f t="shared" si="319"/>
        <v>-64.771081163790768</v>
      </c>
      <c r="S1371" s="2">
        <v>13.7</v>
      </c>
      <c r="T1371" s="1">
        <f t="shared" si="312"/>
        <v>1.9952623149688784E-14</v>
      </c>
      <c r="U1371" s="1">
        <f t="shared" si="313"/>
        <v>0.50619910596354523</v>
      </c>
      <c r="V1371" s="1">
        <f t="shared" si="314"/>
        <v>0.85929865488071377</v>
      </c>
      <c r="W1371" s="1">
        <f t="shared" si="315"/>
        <v>-0.25309955162690462</v>
      </c>
      <c r="X1371" s="1">
        <f t="shared" si="316"/>
        <v>7.6740857679117853E-9</v>
      </c>
      <c r="Y1371" s="1">
        <f t="shared" si="317"/>
        <v>-1.433587499393582</v>
      </c>
      <c r="Z1371" s="1">
        <f t="shared" si="318"/>
        <v>-71.679374969679102</v>
      </c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</row>
    <row r="1372" spans="1:44" ht="15" customHeight="1" x14ac:dyDescent="0.3">
      <c r="A1372" s="2">
        <v>13.71</v>
      </c>
      <c r="B1372" s="1">
        <f t="shared" si="306"/>
        <v>1.9498445997580372E-14</v>
      </c>
      <c r="C1372" s="1">
        <f t="shared" si="307"/>
        <v>0.51798999783128064</v>
      </c>
      <c r="D1372" s="1">
        <f t="shared" si="308"/>
        <v>-0.51799000036064435</v>
      </c>
      <c r="E1372" s="1">
        <f t="shared" si="309"/>
        <v>8.9665000060107386E-2</v>
      </c>
      <c r="F1372" s="1">
        <f t="shared" si="310"/>
        <v>0.99999996369219579</v>
      </c>
      <c r="G1372" s="1">
        <f t="shared" si="311"/>
        <v>-6.435441038020806</v>
      </c>
      <c r="H1372" s="1">
        <f t="shared" si="319"/>
        <v>-64.354410380208051</v>
      </c>
      <c r="S1372" s="2">
        <v>13.71</v>
      </c>
      <c r="T1372" s="1">
        <f t="shared" si="312"/>
        <v>1.9498445997580372E-14</v>
      </c>
      <c r="U1372" s="1">
        <f t="shared" si="313"/>
        <v>0.51798999783128064</v>
      </c>
      <c r="V1372" s="1">
        <f t="shared" si="314"/>
        <v>0.87698499270852004</v>
      </c>
      <c r="W1372" s="1">
        <f t="shared" si="315"/>
        <v>-0.25899499756950667</v>
      </c>
      <c r="X1372" s="1">
        <f t="shared" si="316"/>
        <v>7.4994022505206472E-9</v>
      </c>
      <c r="Y1372" s="1">
        <f t="shared" si="317"/>
        <v>-1.4428891729576898</v>
      </c>
      <c r="Z1372" s="1">
        <f t="shared" si="318"/>
        <v>-72.144458647884491</v>
      </c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</row>
    <row r="1373" spans="1:44" ht="15" customHeight="1" x14ac:dyDescent="0.3">
      <c r="A1373" s="2">
        <v>13.72</v>
      </c>
      <c r="B1373" s="1">
        <f t="shared" si="306"/>
        <v>1.9054607179632396E-14</v>
      </c>
      <c r="C1373" s="1">
        <f t="shared" si="307"/>
        <v>0.53005553485227241</v>
      </c>
      <c r="D1373" s="1">
        <f t="shared" si="308"/>
        <v>-0.53005553739541089</v>
      </c>
      <c r="E1373" s="1">
        <f t="shared" si="309"/>
        <v>9.1675922899235152E-2</v>
      </c>
      <c r="F1373" s="1">
        <f t="shared" si="310"/>
        <v>0.99999996451866224</v>
      </c>
      <c r="G1373" s="1">
        <f t="shared" si="311"/>
        <v>-6.3951686417848288</v>
      </c>
      <c r="H1373" s="1">
        <f t="shared" si="319"/>
        <v>-63.951686417848286</v>
      </c>
      <c r="S1373" s="2">
        <v>13.72</v>
      </c>
      <c r="T1373" s="1">
        <f t="shared" si="312"/>
        <v>1.9054607179632396E-14</v>
      </c>
      <c r="U1373" s="1">
        <f t="shared" si="313"/>
        <v>0.53005553485227241</v>
      </c>
      <c r="V1373" s="1">
        <f t="shared" si="314"/>
        <v>0.89508329826561417</v>
      </c>
      <c r="W1373" s="1">
        <f t="shared" si="315"/>
        <v>-0.26502776608853806</v>
      </c>
      <c r="X1373" s="1">
        <f t="shared" si="316"/>
        <v>7.3286950153796122E-9</v>
      </c>
      <c r="Y1373" s="1">
        <f t="shared" si="317"/>
        <v>-1.4520964743501465</v>
      </c>
      <c r="Z1373" s="1">
        <f t="shared" si="318"/>
        <v>-72.60482371750733</v>
      </c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</row>
    <row r="1374" spans="1:44" ht="15" customHeight="1" x14ac:dyDescent="0.3">
      <c r="A1374" s="2">
        <v>13.73</v>
      </c>
      <c r="B1374" s="1">
        <f t="shared" si="306"/>
        <v>1.8620871366628604E-14</v>
      </c>
      <c r="C1374" s="1">
        <f t="shared" si="307"/>
        <v>0.54240211433395724</v>
      </c>
      <c r="D1374" s="1">
        <f t="shared" si="308"/>
        <v>-0.54240211689055684</v>
      </c>
      <c r="E1374" s="1">
        <f t="shared" si="309"/>
        <v>9.3733686148426143E-2</v>
      </c>
      <c r="F1374" s="1">
        <f t="shared" si="310"/>
        <v>0.99999996532631608</v>
      </c>
      <c r="G1374" s="1">
        <f t="shared" si="311"/>
        <v>-6.3562322084196321</v>
      </c>
      <c r="H1374" s="1">
        <f t="shared" si="319"/>
        <v>-63.562322084196317</v>
      </c>
      <c r="S1374" s="2">
        <v>13.73</v>
      </c>
      <c r="T1374" s="1">
        <f t="shared" si="312"/>
        <v>1.8620871366628604E-14</v>
      </c>
      <c r="U1374" s="1">
        <f t="shared" si="313"/>
        <v>0.54240211433395724</v>
      </c>
      <c r="V1374" s="1">
        <f t="shared" si="314"/>
        <v>0.91360316751316517</v>
      </c>
      <c r="W1374" s="1">
        <f t="shared" si="315"/>
        <v>-0.27120105583772169</v>
      </c>
      <c r="X1374" s="1">
        <f t="shared" si="316"/>
        <v>7.1618735512570301E-9</v>
      </c>
      <c r="Y1374" s="1">
        <f t="shared" si="317"/>
        <v>-1.4612084290853036</v>
      </c>
      <c r="Z1374" s="1">
        <f t="shared" si="318"/>
        <v>-73.060421454265182</v>
      </c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</row>
    <row r="1375" spans="1:44" ht="15" customHeight="1" x14ac:dyDescent="0.3">
      <c r="A1375" s="2">
        <v>13.74</v>
      </c>
      <c r="B1375" s="1">
        <f t="shared" si="306"/>
        <v>1.8197008586099766E-14</v>
      </c>
      <c r="C1375" s="1">
        <f t="shared" si="307"/>
        <v>0.55503628259620286</v>
      </c>
      <c r="D1375" s="1">
        <f t="shared" si="308"/>
        <v>-0.55503628516595793</v>
      </c>
      <c r="E1375" s="1">
        <f t="shared" si="309"/>
        <v>9.5839380860992973E-2</v>
      </c>
      <c r="F1375" s="1">
        <f t="shared" si="310"/>
        <v>0.9999999661155855</v>
      </c>
      <c r="G1375" s="1">
        <f t="shared" si="311"/>
        <v>-6.3185761653736519</v>
      </c>
      <c r="H1375" s="1">
        <f t="shared" si="319"/>
        <v>-63.185761653736513</v>
      </c>
      <c r="S1375" s="2">
        <v>13.74</v>
      </c>
      <c r="T1375" s="1">
        <f t="shared" si="312"/>
        <v>1.8197008586099766E-14</v>
      </c>
      <c r="U1375" s="1">
        <f t="shared" si="313"/>
        <v>0.55503628259620286</v>
      </c>
      <c r="V1375" s="1">
        <f t="shared" si="314"/>
        <v>0.93255441993098831</v>
      </c>
      <c r="W1375" s="1">
        <f t="shared" si="315"/>
        <v>-0.27751813997699615</v>
      </c>
      <c r="X1375" s="1">
        <f t="shared" si="316"/>
        <v>6.9988494072083235E-9</v>
      </c>
      <c r="Y1375" s="1">
        <f t="shared" si="317"/>
        <v>-1.4702241327736278</v>
      </c>
      <c r="Z1375" s="1">
        <f t="shared" si="318"/>
        <v>-73.511206638681401</v>
      </c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</row>
    <row r="1376" spans="1:44" ht="15" customHeight="1" x14ac:dyDescent="0.3">
      <c r="A1376" s="2">
        <v>13.75</v>
      </c>
      <c r="B1376" s="1">
        <f t="shared" si="306"/>
        <v>1.7782794100389161E-14</v>
      </c>
      <c r="C1376" s="1">
        <f t="shared" si="307"/>
        <v>0.5679647384422547</v>
      </c>
      <c r="D1376" s="1">
        <f t="shared" si="308"/>
        <v>-0.56796474102486494</v>
      </c>
      <c r="E1376" s="1">
        <f t="shared" si="309"/>
        <v>9.7994123504144159E-2</v>
      </c>
      <c r="F1376" s="1">
        <f t="shared" si="310"/>
        <v>0.99999996688688886</v>
      </c>
      <c r="G1376" s="1">
        <f t="shared" si="311"/>
        <v>-6.2821478786755849</v>
      </c>
      <c r="H1376" s="1">
        <f t="shared" si="319"/>
        <v>-62.821478786755847</v>
      </c>
      <c r="S1376" s="2">
        <v>13.75</v>
      </c>
      <c r="T1376" s="1">
        <f t="shared" si="312"/>
        <v>1.7782794100389161E-14</v>
      </c>
      <c r="U1376" s="1">
        <f t="shared" si="313"/>
        <v>0.5679647384422547</v>
      </c>
      <c r="V1376" s="1">
        <f t="shared" si="314"/>
        <v>0.95194710372396329</v>
      </c>
      <c r="W1376" s="1">
        <f t="shared" si="315"/>
        <v>-0.28398236790798775</v>
      </c>
      <c r="X1376" s="1">
        <f t="shared" si="316"/>
        <v>6.8395361456781142E-9</v>
      </c>
      <c r="Y1376" s="1">
        <f t="shared" si="317"/>
        <v>-1.4791427505131558</v>
      </c>
      <c r="Z1376" s="1">
        <f t="shared" si="318"/>
        <v>-73.957137525657785</v>
      </c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</row>
    <row r="1377" spans="1:44" ht="15" customHeight="1" x14ac:dyDescent="0.3">
      <c r="A1377" s="2">
        <v>13.76</v>
      </c>
      <c r="B1377" s="1">
        <f t="shared" si="306"/>
        <v>1.7378008287493692E-14</v>
      </c>
      <c r="C1377" s="1">
        <f t="shared" si="307"/>
        <v>0.58119433671053056</v>
      </c>
      <c r="D1377" s="1">
        <f t="shared" si="308"/>
        <v>-0.5811943393057033</v>
      </c>
      <c r="E1377" s="1">
        <f t="shared" si="309"/>
        <v>0.10019905655095056</v>
      </c>
      <c r="F1377" s="1">
        <f t="shared" si="310"/>
        <v>0.99999996764063526</v>
      </c>
      <c r="G1377" s="1">
        <f t="shared" si="311"/>
        <v>-6.2468974611499313</v>
      </c>
      <c r="H1377" s="1">
        <f t="shared" si="319"/>
        <v>-62.468974611499313</v>
      </c>
      <c r="S1377" s="2">
        <v>13.76</v>
      </c>
      <c r="T1377" s="1">
        <f t="shared" si="312"/>
        <v>1.7378008287493692E-14</v>
      </c>
      <c r="U1377" s="1">
        <f t="shared" si="313"/>
        <v>0.58119433671053056</v>
      </c>
      <c r="V1377" s="1">
        <f t="shared" si="314"/>
        <v>0.97179150114973034</v>
      </c>
      <c r="W1377" s="1">
        <f t="shared" si="315"/>
        <v>-0.29059716704991012</v>
      </c>
      <c r="X1377" s="1">
        <f t="shared" si="316"/>
        <v>6.6838492966698854E-9</v>
      </c>
      <c r="Y1377" s="1">
        <f t="shared" si="317"/>
        <v>-1.4879635161961016</v>
      </c>
      <c r="Z1377" s="1">
        <f t="shared" si="318"/>
        <v>-74.398175809805068</v>
      </c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</row>
    <row r="1378" spans="1:44" ht="15" customHeight="1" x14ac:dyDescent="0.3">
      <c r="A1378" s="2">
        <v>13.77</v>
      </c>
      <c r="B1378" s="1">
        <f t="shared" si="306"/>
        <v>1.6982436524617383E-14</v>
      </c>
      <c r="C1378" s="1">
        <f t="shared" si="307"/>
        <v>0.59473209190914689</v>
      </c>
      <c r="D1378" s="1">
        <f t="shared" si="308"/>
        <v>-0.5947320945165967</v>
      </c>
      <c r="E1378" s="1">
        <f t="shared" si="309"/>
        <v>0.10245534908609946</v>
      </c>
      <c r="F1378" s="1">
        <f t="shared" si="310"/>
        <v>0.99999996837722438</v>
      </c>
      <c r="G1378" s="1">
        <f t="shared" si="311"/>
        <v>-6.2127775954908699</v>
      </c>
      <c r="H1378" s="1">
        <f t="shared" si="319"/>
        <v>-62.127775954908699</v>
      </c>
      <c r="S1378" s="2">
        <v>13.77</v>
      </c>
      <c r="T1378" s="1">
        <f t="shared" si="312"/>
        <v>1.6982436524617383E-14</v>
      </c>
      <c r="U1378" s="1">
        <f t="shared" si="313"/>
        <v>0.59473209190914689</v>
      </c>
      <c r="V1378" s="1">
        <f t="shared" si="314"/>
        <v>0.99209813397047775</v>
      </c>
      <c r="W1378" s="1">
        <f t="shared" si="315"/>
        <v>-0.29736604465682592</v>
      </c>
      <c r="X1378" s="1">
        <f t="shared" si="316"/>
        <v>6.531706312958882E-9</v>
      </c>
      <c r="Y1378" s="1">
        <f t="shared" si="317"/>
        <v>-1.4966857317345157</v>
      </c>
      <c r="Z1378" s="1">
        <f t="shared" si="318"/>
        <v>-74.834286586725796</v>
      </c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</row>
    <row r="1379" spans="1:44" ht="15" customHeight="1" x14ac:dyDescent="0.3">
      <c r="A1379" s="2">
        <v>13.78</v>
      </c>
      <c r="B1379" s="1">
        <f t="shared" si="306"/>
        <v>1.659586907437561E-14</v>
      </c>
      <c r="C1379" s="1">
        <f t="shared" si="307"/>
        <v>0.60858518193510114</v>
      </c>
      <c r="D1379" s="1">
        <f t="shared" si="308"/>
        <v>-0.6085851845545488</v>
      </c>
      <c r="E1379" s="1">
        <f t="shared" si="309"/>
        <v>0.10476419742575814</v>
      </c>
      <c r="F1379" s="1">
        <f t="shared" si="310"/>
        <v>0.99999996909704658</v>
      </c>
      <c r="G1379" s="1">
        <f t="shared" si="311"/>
        <v>-6.1797433708681826</v>
      </c>
      <c r="H1379" s="1">
        <f t="shared" si="319"/>
        <v>-61.797433708681822</v>
      </c>
      <c r="S1379" s="2">
        <v>13.78</v>
      </c>
      <c r="T1379" s="1">
        <f t="shared" si="312"/>
        <v>1.659586907437561E-14</v>
      </c>
      <c r="U1379" s="1">
        <f t="shared" si="313"/>
        <v>0.60858518193510114</v>
      </c>
      <c r="V1379" s="1">
        <f t="shared" si="314"/>
        <v>1.012877769031711</v>
      </c>
      <c r="W1379" s="1">
        <f t="shared" si="315"/>
        <v>-0.30429258967723699</v>
      </c>
      <c r="X1379" s="1">
        <f t="shared" si="316"/>
        <v>6.3830265263245144E-9</v>
      </c>
      <c r="Y1379" s="1">
        <f t="shared" si="317"/>
        <v>-1.5053087662089775</v>
      </c>
      <c r="Z1379" s="1">
        <f t="shared" si="318"/>
        <v>-75.265438310448872</v>
      </c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</row>
    <row r="1380" spans="1:44" ht="15" customHeight="1" x14ac:dyDescent="0.3">
      <c r="A1380" s="2">
        <v>13.79</v>
      </c>
      <c r="B1380" s="1">
        <f t="shared" si="306"/>
        <v>1.6218100973589306E-14</v>
      </c>
      <c r="C1380" s="1">
        <f t="shared" si="307"/>
        <v>0.62276095188009672</v>
      </c>
      <c r="D1380" s="1">
        <f t="shared" si="308"/>
        <v>-0.62276095451126912</v>
      </c>
      <c r="E1380" s="1">
        <f t="shared" si="309"/>
        <v>0.10712682575187818</v>
      </c>
      <c r="F1380" s="1">
        <f t="shared" si="310"/>
        <v>0.99999996980048367</v>
      </c>
      <c r="G1380" s="1">
        <f t="shared" si="311"/>
        <v>-6.147752131872477</v>
      </c>
      <c r="H1380" s="1">
        <f t="shared" si="319"/>
        <v>-61.477521318724769</v>
      </c>
      <c r="S1380" s="2">
        <v>13.79</v>
      </c>
      <c r="T1380" s="1">
        <f t="shared" si="312"/>
        <v>1.6218100973589306E-14</v>
      </c>
      <c r="U1380" s="1">
        <f t="shared" si="313"/>
        <v>0.62276095188009672</v>
      </c>
      <c r="V1380" s="1">
        <f t="shared" si="314"/>
        <v>1.0341414239710007</v>
      </c>
      <c r="W1380" s="1">
        <f t="shared" si="315"/>
        <v>-0.31138047465700025</v>
      </c>
      <c r="X1380" s="1">
        <f t="shared" si="316"/>
        <v>6.2377311047789049E-9</v>
      </c>
      <c r="Y1380" s="1">
        <f t="shared" si="317"/>
        <v>-1.5138320549443782</v>
      </c>
      <c r="Z1380" s="1">
        <f t="shared" si="318"/>
        <v>-75.691602747218923</v>
      </c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</row>
    <row r="1381" spans="1:44" ht="15" customHeight="1" x14ac:dyDescent="0.3">
      <c r="A1381" s="2">
        <v>13.8</v>
      </c>
      <c r="B1381" s="1">
        <f t="shared" si="306"/>
        <v>1.5848931924611084E-14</v>
      </c>
      <c r="C1381" s="1">
        <f t="shared" si="307"/>
        <v>0.63726691792499712</v>
      </c>
      <c r="D1381" s="1">
        <f t="shared" si="308"/>
        <v>-0.63726692056762646</v>
      </c>
      <c r="E1381" s="1">
        <f t="shared" si="309"/>
        <v>0.10954448676127107</v>
      </c>
      <c r="F1381" s="1">
        <f t="shared" si="310"/>
        <v>0.99999997048790856</v>
      </c>
      <c r="G1381" s="1">
        <f t="shared" si="311"/>
        <v>-6.1167633387257414</v>
      </c>
      <c r="H1381" s="1">
        <f t="shared" si="319"/>
        <v>-61.167633387257411</v>
      </c>
      <c r="S1381" s="2">
        <v>13.8</v>
      </c>
      <c r="T1381" s="1">
        <f t="shared" si="312"/>
        <v>1.5848931924611084E-14</v>
      </c>
      <c r="U1381" s="1">
        <f t="shared" si="313"/>
        <v>0.63726691792499712</v>
      </c>
      <c r="V1381" s="1">
        <f t="shared" si="314"/>
        <v>1.0559003730596499</v>
      </c>
      <c r="W1381" s="1">
        <f t="shared" si="315"/>
        <v>-0.31863345768654999</v>
      </c>
      <c r="X1381" s="1">
        <f t="shared" si="316"/>
        <v>6.0957430107692576E-9</v>
      </c>
      <c r="Y1381" s="1">
        <f t="shared" si="317"/>
        <v>-1.5222550985168768</v>
      </c>
      <c r="Z1381" s="1">
        <f t="shared" si="318"/>
        <v>-76.112754925843845</v>
      </c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</row>
    <row r="1382" spans="1:44" ht="15" customHeight="1" x14ac:dyDescent="0.3">
      <c r="A1382" s="2">
        <v>13.81</v>
      </c>
      <c r="B1382" s="1">
        <f t="shared" si="306"/>
        <v>1.5488166189124764E-14</v>
      </c>
      <c r="C1382" s="1">
        <f t="shared" si="307"/>
        <v>0.65211077132500406</v>
      </c>
      <c r="D1382" s="1">
        <f t="shared" si="308"/>
        <v>-0.65211077397882988</v>
      </c>
      <c r="E1382" s="1">
        <f t="shared" si="309"/>
        <v>0.11201846232980497</v>
      </c>
      <c r="F1382" s="1">
        <f t="shared" si="310"/>
        <v>0.99999997115968575</v>
      </c>
      <c r="G1382" s="1">
        <f t="shared" si="311"/>
        <v>-6.0867384377885854</v>
      </c>
      <c r="H1382" s="1">
        <f t="shared" si="319"/>
        <v>-60.867384377885848</v>
      </c>
      <c r="S1382" s="2">
        <v>13.81</v>
      </c>
      <c r="T1382" s="1">
        <f t="shared" si="312"/>
        <v>1.5488166189124764E-14</v>
      </c>
      <c r="U1382" s="1">
        <f t="shared" si="313"/>
        <v>0.65211077132500406</v>
      </c>
      <c r="V1382" s="1">
        <f t="shared" si="314"/>
        <v>1.0781661531804729</v>
      </c>
      <c r="W1382" s="1">
        <f t="shared" si="315"/>
        <v>-0.32605538439349091</v>
      </c>
      <c r="X1382" s="1">
        <f t="shared" si="316"/>
        <v>5.9569869603315231E-9</v>
      </c>
      <c r="Y1382" s="1">
        <f t="shared" si="317"/>
        <v>-1.5305774616961854</v>
      </c>
      <c r="Z1382" s="1">
        <f t="shared" si="318"/>
        <v>-76.528873084809263</v>
      </c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</row>
    <row r="1383" spans="1:44" ht="15" customHeight="1" x14ac:dyDescent="0.3">
      <c r="A1383" s="2">
        <v>13.82</v>
      </c>
      <c r="B1383" s="1">
        <f t="shared" si="306"/>
        <v>1.5135612484362038E-14</v>
      </c>
      <c r="C1383" s="1">
        <f t="shared" si="307"/>
        <v>0.66730038248767387</v>
      </c>
      <c r="D1383" s="1">
        <f t="shared" si="308"/>
        <v>-0.66730038515244117</v>
      </c>
      <c r="E1383" s="1">
        <f t="shared" si="309"/>
        <v>0.11455006419207353</v>
      </c>
      <c r="F1383" s="1">
        <f t="shared" si="310"/>
        <v>0.99999997181617151</v>
      </c>
      <c r="G1383" s="1">
        <f t="shared" si="311"/>
        <v>-6.0576407414896645</v>
      </c>
      <c r="H1383" s="1">
        <f t="shared" si="319"/>
        <v>-60.576407414896643</v>
      </c>
      <c r="S1383" s="2">
        <v>13.82</v>
      </c>
      <c r="T1383" s="1">
        <f t="shared" si="312"/>
        <v>1.5135612484362038E-14</v>
      </c>
      <c r="U1383" s="1">
        <f t="shared" si="313"/>
        <v>0.66730038248767387</v>
      </c>
      <c r="V1383" s="1">
        <f t="shared" si="314"/>
        <v>1.1009505699448179</v>
      </c>
      <c r="W1383" s="1">
        <f t="shared" si="315"/>
        <v>-0.33365018998160595</v>
      </c>
      <c r="X1383" s="1">
        <f t="shared" si="316"/>
        <v>5.8213893831737473E-9</v>
      </c>
      <c r="Y1383" s="1">
        <f t="shared" si="317"/>
        <v>-1.5387987723273373</v>
      </c>
      <c r="Z1383" s="1">
        <f t="shared" si="318"/>
        <v>-76.939938616366874</v>
      </c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</row>
    <row r="1384" spans="1:44" ht="15" customHeight="1" x14ac:dyDescent="0.3">
      <c r="A1384" s="2">
        <v>13.83</v>
      </c>
      <c r="B1384" s="1">
        <f t="shared" si="306"/>
        <v>1.4791083881682031E-14</v>
      </c>
      <c r="C1384" s="1">
        <f t="shared" si="307"/>
        <v>0.68284380514590348</v>
      </c>
      <c r="D1384" s="1">
        <f t="shared" si="308"/>
        <v>-0.68284380782136345</v>
      </c>
      <c r="E1384" s="1">
        <f t="shared" si="309"/>
        <v>0.11714063463689391</v>
      </c>
      <c r="F1384" s="1">
        <f t="shared" si="310"/>
        <v>0.99999997245771366</v>
      </c>
      <c r="G1384" s="1">
        <f t="shared" si="311"/>
        <v>-6.0294353168866381</v>
      </c>
      <c r="H1384" s="1">
        <f t="shared" si="319"/>
        <v>-60.29435316886638</v>
      </c>
      <c r="S1384" s="2">
        <v>13.83</v>
      </c>
      <c r="T1384" s="1">
        <f t="shared" si="312"/>
        <v>1.4791083881682031E-14</v>
      </c>
      <c r="U1384" s="1">
        <f t="shared" si="313"/>
        <v>0.68284380514590348</v>
      </c>
      <c r="V1384" s="1">
        <f t="shared" si="314"/>
        <v>1.1242657039520401</v>
      </c>
      <c r="W1384" s="1">
        <f t="shared" si="315"/>
        <v>-0.34142190131734668</v>
      </c>
      <c r="X1384" s="1">
        <f t="shared" si="316"/>
        <v>5.6888783836682128E-9</v>
      </c>
      <c r="Y1384" s="1">
        <f t="shared" si="317"/>
        <v>-1.5469187201560799</v>
      </c>
      <c r="Z1384" s="1">
        <f t="shared" si="318"/>
        <v>-77.345936007803999</v>
      </c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</row>
    <row r="1385" spans="1:44" ht="15" customHeight="1" x14ac:dyDescent="0.3">
      <c r="A1385" s="2">
        <v>13.84</v>
      </c>
      <c r="B1385" s="1">
        <f t="shared" si="306"/>
        <v>1.4454397707459233E-14</v>
      </c>
      <c r="C1385" s="1">
        <f t="shared" si="307"/>
        <v>0.6987492806281278</v>
      </c>
      <c r="D1385" s="1">
        <f t="shared" si="308"/>
        <v>-0.69874928331403685</v>
      </c>
      <c r="E1385" s="1">
        <f t="shared" si="309"/>
        <v>0.11979154721900614</v>
      </c>
      <c r="F1385" s="1">
        <f t="shared" si="310"/>
        <v>0.9999999730846526</v>
      </c>
      <c r="G1385" s="1">
        <f t="shared" si="311"/>
        <v>-6.0020888821428571</v>
      </c>
      <c r="H1385" s="1">
        <f t="shared" si="319"/>
        <v>-60.020888821428571</v>
      </c>
      <c r="S1385" s="2">
        <v>13.84</v>
      </c>
      <c r="T1385" s="1">
        <f t="shared" si="312"/>
        <v>1.4454397707459233E-14</v>
      </c>
      <c r="U1385" s="1">
        <f t="shared" si="313"/>
        <v>0.6987492806281278</v>
      </c>
      <c r="V1385" s="1">
        <f t="shared" si="314"/>
        <v>1.1481239171948014</v>
      </c>
      <c r="W1385" s="1">
        <f t="shared" si="315"/>
        <v>-0.34937463906493382</v>
      </c>
      <c r="X1385" s="1">
        <f t="shared" si="316"/>
        <v>5.5593837027314184E-9</v>
      </c>
      <c r="Y1385" s="1">
        <f t="shared" si="317"/>
        <v>-1.5549370556020621</v>
      </c>
      <c r="Z1385" s="1">
        <f t="shared" si="318"/>
        <v>-77.746852780103112</v>
      </c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</row>
    <row r="1386" spans="1:44" ht="15" customHeight="1" x14ac:dyDescent="0.3">
      <c r="A1386" s="2">
        <v>13.85</v>
      </c>
      <c r="B1386" s="1">
        <f t="shared" si="306"/>
        <v>1.4125375446227505E-14</v>
      </c>
      <c r="C1386" s="1">
        <f t="shared" si="307"/>
        <v>0.71502524222798114</v>
      </c>
      <c r="D1386" s="1">
        <f t="shared" si="308"/>
        <v>-0.71502524492410158</v>
      </c>
      <c r="E1386" s="1">
        <f t="shared" si="309"/>
        <v>0.12250420748735026</v>
      </c>
      <c r="F1386" s="1">
        <f t="shared" si="310"/>
        <v>0.99999997369732074</v>
      </c>
      <c r="G1386" s="1">
        <f t="shared" si="311"/>
        <v>-5.9755697102710705</v>
      </c>
      <c r="H1386" s="1">
        <f t="shared" si="319"/>
        <v>-59.755697102710705</v>
      </c>
      <c r="S1386" s="2">
        <v>13.85</v>
      </c>
      <c r="T1386" s="1">
        <f t="shared" si="312"/>
        <v>1.4125375446227505E-14</v>
      </c>
      <c r="U1386" s="1">
        <f t="shared" si="313"/>
        <v>0.71502524222798114</v>
      </c>
      <c r="V1386" s="1">
        <f t="shared" si="314"/>
        <v>1.1725378596135636</v>
      </c>
      <c r="W1386" s="1">
        <f t="shared" si="315"/>
        <v>-0.35751261987118788</v>
      </c>
      <c r="X1386" s="1">
        <f t="shared" si="316"/>
        <v>5.4328366805717871E-9</v>
      </c>
      <c r="Y1386" s="1">
        <f t="shared" si="317"/>
        <v>-1.5628535884839421</v>
      </c>
      <c r="Z1386" s="1">
        <f t="shared" si="318"/>
        <v>-78.142679424197112</v>
      </c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</row>
    <row r="1387" spans="1:44" ht="15" customHeight="1" x14ac:dyDescent="0.3">
      <c r="A1387" s="2">
        <v>13.86</v>
      </c>
      <c r="B1387" s="1">
        <f t="shared" si="306"/>
        <v>1.3803842646028814E-14</v>
      </c>
      <c r="C1387" s="1">
        <f t="shared" si="307"/>
        <v>0.73168031967574176</v>
      </c>
      <c r="D1387" s="1">
        <f t="shared" si="308"/>
        <v>-0.731680322381842</v>
      </c>
      <c r="E1387" s="1">
        <f t="shared" si="309"/>
        <v>0.12528005373030698</v>
      </c>
      <c r="F1387" s="1">
        <f t="shared" si="310"/>
        <v>0.99999997429604282</v>
      </c>
      <c r="G1387" s="1">
        <f t="shared" si="311"/>
        <v>-5.9498475395554724</v>
      </c>
      <c r="H1387" s="1">
        <f t="shared" si="319"/>
        <v>-59.498475395554721</v>
      </c>
      <c r="S1387" s="2">
        <v>13.86</v>
      </c>
      <c r="T1387" s="1">
        <f t="shared" si="312"/>
        <v>1.3803842646028814E-14</v>
      </c>
      <c r="U1387" s="1">
        <f t="shared" si="313"/>
        <v>0.73168031967574176</v>
      </c>
      <c r="V1387" s="1">
        <f t="shared" si="314"/>
        <v>1.1975204758037554</v>
      </c>
      <c r="W1387" s="1">
        <f t="shared" si="315"/>
        <v>-0.3658401586012518</v>
      </c>
      <c r="X1387" s="1">
        <f t="shared" si="316"/>
        <v>5.3091702202853317E-9</v>
      </c>
      <c r="Y1387" s="1">
        <f t="shared" si="317"/>
        <v>-1.5706681867005043</v>
      </c>
      <c r="Z1387" s="1">
        <f t="shared" si="318"/>
        <v>-78.533409335025226</v>
      </c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</row>
    <row r="1388" spans="1:44" ht="15" customHeight="1" x14ac:dyDescent="0.3">
      <c r="A1388" s="2">
        <v>13.87</v>
      </c>
      <c r="B1388" s="1">
        <f t="shared" si="306"/>
        <v>1.3489628825916503E-14</v>
      </c>
      <c r="C1388" s="1">
        <f t="shared" si="307"/>
        <v>0.74872334371392846</v>
      </c>
      <c r="D1388" s="1">
        <f t="shared" si="308"/>
        <v>-0.74872334642978078</v>
      </c>
      <c r="E1388" s="1">
        <f t="shared" si="309"/>
        <v>0.12812055773829678</v>
      </c>
      <c r="F1388" s="1">
        <f t="shared" si="310"/>
        <v>0.99999997488113634</v>
      </c>
      <c r="G1388" s="1">
        <f t="shared" si="311"/>
        <v>-5.9248934901172783</v>
      </c>
      <c r="H1388" s="1">
        <f t="shared" si="319"/>
        <v>-59.248934901172781</v>
      </c>
      <c r="S1388" s="2">
        <v>13.87</v>
      </c>
      <c r="T1388" s="1">
        <f t="shared" si="312"/>
        <v>1.3489628825916503E-14</v>
      </c>
      <c r="U1388" s="1">
        <f t="shared" si="313"/>
        <v>0.74872334371392846</v>
      </c>
      <c r="V1388" s="1">
        <f t="shared" si="314"/>
        <v>1.223085011879163</v>
      </c>
      <c r="W1388" s="1">
        <f t="shared" si="315"/>
        <v>-0.37436167062638764</v>
      </c>
      <c r="X1388" s="1">
        <f t="shared" si="316"/>
        <v>5.1883187522800023E-9</v>
      </c>
      <c r="Y1388" s="1">
        <f t="shared" si="317"/>
        <v>-1.5783807748718335</v>
      </c>
      <c r="Z1388" s="1">
        <f t="shared" si="318"/>
        <v>-78.919038743591685</v>
      </c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</row>
    <row r="1389" spans="1:44" ht="15" customHeight="1" x14ac:dyDescent="0.3">
      <c r="A1389" s="2">
        <v>13.88</v>
      </c>
      <c r="B1389" s="1">
        <f t="shared" si="306"/>
        <v>1.3182567385563993E-14</v>
      </c>
      <c r="C1389" s="1">
        <f t="shared" si="307"/>
        <v>0.76616335077948006</v>
      </c>
      <c r="D1389" s="1">
        <f t="shared" si="308"/>
        <v>-0.76616335350486198</v>
      </c>
      <c r="E1389" s="1">
        <f t="shared" si="309"/>
        <v>0.13102722558414365</v>
      </c>
      <c r="F1389" s="1">
        <f t="shared" si="310"/>
        <v>0.99999997545291142</v>
      </c>
      <c r="G1389" s="1">
        <f t="shared" si="311"/>
        <v>-5.900679986137396</v>
      </c>
      <c r="H1389" s="1">
        <f t="shared" si="319"/>
        <v>-59.006799861373956</v>
      </c>
      <c r="S1389" s="2">
        <v>13.88</v>
      </c>
      <c r="T1389" s="1">
        <f t="shared" si="312"/>
        <v>1.3182567385563993E-14</v>
      </c>
      <c r="U1389" s="1">
        <f t="shared" si="313"/>
        <v>0.76616335077948006</v>
      </c>
      <c r="V1389" s="1">
        <f t="shared" si="314"/>
        <v>1.2492450224952047</v>
      </c>
      <c r="W1389" s="1">
        <f t="shared" si="315"/>
        <v>-0.38308167416506828</v>
      </c>
      <c r="X1389" s="1">
        <f t="shared" si="316"/>
        <v>5.0702181995098071E-9</v>
      </c>
      <c r="Y1389" s="1">
        <f t="shared" si="317"/>
        <v>-1.5859913329445401</v>
      </c>
      <c r="Z1389" s="1">
        <f t="shared" si="318"/>
        <v>-79.299566647226996</v>
      </c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</row>
    <row r="1390" spans="1:44" ht="15" customHeight="1" x14ac:dyDescent="0.3">
      <c r="A1390" s="2">
        <v>13.89</v>
      </c>
      <c r="B1390" s="1">
        <f t="shared" si="306"/>
        <v>1.2882495516931265E-14</v>
      </c>
      <c r="C1390" s="1">
        <f t="shared" si="307"/>
        <v>0.7840095877949832</v>
      </c>
      <c r="D1390" s="1">
        <f t="shared" si="308"/>
        <v>-0.78400959052967834</v>
      </c>
      <c r="E1390" s="1">
        <f t="shared" si="309"/>
        <v>0.13400159842161305</v>
      </c>
      <c r="F1390" s="1">
        <f t="shared" si="310"/>
        <v>0.99999997601167145</v>
      </c>
      <c r="G1390" s="1">
        <f t="shared" si="311"/>
        <v>-5.87718068329331</v>
      </c>
      <c r="H1390" s="1">
        <f t="shared" si="319"/>
        <v>-58.771806832933095</v>
      </c>
      <c r="S1390" s="2">
        <v>13.89</v>
      </c>
      <c r="T1390" s="1">
        <f t="shared" si="312"/>
        <v>1.2882495516931265E-14</v>
      </c>
      <c r="U1390" s="1">
        <f t="shared" si="313"/>
        <v>0.7840095877949832</v>
      </c>
      <c r="V1390" s="1">
        <f t="shared" si="314"/>
        <v>1.2760143780357727</v>
      </c>
      <c r="W1390" s="1">
        <f t="shared" si="315"/>
        <v>-0.3920047926785909</v>
      </c>
      <c r="X1390" s="1">
        <f t="shared" si="316"/>
        <v>4.9548059435003834E-9</v>
      </c>
      <c r="Y1390" s="1">
        <f t="shared" si="317"/>
        <v>-1.5934998947649421</v>
      </c>
      <c r="Z1390" s="1">
        <f t="shared" si="318"/>
        <v>-79.674994738247108</v>
      </c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</row>
    <row r="1391" spans="1:44" ht="15" customHeight="1" x14ac:dyDescent="0.3">
      <c r="A1391" s="2">
        <v>13.9</v>
      </c>
      <c r="B1391" s="1">
        <f t="shared" si="306"/>
        <v>1.2589254117941644E-14</v>
      </c>
      <c r="C1391" s="1">
        <f t="shared" si="307"/>
        <v>0.802271517071526</v>
      </c>
      <c r="D1391" s="1">
        <f t="shared" si="308"/>
        <v>-0.80227151981532208</v>
      </c>
      <c r="E1391" s="1">
        <f t="shared" si="309"/>
        <v>0.13704525330255368</v>
      </c>
      <c r="F1391" s="1">
        <f t="shared" si="310"/>
        <v>0.99999997655771244</v>
      </c>
      <c r="G1391" s="1">
        <f t="shared" si="311"/>
        <v>-5.8543704010064133</v>
      </c>
      <c r="H1391" s="1">
        <f t="shared" si="319"/>
        <v>-58.543704010064133</v>
      </c>
      <c r="S1391" s="2">
        <v>13.9</v>
      </c>
      <c r="T1391" s="1">
        <f t="shared" si="312"/>
        <v>1.2589254117941644E-14</v>
      </c>
      <c r="U1391" s="1">
        <f t="shared" si="313"/>
        <v>0.802271517071526</v>
      </c>
      <c r="V1391" s="1">
        <f t="shared" si="314"/>
        <v>1.3034072719675065</v>
      </c>
      <c r="W1391" s="1">
        <f t="shared" si="315"/>
        <v>-0.40113575732250217</v>
      </c>
      <c r="X1391" s="1">
        <f t="shared" si="316"/>
        <v>4.8420207911477741E-9</v>
      </c>
      <c r="Y1391" s="1">
        <f t="shared" si="317"/>
        <v>-1.6009065466240686</v>
      </c>
      <c r="Z1391" s="1">
        <f t="shared" si="318"/>
        <v>-80.045327331203438</v>
      </c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</row>
    <row r="1392" spans="1:44" ht="15" customHeight="1" x14ac:dyDescent="0.3">
      <c r="A1392" s="2">
        <v>13.91</v>
      </c>
      <c r="B1392" s="1">
        <f t="shared" si="306"/>
        <v>1.230268770812379E-14</v>
      </c>
      <c r="C1392" s="1">
        <f t="shared" si="307"/>
        <v>0.82095882132574194</v>
      </c>
      <c r="D1392" s="1">
        <f t="shared" si="308"/>
        <v>-0.82095882407843335</v>
      </c>
      <c r="E1392" s="1">
        <f t="shared" si="309"/>
        <v>0.14015980401307224</v>
      </c>
      <c r="F1392" s="1">
        <f t="shared" si="310"/>
        <v>0.99999997709132404</v>
      </c>
      <c r="G1392" s="1">
        <f t="shared" si="311"/>
        <v>-5.8322250591314297</v>
      </c>
      <c r="H1392" s="1">
        <f t="shared" si="319"/>
        <v>-58.322250591314294</v>
      </c>
      <c r="S1392" s="2">
        <v>13.91</v>
      </c>
      <c r="T1392" s="1">
        <f t="shared" si="312"/>
        <v>1.230268770812379E-14</v>
      </c>
      <c r="U1392" s="1">
        <f t="shared" si="313"/>
        <v>0.82095882132574194</v>
      </c>
      <c r="V1392" s="1">
        <f t="shared" si="314"/>
        <v>1.3314382283653643</v>
      </c>
      <c r="W1392" s="1">
        <f t="shared" si="315"/>
        <v>-0.41047940945512146</v>
      </c>
      <c r="X1392" s="1">
        <f t="shared" si="316"/>
        <v>4.7318029422730369E-9</v>
      </c>
      <c r="Y1392" s="1">
        <f t="shared" si="317"/>
        <v>-1.6082114257782163</v>
      </c>
      <c r="Z1392" s="1">
        <f t="shared" si="318"/>
        <v>-80.41057128891083</v>
      </c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</row>
    <row r="1393" spans="1:702" ht="15" customHeight="1" x14ac:dyDescent="0.3">
      <c r="A1393" s="2">
        <v>13.92</v>
      </c>
      <c r="B1393" s="1">
        <f t="shared" si="306"/>
        <v>1.2022644346174106E-14</v>
      </c>
      <c r="C1393" s="1">
        <f t="shared" si="307"/>
        <v>0.8400814088136993</v>
      </c>
      <c r="D1393" s="1">
        <f t="shared" si="308"/>
        <v>-0.84008141157508021</v>
      </c>
      <c r="E1393" s="1">
        <f t="shared" si="309"/>
        <v>0.14334690192918007</v>
      </c>
      <c r="F1393" s="1">
        <f t="shared" si="310"/>
        <v>0.99999997761278925</v>
      </c>
      <c r="G1393" s="1">
        <f t="shared" si="311"/>
        <v>-5.8107216187514403</v>
      </c>
      <c r="H1393" s="1">
        <f t="shared" si="319"/>
        <v>-58.107216187514403</v>
      </c>
      <c r="S1393" s="2">
        <v>13.92</v>
      </c>
      <c r="T1393" s="1">
        <f t="shared" si="312"/>
        <v>1.2022644346174106E-14</v>
      </c>
      <c r="U1393" s="1">
        <f t="shared" si="313"/>
        <v>0.8400814088136993</v>
      </c>
      <c r="V1393" s="1">
        <f t="shared" si="314"/>
        <v>1.3601221096134553</v>
      </c>
      <c r="W1393" s="1">
        <f t="shared" si="315"/>
        <v>-0.42004070320448511</v>
      </c>
      <c r="X1393" s="1">
        <f t="shared" si="316"/>
        <v>4.6240939579154881E-9</v>
      </c>
      <c r="Y1393" s="1">
        <f t="shared" si="317"/>
        <v>-1.6154147189487245</v>
      </c>
      <c r="Z1393" s="1">
        <f t="shared" si="318"/>
        <v>-80.770735947436208</v>
      </c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</row>
    <row r="1394" spans="1:702" ht="15" customHeight="1" x14ac:dyDescent="0.3">
      <c r="A1394" s="2">
        <v>13.93</v>
      </c>
      <c r="B1394" s="1">
        <f t="shared" si="306"/>
        <v>1.1748975549395272E-14</v>
      </c>
      <c r="C1394" s="1">
        <f t="shared" si="307"/>
        <v>0.85964941858440191</v>
      </c>
      <c r="D1394" s="1">
        <f t="shared" si="308"/>
        <v>-0.85964942135427569</v>
      </c>
      <c r="E1394" s="1">
        <f t="shared" si="309"/>
        <v>0.14660823689237928</v>
      </c>
      <c r="F1394" s="1">
        <f t="shared" si="310"/>
        <v>0.99999997812238417</v>
      </c>
      <c r="G1394" s="1">
        <f t="shared" si="311"/>
        <v>-5.7898380267707461</v>
      </c>
      <c r="H1394" s="1">
        <f t="shared" si="319"/>
        <v>-57.898380267707459</v>
      </c>
      <c r="S1394" s="2">
        <v>13.93</v>
      </c>
      <c r="T1394" s="1">
        <f t="shared" si="312"/>
        <v>1.1748975549395272E-14</v>
      </c>
      <c r="U1394" s="1">
        <f t="shared" si="313"/>
        <v>0.85964941858440191</v>
      </c>
      <c r="V1394" s="1">
        <f t="shared" si="314"/>
        <v>1.3894741242852968</v>
      </c>
      <c r="W1394" s="1">
        <f t="shared" si="315"/>
        <v>-0.42982470809509898</v>
      </c>
      <c r="X1394" s="1">
        <f t="shared" si="316"/>
        <v>4.5188367293475267E-9</v>
      </c>
      <c r="Y1394" s="1">
        <f t="shared" si="317"/>
        <v>-1.622516660804536</v>
      </c>
      <c r="Z1394" s="1">
        <f t="shared" si="318"/>
        <v>-81.125833040226794</v>
      </c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</row>
    <row r="1395" spans="1:702" ht="15" customHeight="1" x14ac:dyDescent="0.3">
      <c r="A1395" s="2">
        <v>13.94</v>
      </c>
      <c r="B1395" s="1">
        <f t="shared" si="306"/>
        <v>1.1481536214968808E-14</v>
      </c>
      <c r="C1395" s="1">
        <f t="shared" si="307"/>
        <v>0.87967322585564289</v>
      </c>
      <c r="D1395" s="1">
        <f t="shared" si="308"/>
        <v>-0.87967322863381836</v>
      </c>
      <c r="E1395" s="1">
        <f t="shared" si="309"/>
        <v>0.14994553810563638</v>
      </c>
      <c r="F1395" s="1">
        <f t="shared" si="310"/>
        <v>0.99999997862037948</v>
      </c>
      <c r="G1395" s="1">
        <f t="shared" si="311"/>
        <v>-5.7695531640240487</v>
      </c>
      <c r="H1395" s="1">
        <f t="shared" si="319"/>
        <v>-57.695531640240482</v>
      </c>
      <c r="S1395" s="2">
        <v>13.94</v>
      </c>
      <c r="T1395" s="1">
        <f t="shared" si="312"/>
        <v>1.1481536214968808E-14</v>
      </c>
      <c r="U1395" s="1">
        <f t="shared" si="313"/>
        <v>0.87967322585564289</v>
      </c>
      <c r="V1395" s="1">
        <f t="shared" si="314"/>
        <v>1.4195098352075899</v>
      </c>
      <c r="W1395" s="1">
        <f t="shared" si="315"/>
        <v>-0.4398366117358633</v>
      </c>
      <c r="X1395" s="1">
        <f t="shared" si="316"/>
        <v>4.4159754477948557E-9</v>
      </c>
      <c r="Y1395" s="1">
        <f t="shared" si="317"/>
        <v>-1.629517532430983</v>
      </c>
      <c r="Z1395" s="1">
        <f t="shared" si="318"/>
        <v>-81.475876621549148</v>
      </c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</row>
    <row r="1396" spans="1:702" ht="15" customHeight="1" x14ac:dyDescent="0.3">
      <c r="A1396" s="2">
        <v>13.95</v>
      </c>
      <c r="B1396" s="1">
        <f t="shared" si="306"/>
        <v>1.1220184543019616E-14</v>
      </c>
      <c r="C1396" s="1">
        <f t="shared" si="307"/>
        <v>0.90016344751508437</v>
      </c>
      <c r="D1396" s="1">
        <f t="shared" si="308"/>
        <v>-0.90016345030136957</v>
      </c>
      <c r="E1396" s="1">
        <f t="shared" si="309"/>
        <v>0.15336057505022826</v>
      </c>
      <c r="F1396" s="1">
        <f t="shared" si="310"/>
        <v>0.99999997910703908</v>
      </c>
      <c r="G1396" s="1">
        <f t="shared" si="311"/>
        <v>-5.7498467966438849</v>
      </c>
      <c r="H1396" s="1">
        <f t="shared" si="319"/>
        <v>-57.498467966438845</v>
      </c>
      <c r="S1396" s="2">
        <v>13.95</v>
      </c>
      <c r="T1396" s="1">
        <f t="shared" si="312"/>
        <v>1.1220184543019616E-14</v>
      </c>
      <c r="U1396" s="1">
        <f t="shared" si="313"/>
        <v>0.90016344751508437</v>
      </c>
      <c r="V1396" s="1">
        <f t="shared" si="314"/>
        <v>1.4502451677118278</v>
      </c>
      <c r="W1396" s="1">
        <f t="shared" si="315"/>
        <v>-0.4500817225706093</v>
      </c>
      <c r="X1396" s="1">
        <f t="shared" si="316"/>
        <v>4.3154555748459262E-9</v>
      </c>
      <c r="Y1396" s="1">
        <f t="shared" si="317"/>
        <v>-1.6364176597881279</v>
      </c>
      <c r="Z1396" s="1">
        <f t="shared" si="318"/>
        <v>-81.820882989406385</v>
      </c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</row>
    <row r="1397" spans="1:702" ht="15" customHeight="1" x14ac:dyDescent="0.3">
      <c r="A1397" s="2">
        <v>13.96</v>
      </c>
      <c r="B1397" s="1">
        <f t="shared" si="306"/>
        <v>1.0964781961431832E-14</v>
      </c>
      <c r="C1397" s="1">
        <f t="shared" si="307"/>
        <v>0.92113094774947035</v>
      </c>
      <c r="D1397" s="1">
        <f t="shared" si="308"/>
        <v>-0.92113095054368355</v>
      </c>
      <c r="E1397" s="1">
        <f t="shared" si="309"/>
        <v>0.15685515842394723</v>
      </c>
      <c r="F1397" s="1">
        <f t="shared" si="310"/>
        <v>0.99999997958262088</v>
      </c>
      <c r="G1397" s="1">
        <f t="shared" si="311"/>
        <v>-5.7306995304497184</v>
      </c>
      <c r="H1397" s="1">
        <f t="shared" si="319"/>
        <v>-57.306995304497178</v>
      </c>
      <c r="S1397" s="2">
        <v>13.96</v>
      </c>
      <c r="T1397" s="1">
        <f t="shared" si="312"/>
        <v>1.0964781961431832E-14</v>
      </c>
      <c r="U1397" s="1">
        <f t="shared" si="313"/>
        <v>0.92113094774947035</v>
      </c>
      <c r="V1397" s="1">
        <f t="shared" si="314"/>
        <v>1.4816964180781442</v>
      </c>
      <c r="W1397" s="1">
        <f t="shared" si="315"/>
        <v>-0.46056547269271475</v>
      </c>
      <c r="X1397" s="1">
        <f t="shared" si="316"/>
        <v>4.2172238135349587E-9</v>
      </c>
      <c r="Y1397" s="1">
        <f t="shared" si="317"/>
        <v>-1.6432174121618901</v>
      </c>
      <c r="Z1397" s="1">
        <f t="shared" si="318"/>
        <v>-82.160870608094513</v>
      </c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</row>
    <row r="1398" spans="1:702" ht="15" customHeight="1" x14ac:dyDescent="0.3">
      <c r="A1398" s="2">
        <v>13.97</v>
      </c>
      <c r="B1398" s="1">
        <f t="shared" si="306"/>
        <v>1.0715193052376047E-14</v>
      </c>
      <c r="C1398" s="1">
        <f t="shared" si="307"/>
        <v>0.94258684380496238</v>
      </c>
      <c r="D1398" s="1">
        <f t="shared" si="308"/>
        <v>-0.94258684660692182</v>
      </c>
      <c r="E1398" s="1">
        <f t="shared" si="309"/>
        <v>0.16043114110115364</v>
      </c>
      <c r="F1398" s="1">
        <f t="shared" si="310"/>
        <v>0.99999998004737722</v>
      </c>
      <c r="G1398" s="1">
        <f t="shared" si="311"/>
        <v>-5.712092768141571</v>
      </c>
      <c r="H1398" s="1">
        <f t="shared" si="319"/>
        <v>-57.120927681415708</v>
      </c>
      <c r="S1398" s="2">
        <v>13.97</v>
      </c>
      <c r="T1398" s="1">
        <f t="shared" si="312"/>
        <v>1.0715193052376047E-14</v>
      </c>
      <c r="U1398" s="1">
        <f t="shared" si="313"/>
        <v>0.94258684380496238</v>
      </c>
      <c r="V1398" s="1">
        <f t="shared" si="314"/>
        <v>1.5138802621757803</v>
      </c>
      <c r="W1398" s="1">
        <f t="shared" si="315"/>
        <v>-0.47129342072526009</v>
      </c>
      <c r="X1398" s="1">
        <f t="shared" si="316"/>
        <v>4.1212280800831899E-9</v>
      </c>
      <c r="Y1398" s="1">
        <f t="shared" si="317"/>
        <v>-1.6499172006110296</v>
      </c>
      <c r="Z1398" s="1">
        <f t="shared" si="318"/>
        <v>-82.495860030551469</v>
      </c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</row>
    <row r="1399" spans="1:702" ht="15" customHeight="1" x14ac:dyDescent="0.3">
      <c r="A1399" s="2">
        <v>13.98</v>
      </c>
      <c r="B1399" s="1">
        <f t="shared" si="306"/>
        <v>1.047128548050898E-14</v>
      </c>
      <c r="C1399" s="1">
        <f t="shared" si="307"/>
        <v>0.96454251188165163</v>
      </c>
      <c r="D1399" s="1">
        <f t="shared" si="308"/>
        <v>-0.96454251469118024</v>
      </c>
      <c r="E1399" s="1">
        <f t="shared" si="309"/>
        <v>0.1640904191151967</v>
      </c>
      <c r="F1399" s="1">
        <f t="shared" si="310"/>
        <v>0.99999998050155436</v>
      </c>
      <c r="G1399" s="1">
        <f t="shared" si="311"/>
        <v>-5.6940086690986202</v>
      </c>
      <c r="H1399" s="1">
        <f t="shared" si="319"/>
        <v>-56.940086690986199</v>
      </c>
      <c r="S1399" s="2">
        <v>13.98</v>
      </c>
      <c r="T1399" s="1">
        <f t="shared" si="312"/>
        <v>1.047128548050898E-14</v>
      </c>
      <c r="U1399" s="1">
        <f t="shared" si="313"/>
        <v>0.96454251188165163</v>
      </c>
      <c r="V1399" s="1">
        <f t="shared" si="314"/>
        <v>1.5468137643048896</v>
      </c>
      <c r="W1399" s="1">
        <f t="shared" si="315"/>
        <v>-0.48227125476829652</v>
      </c>
      <c r="X1399" s="1">
        <f t="shared" si="316"/>
        <v>4.0274174762833622E-9</v>
      </c>
      <c r="Y1399" s="1">
        <f t="shared" si="317"/>
        <v>-1.6565174764129715</v>
      </c>
      <c r="Z1399" s="1">
        <f t="shared" si="318"/>
        <v>-82.825873820648582</v>
      </c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</row>
    <row r="1400" spans="1:702" ht="15" customHeight="1" x14ac:dyDescent="0.3">
      <c r="A1400" s="2">
        <v>13.99</v>
      </c>
      <c r="B1400" s="1">
        <f t="shared" si="306"/>
        <v>1.0232929922807526E-14</v>
      </c>
      <c r="C1400" s="1">
        <f t="shared" si="307"/>
        <v>0.98700959316537018</v>
      </c>
      <c r="D1400" s="1">
        <f t="shared" si="308"/>
        <v>-0.98700959598229721</v>
      </c>
      <c r="E1400" s="1">
        <f t="shared" si="309"/>
        <v>0.16783493266371621</v>
      </c>
      <c r="F1400" s="1">
        <f t="shared" si="310"/>
        <v>0.99999998094539311</v>
      </c>
      <c r="G1400" s="1">
        <f t="shared" si="311"/>
        <v>-5.676430111599351</v>
      </c>
      <c r="H1400" s="1">
        <f t="shared" si="319"/>
        <v>-56.764301115993504</v>
      </c>
      <c r="S1400" s="2">
        <v>13.99</v>
      </c>
      <c r="T1400" s="1">
        <f t="shared" si="312"/>
        <v>1.0232929922807526E-14</v>
      </c>
      <c r="U1400" s="1">
        <f t="shared" si="313"/>
        <v>0.98700959316537018</v>
      </c>
      <c r="V1400" s="1">
        <f t="shared" si="314"/>
        <v>1.5805143862442164</v>
      </c>
      <c r="W1400" s="1">
        <f t="shared" si="315"/>
        <v>-0.49350479541473885</v>
      </c>
      <c r="X1400" s="1">
        <f t="shared" si="316"/>
        <v>3.9357422625128275E-9</v>
      </c>
      <c r="Y1400" s="1">
        <f t="shared" si="317"/>
        <v>-1.663018729511291</v>
      </c>
      <c r="Z1400" s="1">
        <f t="shared" si="318"/>
        <v>-83.150936475564549</v>
      </c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</row>
    <row r="1401" spans="1:702" s="11" customFormat="1" ht="15" customHeight="1" x14ac:dyDescent="0.3">
      <c r="A1401" s="2">
        <v>14</v>
      </c>
      <c r="B1401" s="1">
        <f t="shared" si="306"/>
        <v>1E-14</v>
      </c>
      <c r="C1401" s="1">
        <f t="shared" si="307"/>
        <v>1.01</v>
      </c>
      <c r="D1401" s="1">
        <f t="shared" si="308"/>
        <v>-1.0100000028241567</v>
      </c>
      <c r="E1401" s="1">
        <f t="shared" si="309"/>
        <v>0.17166666713735945</v>
      </c>
      <c r="F1401" s="1">
        <f t="shared" si="310"/>
        <v>0.99999998137912893</v>
      </c>
      <c r="G1401" s="1">
        <f t="shared" si="311"/>
        <v>-5.6593406572944165</v>
      </c>
      <c r="H1401" s="1">
        <f t="shared" si="319"/>
        <v>-56.593406572944161</v>
      </c>
      <c r="I1401" s="10"/>
      <c r="J1401" s="2"/>
      <c r="K1401" s="1"/>
      <c r="L1401" s="1"/>
      <c r="M1401" s="1"/>
      <c r="N1401" s="1"/>
      <c r="O1401" s="1"/>
      <c r="P1401" s="1"/>
      <c r="Q1401" s="2"/>
      <c r="R1401" s="10"/>
      <c r="S1401" s="2">
        <v>14</v>
      </c>
      <c r="T1401" s="1">
        <f t="shared" si="312"/>
        <v>1E-14</v>
      </c>
      <c r="U1401" s="1">
        <f t="shared" si="313"/>
        <v>1.01</v>
      </c>
      <c r="V1401" s="1">
        <f t="shared" si="314"/>
        <v>1.6149999965096011</v>
      </c>
      <c r="W1401" s="1">
        <f t="shared" si="315"/>
        <v>-0.50499999883653379</v>
      </c>
      <c r="X1401" s="1">
        <f t="shared" si="316"/>
        <v>3.8461538313609469E-9</v>
      </c>
      <c r="Y1401" s="1">
        <f t="shared" si="317"/>
        <v>-1.6694214869675752</v>
      </c>
      <c r="Z1401" s="1">
        <f t="shared" si="318"/>
        <v>-83.471074348378764</v>
      </c>
      <c r="AA1401" s="10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1"/>
      <c r="DL1401" s="1"/>
      <c r="DM1401" s="1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"/>
      <c r="ED1401" s="1"/>
      <c r="EE1401" s="1"/>
      <c r="EF1401" s="1"/>
      <c r="EG1401" s="1"/>
      <c r="EH1401" s="1"/>
      <c r="EI1401" s="1"/>
      <c r="EJ1401" s="1"/>
      <c r="EK1401" s="1"/>
      <c r="EL1401" s="1"/>
      <c r="EM1401" s="1"/>
      <c r="EN1401" s="1"/>
      <c r="EO1401" s="1"/>
      <c r="EP1401" s="1"/>
      <c r="EQ1401" s="1"/>
      <c r="ER1401" s="1"/>
      <c r="ES1401" s="1"/>
      <c r="ET1401" s="1"/>
      <c r="EU1401" s="1"/>
      <c r="EV1401" s="1"/>
      <c r="EW1401" s="1"/>
      <c r="EX1401" s="1"/>
      <c r="EY1401" s="1"/>
      <c r="EZ1401" s="1"/>
      <c r="FA1401" s="1"/>
      <c r="FB1401" s="1"/>
      <c r="FC1401" s="1"/>
      <c r="FD1401" s="1"/>
      <c r="FE1401" s="1"/>
      <c r="FF1401" s="1"/>
      <c r="FG1401" s="1"/>
      <c r="FH1401" s="1"/>
      <c r="FI1401" s="1"/>
      <c r="FJ1401" s="1"/>
      <c r="FK1401" s="1"/>
      <c r="FL1401" s="1"/>
      <c r="FM1401" s="1"/>
      <c r="FN1401" s="1"/>
      <c r="FO1401" s="1"/>
      <c r="FP1401" s="1"/>
      <c r="FQ1401" s="1"/>
      <c r="FR1401" s="1"/>
      <c r="FS1401" s="1"/>
      <c r="FT1401" s="1"/>
      <c r="FU1401" s="1"/>
      <c r="FV1401" s="1"/>
      <c r="FW1401" s="1"/>
      <c r="FX1401" s="1"/>
      <c r="FY1401" s="1"/>
      <c r="FZ1401" s="1"/>
      <c r="GA1401" s="1"/>
      <c r="GB1401" s="1"/>
      <c r="GC1401" s="1"/>
      <c r="GD1401" s="1"/>
      <c r="GE1401" s="1"/>
      <c r="GF1401" s="1"/>
      <c r="GG1401" s="1"/>
      <c r="GH1401" s="1"/>
      <c r="GI1401" s="1"/>
      <c r="GJ1401" s="1"/>
      <c r="GK1401" s="1"/>
      <c r="GL1401" s="1"/>
      <c r="GM1401" s="1"/>
      <c r="GN1401" s="1"/>
      <c r="GO1401" s="1"/>
      <c r="GP1401" s="1"/>
      <c r="GQ1401" s="1"/>
      <c r="GR1401" s="1"/>
      <c r="GS1401" s="1"/>
      <c r="GT1401" s="1"/>
      <c r="GU1401" s="1"/>
      <c r="GV1401" s="1"/>
      <c r="GW1401" s="1"/>
      <c r="GX1401" s="1"/>
      <c r="GY1401" s="1"/>
      <c r="GZ1401" s="1"/>
      <c r="HA1401" s="1"/>
      <c r="HB1401" s="1"/>
      <c r="HC1401" s="1"/>
      <c r="HD1401" s="1"/>
      <c r="HE1401" s="1"/>
      <c r="HF1401" s="1"/>
      <c r="HG1401" s="1"/>
      <c r="HH1401" s="1"/>
      <c r="HI1401" s="1"/>
      <c r="HJ1401" s="1"/>
      <c r="HK1401" s="1"/>
      <c r="HL1401" s="1"/>
      <c r="HM1401" s="1"/>
      <c r="HN1401" s="1"/>
      <c r="HO1401" s="1"/>
      <c r="HP1401" s="1"/>
      <c r="HQ1401" s="1"/>
      <c r="HR1401" s="1"/>
      <c r="HS1401" s="1"/>
      <c r="HT1401" s="1"/>
      <c r="HU1401" s="1"/>
      <c r="HV1401" s="1"/>
      <c r="HW1401" s="1"/>
      <c r="HX1401" s="1"/>
      <c r="HY1401" s="1"/>
      <c r="HZ1401" s="1"/>
      <c r="IA1401" s="1"/>
      <c r="IB1401" s="1"/>
      <c r="IC1401" s="1"/>
      <c r="ID1401" s="1"/>
      <c r="IE1401" s="1"/>
      <c r="IF1401" s="1"/>
      <c r="IG1401" s="1"/>
      <c r="IH1401" s="1"/>
      <c r="II1401" s="1"/>
      <c r="IJ1401" s="1"/>
      <c r="IK1401" s="1"/>
      <c r="IL1401" s="1"/>
      <c r="IM1401" s="1"/>
      <c r="IN1401" s="1"/>
      <c r="IO1401" s="1"/>
      <c r="IP1401" s="1"/>
      <c r="IQ1401" s="1"/>
      <c r="IR1401" s="1"/>
      <c r="IS1401" s="1"/>
      <c r="IT1401" s="1"/>
      <c r="IU1401" s="1"/>
      <c r="IV1401" s="1"/>
      <c r="IW1401" s="1"/>
      <c r="IX1401" s="1"/>
      <c r="IY1401" s="1"/>
      <c r="IZ1401" s="1"/>
      <c r="JA1401" s="1"/>
      <c r="JB1401" s="1"/>
      <c r="JC1401" s="1"/>
      <c r="JD1401" s="1"/>
      <c r="JE1401" s="1"/>
      <c r="JF1401" s="1"/>
      <c r="JG1401" s="1"/>
      <c r="JH1401" s="1"/>
      <c r="JI1401" s="1"/>
      <c r="JJ1401" s="1"/>
      <c r="JK1401" s="1"/>
      <c r="JL1401" s="1"/>
      <c r="JM1401" s="1"/>
      <c r="JN1401" s="1"/>
      <c r="JO1401" s="1"/>
      <c r="JP1401" s="1"/>
      <c r="JQ1401" s="1"/>
      <c r="JR1401" s="1"/>
      <c r="JS1401" s="1"/>
      <c r="JT1401" s="1"/>
      <c r="JU1401" s="1"/>
      <c r="JV1401" s="1"/>
      <c r="JW1401" s="1"/>
      <c r="JX1401" s="1"/>
      <c r="JY1401" s="1"/>
      <c r="JZ1401" s="1"/>
      <c r="KA1401" s="1"/>
      <c r="KB1401" s="1"/>
      <c r="KC1401" s="1"/>
      <c r="KD1401" s="1"/>
      <c r="KE1401" s="1"/>
      <c r="KF1401" s="1"/>
      <c r="KG1401" s="1"/>
      <c r="KH1401" s="1"/>
      <c r="KI1401" s="1"/>
      <c r="KJ1401" s="1"/>
      <c r="KK1401" s="1"/>
      <c r="KL1401" s="1"/>
      <c r="KM1401" s="1"/>
      <c r="KN1401" s="1"/>
      <c r="KO1401" s="1"/>
      <c r="KP1401" s="1"/>
      <c r="KQ1401" s="1"/>
      <c r="KR1401" s="1"/>
      <c r="KS1401" s="1"/>
      <c r="KT1401" s="1"/>
      <c r="KU1401" s="1"/>
      <c r="KV1401" s="1"/>
      <c r="KW1401" s="1"/>
      <c r="KX1401" s="1"/>
      <c r="KY1401" s="1"/>
      <c r="KZ1401" s="1"/>
      <c r="LA1401" s="1"/>
      <c r="LB1401" s="1"/>
      <c r="LC1401" s="1"/>
      <c r="LD1401" s="1"/>
      <c r="LE1401" s="1"/>
      <c r="LF1401" s="1"/>
      <c r="LG1401" s="1"/>
      <c r="LH1401" s="1"/>
      <c r="LI1401" s="1"/>
      <c r="LJ1401" s="1"/>
      <c r="LK1401" s="1"/>
      <c r="LL1401" s="1"/>
      <c r="LM1401" s="1"/>
      <c r="LN1401" s="1"/>
      <c r="LO1401" s="1"/>
      <c r="LP1401" s="1"/>
      <c r="LQ1401" s="1"/>
      <c r="LR1401" s="1"/>
      <c r="LS1401" s="1"/>
      <c r="LT1401" s="1"/>
      <c r="LU1401" s="1"/>
      <c r="LV1401" s="1"/>
      <c r="LW1401" s="1"/>
      <c r="LX1401" s="1"/>
      <c r="LY1401" s="1"/>
      <c r="LZ1401" s="1"/>
      <c r="MA1401" s="1"/>
      <c r="MB1401" s="1"/>
      <c r="MC1401" s="1"/>
      <c r="MD1401" s="1"/>
      <c r="ME1401" s="1"/>
      <c r="MF1401" s="1"/>
      <c r="MG1401" s="1"/>
      <c r="MH1401" s="1"/>
      <c r="MI1401" s="1"/>
      <c r="MJ1401" s="1"/>
      <c r="MK1401" s="1"/>
      <c r="ML1401" s="1"/>
      <c r="MM1401" s="1"/>
      <c r="MN1401" s="1"/>
      <c r="MO1401" s="1"/>
      <c r="MP1401" s="1"/>
      <c r="MQ1401" s="1"/>
      <c r="MR1401" s="1"/>
      <c r="MS1401" s="1"/>
      <c r="MT1401" s="1"/>
      <c r="MU1401" s="1"/>
      <c r="MV1401" s="1"/>
      <c r="MW1401" s="1"/>
      <c r="MX1401" s="1"/>
      <c r="MY1401" s="1"/>
      <c r="MZ1401" s="1"/>
      <c r="NA1401" s="1"/>
      <c r="NB1401" s="1"/>
      <c r="NC1401" s="1"/>
      <c r="ND1401" s="1"/>
      <c r="NE1401" s="1"/>
      <c r="NF1401" s="1"/>
      <c r="NG1401" s="1"/>
      <c r="NH1401" s="1"/>
      <c r="NI1401" s="1"/>
      <c r="NJ1401" s="1"/>
      <c r="NK1401" s="1"/>
      <c r="NL1401" s="1"/>
      <c r="NM1401" s="1"/>
      <c r="NN1401" s="1"/>
      <c r="NO1401" s="1"/>
      <c r="NP1401" s="1"/>
      <c r="NQ1401" s="1"/>
      <c r="NR1401" s="1"/>
      <c r="NS1401" s="1"/>
      <c r="NT1401" s="1"/>
      <c r="NU1401" s="1"/>
      <c r="NV1401" s="1"/>
      <c r="NW1401" s="1"/>
      <c r="NX1401" s="1"/>
      <c r="NY1401" s="1"/>
      <c r="NZ1401" s="1"/>
      <c r="OA1401" s="1"/>
      <c r="OB1401" s="1"/>
      <c r="OC1401" s="1"/>
      <c r="OD1401" s="1"/>
      <c r="OE1401" s="1"/>
      <c r="OF1401" s="1"/>
      <c r="OG1401" s="1"/>
      <c r="OH1401" s="1"/>
      <c r="OI1401" s="1"/>
      <c r="OJ1401" s="1"/>
      <c r="OK1401" s="1"/>
      <c r="OL1401" s="1"/>
      <c r="OM1401" s="1"/>
      <c r="ON1401" s="1"/>
      <c r="OO1401" s="1"/>
      <c r="OP1401" s="1"/>
      <c r="OQ1401" s="1"/>
      <c r="OR1401" s="1"/>
      <c r="OS1401" s="1"/>
      <c r="OT1401" s="1"/>
      <c r="OU1401" s="1"/>
      <c r="OV1401" s="1"/>
      <c r="OW1401" s="1"/>
      <c r="OX1401" s="1"/>
      <c r="OY1401" s="1"/>
      <c r="OZ1401" s="1"/>
      <c r="PA1401" s="1"/>
      <c r="PB1401" s="1"/>
      <c r="PC1401" s="1"/>
      <c r="PD1401" s="1"/>
      <c r="PE1401" s="1"/>
      <c r="PF1401" s="1"/>
      <c r="PG1401" s="1"/>
      <c r="PH1401" s="1"/>
      <c r="PI1401" s="1"/>
      <c r="PJ1401" s="1"/>
      <c r="PK1401" s="1"/>
      <c r="PL1401" s="1"/>
      <c r="PM1401" s="1"/>
      <c r="PN1401" s="1"/>
      <c r="PO1401" s="1"/>
      <c r="PP1401" s="1"/>
      <c r="PQ1401" s="1"/>
      <c r="PR1401" s="1"/>
      <c r="PS1401" s="1"/>
      <c r="PT1401" s="1"/>
      <c r="PU1401" s="1"/>
      <c r="PV1401" s="1"/>
      <c r="PW1401" s="1"/>
      <c r="PX1401" s="1"/>
      <c r="PY1401" s="1"/>
      <c r="PZ1401" s="1"/>
      <c r="QA1401" s="1"/>
      <c r="QB1401" s="1"/>
      <c r="QC1401" s="1"/>
      <c r="QD1401" s="1"/>
      <c r="QE1401" s="1"/>
      <c r="QF1401" s="1"/>
      <c r="QG1401" s="1"/>
      <c r="QH1401" s="1"/>
      <c r="QI1401" s="1"/>
      <c r="QJ1401" s="1"/>
      <c r="QK1401" s="1"/>
      <c r="QL1401" s="1"/>
      <c r="QM1401" s="1"/>
      <c r="QN1401" s="1"/>
      <c r="QO1401" s="1"/>
      <c r="QP1401" s="1"/>
      <c r="QQ1401" s="1"/>
      <c r="QR1401" s="1"/>
      <c r="QS1401" s="1"/>
      <c r="QT1401" s="1"/>
      <c r="QU1401" s="1"/>
      <c r="QV1401" s="1"/>
      <c r="QW1401" s="1"/>
      <c r="QX1401" s="1"/>
      <c r="QY1401" s="1"/>
      <c r="QZ1401" s="1"/>
      <c r="RA1401" s="1"/>
      <c r="RB1401" s="1"/>
      <c r="RC1401" s="1"/>
      <c r="RD1401" s="1"/>
      <c r="RE1401" s="1"/>
      <c r="RF1401" s="1"/>
      <c r="RG1401" s="1"/>
      <c r="RH1401" s="1"/>
      <c r="RI1401" s="1"/>
      <c r="RJ1401" s="1"/>
      <c r="RK1401" s="1"/>
      <c r="RL1401" s="1"/>
      <c r="RM1401" s="1"/>
      <c r="RN1401" s="1"/>
      <c r="RO1401" s="1"/>
      <c r="RP1401" s="1"/>
      <c r="RQ1401" s="1"/>
      <c r="RR1401" s="1"/>
      <c r="RS1401" s="1"/>
      <c r="RT1401" s="1"/>
      <c r="RU1401" s="1"/>
      <c r="RV1401" s="1"/>
      <c r="RW1401" s="1"/>
      <c r="RX1401" s="1"/>
      <c r="RY1401" s="1"/>
      <c r="RZ1401" s="1"/>
      <c r="SA1401" s="1"/>
      <c r="SB1401" s="1"/>
      <c r="SC1401" s="1"/>
      <c r="SD1401" s="1"/>
      <c r="SE1401" s="1"/>
      <c r="SF1401" s="1"/>
      <c r="SG1401" s="1"/>
      <c r="SH1401" s="1"/>
      <c r="SI1401" s="1"/>
      <c r="SJ1401" s="1"/>
      <c r="SK1401" s="1"/>
      <c r="SL1401" s="1"/>
      <c r="SM1401" s="1"/>
      <c r="SN1401" s="1"/>
      <c r="SO1401" s="1"/>
      <c r="SP1401" s="1"/>
      <c r="SQ1401" s="1"/>
      <c r="SR1401" s="1"/>
      <c r="SS1401" s="1"/>
      <c r="ST1401" s="1"/>
      <c r="SU1401" s="1"/>
      <c r="SV1401" s="1"/>
      <c r="SW1401" s="1"/>
      <c r="SX1401" s="1"/>
      <c r="SY1401" s="1"/>
      <c r="SZ1401" s="1"/>
      <c r="TA1401" s="1"/>
      <c r="TB1401" s="1"/>
      <c r="TC1401" s="1"/>
      <c r="TD1401" s="1"/>
      <c r="TE1401" s="1"/>
      <c r="TF1401" s="1"/>
      <c r="TG1401" s="1"/>
      <c r="TH1401" s="1"/>
      <c r="TI1401" s="1"/>
      <c r="TJ1401" s="1"/>
      <c r="TK1401" s="1"/>
      <c r="TL1401" s="1"/>
      <c r="TM1401" s="1"/>
      <c r="TN1401" s="1"/>
      <c r="TO1401" s="1"/>
      <c r="TP1401" s="1"/>
      <c r="TQ1401" s="1"/>
      <c r="TR1401" s="1"/>
      <c r="TS1401" s="1"/>
      <c r="TT1401" s="1"/>
      <c r="TU1401" s="1"/>
      <c r="TV1401" s="1"/>
      <c r="TW1401" s="1"/>
      <c r="TX1401" s="1"/>
      <c r="TY1401" s="1"/>
      <c r="TZ1401" s="1"/>
      <c r="UA1401" s="1"/>
      <c r="UB1401" s="1"/>
      <c r="UC1401" s="1"/>
      <c r="UD1401" s="1"/>
      <c r="UE1401" s="1"/>
      <c r="UF1401" s="1"/>
      <c r="UG1401" s="1"/>
      <c r="UH1401" s="1"/>
      <c r="UI1401" s="1"/>
      <c r="UJ1401" s="1"/>
      <c r="UK1401" s="1"/>
      <c r="UL1401" s="1"/>
      <c r="UM1401" s="1"/>
      <c r="UN1401" s="1"/>
      <c r="UO1401" s="1"/>
      <c r="UP1401" s="1"/>
      <c r="UQ1401" s="1"/>
      <c r="UR1401" s="1"/>
      <c r="US1401" s="1"/>
      <c r="UT1401" s="1"/>
      <c r="UU1401" s="1"/>
      <c r="UV1401" s="1"/>
      <c r="UW1401" s="1"/>
      <c r="UX1401" s="1"/>
      <c r="UY1401" s="1"/>
      <c r="UZ1401" s="1"/>
      <c r="VA1401" s="1"/>
      <c r="VB1401" s="1"/>
      <c r="VC1401" s="1"/>
      <c r="VD1401" s="1"/>
      <c r="VE1401" s="1"/>
      <c r="VF1401" s="1"/>
      <c r="VG1401" s="1"/>
      <c r="VH1401" s="1"/>
      <c r="VI1401" s="1"/>
      <c r="VJ1401" s="1"/>
      <c r="VK1401" s="1"/>
      <c r="VL1401" s="1"/>
      <c r="VM1401" s="1"/>
      <c r="VN1401" s="1"/>
      <c r="VO1401" s="1"/>
      <c r="VP1401" s="1"/>
      <c r="VQ1401" s="1"/>
      <c r="VR1401" s="1"/>
      <c r="VS1401" s="1"/>
      <c r="VT1401" s="1"/>
      <c r="VU1401" s="1"/>
      <c r="VV1401" s="1"/>
      <c r="VW1401" s="1"/>
      <c r="VX1401" s="1"/>
      <c r="VY1401" s="1"/>
      <c r="VZ1401" s="1"/>
      <c r="WA1401" s="1"/>
      <c r="WB1401" s="1"/>
      <c r="WC1401" s="1"/>
      <c r="WD1401" s="1"/>
      <c r="WE1401" s="1"/>
      <c r="WF1401" s="1"/>
      <c r="WG1401" s="1"/>
      <c r="WH1401" s="1"/>
      <c r="WI1401" s="1"/>
      <c r="WJ1401" s="1"/>
      <c r="WK1401" s="1"/>
      <c r="WL1401" s="1"/>
      <c r="WM1401" s="1"/>
      <c r="WN1401" s="1"/>
      <c r="WO1401" s="1"/>
      <c r="WP1401" s="1"/>
      <c r="WQ1401" s="1"/>
      <c r="WR1401" s="1"/>
      <c r="WS1401" s="1"/>
      <c r="WT1401" s="1"/>
      <c r="WU1401" s="1"/>
      <c r="WV1401" s="1"/>
      <c r="WW1401" s="1"/>
      <c r="WX1401" s="1"/>
      <c r="WY1401" s="1"/>
      <c r="WZ1401" s="1"/>
      <c r="XA1401" s="1"/>
      <c r="XB1401" s="1"/>
      <c r="XC1401" s="1"/>
      <c r="XD1401" s="1"/>
      <c r="XE1401" s="1"/>
      <c r="XF1401" s="1"/>
      <c r="XG1401" s="1"/>
      <c r="XH1401" s="1"/>
      <c r="XI1401" s="1"/>
      <c r="XJ1401" s="1"/>
      <c r="XK1401" s="1"/>
      <c r="XL1401" s="1"/>
      <c r="XM1401" s="1"/>
      <c r="XN1401" s="1"/>
      <c r="XO1401" s="1"/>
      <c r="XP1401" s="1"/>
      <c r="XQ1401" s="1"/>
      <c r="XR1401" s="1"/>
      <c r="XS1401" s="1"/>
      <c r="XT1401" s="1"/>
      <c r="XU1401" s="1"/>
      <c r="XV1401" s="1"/>
      <c r="XW1401" s="1"/>
      <c r="XX1401" s="1"/>
      <c r="XY1401" s="1"/>
      <c r="XZ1401" s="1"/>
      <c r="YA1401" s="1"/>
      <c r="YB1401" s="1"/>
      <c r="YC1401" s="1"/>
      <c r="YD1401" s="1"/>
      <c r="YE1401" s="1"/>
      <c r="YF1401" s="1"/>
      <c r="YG1401" s="1"/>
      <c r="YH1401" s="1"/>
      <c r="YI1401" s="1"/>
      <c r="YJ1401" s="1"/>
      <c r="YK1401" s="1"/>
      <c r="YL1401" s="1"/>
      <c r="YM1401" s="1"/>
      <c r="YN1401" s="1"/>
      <c r="YO1401" s="1"/>
      <c r="YP1401" s="1"/>
      <c r="YQ1401" s="1"/>
      <c r="YR1401" s="1"/>
      <c r="YS1401" s="1"/>
      <c r="YT1401" s="1"/>
      <c r="YU1401" s="1"/>
      <c r="YV1401" s="1"/>
      <c r="YW1401" s="1"/>
      <c r="YX1401" s="1"/>
      <c r="YY1401" s="1"/>
      <c r="YZ1401" s="1"/>
      <c r="ZA1401" s="1"/>
      <c r="ZB1401" s="1"/>
      <c r="ZC1401" s="1"/>
      <c r="ZD1401" s="1"/>
      <c r="ZE1401" s="1"/>
      <c r="ZF1401" s="1"/>
      <c r="ZG1401" s="1"/>
      <c r="ZH1401" s="1"/>
      <c r="ZI1401" s="1"/>
      <c r="ZJ1401" s="1"/>
      <c r="ZK1401" s="1"/>
      <c r="ZL1401" s="1"/>
      <c r="ZM1401" s="1"/>
      <c r="ZN1401" s="1"/>
      <c r="ZO1401" s="1"/>
      <c r="ZP1401" s="1"/>
      <c r="ZQ1401" s="1"/>
      <c r="ZR1401" s="1"/>
      <c r="ZS1401" s="1"/>
      <c r="ZT1401" s="1"/>
      <c r="ZU1401" s="1"/>
      <c r="ZV1401" s="1"/>
      <c r="ZW1401" s="1"/>
      <c r="ZX1401" s="1"/>
      <c r="ZY1401" s="1"/>
      <c r="ZZ1401" s="1"/>
    </row>
  </sheetData>
  <dataValidations xWindow="120" yWindow="350" count="13">
    <dataValidation allowBlank="1" showInputMessage="1" showErrorMessage="1" prompt="Alpha A-" sqref="F1:F1401" xr:uid="{867C8780-7C86-4FF0-9167-2714089A32CD}"/>
    <dataValidation allowBlank="1" showInputMessage="1" showErrorMessage="1" prompt="A-" sqref="E1:E1401" xr:uid="{28C9CB56-B9AE-41A2-B713-956DA5DDD905}"/>
    <dataValidation allowBlank="1" showInputMessage="1" showErrorMessage="1" prompt="HA" sqref="D1:D1401" xr:uid="{E6867430-E173-461C-871E-6AE6B70E5082}"/>
    <dataValidation allowBlank="1" showInputMessage="1" showErrorMessage="1" prompt="Alpha BH+" sqref="X1:X1401" xr:uid="{1D4C66E3-CF23-48FC-93BB-A54766D8AA5B}"/>
    <dataValidation allowBlank="1" showInputMessage="1" showErrorMessage="1" prompt="Volume Titrant (Acid)" sqref="Z1:Z1401" xr:uid="{33E8EB0A-55E3-4C73-B82C-442596175F4B}"/>
    <dataValidation allowBlank="1" showInputMessage="1" showErrorMessage="1" prompt="B" sqref="W1:W1401" xr:uid="{147CC4DF-1F72-4E62-A256-1B2419CFE09F}"/>
    <dataValidation allowBlank="1" showInputMessage="1" showErrorMessage="1" prompt="BH+" sqref="V1:V1401" xr:uid="{D79E7E78-23B8-4D06-8103-7F8E53020CDE}"/>
    <dataValidation allowBlank="1" showInputMessage="1" showErrorMessage="1" prompt="OH-" sqref="U1:U1401 C1:C1401" xr:uid="{756CD598-DE40-4998-BB9A-75DDE261E9C2}"/>
    <dataValidation allowBlank="1" showInputMessage="1" showErrorMessage="1" prompt="Phi" sqref="Y1:Y1401 G1:G1401" xr:uid="{88D7A583-2603-44E1-8477-832929CAA046}"/>
    <dataValidation allowBlank="1" showInputMessage="1" showErrorMessage="1" prompt="H+" sqref="T1:T1401 B1:B1401" xr:uid="{CBFA251B-C552-407B-A270-34EECE63E996}"/>
    <dataValidation allowBlank="1" showInputMessage="1" showErrorMessage="1" prompt="pH" sqref="A1:A1401 S1:S1401" xr:uid="{54C5E4C2-6E56-4770-8377-BC74E943F2BE}"/>
    <dataValidation allowBlank="1" showInputMessage="1" showErrorMessage="1" prompt="WASB_x000a_" sqref="I1:I1401" xr:uid="{FDE42B2D-C6AE-4E11-90D7-6C65E327706A}"/>
    <dataValidation allowBlank="1" showInputMessage="1" showErrorMessage="1" prompt="SAWB" sqref="AA1:AA1401" xr:uid="{4D060B13-0013-4401-A861-21B540BBF92F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Monoprotic</vt:lpstr>
      <vt:lpstr>CalcSheet</vt:lpstr>
      <vt:lpstr>Kw</vt:lpstr>
      <vt:lpstr>SAWB_Ca</vt:lpstr>
      <vt:lpstr>SAWB_Cb</vt:lpstr>
      <vt:lpstr>SAWB_DVe</vt:lpstr>
      <vt:lpstr>SAWB_Ka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2019-12-02T18:23:09Z</dcterms:modified>
</cp:coreProperties>
</file>