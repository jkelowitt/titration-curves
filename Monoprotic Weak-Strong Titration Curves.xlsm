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son\Resilio Sync\School File\Personal Files\Coding - Excel\Github\titration-curves\"/>
    </mc:Choice>
  </mc:AlternateContent>
  <xr:revisionPtr revIDLastSave="0" documentId="13_ncr:1_{19F0498A-835B-4E08-AE63-5A98ECAAD267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onoprotic" sheetId="11" r:id="rId1"/>
    <sheet name="Demonstration" sheetId="14" r:id="rId2"/>
    <sheet name="CalcSheet" sheetId="13" r:id="rId3"/>
  </sheets>
  <definedNames>
    <definedName name="_xlnm._FilterDatabase" localSheetId="2" hidden="1">CalcSheet!#REF!</definedName>
    <definedName name="DEMO_2Ve">Demonstration!$T$13</definedName>
    <definedName name="DEMO_Ca">Demonstration!$T$7</definedName>
    <definedName name="DEMO_Cb">Demonstration!$T$10</definedName>
    <definedName name="DEMO_Ka">Demonstration!$T$6</definedName>
    <definedName name="DEMO_Va">Demonstration!$T$8</definedName>
    <definedName name="Kw">Monoprotic!$P$26</definedName>
    <definedName name="SAWB_Ca">Monoprotic!$M$23</definedName>
    <definedName name="SAWB_Cb">Monoprotic!$M$20</definedName>
    <definedName name="SAWB_DVe">Monoprotic!$M$26</definedName>
    <definedName name="SAWB_Kb">Monoprotic!$M$19</definedName>
    <definedName name="SAWB_Vb">Monoprotic!$M$21</definedName>
    <definedName name="WASB_Ca">Monoprotic!$M$6</definedName>
    <definedName name="WASB_Cb">Monoprotic!$M$9</definedName>
    <definedName name="WASB_DVe">Monoprotic!$M$12</definedName>
    <definedName name="WASB_Ka">Monoprotic!$M$5</definedName>
    <definedName name="WASB_Va">Monoprotic!$M$7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13" l="1"/>
  <c r="C5" i="13"/>
  <c r="D5" i="13"/>
  <c r="E5" i="13"/>
  <c r="F5" i="13"/>
  <c r="G5" i="13"/>
  <c r="P5" i="13"/>
  <c r="Q5" i="13"/>
  <c r="R5" i="13"/>
  <c r="S5" i="13"/>
  <c r="T5" i="13"/>
  <c r="U5" i="13"/>
  <c r="AD5" i="13"/>
  <c r="AE5" i="13"/>
  <c r="T6" i="14"/>
  <c r="AF5" i="13"/>
  <c r="AG5" i="13"/>
  <c r="AH5" i="13"/>
  <c r="AI5" i="13"/>
  <c r="B6" i="13"/>
  <c r="C6" i="13"/>
  <c r="D6" i="13"/>
  <c r="E6" i="13"/>
  <c r="F6" i="13"/>
  <c r="G6" i="13"/>
  <c r="P6" i="13"/>
  <c r="Q6" i="13"/>
  <c r="R6" i="13"/>
  <c r="S6" i="13"/>
  <c r="T6" i="13"/>
  <c r="U6" i="13"/>
  <c r="AD6" i="13"/>
  <c r="AE6" i="13"/>
  <c r="AF6" i="13"/>
  <c r="AG6" i="13"/>
  <c r="AH6" i="13"/>
  <c r="AI6" i="13"/>
  <c r="B7" i="13"/>
  <c r="C7" i="13"/>
  <c r="D7" i="13"/>
  <c r="E7" i="13"/>
  <c r="F7" i="13"/>
  <c r="G7" i="13"/>
  <c r="P7" i="13"/>
  <c r="Q7" i="13"/>
  <c r="R7" i="13"/>
  <c r="S7" i="13"/>
  <c r="T7" i="13"/>
  <c r="U7" i="13"/>
  <c r="AD7" i="13"/>
  <c r="AE7" i="13"/>
  <c r="AF7" i="13"/>
  <c r="AG7" i="13"/>
  <c r="AH7" i="13"/>
  <c r="AI7" i="13"/>
  <c r="B8" i="13"/>
  <c r="C8" i="13"/>
  <c r="D8" i="13"/>
  <c r="E8" i="13"/>
  <c r="F8" i="13"/>
  <c r="G8" i="13"/>
  <c r="P8" i="13"/>
  <c r="Q8" i="13"/>
  <c r="R8" i="13"/>
  <c r="S8" i="13"/>
  <c r="T8" i="13"/>
  <c r="U8" i="13"/>
  <c r="AD8" i="13"/>
  <c r="AE8" i="13"/>
  <c r="AF8" i="13"/>
  <c r="AG8" i="13"/>
  <c r="AH8" i="13"/>
  <c r="AI8" i="13"/>
  <c r="B9" i="13"/>
  <c r="C9" i="13"/>
  <c r="D9" i="13"/>
  <c r="E9" i="13"/>
  <c r="F9" i="13"/>
  <c r="G9" i="13"/>
  <c r="P9" i="13"/>
  <c r="Q9" i="13"/>
  <c r="R9" i="13"/>
  <c r="S9" i="13"/>
  <c r="T9" i="13"/>
  <c r="U9" i="13"/>
  <c r="AD9" i="13"/>
  <c r="AE9" i="13"/>
  <c r="AF9" i="13"/>
  <c r="AG9" i="13"/>
  <c r="AH9" i="13"/>
  <c r="AI9" i="13"/>
  <c r="B10" i="13"/>
  <c r="C10" i="13"/>
  <c r="D10" i="13"/>
  <c r="E10" i="13"/>
  <c r="F10" i="13"/>
  <c r="G10" i="13"/>
  <c r="P10" i="13"/>
  <c r="Q10" i="13"/>
  <c r="R10" i="13"/>
  <c r="S10" i="13"/>
  <c r="T10" i="13"/>
  <c r="U10" i="13"/>
  <c r="AD10" i="13"/>
  <c r="AE10" i="13"/>
  <c r="AF10" i="13"/>
  <c r="AG10" i="13"/>
  <c r="AH10" i="13"/>
  <c r="AI10" i="13"/>
  <c r="B11" i="13"/>
  <c r="C11" i="13"/>
  <c r="D11" i="13"/>
  <c r="E11" i="13"/>
  <c r="F11" i="13"/>
  <c r="G11" i="13"/>
  <c r="P11" i="13"/>
  <c r="Q11" i="13"/>
  <c r="R11" i="13"/>
  <c r="S11" i="13"/>
  <c r="T11" i="13"/>
  <c r="U11" i="13"/>
  <c r="AD11" i="13"/>
  <c r="AE11" i="13"/>
  <c r="AF11" i="13"/>
  <c r="AG11" i="13"/>
  <c r="AH11" i="13"/>
  <c r="AI11" i="13"/>
  <c r="B12" i="13"/>
  <c r="C12" i="13"/>
  <c r="D12" i="13"/>
  <c r="E12" i="13"/>
  <c r="F12" i="13"/>
  <c r="G12" i="13"/>
  <c r="P12" i="13"/>
  <c r="Q12" i="13"/>
  <c r="R12" i="13"/>
  <c r="S12" i="13"/>
  <c r="T12" i="13"/>
  <c r="U12" i="13"/>
  <c r="AD12" i="13"/>
  <c r="AE12" i="13"/>
  <c r="AF12" i="13"/>
  <c r="AG12" i="13"/>
  <c r="AH12" i="13"/>
  <c r="AI12" i="13"/>
  <c r="B13" i="13"/>
  <c r="C13" i="13"/>
  <c r="D13" i="13"/>
  <c r="E13" i="13"/>
  <c r="F13" i="13"/>
  <c r="G13" i="13"/>
  <c r="P13" i="13"/>
  <c r="Q13" i="13"/>
  <c r="R13" i="13"/>
  <c r="S13" i="13"/>
  <c r="T13" i="13"/>
  <c r="U13" i="13"/>
  <c r="AD13" i="13"/>
  <c r="AE13" i="13"/>
  <c r="AF13" i="13"/>
  <c r="AG13" i="13"/>
  <c r="AH13" i="13"/>
  <c r="AI13" i="13"/>
  <c r="B14" i="13"/>
  <c r="C14" i="13"/>
  <c r="D14" i="13"/>
  <c r="E14" i="13"/>
  <c r="F14" i="13"/>
  <c r="G14" i="13"/>
  <c r="P14" i="13"/>
  <c r="Q14" i="13"/>
  <c r="R14" i="13"/>
  <c r="S14" i="13"/>
  <c r="T14" i="13"/>
  <c r="U14" i="13"/>
  <c r="AD14" i="13"/>
  <c r="AE14" i="13"/>
  <c r="AF14" i="13"/>
  <c r="AG14" i="13"/>
  <c r="AH14" i="13"/>
  <c r="AI14" i="13"/>
  <c r="B15" i="13"/>
  <c r="C15" i="13"/>
  <c r="D15" i="13"/>
  <c r="E15" i="13"/>
  <c r="F15" i="13"/>
  <c r="G15" i="13"/>
  <c r="P15" i="13"/>
  <c r="Q15" i="13"/>
  <c r="R15" i="13"/>
  <c r="S15" i="13"/>
  <c r="T15" i="13"/>
  <c r="U15" i="13"/>
  <c r="AD15" i="13"/>
  <c r="AE15" i="13"/>
  <c r="AF15" i="13"/>
  <c r="AG15" i="13"/>
  <c r="AH15" i="13"/>
  <c r="AI15" i="13"/>
  <c r="B16" i="13"/>
  <c r="C16" i="13"/>
  <c r="D16" i="13"/>
  <c r="E16" i="13"/>
  <c r="F16" i="13"/>
  <c r="G16" i="13"/>
  <c r="P16" i="13"/>
  <c r="Q16" i="13"/>
  <c r="R16" i="13"/>
  <c r="S16" i="13"/>
  <c r="T16" i="13"/>
  <c r="U16" i="13"/>
  <c r="AD16" i="13"/>
  <c r="AE16" i="13"/>
  <c r="AF16" i="13"/>
  <c r="AG16" i="13"/>
  <c r="AH16" i="13"/>
  <c r="AI16" i="13"/>
  <c r="B17" i="13"/>
  <c r="C17" i="13"/>
  <c r="D17" i="13"/>
  <c r="E17" i="13"/>
  <c r="F17" i="13"/>
  <c r="G17" i="13"/>
  <c r="P17" i="13"/>
  <c r="Q17" i="13"/>
  <c r="R17" i="13"/>
  <c r="S17" i="13"/>
  <c r="T17" i="13"/>
  <c r="U17" i="13"/>
  <c r="AD17" i="13"/>
  <c r="AE17" i="13"/>
  <c r="AF17" i="13"/>
  <c r="AG17" i="13"/>
  <c r="AH17" i="13"/>
  <c r="AI17" i="13"/>
  <c r="B18" i="13"/>
  <c r="C18" i="13"/>
  <c r="D18" i="13"/>
  <c r="E18" i="13"/>
  <c r="F18" i="13"/>
  <c r="G18" i="13"/>
  <c r="P18" i="13"/>
  <c r="Q18" i="13"/>
  <c r="R18" i="13"/>
  <c r="S18" i="13"/>
  <c r="T18" i="13"/>
  <c r="U18" i="13"/>
  <c r="AD18" i="13"/>
  <c r="AE18" i="13"/>
  <c r="AF18" i="13"/>
  <c r="AG18" i="13"/>
  <c r="AH18" i="13"/>
  <c r="AI18" i="13"/>
  <c r="B19" i="13"/>
  <c r="C19" i="13"/>
  <c r="D19" i="13"/>
  <c r="E19" i="13"/>
  <c r="F19" i="13"/>
  <c r="G19" i="13"/>
  <c r="P19" i="13"/>
  <c r="Q19" i="13"/>
  <c r="R19" i="13"/>
  <c r="S19" i="13"/>
  <c r="T19" i="13"/>
  <c r="U19" i="13"/>
  <c r="AD19" i="13"/>
  <c r="AE19" i="13"/>
  <c r="AF19" i="13"/>
  <c r="AG19" i="13"/>
  <c r="AH19" i="13"/>
  <c r="AI19" i="13"/>
  <c r="B20" i="13"/>
  <c r="C20" i="13"/>
  <c r="D20" i="13"/>
  <c r="E20" i="13"/>
  <c r="F20" i="13"/>
  <c r="G20" i="13"/>
  <c r="P20" i="13"/>
  <c r="Q20" i="13"/>
  <c r="R20" i="13"/>
  <c r="S20" i="13"/>
  <c r="T20" i="13"/>
  <c r="U20" i="13"/>
  <c r="AD20" i="13"/>
  <c r="AE20" i="13"/>
  <c r="AF20" i="13"/>
  <c r="AG20" i="13"/>
  <c r="AH20" i="13"/>
  <c r="AI20" i="13"/>
  <c r="B21" i="13"/>
  <c r="C21" i="13"/>
  <c r="D21" i="13"/>
  <c r="E21" i="13"/>
  <c r="F21" i="13"/>
  <c r="G21" i="13"/>
  <c r="P21" i="13"/>
  <c r="Q21" i="13"/>
  <c r="R21" i="13"/>
  <c r="S21" i="13"/>
  <c r="T21" i="13"/>
  <c r="U21" i="13"/>
  <c r="AD21" i="13"/>
  <c r="AE21" i="13"/>
  <c r="AF21" i="13"/>
  <c r="AG21" i="13"/>
  <c r="AH21" i="13"/>
  <c r="AI21" i="13"/>
  <c r="B22" i="13"/>
  <c r="C22" i="13"/>
  <c r="D22" i="13"/>
  <c r="E22" i="13"/>
  <c r="F22" i="13"/>
  <c r="G22" i="13"/>
  <c r="P22" i="13"/>
  <c r="Q22" i="13"/>
  <c r="R22" i="13"/>
  <c r="S22" i="13"/>
  <c r="T22" i="13"/>
  <c r="U22" i="13"/>
  <c r="AD22" i="13"/>
  <c r="AE22" i="13"/>
  <c r="AF22" i="13"/>
  <c r="AG22" i="13"/>
  <c r="AH22" i="13"/>
  <c r="AI22" i="13"/>
  <c r="B23" i="13"/>
  <c r="C23" i="13"/>
  <c r="D23" i="13"/>
  <c r="E23" i="13"/>
  <c r="F23" i="13"/>
  <c r="G23" i="13"/>
  <c r="P23" i="13"/>
  <c r="Q23" i="13"/>
  <c r="R23" i="13"/>
  <c r="S23" i="13"/>
  <c r="T23" i="13"/>
  <c r="U23" i="13"/>
  <c r="AD23" i="13"/>
  <c r="AE23" i="13"/>
  <c r="AF23" i="13"/>
  <c r="AG23" i="13"/>
  <c r="AH23" i="13"/>
  <c r="AI23" i="13"/>
  <c r="B24" i="13"/>
  <c r="C24" i="13"/>
  <c r="D24" i="13"/>
  <c r="E24" i="13"/>
  <c r="F24" i="13"/>
  <c r="G24" i="13"/>
  <c r="P24" i="13"/>
  <c r="Q24" i="13"/>
  <c r="R24" i="13"/>
  <c r="S24" i="13"/>
  <c r="T24" i="13"/>
  <c r="U24" i="13"/>
  <c r="AD24" i="13"/>
  <c r="AE24" i="13"/>
  <c r="AF24" i="13"/>
  <c r="AG24" i="13"/>
  <c r="AH24" i="13"/>
  <c r="AI24" i="13"/>
  <c r="B25" i="13"/>
  <c r="C25" i="13"/>
  <c r="D25" i="13"/>
  <c r="E25" i="13"/>
  <c r="F25" i="13"/>
  <c r="G25" i="13"/>
  <c r="P25" i="13"/>
  <c r="Q25" i="13"/>
  <c r="R25" i="13"/>
  <c r="S25" i="13"/>
  <c r="T25" i="13"/>
  <c r="U25" i="13"/>
  <c r="AD25" i="13"/>
  <c r="AE25" i="13"/>
  <c r="AF25" i="13"/>
  <c r="AG25" i="13"/>
  <c r="AH25" i="13"/>
  <c r="AI25" i="13"/>
  <c r="B26" i="13"/>
  <c r="C26" i="13"/>
  <c r="D26" i="13"/>
  <c r="E26" i="13"/>
  <c r="F26" i="13"/>
  <c r="G26" i="13"/>
  <c r="P26" i="13"/>
  <c r="Q26" i="13"/>
  <c r="R26" i="13"/>
  <c r="S26" i="13"/>
  <c r="T26" i="13"/>
  <c r="U26" i="13"/>
  <c r="AD26" i="13"/>
  <c r="AE26" i="13"/>
  <c r="AF26" i="13"/>
  <c r="AG26" i="13"/>
  <c r="AH26" i="13"/>
  <c r="AI26" i="13"/>
  <c r="B27" i="13"/>
  <c r="C27" i="13"/>
  <c r="D27" i="13"/>
  <c r="E27" i="13"/>
  <c r="F27" i="13"/>
  <c r="G27" i="13"/>
  <c r="P27" i="13"/>
  <c r="Q27" i="13"/>
  <c r="R27" i="13"/>
  <c r="S27" i="13"/>
  <c r="T27" i="13"/>
  <c r="U27" i="13"/>
  <c r="AD27" i="13"/>
  <c r="AE27" i="13"/>
  <c r="AF27" i="13"/>
  <c r="AG27" i="13"/>
  <c r="AH27" i="13"/>
  <c r="AI27" i="13"/>
  <c r="B28" i="13"/>
  <c r="C28" i="13"/>
  <c r="D28" i="13"/>
  <c r="E28" i="13"/>
  <c r="F28" i="13"/>
  <c r="G28" i="13"/>
  <c r="P28" i="13"/>
  <c r="Q28" i="13"/>
  <c r="R28" i="13"/>
  <c r="S28" i="13"/>
  <c r="T28" i="13"/>
  <c r="U28" i="13"/>
  <c r="AD28" i="13"/>
  <c r="AE28" i="13"/>
  <c r="AF28" i="13"/>
  <c r="AG28" i="13"/>
  <c r="AH28" i="13"/>
  <c r="AI28" i="13"/>
  <c r="B29" i="13"/>
  <c r="C29" i="13"/>
  <c r="D29" i="13"/>
  <c r="E29" i="13"/>
  <c r="F29" i="13"/>
  <c r="G29" i="13"/>
  <c r="P29" i="13"/>
  <c r="Q29" i="13"/>
  <c r="R29" i="13"/>
  <c r="S29" i="13"/>
  <c r="T29" i="13"/>
  <c r="U29" i="13"/>
  <c r="AD29" i="13"/>
  <c r="AE29" i="13"/>
  <c r="AF29" i="13"/>
  <c r="AG29" i="13"/>
  <c r="AH29" i="13"/>
  <c r="AI29" i="13"/>
  <c r="B30" i="13"/>
  <c r="C30" i="13"/>
  <c r="D30" i="13"/>
  <c r="E30" i="13"/>
  <c r="F30" i="13"/>
  <c r="G30" i="13"/>
  <c r="P30" i="13"/>
  <c r="Q30" i="13"/>
  <c r="R30" i="13"/>
  <c r="S30" i="13"/>
  <c r="T30" i="13"/>
  <c r="U30" i="13"/>
  <c r="AD30" i="13"/>
  <c r="AE30" i="13"/>
  <c r="AF30" i="13"/>
  <c r="AG30" i="13"/>
  <c r="AH30" i="13"/>
  <c r="AI30" i="13"/>
  <c r="B31" i="13"/>
  <c r="C31" i="13"/>
  <c r="D31" i="13"/>
  <c r="E31" i="13"/>
  <c r="F31" i="13"/>
  <c r="G31" i="13"/>
  <c r="P31" i="13"/>
  <c r="Q31" i="13"/>
  <c r="R31" i="13"/>
  <c r="S31" i="13"/>
  <c r="T31" i="13"/>
  <c r="U31" i="13"/>
  <c r="AD31" i="13"/>
  <c r="AE31" i="13"/>
  <c r="AF31" i="13"/>
  <c r="AG31" i="13"/>
  <c r="AH31" i="13"/>
  <c r="AI31" i="13"/>
  <c r="B32" i="13"/>
  <c r="C32" i="13"/>
  <c r="D32" i="13"/>
  <c r="E32" i="13"/>
  <c r="F32" i="13"/>
  <c r="G32" i="13"/>
  <c r="P32" i="13"/>
  <c r="Q32" i="13"/>
  <c r="R32" i="13"/>
  <c r="S32" i="13"/>
  <c r="T32" i="13"/>
  <c r="U32" i="13"/>
  <c r="AD32" i="13"/>
  <c r="AE32" i="13"/>
  <c r="AF32" i="13"/>
  <c r="AG32" i="13"/>
  <c r="AH32" i="13"/>
  <c r="AI32" i="13"/>
  <c r="B33" i="13"/>
  <c r="C33" i="13"/>
  <c r="D33" i="13"/>
  <c r="E33" i="13"/>
  <c r="F33" i="13"/>
  <c r="G33" i="13"/>
  <c r="P33" i="13"/>
  <c r="Q33" i="13"/>
  <c r="R33" i="13"/>
  <c r="S33" i="13"/>
  <c r="T33" i="13"/>
  <c r="U33" i="13"/>
  <c r="AD33" i="13"/>
  <c r="AE33" i="13"/>
  <c r="AF33" i="13"/>
  <c r="AG33" i="13"/>
  <c r="AH33" i="13"/>
  <c r="AI33" i="13"/>
  <c r="B34" i="13"/>
  <c r="C34" i="13"/>
  <c r="D34" i="13"/>
  <c r="E34" i="13"/>
  <c r="F34" i="13"/>
  <c r="G34" i="13"/>
  <c r="P34" i="13"/>
  <c r="Q34" i="13"/>
  <c r="R34" i="13"/>
  <c r="S34" i="13"/>
  <c r="T34" i="13"/>
  <c r="U34" i="13"/>
  <c r="AD34" i="13"/>
  <c r="AE34" i="13"/>
  <c r="AF34" i="13"/>
  <c r="AG34" i="13"/>
  <c r="AH34" i="13"/>
  <c r="AI34" i="13"/>
  <c r="B35" i="13"/>
  <c r="C35" i="13"/>
  <c r="D35" i="13"/>
  <c r="E35" i="13"/>
  <c r="F35" i="13"/>
  <c r="G35" i="13"/>
  <c r="P35" i="13"/>
  <c r="Q35" i="13"/>
  <c r="R35" i="13"/>
  <c r="S35" i="13"/>
  <c r="T35" i="13"/>
  <c r="U35" i="13"/>
  <c r="AD35" i="13"/>
  <c r="AE35" i="13"/>
  <c r="AF35" i="13"/>
  <c r="AG35" i="13"/>
  <c r="AH35" i="13"/>
  <c r="AI35" i="13"/>
  <c r="B36" i="13"/>
  <c r="C36" i="13"/>
  <c r="D36" i="13"/>
  <c r="E36" i="13"/>
  <c r="F36" i="13"/>
  <c r="G36" i="13"/>
  <c r="P36" i="13"/>
  <c r="Q36" i="13"/>
  <c r="R36" i="13"/>
  <c r="S36" i="13"/>
  <c r="T36" i="13"/>
  <c r="U36" i="13"/>
  <c r="AD36" i="13"/>
  <c r="AE36" i="13"/>
  <c r="AF36" i="13"/>
  <c r="AG36" i="13"/>
  <c r="AH36" i="13"/>
  <c r="AI36" i="13"/>
  <c r="B37" i="13"/>
  <c r="C37" i="13"/>
  <c r="D37" i="13"/>
  <c r="E37" i="13"/>
  <c r="F37" i="13"/>
  <c r="G37" i="13"/>
  <c r="P37" i="13"/>
  <c r="Q37" i="13"/>
  <c r="R37" i="13"/>
  <c r="S37" i="13"/>
  <c r="T37" i="13"/>
  <c r="U37" i="13"/>
  <c r="AD37" i="13"/>
  <c r="AE37" i="13"/>
  <c r="AF37" i="13"/>
  <c r="AG37" i="13"/>
  <c r="AH37" i="13"/>
  <c r="AI37" i="13"/>
  <c r="B38" i="13"/>
  <c r="C38" i="13"/>
  <c r="D38" i="13"/>
  <c r="E38" i="13"/>
  <c r="F38" i="13"/>
  <c r="G38" i="13"/>
  <c r="P38" i="13"/>
  <c r="Q38" i="13"/>
  <c r="R38" i="13"/>
  <c r="S38" i="13"/>
  <c r="T38" i="13"/>
  <c r="U38" i="13"/>
  <c r="AD38" i="13"/>
  <c r="AE38" i="13"/>
  <c r="AF38" i="13"/>
  <c r="AG38" i="13"/>
  <c r="AH38" i="13"/>
  <c r="AI38" i="13"/>
  <c r="B39" i="13"/>
  <c r="C39" i="13"/>
  <c r="D39" i="13"/>
  <c r="E39" i="13"/>
  <c r="F39" i="13"/>
  <c r="G39" i="13"/>
  <c r="P39" i="13"/>
  <c r="Q39" i="13"/>
  <c r="R39" i="13"/>
  <c r="S39" i="13"/>
  <c r="T39" i="13"/>
  <c r="U39" i="13"/>
  <c r="AD39" i="13"/>
  <c r="AE39" i="13"/>
  <c r="AF39" i="13"/>
  <c r="AG39" i="13"/>
  <c r="AH39" i="13"/>
  <c r="AI39" i="13"/>
  <c r="B40" i="13"/>
  <c r="C40" i="13"/>
  <c r="D40" i="13"/>
  <c r="E40" i="13"/>
  <c r="F40" i="13"/>
  <c r="G40" i="13"/>
  <c r="P40" i="13"/>
  <c r="Q40" i="13"/>
  <c r="R40" i="13"/>
  <c r="S40" i="13"/>
  <c r="T40" i="13"/>
  <c r="U40" i="13"/>
  <c r="AD40" i="13"/>
  <c r="AE40" i="13"/>
  <c r="AF40" i="13"/>
  <c r="AG40" i="13"/>
  <c r="AH40" i="13"/>
  <c r="AI40" i="13"/>
  <c r="B41" i="13"/>
  <c r="C41" i="13"/>
  <c r="D41" i="13"/>
  <c r="E41" i="13"/>
  <c r="F41" i="13"/>
  <c r="G41" i="13"/>
  <c r="P41" i="13"/>
  <c r="Q41" i="13"/>
  <c r="R41" i="13"/>
  <c r="S41" i="13"/>
  <c r="T41" i="13"/>
  <c r="U41" i="13"/>
  <c r="AD41" i="13"/>
  <c r="AE41" i="13"/>
  <c r="AF41" i="13"/>
  <c r="AG41" i="13"/>
  <c r="AH41" i="13"/>
  <c r="AI41" i="13"/>
  <c r="B42" i="13"/>
  <c r="C42" i="13"/>
  <c r="D42" i="13"/>
  <c r="E42" i="13"/>
  <c r="F42" i="13"/>
  <c r="G42" i="13"/>
  <c r="P42" i="13"/>
  <c r="Q42" i="13"/>
  <c r="R42" i="13"/>
  <c r="S42" i="13"/>
  <c r="T42" i="13"/>
  <c r="U42" i="13"/>
  <c r="AD42" i="13"/>
  <c r="AE42" i="13"/>
  <c r="AF42" i="13"/>
  <c r="AG42" i="13"/>
  <c r="AH42" i="13"/>
  <c r="AI42" i="13"/>
  <c r="B43" i="13"/>
  <c r="C43" i="13"/>
  <c r="D43" i="13"/>
  <c r="E43" i="13"/>
  <c r="F43" i="13"/>
  <c r="G43" i="13"/>
  <c r="P43" i="13"/>
  <c r="Q43" i="13"/>
  <c r="R43" i="13"/>
  <c r="S43" i="13"/>
  <c r="T43" i="13"/>
  <c r="U43" i="13"/>
  <c r="AD43" i="13"/>
  <c r="AE43" i="13"/>
  <c r="AF43" i="13"/>
  <c r="AG43" i="13"/>
  <c r="AH43" i="13"/>
  <c r="AI43" i="13"/>
  <c r="B44" i="13"/>
  <c r="C44" i="13"/>
  <c r="D44" i="13"/>
  <c r="E44" i="13"/>
  <c r="F44" i="13"/>
  <c r="G44" i="13"/>
  <c r="P44" i="13"/>
  <c r="Q44" i="13"/>
  <c r="R44" i="13"/>
  <c r="S44" i="13"/>
  <c r="T44" i="13"/>
  <c r="U44" i="13"/>
  <c r="AD44" i="13"/>
  <c r="AE44" i="13"/>
  <c r="AF44" i="13"/>
  <c r="AG44" i="13"/>
  <c r="AH44" i="13"/>
  <c r="AI44" i="13"/>
  <c r="B45" i="13"/>
  <c r="C45" i="13"/>
  <c r="D45" i="13"/>
  <c r="E45" i="13"/>
  <c r="F45" i="13"/>
  <c r="G45" i="13"/>
  <c r="P45" i="13"/>
  <c r="Q45" i="13"/>
  <c r="R45" i="13"/>
  <c r="S45" i="13"/>
  <c r="T45" i="13"/>
  <c r="U45" i="13"/>
  <c r="AD45" i="13"/>
  <c r="AE45" i="13"/>
  <c r="AF45" i="13"/>
  <c r="AG45" i="13"/>
  <c r="AH45" i="13"/>
  <c r="AI45" i="13"/>
  <c r="B46" i="13"/>
  <c r="C46" i="13"/>
  <c r="D46" i="13"/>
  <c r="E46" i="13"/>
  <c r="F46" i="13"/>
  <c r="G46" i="13"/>
  <c r="P46" i="13"/>
  <c r="Q46" i="13"/>
  <c r="R46" i="13"/>
  <c r="S46" i="13"/>
  <c r="T46" i="13"/>
  <c r="U46" i="13"/>
  <c r="AD46" i="13"/>
  <c r="AE46" i="13"/>
  <c r="AF46" i="13"/>
  <c r="AG46" i="13"/>
  <c r="AH46" i="13"/>
  <c r="AI46" i="13"/>
  <c r="B47" i="13"/>
  <c r="C47" i="13"/>
  <c r="D47" i="13"/>
  <c r="E47" i="13"/>
  <c r="F47" i="13"/>
  <c r="G47" i="13"/>
  <c r="P47" i="13"/>
  <c r="Q47" i="13"/>
  <c r="R47" i="13"/>
  <c r="S47" i="13"/>
  <c r="T47" i="13"/>
  <c r="U47" i="13"/>
  <c r="AD47" i="13"/>
  <c r="AE47" i="13"/>
  <c r="AF47" i="13"/>
  <c r="AG47" i="13"/>
  <c r="AH47" i="13"/>
  <c r="AI47" i="13"/>
  <c r="B48" i="13"/>
  <c r="C48" i="13"/>
  <c r="D48" i="13"/>
  <c r="E48" i="13"/>
  <c r="F48" i="13"/>
  <c r="G48" i="13"/>
  <c r="P48" i="13"/>
  <c r="Q48" i="13"/>
  <c r="R48" i="13"/>
  <c r="S48" i="13"/>
  <c r="T48" i="13"/>
  <c r="U48" i="13"/>
  <c r="AD48" i="13"/>
  <c r="AE48" i="13"/>
  <c r="AF48" i="13"/>
  <c r="AG48" i="13"/>
  <c r="AH48" i="13"/>
  <c r="AI48" i="13"/>
  <c r="B49" i="13"/>
  <c r="C49" i="13"/>
  <c r="D49" i="13"/>
  <c r="E49" i="13"/>
  <c r="F49" i="13"/>
  <c r="G49" i="13"/>
  <c r="P49" i="13"/>
  <c r="Q49" i="13"/>
  <c r="R49" i="13"/>
  <c r="S49" i="13"/>
  <c r="T49" i="13"/>
  <c r="U49" i="13"/>
  <c r="AD49" i="13"/>
  <c r="AE49" i="13"/>
  <c r="AF49" i="13"/>
  <c r="AG49" i="13"/>
  <c r="AH49" i="13"/>
  <c r="AI49" i="13"/>
  <c r="B50" i="13"/>
  <c r="C50" i="13"/>
  <c r="D50" i="13"/>
  <c r="E50" i="13"/>
  <c r="F50" i="13"/>
  <c r="G50" i="13"/>
  <c r="P50" i="13"/>
  <c r="Q50" i="13"/>
  <c r="R50" i="13"/>
  <c r="S50" i="13"/>
  <c r="T50" i="13"/>
  <c r="U50" i="13"/>
  <c r="AD50" i="13"/>
  <c r="AE50" i="13"/>
  <c r="AF50" i="13"/>
  <c r="AG50" i="13"/>
  <c r="AH50" i="13"/>
  <c r="AI50" i="13"/>
  <c r="B51" i="13"/>
  <c r="C51" i="13"/>
  <c r="D51" i="13"/>
  <c r="E51" i="13"/>
  <c r="F51" i="13"/>
  <c r="G51" i="13"/>
  <c r="P51" i="13"/>
  <c r="Q51" i="13"/>
  <c r="R51" i="13"/>
  <c r="S51" i="13"/>
  <c r="T51" i="13"/>
  <c r="U51" i="13"/>
  <c r="AD51" i="13"/>
  <c r="AE51" i="13"/>
  <c r="AF51" i="13"/>
  <c r="AG51" i="13"/>
  <c r="AH51" i="13"/>
  <c r="AI51" i="13"/>
  <c r="B52" i="13"/>
  <c r="C52" i="13"/>
  <c r="D52" i="13"/>
  <c r="E52" i="13"/>
  <c r="F52" i="13"/>
  <c r="G52" i="13"/>
  <c r="P52" i="13"/>
  <c r="Q52" i="13"/>
  <c r="R52" i="13"/>
  <c r="S52" i="13"/>
  <c r="T52" i="13"/>
  <c r="U52" i="13"/>
  <c r="AD52" i="13"/>
  <c r="AE52" i="13"/>
  <c r="AF52" i="13"/>
  <c r="AG52" i="13"/>
  <c r="AH52" i="13"/>
  <c r="AI52" i="13"/>
  <c r="B53" i="13"/>
  <c r="C53" i="13"/>
  <c r="D53" i="13"/>
  <c r="E53" i="13"/>
  <c r="F53" i="13"/>
  <c r="G53" i="13"/>
  <c r="P53" i="13"/>
  <c r="Q53" i="13"/>
  <c r="R53" i="13"/>
  <c r="S53" i="13"/>
  <c r="T53" i="13"/>
  <c r="U53" i="13"/>
  <c r="AD53" i="13"/>
  <c r="AE53" i="13"/>
  <c r="AF53" i="13"/>
  <c r="AG53" i="13"/>
  <c r="AH53" i="13"/>
  <c r="AI53" i="13"/>
  <c r="B54" i="13"/>
  <c r="C54" i="13"/>
  <c r="D54" i="13"/>
  <c r="E54" i="13"/>
  <c r="F54" i="13"/>
  <c r="G54" i="13"/>
  <c r="P54" i="13"/>
  <c r="Q54" i="13"/>
  <c r="R54" i="13"/>
  <c r="S54" i="13"/>
  <c r="T54" i="13"/>
  <c r="U54" i="13"/>
  <c r="AD54" i="13"/>
  <c r="AE54" i="13"/>
  <c r="AF54" i="13"/>
  <c r="AG54" i="13"/>
  <c r="AH54" i="13"/>
  <c r="AI54" i="13"/>
  <c r="B55" i="13"/>
  <c r="C55" i="13"/>
  <c r="D55" i="13"/>
  <c r="E55" i="13"/>
  <c r="F55" i="13"/>
  <c r="G55" i="13"/>
  <c r="P55" i="13"/>
  <c r="Q55" i="13"/>
  <c r="R55" i="13"/>
  <c r="S55" i="13"/>
  <c r="T55" i="13"/>
  <c r="U55" i="13"/>
  <c r="AD55" i="13"/>
  <c r="AE55" i="13"/>
  <c r="AF55" i="13"/>
  <c r="AG55" i="13"/>
  <c r="AH55" i="13"/>
  <c r="AI55" i="13"/>
  <c r="B56" i="13"/>
  <c r="C56" i="13"/>
  <c r="D56" i="13"/>
  <c r="E56" i="13"/>
  <c r="F56" i="13"/>
  <c r="G56" i="13"/>
  <c r="P56" i="13"/>
  <c r="Q56" i="13"/>
  <c r="R56" i="13"/>
  <c r="S56" i="13"/>
  <c r="T56" i="13"/>
  <c r="U56" i="13"/>
  <c r="AD56" i="13"/>
  <c r="AE56" i="13"/>
  <c r="AF56" i="13"/>
  <c r="AG56" i="13"/>
  <c r="AH56" i="13"/>
  <c r="AI56" i="13"/>
  <c r="B57" i="13"/>
  <c r="C57" i="13"/>
  <c r="D57" i="13"/>
  <c r="E57" i="13"/>
  <c r="F57" i="13"/>
  <c r="G57" i="13"/>
  <c r="P57" i="13"/>
  <c r="Q57" i="13"/>
  <c r="R57" i="13"/>
  <c r="S57" i="13"/>
  <c r="T57" i="13"/>
  <c r="U57" i="13"/>
  <c r="AD57" i="13"/>
  <c r="AE57" i="13"/>
  <c r="AF57" i="13"/>
  <c r="AG57" i="13"/>
  <c r="AH57" i="13"/>
  <c r="AI57" i="13"/>
  <c r="B58" i="13"/>
  <c r="C58" i="13"/>
  <c r="D58" i="13"/>
  <c r="E58" i="13"/>
  <c r="F58" i="13"/>
  <c r="G58" i="13"/>
  <c r="P58" i="13"/>
  <c r="Q58" i="13"/>
  <c r="R58" i="13"/>
  <c r="S58" i="13"/>
  <c r="T58" i="13"/>
  <c r="U58" i="13"/>
  <c r="AD58" i="13"/>
  <c r="AE58" i="13"/>
  <c r="AF58" i="13"/>
  <c r="AG58" i="13"/>
  <c r="AH58" i="13"/>
  <c r="AI58" i="13"/>
  <c r="B59" i="13"/>
  <c r="C59" i="13"/>
  <c r="D59" i="13"/>
  <c r="E59" i="13"/>
  <c r="F59" i="13"/>
  <c r="G59" i="13"/>
  <c r="P59" i="13"/>
  <c r="Q59" i="13"/>
  <c r="R59" i="13"/>
  <c r="S59" i="13"/>
  <c r="T59" i="13"/>
  <c r="U59" i="13"/>
  <c r="AD59" i="13"/>
  <c r="AE59" i="13"/>
  <c r="AF59" i="13"/>
  <c r="AG59" i="13"/>
  <c r="AH59" i="13"/>
  <c r="AI59" i="13"/>
  <c r="B60" i="13"/>
  <c r="C60" i="13"/>
  <c r="D60" i="13"/>
  <c r="E60" i="13"/>
  <c r="F60" i="13"/>
  <c r="G60" i="13"/>
  <c r="P60" i="13"/>
  <c r="Q60" i="13"/>
  <c r="R60" i="13"/>
  <c r="S60" i="13"/>
  <c r="T60" i="13"/>
  <c r="U60" i="13"/>
  <c r="AD60" i="13"/>
  <c r="AE60" i="13"/>
  <c r="AF60" i="13"/>
  <c r="AG60" i="13"/>
  <c r="AH60" i="13"/>
  <c r="AI60" i="13"/>
  <c r="B61" i="13"/>
  <c r="C61" i="13"/>
  <c r="D61" i="13"/>
  <c r="E61" i="13"/>
  <c r="F61" i="13"/>
  <c r="G61" i="13"/>
  <c r="P61" i="13"/>
  <c r="Q61" i="13"/>
  <c r="R61" i="13"/>
  <c r="S61" i="13"/>
  <c r="T61" i="13"/>
  <c r="U61" i="13"/>
  <c r="AD61" i="13"/>
  <c r="AE61" i="13"/>
  <c r="AF61" i="13"/>
  <c r="AG61" i="13"/>
  <c r="AH61" i="13"/>
  <c r="AI61" i="13"/>
  <c r="B62" i="13"/>
  <c r="C62" i="13"/>
  <c r="D62" i="13"/>
  <c r="E62" i="13"/>
  <c r="F62" i="13"/>
  <c r="G62" i="13"/>
  <c r="P62" i="13"/>
  <c r="Q62" i="13"/>
  <c r="R62" i="13"/>
  <c r="S62" i="13"/>
  <c r="T62" i="13"/>
  <c r="U62" i="13"/>
  <c r="AD62" i="13"/>
  <c r="AE62" i="13"/>
  <c r="AF62" i="13"/>
  <c r="AG62" i="13"/>
  <c r="AH62" i="13"/>
  <c r="AI62" i="13"/>
  <c r="B63" i="13"/>
  <c r="C63" i="13"/>
  <c r="D63" i="13"/>
  <c r="E63" i="13"/>
  <c r="F63" i="13"/>
  <c r="G63" i="13"/>
  <c r="P63" i="13"/>
  <c r="Q63" i="13"/>
  <c r="R63" i="13"/>
  <c r="S63" i="13"/>
  <c r="T63" i="13"/>
  <c r="U63" i="13"/>
  <c r="AD63" i="13"/>
  <c r="AE63" i="13"/>
  <c r="AF63" i="13"/>
  <c r="AG63" i="13"/>
  <c r="AH63" i="13"/>
  <c r="AI63" i="13"/>
  <c r="B64" i="13"/>
  <c r="C64" i="13"/>
  <c r="D64" i="13"/>
  <c r="E64" i="13"/>
  <c r="F64" i="13"/>
  <c r="G64" i="13"/>
  <c r="P64" i="13"/>
  <c r="Q64" i="13"/>
  <c r="R64" i="13"/>
  <c r="S64" i="13"/>
  <c r="T64" i="13"/>
  <c r="U64" i="13"/>
  <c r="AD64" i="13"/>
  <c r="AE64" i="13"/>
  <c r="AF64" i="13"/>
  <c r="AG64" i="13"/>
  <c r="AH64" i="13"/>
  <c r="AI64" i="13"/>
  <c r="B65" i="13"/>
  <c r="C65" i="13"/>
  <c r="D65" i="13"/>
  <c r="E65" i="13"/>
  <c r="F65" i="13"/>
  <c r="G65" i="13"/>
  <c r="P65" i="13"/>
  <c r="Q65" i="13"/>
  <c r="R65" i="13"/>
  <c r="S65" i="13"/>
  <c r="T65" i="13"/>
  <c r="U65" i="13"/>
  <c r="AD65" i="13"/>
  <c r="AE65" i="13"/>
  <c r="AF65" i="13"/>
  <c r="AG65" i="13"/>
  <c r="AH65" i="13"/>
  <c r="AI65" i="13"/>
  <c r="B66" i="13"/>
  <c r="C66" i="13"/>
  <c r="D66" i="13"/>
  <c r="E66" i="13"/>
  <c r="F66" i="13"/>
  <c r="G66" i="13"/>
  <c r="P66" i="13"/>
  <c r="Q66" i="13"/>
  <c r="R66" i="13"/>
  <c r="S66" i="13"/>
  <c r="T66" i="13"/>
  <c r="U66" i="13"/>
  <c r="AD66" i="13"/>
  <c r="AE66" i="13"/>
  <c r="AF66" i="13"/>
  <c r="AG66" i="13"/>
  <c r="AH66" i="13"/>
  <c r="AI66" i="13"/>
  <c r="B67" i="13"/>
  <c r="C67" i="13"/>
  <c r="D67" i="13"/>
  <c r="E67" i="13"/>
  <c r="F67" i="13"/>
  <c r="G67" i="13"/>
  <c r="P67" i="13"/>
  <c r="Q67" i="13"/>
  <c r="R67" i="13"/>
  <c r="S67" i="13"/>
  <c r="T67" i="13"/>
  <c r="U67" i="13"/>
  <c r="AD67" i="13"/>
  <c r="AE67" i="13"/>
  <c r="AF67" i="13"/>
  <c r="AG67" i="13"/>
  <c r="AH67" i="13"/>
  <c r="AI67" i="13"/>
  <c r="B68" i="13"/>
  <c r="C68" i="13"/>
  <c r="D68" i="13"/>
  <c r="E68" i="13"/>
  <c r="F68" i="13"/>
  <c r="G68" i="13"/>
  <c r="P68" i="13"/>
  <c r="Q68" i="13"/>
  <c r="R68" i="13"/>
  <c r="S68" i="13"/>
  <c r="T68" i="13"/>
  <c r="U68" i="13"/>
  <c r="AD68" i="13"/>
  <c r="AE68" i="13"/>
  <c r="AF68" i="13"/>
  <c r="AG68" i="13"/>
  <c r="AH68" i="13"/>
  <c r="AI68" i="13"/>
  <c r="B69" i="13"/>
  <c r="C69" i="13"/>
  <c r="D69" i="13"/>
  <c r="E69" i="13"/>
  <c r="F69" i="13"/>
  <c r="G69" i="13"/>
  <c r="P69" i="13"/>
  <c r="Q69" i="13"/>
  <c r="R69" i="13"/>
  <c r="S69" i="13"/>
  <c r="T69" i="13"/>
  <c r="U69" i="13"/>
  <c r="AD69" i="13"/>
  <c r="AE69" i="13"/>
  <c r="AF69" i="13"/>
  <c r="AG69" i="13"/>
  <c r="AH69" i="13"/>
  <c r="AI69" i="13"/>
  <c r="B70" i="13"/>
  <c r="C70" i="13"/>
  <c r="D70" i="13"/>
  <c r="E70" i="13"/>
  <c r="F70" i="13"/>
  <c r="G70" i="13"/>
  <c r="P70" i="13"/>
  <c r="Q70" i="13"/>
  <c r="R70" i="13"/>
  <c r="S70" i="13"/>
  <c r="T70" i="13"/>
  <c r="U70" i="13"/>
  <c r="AD70" i="13"/>
  <c r="AE70" i="13"/>
  <c r="AF70" i="13"/>
  <c r="AG70" i="13"/>
  <c r="AH70" i="13"/>
  <c r="AI70" i="13"/>
  <c r="B71" i="13"/>
  <c r="C71" i="13"/>
  <c r="D71" i="13"/>
  <c r="E71" i="13"/>
  <c r="F71" i="13"/>
  <c r="G71" i="13"/>
  <c r="P71" i="13"/>
  <c r="Q71" i="13"/>
  <c r="R71" i="13"/>
  <c r="S71" i="13"/>
  <c r="T71" i="13"/>
  <c r="U71" i="13"/>
  <c r="AD71" i="13"/>
  <c r="AE71" i="13"/>
  <c r="AF71" i="13"/>
  <c r="AG71" i="13"/>
  <c r="AH71" i="13"/>
  <c r="AI71" i="13"/>
  <c r="B72" i="13"/>
  <c r="C72" i="13"/>
  <c r="D72" i="13"/>
  <c r="E72" i="13"/>
  <c r="F72" i="13"/>
  <c r="G72" i="13"/>
  <c r="P72" i="13"/>
  <c r="Q72" i="13"/>
  <c r="R72" i="13"/>
  <c r="S72" i="13"/>
  <c r="T72" i="13"/>
  <c r="U72" i="13"/>
  <c r="AD72" i="13"/>
  <c r="AE72" i="13"/>
  <c r="AF72" i="13"/>
  <c r="AG72" i="13"/>
  <c r="AH72" i="13"/>
  <c r="AI72" i="13"/>
  <c r="B73" i="13"/>
  <c r="C73" i="13"/>
  <c r="D73" i="13"/>
  <c r="E73" i="13"/>
  <c r="F73" i="13"/>
  <c r="G73" i="13"/>
  <c r="P73" i="13"/>
  <c r="Q73" i="13"/>
  <c r="R73" i="13"/>
  <c r="S73" i="13"/>
  <c r="T73" i="13"/>
  <c r="U73" i="13"/>
  <c r="AD73" i="13"/>
  <c r="AE73" i="13"/>
  <c r="AF73" i="13"/>
  <c r="AG73" i="13"/>
  <c r="AH73" i="13"/>
  <c r="AI73" i="13"/>
  <c r="B74" i="13"/>
  <c r="C74" i="13"/>
  <c r="D74" i="13"/>
  <c r="E74" i="13"/>
  <c r="F74" i="13"/>
  <c r="G74" i="13"/>
  <c r="P74" i="13"/>
  <c r="Q74" i="13"/>
  <c r="R74" i="13"/>
  <c r="S74" i="13"/>
  <c r="T74" i="13"/>
  <c r="U74" i="13"/>
  <c r="AD74" i="13"/>
  <c r="AE74" i="13"/>
  <c r="AF74" i="13"/>
  <c r="AG74" i="13"/>
  <c r="AH74" i="13"/>
  <c r="AI74" i="13"/>
  <c r="B75" i="13"/>
  <c r="C75" i="13"/>
  <c r="D75" i="13"/>
  <c r="E75" i="13"/>
  <c r="F75" i="13"/>
  <c r="G75" i="13"/>
  <c r="P75" i="13"/>
  <c r="Q75" i="13"/>
  <c r="R75" i="13"/>
  <c r="S75" i="13"/>
  <c r="T75" i="13"/>
  <c r="U75" i="13"/>
  <c r="AD75" i="13"/>
  <c r="AE75" i="13"/>
  <c r="AF75" i="13"/>
  <c r="AG75" i="13"/>
  <c r="AH75" i="13"/>
  <c r="AI75" i="13"/>
  <c r="B76" i="13"/>
  <c r="C76" i="13"/>
  <c r="D76" i="13"/>
  <c r="E76" i="13"/>
  <c r="F76" i="13"/>
  <c r="G76" i="13"/>
  <c r="P76" i="13"/>
  <c r="Q76" i="13"/>
  <c r="R76" i="13"/>
  <c r="S76" i="13"/>
  <c r="T76" i="13"/>
  <c r="U76" i="13"/>
  <c r="AD76" i="13"/>
  <c r="AE76" i="13"/>
  <c r="AF76" i="13"/>
  <c r="AG76" i="13"/>
  <c r="AH76" i="13"/>
  <c r="AI76" i="13"/>
  <c r="B77" i="13"/>
  <c r="C77" i="13"/>
  <c r="D77" i="13"/>
  <c r="E77" i="13"/>
  <c r="F77" i="13"/>
  <c r="G77" i="13"/>
  <c r="P77" i="13"/>
  <c r="Q77" i="13"/>
  <c r="R77" i="13"/>
  <c r="S77" i="13"/>
  <c r="T77" i="13"/>
  <c r="U77" i="13"/>
  <c r="AD77" i="13"/>
  <c r="AE77" i="13"/>
  <c r="AF77" i="13"/>
  <c r="AG77" i="13"/>
  <c r="AH77" i="13"/>
  <c r="AI77" i="13"/>
  <c r="B78" i="13"/>
  <c r="C78" i="13"/>
  <c r="D78" i="13"/>
  <c r="E78" i="13"/>
  <c r="F78" i="13"/>
  <c r="G78" i="13"/>
  <c r="P78" i="13"/>
  <c r="Q78" i="13"/>
  <c r="R78" i="13"/>
  <c r="S78" i="13"/>
  <c r="T78" i="13"/>
  <c r="U78" i="13"/>
  <c r="AD78" i="13"/>
  <c r="AE78" i="13"/>
  <c r="AF78" i="13"/>
  <c r="AG78" i="13"/>
  <c r="AH78" i="13"/>
  <c r="AI78" i="13"/>
  <c r="B79" i="13"/>
  <c r="C79" i="13"/>
  <c r="D79" i="13"/>
  <c r="E79" i="13"/>
  <c r="F79" i="13"/>
  <c r="G79" i="13"/>
  <c r="P79" i="13"/>
  <c r="Q79" i="13"/>
  <c r="R79" i="13"/>
  <c r="S79" i="13"/>
  <c r="T79" i="13"/>
  <c r="U79" i="13"/>
  <c r="AD79" i="13"/>
  <c r="AE79" i="13"/>
  <c r="AF79" i="13"/>
  <c r="AG79" i="13"/>
  <c r="AH79" i="13"/>
  <c r="AI79" i="13"/>
  <c r="B80" i="13"/>
  <c r="C80" i="13"/>
  <c r="D80" i="13"/>
  <c r="E80" i="13"/>
  <c r="F80" i="13"/>
  <c r="G80" i="13"/>
  <c r="P80" i="13"/>
  <c r="Q80" i="13"/>
  <c r="R80" i="13"/>
  <c r="S80" i="13"/>
  <c r="T80" i="13"/>
  <c r="U80" i="13"/>
  <c r="AD80" i="13"/>
  <c r="AE80" i="13"/>
  <c r="AF80" i="13"/>
  <c r="AG80" i="13"/>
  <c r="AH80" i="13"/>
  <c r="AI80" i="13"/>
  <c r="B81" i="13"/>
  <c r="C81" i="13"/>
  <c r="D81" i="13"/>
  <c r="E81" i="13"/>
  <c r="F81" i="13"/>
  <c r="G81" i="13"/>
  <c r="P81" i="13"/>
  <c r="Q81" i="13"/>
  <c r="R81" i="13"/>
  <c r="S81" i="13"/>
  <c r="T81" i="13"/>
  <c r="U81" i="13"/>
  <c r="AD81" i="13"/>
  <c r="AE81" i="13"/>
  <c r="AF81" i="13"/>
  <c r="AG81" i="13"/>
  <c r="AH81" i="13"/>
  <c r="AI81" i="13"/>
  <c r="B82" i="13"/>
  <c r="C82" i="13"/>
  <c r="D82" i="13"/>
  <c r="E82" i="13"/>
  <c r="F82" i="13"/>
  <c r="G82" i="13"/>
  <c r="P82" i="13"/>
  <c r="Q82" i="13"/>
  <c r="R82" i="13"/>
  <c r="S82" i="13"/>
  <c r="T82" i="13"/>
  <c r="U82" i="13"/>
  <c r="AD82" i="13"/>
  <c r="AE82" i="13"/>
  <c r="AF82" i="13"/>
  <c r="AG82" i="13"/>
  <c r="AH82" i="13"/>
  <c r="AI82" i="13"/>
  <c r="B83" i="13"/>
  <c r="C83" i="13"/>
  <c r="D83" i="13"/>
  <c r="E83" i="13"/>
  <c r="F83" i="13"/>
  <c r="G83" i="13"/>
  <c r="P83" i="13"/>
  <c r="Q83" i="13"/>
  <c r="R83" i="13"/>
  <c r="S83" i="13"/>
  <c r="T83" i="13"/>
  <c r="U83" i="13"/>
  <c r="AD83" i="13"/>
  <c r="AE83" i="13"/>
  <c r="AF83" i="13"/>
  <c r="AG83" i="13"/>
  <c r="AH83" i="13"/>
  <c r="AI83" i="13"/>
  <c r="B84" i="13"/>
  <c r="C84" i="13"/>
  <c r="D84" i="13"/>
  <c r="E84" i="13"/>
  <c r="F84" i="13"/>
  <c r="G84" i="13"/>
  <c r="P84" i="13"/>
  <c r="Q84" i="13"/>
  <c r="R84" i="13"/>
  <c r="S84" i="13"/>
  <c r="T84" i="13"/>
  <c r="U84" i="13"/>
  <c r="AD84" i="13"/>
  <c r="AE84" i="13"/>
  <c r="AF84" i="13"/>
  <c r="AG84" i="13"/>
  <c r="AH84" i="13"/>
  <c r="AI84" i="13"/>
  <c r="B85" i="13"/>
  <c r="C85" i="13"/>
  <c r="D85" i="13"/>
  <c r="E85" i="13"/>
  <c r="F85" i="13"/>
  <c r="G85" i="13"/>
  <c r="P85" i="13"/>
  <c r="Q85" i="13"/>
  <c r="R85" i="13"/>
  <c r="S85" i="13"/>
  <c r="T85" i="13"/>
  <c r="U85" i="13"/>
  <c r="AD85" i="13"/>
  <c r="AE85" i="13"/>
  <c r="AF85" i="13"/>
  <c r="AG85" i="13"/>
  <c r="AH85" i="13"/>
  <c r="AI85" i="13"/>
  <c r="B86" i="13"/>
  <c r="C86" i="13"/>
  <c r="D86" i="13"/>
  <c r="E86" i="13"/>
  <c r="F86" i="13"/>
  <c r="G86" i="13"/>
  <c r="P86" i="13"/>
  <c r="Q86" i="13"/>
  <c r="R86" i="13"/>
  <c r="S86" i="13"/>
  <c r="T86" i="13"/>
  <c r="U86" i="13"/>
  <c r="AD86" i="13"/>
  <c r="AE86" i="13"/>
  <c r="AF86" i="13"/>
  <c r="AG86" i="13"/>
  <c r="AH86" i="13"/>
  <c r="AI86" i="13"/>
  <c r="B87" i="13"/>
  <c r="C87" i="13"/>
  <c r="D87" i="13"/>
  <c r="E87" i="13"/>
  <c r="F87" i="13"/>
  <c r="G87" i="13"/>
  <c r="P87" i="13"/>
  <c r="Q87" i="13"/>
  <c r="R87" i="13"/>
  <c r="S87" i="13"/>
  <c r="T87" i="13"/>
  <c r="U87" i="13"/>
  <c r="AD87" i="13"/>
  <c r="AE87" i="13"/>
  <c r="AF87" i="13"/>
  <c r="AG87" i="13"/>
  <c r="AH87" i="13"/>
  <c r="AI87" i="13"/>
  <c r="B88" i="13"/>
  <c r="C88" i="13"/>
  <c r="D88" i="13"/>
  <c r="E88" i="13"/>
  <c r="F88" i="13"/>
  <c r="G88" i="13"/>
  <c r="P88" i="13"/>
  <c r="Q88" i="13"/>
  <c r="R88" i="13"/>
  <c r="S88" i="13"/>
  <c r="T88" i="13"/>
  <c r="U88" i="13"/>
  <c r="AD88" i="13"/>
  <c r="AE88" i="13"/>
  <c r="AF88" i="13"/>
  <c r="AG88" i="13"/>
  <c r="AH88" i="13"/>
  <c r="AI88" i="13"/>
  <c r="B89" i="13"/>
  <c r="C89" i="13"/>
  <c r="D89" i="13"/>
  <c r="E89" i="13"/>
  <c r="F89" i="13"/>
  <c r="G89" i="13"/>
  <c r="P89" i="13"/>
  <c r="Q89" i="13"/>
  <c r="R89" i="13"/>
  <c r="S89" i="13"/>
  <c r="T89" i="13"/>
  <c r="U89" i="13"/>
  <c r="AD89" i="13"/>
  <c r="AE89" i="13"/>
  <c r="AF89" i="13"/>
  <c r="AG89" i="13"/>
  <c r="AH89" i="13"/>
  <c r="AI89" i="13"/>
  <c r="B90" i="13"/>
  <c r="C90" i="13"/>
  <c r="D90" i="13"/>
  <c r="E90" i="13"/>
  <c r="F90" i="13"/>
  <c r="G90" i="13"/>
  <c r="P90" i="13"/>
  <c r="Q90" i="13"/>
  <c r="R90" i="13"/>
  <c r="S90" i="13"/>
  <c r="T90" i="13"/>
  <c r="U90" i="13"/>
  <c r="AD90" i="13"/>
  <c r="AE90" i="13"/>
  <c r="AF90" i="13"/>
  <c r="AG90" i="13"/>
  <c r="AH90" i="13"/>
  <c r="AI90" i="13"/>
  <c r="B91" i="13"/>
  <c r="C91" i="13"/>
  <c r="D91" i="13"/>
  <c r="E91" i="13"/>
  <c r="F91" i="13"/>
  <c r="G91" i="13"/>
  <c r="P91" i="13"/>
  <c r="Q91" i="13"/>
  <c r="R91" i="13"/>
  <c r="S91" i="13"/>
  <c r="T91" i="13"/>
  <c r="U91" i="13"/>
  <c r="AD91" i="13"/>
  <c r="AE91" i="13"/>
  <c r="AF91" i="13"/>
  <c r="AG91" i="13"/>
  <c r="AH91" i="13"/>
  <c r="AI91" i="13"/>
  <c r="B92" i="13"/>
  <c r="C92" i="13"/>
  <c r="D92" i="13"/>
  <c r="E92" i="13"/>
  <c r="F92" i="13"/>
  <c r="G92" i="13"/>
  <c r="P92" i="13"/>
  <c r="Q92" i="13"/>
  <c r="R92" i="13"/>
  <c r="S92" i="13"/>
  <c r="T92" i="13"/>
  <c r="U92" i="13"/>
  <c r="AD92" i="13"/>
  <c r="AE92" i="13"/>
  <c r="AF92" i="13"/>
  <c r="AG92" i="13"/>
  <c r="AH92" i="13"/>
  <c r="AI92" i="13"/>
  <c r="B93" i="13"/>
  <c r="C93" i="13"/>
  <c r="D93" i="13"/>
  <c r="E93" i="13"/>
  <c r="F93" i="13"/>
  <c r="G93" i="13"/>
  <c r="P93" i="13"/>
  <c r="Q93" i="13"/>
  <c r="R93" i="13"/>
  <c r="S93" i="13"/>
  <c r="T93" i="13"/>
  <c r="U93" i="13"/>
  <c r="AD93" i="13"/>
  <c r="AE93" i="13"/>
  <c r="AF93" i="13"/>
  <c r="AG93" i="13"/>
  <c r="AH93" i="13"/>
  <c r="AI93" i="13"/>
  <c r="B94" i="13"/>
  <c r="C94" i="13"/>
  <c r="D94" i="13"/>
  <c r="E94" i="13"/>
  <c r="F94" i="13"/>
  <c r="G94" i="13"/>
  <c r="P94" i="13"/>
  <c r="Q94" i="13"/>
  <c r="R94" i="13"/>
  <c r="S94" i="13"/>
  <c r="T94" i="13"/>
  <c r="U94" i="13"/>
  <c r="AD94" i="13"/>
  <c r="AE94" i="13"/>
  <c r="AF94" i="13"/>
  <c r="AG94" i="13"/>
  <c r="AH94" i="13"/>
  <c r="AI94" i="13"/>
  <c r="B95" i="13"/>
  <c r="C95" i="13"/>
  <c r="D95" i="13"/>
  <c r="E95" i="13"/>
  <c r="F95" i="13"/>
  <c r="G95" i="13"/>
  <c r="P95" i="13"/>
  <c r="Q95" i="13"/>
  <c r="R95" i="13"/>
  <c r="S95" i="13"/>
  <c r="T95" i="13"/>
  <c r="U95" i="13"/>
  <c r="AD95" i="13"/>
  <c r="AE95" i="13"/>
  <c r="AF95" i="13"/>
  <c r="AG95" i="13"/>
  <c r="AH95" i="13"/>
  <c r="AI95" i="13"/>
  <c r="B96" i="13"/>
  <c r="C96" i="13"/>
  <c r="D96" i="13"/>
  <c r="E96" i="13"/>
  <c r="F96" i="13"/>
  <c r="G96" i="13"/>
  <c r="P96" i="13"/>
  <c r="Q96" i="13"/>
  <c r="R96" i="13"/>
  <c r="S96" i="13"/>
  <c r="T96" i="13"/>
  <c r="U96" i="13"/>
  <c r="AD96" i="13"/>
  <c r="AE96" i="13"/>
  <c r="AF96" i="13"/>
  <c r="AG96" i="13"/>
  <c r="AH96" i="13"/>
  <c r="AI96" i="13"/>
  <c r="B97" i="13"/>
  <c r="C97" i="13"/>
  <c r="D97" i="13"/>
  <c r="E97" i="13"/>
  <c r="F97" i="13"/>
  <c r="G97" i="13"/>
  <c r="P97" i="13"/>
  <c r="Q97" i="13"/>
  <c r="R97" i="13"/>
  <c r="S97" i="13"/>
  <c r="T97" i="13"/>
  <c r="U97" i="13"/>
  <c r="AD97" i="13"/>
  <c r="AE97" i="13"/>
  <c r="AF97" i="13"/>
  <c r="AG97" i="13"/>
  <c r="AH97" i="13"/>
  <c r="AI97" i="13"/>
  <c r="B98" i="13"/>
  <c r="C98" i="13"/>
  <c r="D98" i="13"/>
  <c r="E98" i="13"/>
  <c r="F98" i="13"/>
  <c r="G98" i="13"/>
  <c r="P98" i="13"/>
  <c r="Q98" i="13"/>
  <c r="R98" i="13"/>
  <c r="S98" i="13"/>
  <c r="T98" i="13"/>
  <c r="U98" i="13"/>
  <c r="AD98" i="13"/>
  <c r="AE98" i="13"/>
  <c r="AF98" i="13"/>
  <c r="AG98" i="13"/>
  <c r="AH98" i="13"/>
  <c r="AI98" i="13"/>
  <c r="B99" i="13"/>
  <c r="C99" i="13"/>
  <c r="D99" i="13"/>
  <c r="E99" i="13"/>
  <c r="F99" i="13"/>
  <c r="G99" i="13"/>
  <c r="P99" i="13"/>
  <c r="Q99" i="13"/>
  <c r="R99" i="13"/>
  <c r="S99" i="13"/>
  <c r="T99" i="13"/>
  <c r="U99" i="13"/>
  <c r="AD99" i="13"/>
  <c r="AE99" i="13"/>
  <c r="AF99" i="13"/>
  <c r="AG99" i="13"/>
  <c r="AH99" i="13"/>
  <c r="AI99" i="13"/>
  <c r="B100" i="13"/>
  <c r="C100" i="13"/>
  <c r="D100" i="13"/>
  <c r="E100" i="13"/>
  <c r="F100" i="13"/>
  <c r="G100" i="13"/>
  <c r="P100" i="13"/>
  <c r="Q100" i="13"/>
  <c r="R100" i="13"/>
  <c r="S100" i="13"/>
  <c r="T100" i="13"/>
  <c r="U100" i="13"/>
  <c r="AD100" i="13"/>
  <c r="AE100" i="13"/>
  <c r="AF100" i="13"/>
  <c r="AG100" i="13"/>
  <c r="AH100" i="13"/>
  <c r="AI100" i="13"/>
  <c r="B101" i="13"/>
  <c r="C101" i="13"/>
  <c r="D101" i="13"/>
  <c r="E101" i="13"/>
  <c r="F101" i="13"/>
  <c r="G101" i="13"/>
  <c r="P101" i="13"/>
  <c r="Q101" i="13"/>
  <c r="R101" i="13"/>
  <c r="S101" i="13"/>
  <c r="T101" i="13"/>
  <c r="U101" i="13"/>
  <c r="AD101" i="13"/>
  <c r="AE101" i="13"/>
  <c r="AF101" i="13"/>
  <c r="AG101" i="13"/>
  <c r="AH101" i="13"/>
  <c r="AI101" i="13"/>
  <c r="B102" i="13"/>
  <c r="C102" i="13"/>
  <c r="D102" i="13"/>
  <c r="E102" i="13"/>
  <c r="F102" i="13"/>
  <c r="G102" i="13"/>
  <c r="P102" i="13"/>
  <c r="Q102" i="13"/>
  <c r="R102" i="13"/>
  <c r="S102" i="13"/>
  <c r="T102" i="13"/>
  <c r="U102" i="13"/>
  <c r="AD102" i="13"/>
  <c r="AE102" i="13"/>
  <c r="AF102" i="13"/>
  <c r="AG102" i="13"/>
  <c r="AH102" i="13"/>
  <c r="AI102" i="13"/>
  <c r="B103" i="13"/>
  <c r="C103" i="13"/>
  <c r="D103" i="13"/>
  <c r="E103" i="13"/>
  <c r="F103" i="13"/>
  <c r="G103" i="13"/>
  <c r="P103" i="13"/>
  <c r="Q103" i="13"/>
  <c r="R103" i="13"/>
  <c r="S103" i="13"/>
  <c r="T103" i="13"/>
  <c r="U103" i="13"/>
  <c r="AD103" i="13"/>
  <c r="AE103" i="13"/>
  <c r="AF103" i="13"/>
  <c r="AG103" i="13"/>
  <c r="AH103" i="13"/>
  <c r="AI103" i="13"/>
  <c r="B104" i="13"/>
  <c r="C104" i="13"/>
  <c r="D104" i="13"/>
  <c r="E104" i="13"/>
  <c r="F104" i="13"/>
  <c r="G104" i="13"/>
  <c r="P104" i="13"/>
  <c r="Q104" i="13"/>
  <c r="R104" i="13"/>
  <c r="S104" i="13"/>
  <c r="T104" i="13"/>
  <c r="U104" i="13"/>
  <c r="AD104" i="13"/>
  <c r="AE104" i="13"/>
  <c r="AF104" i="13"/>
  <c r="AG104" i="13"/>
  <c r="AH104" i="13"/>
  <c r="AI104" i="13"/>
  <c r="B105" i="13"/>
  <c r="C105" i="13"/>
  <c r="D105" i="13"/>
  <c r="E105" i="13"/>
  <c r="F105" i="13"/>
  <c r="G105" i="13"/>
  <c r="P105" i="13"/>
  <c r="Q105" i="13"/>
  <c r="R105" i="13"/>
  <c r="S105" i="13"/>
  <c r="T105" i="13"/>
  <c r="U105" i="13"/>
  <c r="AD105" i="13"/>
  <c r="AE105" i="13"/>
  <c r="AF105" i="13"/>
  <c r="AG105" i="13"/>
  <c r="AH105" i="13"/>
  <c r="AI105" i="13"/>
  <c r="B106" i="13"/>
  <c r="C106" i="13"/>
  <c r="D106" i="13"/>
  <c r="E106" i="13"/>
  <c r="F106" i="13"/>
  <c r="G106" i="13"/>
  <c r="P106" i="13"/>
  <c r="Q106" i="13"/>
  <c r="R106" i="13"/>
  <c r="S106" i="13"/>
  <c r="T106" i="13"/>
  <c r="U106" i="13"/>
  <c r="AD106" i="13"/>
  <c r="AE106" i="13"/>
  <c r="AF106" i="13"/>
  <c r="AG106" i="13"/>
  <c r="AH106" i="13"/>
  <c r="AI106" i="13"/>
  <c r="B107" i="13"/>
  <c r="C107" i="13"/>
  <c r="D107" i="13"/>
  <c r="E107" i="13"/>
  <c r="F107" i="13"/>
  <c r="G107" i="13"/>
  <c r="P107" i="13"/>
  <c r="Q107" i="13"/>
  <c r="R107" i="13"/>
  <c r="S107" i="13"/>
  <c r="T107" i="13"/>
  <c r="U107" i="13"/>
  <c r="AD107" i="13"/>
  <c r="AE107" i="13"/>
  <c r="AF107" i="13"/>
  <c r="AG107" i="13"/>
  <c r="AH107" i="13"/>
  <c r="AI107" i="13"/>
  <c r="B108" i="13"/>
  <c r="C108" i="13"/>
  <c r="D108" i="13"/>
  <c r="E108" i="13"/>
  <c r="F108" i="13"/>
  <c r="G108" i="13"/>
  <c r="P108" i="13"/>
  <c r="Q108" i="13"/>
  <c r="R108" i="13"/>
  <c r="S108" i="13"/>
  <c r="T108" i="13"/>
  <c r="U108" i="13"/>
  <c r="AD108" i="13"/>
  <c r="AE108" i="13"/>
  <c r="AF108" i="13"/>
  <c r="AG108" i="13"/>
  <c r="AH108" i="13"/>
  <c r="AI108" i="13"/>
  <c r="B109" i="13"/>
  <c r="C109" i="13"/>
  <c r="D109" i="13"/>
  <c r="E109" i="13"/>
  <c r="F109" i="13"/>
  <c r="G109" i="13"/>
  <c r="P109" i="13"/>
  <c r="Q109" i="13"/>
  <c r="R109" i="13"/>
  <c r="S109" i="13"/>
  <c r="T109" i="13"/>
  <c r="U109" i="13"/>
  <c r="AD109" i="13"/>
  <c r="AE109" i="13"/>
  <c r="AF109" i="13"/>
  <c r="AG109" i="13"/>
  <c r="AH109" i="13"/>
  <c r="AI109" i="13"/>
  <c r="B110" i="13"/>
  <c r="C110" i="13"/>
  <c r="D110" i="13"/>
  <c r="E110" i="13"/>
  <c r="F110" i="13"/>
  <c r="G110" i="13"/>
  <c r="P110" i="13"/>
  <c r="Q110" i="13"/>
  <c r="R110" i="13"/>
  <c r="S110" i="13"/>
  <c r="T110" i="13"/>
  <c r="U110" i="13"/>
  <c r="AD110" i="13"/>
  <c r="AE110" i="13"/>
  <c r="AF110" i="13"/>
  <c r="AG110" i="13"/>
  <c r="AH110" i="13"/>
  <c r="AI110" i="13"/>
  <c r="B111" i="13"/>
  <c r="C111" i="13"/>
  <c r="D111" i="13"/>
  <c r="E111" i="13"/>
  <c r="F111" i="13"/>
  <c r="G111" i="13"/>
  <c r="P111" i="13"/>
  <c r="Q111" i="13"/>
  <c r="R111" i="13"/>
  <c r="S111" i="13"/>
  <c r="T111" i="13"/>
  <c r="U111" i="13"/>
  <c r="AD111" i="13"/>
  <c r="AE111" i="13"/>
  <c r="AF111" i="13"/>
  <c r="AG111" i="13"/>
  <c r="AH111" i="13"/>
  <c r="AI111" i="13"/>
  <c r="B112" i="13"/>
  <c r="C112" i="13"/>
  <c r="D112" i="13"/>
  <c r="E112" i="13"/>
  <c r="F112" i="13"/>
  <c r="G112" i="13"/>
  <c r="P112" i="13"/>
  <c r="Q112" i="13"/>
  <c r="R112" i="13"/>
  <c r="S112" i="13"/>
  <c r="T112" i="13"/>
  <c r="U112" i="13"/>
  <c r="AD112" i="13"/>
  <c r="AE112" i="13"/>
  <c r="AF112" i="13"/>
  <c r="AG112" i="13"/>
  <c r="AH112" i="13"/>
  <c r="AI112" i="13"/>
  <c r="B113" i="13"/>
  <c r="C113" i="13"/>
  <c r="D113" i="13"/>
  <c r="E113" i="13"/>
  <c r="F113" i="13"/>
  <c r="G113" i="13"/>
  <c r="P113" i="13"/>
  <c r="Q113" i="13"/>
  <c r="R113" i="13"/>
  <c r="S113" i="13"/>
  <c r="T113" i="13"/>
  <c r="U113" i="13"/>
  <c r="AD113" i="13"/>
  <c r="AE113" i="13"/>
  <c r="AF113" i="13"/>
  <c r="AG113" i="13"/>
  <c r="AH113" i="13"/>
  <c r="AI113" i="13"/>
  <c r="B114" i="13"/>
  <c r="C114" i="13"/>
  <c r="D114" i="13"/>
  <c r="E114" i="13"/>
  <c r="F114" i="13"/>
  <c r="G114" i="13"/>
  <c r="P114" i="13"/>
  <c r="Q114" i="13"/>
  <c r="R114" i="13"/>
  <c r="S114" i="13"/>
  <c r="T114" i="13"/>
  <c r="U114" i="13"/>
  <c r="AD114" i="13"/>
  <c r="AE114" i="13"/>
  <c r="AF114" i="13"/>
  <c r="AG114" i="13"/>
  <c r="AH114" i="13"/>
  <c r="AI114" i="13"/>
  <c r="B115" i="13"/>
  <c r="C115" i="13"/>
  <c r="D115" i="13"/>
  <c r="E115" i="13"/>
  <c r="F115" i="13"/>
  <c r="G115" i="13"/>
  <c r="P115" i="13"/>
  <c r="Q115" i="13"/>
  <c r="R115" i="13"/>
  <c r="S115" i="13"/>
  <c r="T115" i="13"/>
  <c r="U115" i="13"/>
  <c r="AD115" i="13"/>
  <c r="AE115" i="13"/>
  <c r="AF115" i="13"/>
  <c r="AG115" i="13"/>
  <c r="AH115" i="13"/>
  <c r="AI115" i="13"/>
  <c r="B116" i="13"/>
  <c r="C116" i="13"/>
  <c r="D116" i="13"/>
  <c r="E116" i="13"/>
  <c r="F116" i="13"/>
  <c r="G116" i="13"/>
  <c r="P116" i="13"/>
  <c r="Q116" i="13"/>
  <c r="R116" i="13"/>
  <c r="S116" i="13"/>
  <c r="T116" i="13"/>
  <c r="U116" i="13"/>
  <c r="AD116" i="13"/>
  <c r="AE116" i="13"/>
  <c r="AF116" i="13"/>
  <c r="AG116" i="13"/>
  <c r="AH116" i="13"/>
  <c r="AI116" i="13"/>
  <c r="B117" i="13"/>
  <c r="C117" i="13"/>
  <c r="D117" i="13"/>
  <c r="E117" i="13"/>
  <c r="F117" i="13"/>
  <c r="G117" i="13"/>
  <c r="P117" i="13"/>
  <c r="Q117" i="13"/>
  <c r="R117" i="13"/>
  <c r="S117" i="13"/>
  <c r="T117" i="13"/>
  <c r="U117" i="13"/>
  <c r="AD117" i="13"/>
  <c r="AE117" i="13"/>
  <c r="AF117" i="13"/>
  <c r="AG117" i="13"/>
  <c r="AH117" i="13"/>
  <c r="AI117" i="13"/>
  <c r="B118" i="13"/>
  <c r="C118" i="13"/>
  <c r="D118" i="13"/>
  <c r="E118" i="13"/>
  <c r="F118" i="13"/>
  <c r="G118" i="13"/>
  <c r="P118" i="13"/>
  <c r="Q118" i="13"/>
  <c r="R118" i="13"/>
  <c r="S118" i="13"/>
  <c r="T118" i="13"/>
  <c r="U118" i="13"/>
  <c r="AD118" i="13"/>
  <c r="AE118" i="13"/>
  <c r="AF118" i="13"/>
  <c r="AG118" i="13"/>
  <c r="AH118" i="13"/>
  <c r="AI118" i="13"/>
  <c r="B119" i="13"/>
  <c r="C119" i="13"/>
  <c r="D119" i="13"/>
  <c r="E119" i="13"/>
  <c r="F119" i="13"/>
  <c r="G119" i="13"/>
  <c r="P119" i="13"/>
  <c r="Q119" i="13"/>
  <c r="R119" i="13"/>
  <c r="S119" i="13"/>
  <c r="T119" i="13"/>
  <c r="U119" i="13"/>
  <c r="AD119" i="13"/>
  <c r="AE119" i="13"/>
  <c r="AF119" i="13"/>
  <c r="AG119" i="13"/>
  <c r="AH119" i="13"/>
  <c r="AI119" i="13"/>
  <c r="B120" i="13"/>
  <c r="C120" i="13"/>
  <c r="D120" i="13"/>
  <c r="E120" i="13"/>
  <c r="F120" i="13"/>
  <c r="G120" i="13"/>
  <c r="P120" i="13"/>
  <c r="Q120" i="13"/>
  <c r="R120" i="13"/>
  <c r="S120" i="13"/>
  <c r="T120" i="13"/>
  <c r="U120" i="13"/>
  <c r="AD120" i="13"/>
  <c r="AE120" i="13"/>
  <c r="AF120" i="13"/>
  <c r="AG120" i="13"/>
  <c r="AH120" i="13"/>
  <c r="AI120" i="13"/>
  <c r="B121" i="13"/>
  <c r="C121" i="13"/>
  <c r="D121" i="13"/>
  <c r="E121" i="13"/>
  <c r="F121" i="13"/>
  <c r="G121" i="13"/>
  <c r="P121" i="13"/>
  <c r="Q121" i="13"/>
  <c r="R121" i="13"/>
  <c r="S121" i="13"/>
  <c r="T121" i="13"/>
  <c r="U121" i="13"/>
  <c r="AD121" i="13"/>
  <c r="AE121" i="13"/>
  <c r="AF121" i="13"/>
  <c r="AG121" i="13"/>
  <c r="AH121" i="13"/>
  <c r="AI121" i="13"/>
  <c r="B122" i="13"/>
  <c r="C122" i="13"/>
  <c r="D122" i="13"/>
  <c r="E122" i="13"/>
  <c r="F122" i="13"/>
  <c r="G122" i="13"/>
  <c r="P122" i="13"/>
  <c r="Q122" i="13"/>
  <c r="R122" i="13"/>
  <c r="S122" i="13"/>
  <c r="T122" i="13"/>
  <c r="U122" i="13"/>
  <c r="AD122" i="13"/>
  <c r="AE122" i="13"/>
  <c r="AF122" i="13"/>
  <c r="AG122" i="13"/>
  <c r="AH122" i="13"/>
  <c r="AI122" i="13"/>
  <c r="B123" i="13"/>
  <c r="C123" i="13"/>
  <c r="D123" i="13"/>
  <c r="E123" i="13"/>
  <c r="F123" i="13"/>
  <c r="G123" i="13"/>
  <c r="P123" i="13"/>
  <c r="Q123" i="13"/>
  <c r="R123" i="13"/>
  <c r="S123" i="13"/>
  <c r="T123" i="13"/>
  <c r="U123" i="13"/>
  <c r="AD123" i="13"/>
  <c r="AE123" i="13"/>
  <c r="AF123" i="13"/>
  <c r="AG123" i="13"/>
  <c r="AH123" i="13"/>
  <c r="AI123" i="13"/>
  <c r="B124" i="13"/>
  <c r="C124" i="13"/>
  <c r="D124" i="13"/>
  <c r="E124" i="13"/>
  <c r="F124" i="13"/>
  <c r="G124" i="13"/>
  <c r="P124" i="13"/>
  <c r="Q124" i="13"/>
  <c r="R124" i="13"/>
  <c r="S124" i="13"/>
  <c r="T124" i="13"/>
  <c r="U124" i="13"/>
  <c r="AD124" i="13"/>
  <c r="AE124" i="13"/>
  <c r="AF124" i="13"/>
  <c r="AG124" i="13"/>
  <c r="AH124" i="13"/>
  <c r="AI124" i="13"/>
  <c r="B125" i="13"/>
  <c r="C125" i="13"/>
  <c r="D125" i="13"/>
  <c r="E125" i="13"/>
  <c r="F125" i="13"/>
  <c r="G125" i="13"/>
  <c r="P125" i="13"/>
  <c r="Q125" i="13"/>
  <c r="R125" i="13"/>
  <c r="S125" i="13"/>
  <c r="T125" i="13"/>
  <c r="U125" i="13"/>
  <c r="AD125" i="13"/>
  <c r="AE125" i="13"/>
  <c r="AF125" i="13"/>
  <c r="AG125" i="13"/>
  <c r="AH125" i="13"/>
  <c r="AI125" i="13"/>
  <c r="B126" i="13"/>
  <c r="C126" i="13"/>
  <c r="D126" i="13"/>
  <c r="E126" i="13"/>
  <c r="F126" i="13"/>
  <c r="G126" i="13"/>
  <c r="P126" i="13"/>
  <c r="Q126" i="13"/>
  <c r="R126" i="13"/>
  <c r="S126" i="13"/>
  <c r="T126" i="13"/>
  <c r="U126" i="13"/>
  <c r="AD126" i="13"/>
  <c r="AE126" i="13"/>
  <c r="AF126" i="13"/>
  <c r="AG126" i="13"/>
  <c r="AH126" i="13"/>
  <c r="AI126" i="13"/>
  <c r="B127" i="13"/>
  <c r="C127" i="13"/>
  <c r="D127" i="13"/>
  <c r="E127" i="13"/>
  <c r="F127" i="13"/>
  <c r="G127" i="13"/>
  <c r="P127" i="13"/>
  <c r="Q127" i="13"/>
  <c r="R127" i="13"/>
  <c r="S127" i="13"/>
  <c r="T127" i="13"/>
  <c r="U127" i="13"/>
  <c r="AD127" i="13"/>
  <c r="AE127" i="13"/>
  <c r="AF127" i="13"/>
  <c r="AG127" i="13"/>
  <c r="AH127" i="13"/>
  <c r="AI127" i="13"/>
  <c r="B128" i="13"/>
  <c r="C128" i="13"/>
  <c r="D128" i="13"/>
  <c r="E128" i="13"/>
  <c r="F128" i="13"/>
  <c r="G128" i="13"/>
  <c r="P128" i="13"/>
  <c r="Q128" i="13"/>
  <c r="R128" i="13"/>
  <c r="S128" i="13"/>
  <c r="T128" i="13"/>
  <c r="U128" i="13"/>
  <c r="AD128" i="13"/>
  <c r="AE128" i="13"/>
  <c r="AF128" i="13"/>
  <c r="AG128" i="13"/>
  <c r="AH128" i="13"/>
  <c r="AI128" i="13"/>
  <c r="B129" i="13"/>
  <c r="C129" i="13"/>
  <c r="D129" i="13"/>
  <c r="E129" i="13"/>
  <c r="F129" i="13"/>
  <c r="G129" i="13"/>
  <c r="P129" i="13"/>
  <c r="Q129" i="13"/>
  <c r="R129" i="13"/>
  <c r="S129" i="13"/>
  <c r="T129" i="13"/>
  <c r="U129" i="13"/>
  <c r="AD129" i="13"/>
  <c r="AE129" i="13"/>
  <c r="AF129" i="13"/>
  <c r="AG129" i="13"/>
  <c r="AH129" i="13"/>
  <c r="AI129" i="13"/>
  <c r="B130" i="13"/>
  <c r="C130" i="13"/>
  <c r="D130" i="13"/>
  <c r="E130" i="13"/>
  <c r="F130" i="13"/>
  <c r="G130" i="13"/>
  <c r="P130" i="13"/>
  <c r="Q130" i="13"/>
  <c r="R130" i="13"/>
  <c r="S130" i="13"/>
  <c r="T130" i="13"/>
  <c r="U130" i="13"/>
  <c r="AD130" i="13"/>
  <c r="AE130" i="13"/>
  <c r="AF130" i="13"/>
  <c r="AG130" i="13"/>
  <c r="AH130" i="13"/>
  <c r="AI130" i="13"/>
  <c r="B131" i="13"/>
  <c r="C131" i="13"/>
  <c r="D131" i="13"/>
  <c r="E131" i="13"/>
  <c r="F131" i="13"/>
  <c r="G131" i="13"/>
  <c r="P131" i="13"/>
  <c r="Q131" i="13"/>
  <c r="R131" i="13"/>
  <c r="S131" i="13"/>
  <c r="T131" i="13"/>
  <c r="U131" i="13"/>
  <c r="AD131" i="13"/>
  <c r="AE131" i="13"/>
  <c r="AF131" i="13"/>
  <c r="AG131" i="13"/>
  <c r="AH131" i="13"/>
  <c r="AI131" i="13"/>
  <c r="B132" i="13"/>
  <c r="C132" i="13"/>
  <c r="D132" i="13"/>
  <c r="E132" i="13"/>
  <c r="F132" i="13"/>
  <c r="G132" i="13"/>
  <c r="P132" i="13"/>
  <c r="Q132" i="13"/>
  <c r="R132" i="13"/>
  <c r="S132" i="13"/>
  <c r="T132" i="13"/>
  <c r="U132" i="13"/>
  <c r="AD132" i="13"/>
  <c r="AE132" i="13"/>
  <c r="AF132" i="13"/>
  <c r="AG132" i="13"/>
  <c r="AH132" i="13"/>
  <c r="AI132" i="13"/>
  <c r="B133" i="13"/>
  <c r="C133" i="13"/>
  <c r="D133" i="13"/>
  <c r="E133" i="13"/>
  <c r="F133" i="13"/>
  <c r="G133" i="13"/>
  <c r="P133" i="13"/>
  <c r="Q133" i="13"/>
  <c r="R133" i="13"/>
  <c r="S133" i="13"/>
  <c r="T133" i="13"/>
  <c r="U133" i="13"/>
  <c r="AD133" i="13"/>
  <c r="AE133" i="13"/>
  <c r="AF133" i="13"/>
  <c r="AG133" i="13"/>
  <c r="AH133" i="13"/>
  <c r="AI133" i="13"/>
  <c r="B134" i="13"/>
  <c r="C134" i="13"/>
  <c r="D134" i="13"/>
  <c r="E134" i="13"/>
  <c r="F134" i="13"/>
  <c r="G134" i="13"/>
  <c r="P134" i="13"/>
  <c r="Q134" i="13"/>
  <c r="R134" i="13"/>
  <c r="S134" i="13"/>
  <c r="T134" i="13"/>
  <c r="U134" i="13"/>
  <c r="AD134" i="13"/>
  <c r="AE134" i="13"/>
  <c r="AF134" i="13"/>
  <c r="AG134" i="13"/>
  <c r="AH134" i="13"/>
  <c r="AI134" i="13"/>
  <c r="B135" i="13"/>
  <c r="C135" i="13"/>
  <c r="D135" i="13"/>
  <c r="E135" i="13"/>
  <c r="F135" i="13"/>
  <c r="G135" i="13"/>
  <c r="P135" i="13"/>
  <c r="Q135" i="13"/>
  <c r="R135" i="13"/>
  <c r="S135" i="13"/>
  <c r="T135" i="13"/>
  <c r="U135" i="13"/>
  <c r="AD135" i="13"/>
  <c r="AE135" i="13"/>
  <c r="AF135" i="13"/>
  <c r="AG135" i="13"/>
  <c r="AH135" i="13"/>
  <c r="AI135" i="13"/>
  <c r="B136" i="13"/>
  <c r="C136" i="13"/>
  <c r="D136" i="13"/>
  <c r="E136" i="13"/>
  <c r="F136" i="13"/>
  <c r="G136" i="13"/>
  <c r="P136" i="13"/>
  <c r="Q136" i="13"/>
  <c r="R136" i="13"/>
  <c r="S136" i="13"/>
  <c r="T136" i="13"/>
  <c r="U136" i="13"/>
  <c r="AD136" i="13"/>
  <c r="AE136" i="13"/>
  <c r="AF136" i="13"/>
  <c r="AG136" i="13"/>
  <c r="AH136" i="13"/>
  <c r="AI136" i="13"/>
  <c r="B137" i="13"/>
  <c r="C137" i="13"/>
  <c r="D137" i="13"/>
  <c r="E137" i="13"/>
  <c r="F137" i="13"/>
  <c r="G137" i="13"/>
  <c r="P137" i="13"/>
  <c r="Q137" i="13"/>
  <c r="R137" i="13"/>
  <c r="S137" i="13"/>
  <c r="T137" i="13"/>
  <c r="U137" i="13"/>
  <c r="AD137" i="13"/>
  <c r="AE137" i="13"/>
  <c r="AF137" i="13"/>
  <c r="AG137" i="13"/>
  <c r="AH137" i="13"/>
  <c r="AI137" i="13"/>
  <c r="B138" i="13"/>
  <c r="C138" i="13"/>
  <c r="D138" i="13"/>
  <c r="E138" i="13"/>
  <c r="F138" i="13"/>
  <c r="G138" i="13"/>
  <c r="P138" i="13"/>
  <c r="Q138" i="13"/>
  <c r="R138" i="13"/>
  <c r="S138" i="13"/>
  <c r="T138" i="13"/>
  <c r="U138" i="13"/>
  <c r="AD138" i="13"/>
  <c r="AE138" i="13"/>
  <c r="AF138" i="13"/>
  <c r="AG138" i="13"/>
  <c r="AH138" i="13"/>
  <c r="AI138" i="13"/>
  <c r="B139" i="13"/>
  <c r="C139" i="13"/>
  <c r="D139" i="13"/>
  <c r="E139" i="13"/>
  <c r="F139" i="13"/>
  <c r="G139" i="13"/>
  <c r="P139" i="13"/>
  <c r="Q139" i="13"/>
  <c r="R139" i="13"/>
  <c r="S139" i="13"/>
  <c r="T139" i="13"/>
  <c r="U139" i="13"/>
  <c r="AD139" i="13"/>
  <c r="AE139" i="13"/>
  <c r="AF139" i="13"/>
  <c r="AG139" i="13"/>
  <c r="AH139" i="13"/>
  <c r="AI139" i="13"/>
  <c r="B140" i="13"/>
  <c r="C140" i="13"/>
  <c r="D140" i="13"/>
  <c r="E140" i="13"/>
  <c r="F140" i="13"/>
  <c r="G140" i="13"/>
  <c r="P140" i="13"/>
  <c r="Q140" i="13"/>
  <c r="R140" i="13"/>
  <c r="S140" i="13"/>
  <c r="T140" i="13"/>
  <c r="U140" i="13"/>
  <c r="AD140" i="13"/>
  <c r="AE140" i="13"/>
  <c r="AF140" i="13"/>
  <c r="AG140" i="13"/>
  <c r="AH140" i="13"/>
  <c r="AI140" i="13"/>
  <c r="B141" i="13"/>
  <c r="C141" i="13"/>
  <c r="D141" i="13"/>
  <c r="E141" i="13"/>
  <c r="F141" i="13"/>
  <c r="G141" i="13"/>
  <c r="P141" i="13"/>
  <c r="Q141" i="13"/>
  <c r="R141" i="13"/>
  <c r="S141" i="13"/>
  <c r="T141" i="13"/>
  <c r="U141" i="13"/>
  <c r="AD141" i="13"/>
  <c r="AE141" i="13"/>
  <c r="AF141" i="13"/>
  <c r="AG141" i="13"/>
  <c r="AH141" i="13"/>
  <c r="AI141" i="13"/>
  <c r="B142" i="13"/>
  <c r="C142" i="13"/>
  <c r="D142" i="13"/>
  <c r="E142" i="13"/>
  <c r="F142" i="13"/>
  <c r="G142" i="13"/>
  <c r="P142" i="13"/>
  <c r="Q142" i="13"/>
  <c r="R142" i="13"/>
  <c r="S142" i="13"/>
  <c r="T142" i="13"/>
  <c r="U142" i="13"/>
  <c r="AD142" i="13"/>
  <c r="AE142" i="13"/>
  <c r="AF142" i="13"/>
  <c r="AG142" i="13"/>
  <c r="AH142" i="13"/>
  <c r="AI142" i="13"/>
  <c r="B143" i="13"/>
  <c r="C143" i="13"/>
  <c r="D143" i="13"/>
  <c r="E143" i="13"/>
  <c r="F143" i="13"/>
  <c r="G143" i="13"/>
  <c r="P143" i="13"/>
  <c r="Q143" i="13"/>
  <c r="R143" i="13"/>
  <c r="S143" i="13"/>
  <c r="T143" i="13"/>
  <c r="U143" i="13"/>
  <c r="AD143" i="13"/>
  <c r="AE143" i="13"/>
  <c r="AF143" i="13"/>
  <c r="AG143" i="13"/>
  <c r="AH143" i="13"/>
  <c r="AI143" i="13"/>
  <c r="T7" i="14"/>
  <c r="B20" i="11"/>
  <c r="B5" i="11"/>
  <c r="M11" i="11"/>
  <c r="M10" i="11"/>
  <c r="AD4" i="13"/>
  <c r="AG4" i="13"/>
  <c r="AE4" i="13"/>
  <c r="AH4" i="13"/>
  <c r="AI4" i="13"/>
  <c r="AD3" i="13"/>
  <c r="AG3" i="13"/>
  <c r="AE3" i="13"/>
  <c r="AH3" i="13"/>
  <c r="AI3" i="13"/>
  <c r="AF4" i="13"/>
  <c r="AF3" i="13"/>
  <c r="P4" i="13"/>
  <c r="Q4" i="13"/>
  <c r="P3" i="13"/>
  <c r="R3" i="13"/>
  <c r="Q3" i="13"/>
  <c r="T3" i="13"/>
  <c r="U3" i="13"/>
  <c r="B4" i="13"/>
  <c r="C4" i="13"/>
  <c r="D4" i="13"/>
  <c r="B3" i="13"/>
  <c r="E3" i="13"/>
  <c r="T12" i="14"/>
  <c r="T13" i="14"/>
  <c r="T11" i="14"/>
  <c r="M25" i="11"/>
  <c r="M24" i="11"/>
  <c r="M26" i="11"/>
  <c r="M12" i="11"/>
  <c r="E4" i="13"/>
  <c r="F4" i="13"/>
  <c r="G4" i="13"/>
  <c r="S4" i="13"/>
  <c r="C3" i="13"/>
  <c r="F3" i="13"/>
  <c r="G3" i="13"/>
  <c r="D3" i="13"/>
  <c r="R4" i="13"/>
  <c r="T4" i="13"/>
  <c r="U4" i="13"/>
  <c r="S3" i="13"/>
</calcChain>
</file>

<file path=xl/sharedStrings.xml><?xml version="1.0" encoding="utf-8"?>
<sst xmlns="http://schemas.openxmlformats.org/spreadsheetml/2006/main" count="94" uniqueCount="46">
  <si>
    <t>Weak Acid / Strong Base</t>
  </si>
  <si>
    <t>Acid Name:</t>
  </si>
  <si>
    <t>Acid Ka:</t>
  </si>
  <si>
    <t>Base Name:</t>
  </si>
  <si>
    <t>Acid Concentration (M):</t>
  </si>
  <si>
    <t>Acid Volume (mL):</t>
  </si>
  <si>
    <t>Base Concentration (M):</t>
  </si>
  <si>
    <t>Base Volume:</t>
  </si>
  <si>
    <t>Base Kb:</t>
  </si>
  <si>
    <t>Strong Acid / Weak Base</t>
  </si>
  <si>
    <t>Kw:</t>
  </si>
  <si>
    <t>HNO3</t>
  </si>
  <si>
    <t>Weak Acid</t>
  </si>
  <si>
    <t>Strong Base</t>
  </si>
  <si>
    <t>Formic Acid</t>
  </si>
  <si>
    <t>KOH</t>
  </si>
  <si>
    <t xml:space="preserve"> </t>
  </si>
  <si>
    <t>https://github.com/jkelowitt/titration-curves</t>
  </si>
  <si>
    <t>Demonstration Calculations</t>
  </si>
  <si>
    <t>Strong Acid, Weak Base Calculations</t>
  </si>
  <si>
    <t>Weak Acid, Strong Base Calculations</t>
  </si>
  <si>
    <t>pH</t>
  </si>
  <si>
    <t>[H+]</t>
  </si>
  <si>
    <t>[OH-]</t>
  </si>
  <si>
    <t>Alpha HA</t>
  </si>
  <si>
    <t>Alpha A-</t>
  </si>
  <si>
    <t>Phi</t>
  </si>
  <si>
    <t>Volume Titrant</t>
  </si>
  <si>
    <t>Alpha B-</t>
  </si>
  <si>
    <t>Alpha HB</t>
  </si>
  <si>
    <t>Jackson Elowitt</t>
  </si>
  <si>
    <t>Contact:</t>
  </si>
  <si>
    <t>jkelowitt@protonmail.com</t>
  </si>
  <si>
    <t>Author:</t>
  </si>
  <si>
    <t>Link:</t>
  </si>
  <si>
    <t>Ammonia</t>
  </si>
  <si>
    <t>Plotted WASB Calculations</t>
  </si>
  <si>
    <t>Plotted SAWB Calculations</t>
  </si>
  <si>
    <t>Plotted DEMO Calculations</t>
  </si>
  <si>
    <t>Concentration Scalar</t>
  </si>
  <si>
    <t xml:space="preserve">Formulas: </t>
  </si>
  <si>
    <t>Quantitative Chemical Analysis (9th ed.) by Daniel C. Harris, p.256</t>
  </si>
  <si>
    <t>1/2 Equivalence Volume (mL):</t>
  </si>
  <si>
    <t>Equivalence Volume (mL):</t>
  </si>
  <si>
    <t>2 Equivalence Volume (mL):</t>
  </si>
  <si>
    <t>Ka Power 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</si>
</sst>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2">
    <xf numFmtId="0" fontId="0" fillId="0" borderId="0" xfId="0"/>
    <xf numFmtId="11" fontId="0" fillId="0" borderId="0" xfId="0" applyNumberFormat="1"/>
    <xf numFmtId="0" fontId="0" fillId="0" borderId="4" xfId="0" applyBorder="1"/>
    <xf numFmtId="2" fontId="0" fillId="0" borderId="3" xfId="0" applyNumberFormat="1" applyBorder="1"/>
    <xf numFmtId="0" fontId="0" fillId="0" borderId="0" xfId="0" applyBorder="1"/>
    <xf numFmtId="0" fontId="0" fillId="0" borderId="2" xfId="0" applyFill="1" applyBorder="1"/>
    <xf numFmtId="0" fontId="0" fillId="0" borderId="9" xfId="0" applyBorder="1"/>
    <xf numFmtId="11" fontId="0" fillId="0" borderId="10" xfId="0" applyNumberFormat="1" applyBorder="1"/>
    <xf numFmtId="0" fontId="0" fillId="0" borderId="0" xfId="0" applyAlignment="1"/>
    <xf numFmtId="2" fontId="0" fillId="0" borderId="1" xfId="0" applyNumberFormat="1" applyBorder="1"/>
    <xf numFmtId="0" fontId="0" fillId="0" borderId="4" xfId="0" applyFill="1" applyBorder="1"/>
    <xf numFmtId="0" fontId="0" fillId="0" borderId="7" xfId="0" applyFill="1" applyBorder="1"/>
    <xf numFmtId="2" fontId="0" fillId="0" borderId="8" xfId="0" applyNumberFormat="1" applyBorder="1"/>
    <xf numFmtId="0" fontId="0" fillId="2" borderId="3" xfId="0" applyFill="1" applyBorder="1" applyAlignment="1">
      <alignment horizontal="center"/>
    </xf>
    <xf numFmtId="11" fontId="0" fillId="2" borderId="3" xfId="0" applyNumberFormat="1" applyFill="1" applyBorder="1" applyAlignment="1">
      <alignment horizontal="right"/>
    </xf>
    <xf numFmtId="2" fontId="0" fillId="2" borderId="3" xfId="0" applyNumberFormat="1" applyFill="1" applyBorder="1" applyAlignment="1">
      <alignment horizontal="right"/>
    </xf>
    <xf numFmtId="0" fontId="0" fillId="3" borderId="3" xfId="0" applyFill="1" applyBorder="1" applyAlignment="1">
      <alignment horizontal="center"/>
    </xf>
    <xf numFmtId="2" fontId="0" fillId="3" borderId="3" xfId="0" applyNumberFormat="1" applyFill="1" applyBorder="1"/>
    <xf numFmtId="2" fontId="0" fillId="0" borderId="11" xfId="0" applyNumberFormat="1" applyBorder="1"/>
    <xf numFmtId="0" fontId="3" fillId="4" borderId="12" xfId="0" applyFont="1" applyFill="1" applyBorder="1"/>
    <xf numFmtId="0" fontId="3" fillId="4" borderId="13" xfId="0" applyFont="1" applyFill="1" applyBorder="1"/>
    <xf numFmtId="0" fontId="3" fillId="4" borderId="14" xfId="0" applyFont="1" applyFill="1" applyBorder="1"/>
    <xf numFmtId="0" fontId="3" fillId="4" borderId="4" xfId="0" applyFont="1" applyFill="1" applyBorder="1"/>
    <xf numFmtId="0" fontId="3" fillId="4" borderId="0" xfId="0" applyFont="1" applyFill="1" applyBorder="1"/>
    <xf numFmtId="0" fontId="3" fillId="4" borderId="3" xfId="0" applyFont="1" applyFill="1" applyBorder="1"/>
    <xf numFmtId="0" fontId="3" fillId="4" borderId="0" xfId="0" applyFont="1" applyFill="1" applyBorder="1" applyAlignment="1"/>
    <xf numFmtId="0" fontId="4" fillId="4" borderId="4" xfId="0" applyFont="1" applyFill="1" applyBorder="1"/>
    <xf numFmtId="11" fontId="4" fillId="4" borderId="3" xfId="0" applyNumberFormat="1" applyFont="1" applyFill="1" applyBorder="1" applyAlignment="1">
      <alignment horizontal="right"/>
    </xf>
    <xf numFmtId="2" fontId="4" fillId="4" borderId="3" xfId="0" applyNumberFormat="1" applyFont="1" applyFill="1" applyBorder="1" applyAlignment="1">
      <alignment horizontal="right"/>
    </xf>
    <xf numFmtId="0" fontId="4" fillId="4" borderId="3" xfId="0" applyFont="1" applyFill="1" applyBorder="1"/>
    <xf numFmtId="0" fontId="4" fillId="4" borderId="2" xfId="0" applyFont="1" applyFill="1" applyBorder="1"/>
    <xf numFmtId="0" fontId="4" fillId="4" borderId="1" xfId="0" applyFont="1" applyFill="1" applyBorder="1"/>
    <xf numFmtId="0" fontId="3" fillId="4" borderId="2" xfId="0" applyFont="1" applyFill="1" applyBorder="1"/>
    <xf numFmtId="0" fontId="3" fillId="4" borderId="15" xfId="0" applyFont="1" applyFill="1" applyBorder="1" applyAlignment="1">
      <alignment horizontal="left" vertical="center"/>
    </xf>
    <xf numFmtId="0" fontId="3" fillId="4" borderId="15" xfId="0" applyFont="1" applyFill="1" applyBorder="1"/>
    <xf numFmtId="0" fontId="3" fillId="4" borderId="1" xfId="0" applyFont="1" applyFill="1" applyBorder="1"/>
    <xf numFmtId="0" fontId="4" fillId="4" borderId="7" xfId="0" applyFont="1" applyFill="1" applyBorder="1"/>
    <xf numFmtId="0" fontId="4" fillId="4" borderId="8" xfId="0" applyFont="1" applyFill="1" applyBorder="1"/>
    <xf numFmtId="2" fontId="0" fillId="0" borderId="16" xfId="0" applyNumberFormat="1" applyBorder="1"/>
    <xf numFmtId="0" fontId="0" fillId="0" borderId="17" xfId="0" applyBorder="1"/>
    <xf numFmtId="0" fontId="0" fillId="0" borderId="18" xfId="0" applyBorder="1"/>
    <xf numFmtId="2" fontId="0" fillId="0" borderId="0" xfId="0" applyNumberFormat="1" applyBorder="1"/>
    <xf numFmtId="164" fontId="0" fillId="2" borderId="3" xfId="0" applyNumberFormat="1" applyFill="1" applyBorder="1" applyAlignment="1">
      <alignment horizontal="right"/>
    </xf>
    <xf numFmtId="164" fontId="0" fillId="3" borderId="3" xfId="0" applyNumberFormat="1" applyFill="1" applyBorder="1"/>
    <xf numFmtId="11" fontId="0" fillId="0" borderId="0" xfId="0" applyNumberFormat="1" applyBorder="1"/>
    <xf numFmtId="49" fontId="0" fillId="3" borderId="3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0" fontId="6" fillId="0" borderId="0" xfId="1"/>
    <xf numFmtId="11" fontId="0" fillId="3" borderId="3" xfId="0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0" fontId="5" fillId="4" borderId="14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7C80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Monoprotic!$B$5</c:f>
          <c:strCache>
            <c:ptCount val="1"/>
            <c:pt idx="0">
              <c:v>pH of 25mL of 0.1M Formic Acid vs Volume 0.5M KOH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CalcSheet!$N$3:$N$143</c:f>
              <c:numCache>
                <c:formatCode>0.00</c:formatCode>
                <c:ptCount val="141"/>
                <c:pt idx="0">
                  <c:v>8.4391166544564534E-4</c:v>
                </c:pt>
                <c:pt idx="1">
                  <c:v>3.9830375509007018E-3</c:v>
                </c:pt>
                <c:pt idx="2">
                  <c:v>7.3319118836246509E-3</c:v>
                </c:pt>
                <c:pt idx="3">
                  <c:v>1.1067286617473596E-2</c:v>
                </c:pt>
                <c:pt idx="4">
                  <c:v>1.5385629968176858E-2</c:v>
                </c:pt>
                <c:pt idx="5">
                  <c:v>2.0513066431355875E-2</c:v>
                </c:pt>
                <c:pt idx="6">
                  <c:v>2.6716603292717821E-2</c:v>
                </c:pt>
                <c:pt idx="7">
                  <c:v>3.4317072338156056E-2</c:v>
                </c:pt>
                <c:pt idx="8">
                  <c:v>4.3704213798758412E-2</c:v>
                </c:pt>
                <c:pt idx="9">
                  <c:v>5.5354300518640445E-2</c:v>
                </c:pt>
                <c:pt idx="10">
                  <c:v>6.9850617619328564E-2</c:v>
                </c:pt>
                <c:pt idx="11">
                  <c:v>8.7906936939619068E-2</c:v>
                </c:pt>
                <c:pt idx="12">
                  <c:v>0.11039379867539353</c:v>
                </c:pt>
                <c:pt idx="13">
                  <c:v>0.13836685517852543</c:v>
                </c:pt>
                <c:pt idx="14">
                  <c:v>0.17309564069397798</c:v>
                </c:pt>
                <c:pt idx="15">
                  <c:v>0.21608978659904837</c:v>
                </c:pt>
                <c:pt idx="16">
                  <c:v>0.26911779382851081</c:v>
                </c:pt>
                <c:pt idx="17">
                  <c:v>0.33421095799757672</c:v>
                </c:pt>
                <c:pt idx="18">
                  <c:v>0.41364204764424217</c:v>
                </c:pt>
                <c:pt idx="19">
                  <c:v>0.50986533743193252</c:v>
                </c:pt>
                <c:pt idx="20">
                  <c:v>0.62540263966842313</c:v>
                </c:pt>
                <c:pt idx="21">
                  <c:v>0.76266085949081008</c:v>
                </c:pt>
                <c:pt idx="22">
                  <c:v>0.92367282779998838</c:v>
                </c:pt>
                <c:pt idx="23">
                  <c:v>1.1097673192554851</c:v>
                </c:pt>
                <c:pt idx="24">
                  <c:v>1.3211973242851096</c:v>
                </c:pt>
                <c:pt idx="25">
                  <c:v>1.5567849714094102</c:v>
                </c:pt>
                <c:pt idx="26">
                  <c:v>1.8136680297231458</c:v>
                </c:pt>
                <c:pt idx="27">
                  <c:v>2.0872420596621031</c:v>
                </c:pt>
                <c:pt idx="28">
                  <c:v>2.3713694379625068</c:v>
                </c:pt>
                <c:pt idx="29">
                  <c:v>2.6588674278563182</c:v>
                </c:pt>
                <c:pt idx="30">
                  <c:v>2.9422071420806182</c:v>
                </c:pt>
                <c:pt idx="31">
                  <c:v>3.2142857707142864</c:v>
                </c:pt>
                <c:pt idx="32">
                  <c:v>3.4691088538316359</c:v>
                </c:pt>
                <c:pt idx="33">
                  <c:v>3.7022507011807959</c:v>
                </c:pt>
                <c:pt idx="34">
                  <c:v>3.9110334066019097</c:v>
                </c:pt>
                <c:pt idx="35">
                  <c:v>4.0944442919944626</c:v>
                </c:pt>
                <c:pt idx="36">
                  <c:v>4.2528671882163289</c:v>
                </c:pt>
                <c:pt idx="37">
                  <c:v>4.3877219568761285</c:v>
                </c:pt>
                <c:pt idx="38">
                  <c:v>4.5010949213127915</c:v>
                </c:pt>
                <c:pt idx="39">
                  <c:v>4.5954154302470887</c:v>
                </c:pt>
                <c:pt idx="40">
                  <c:v>4.6732047942148593</c:v>
                </c:pt>
                <c:pt idx="41">
                  <c:v>4.7369015790663154</c:v>
                </c:pt>
                <c:pt idx="42">
                  <c:v>4.7887540177629253</c:v>
                </c:pt>
                <c:pt idx="43">
                  <c:v>4.8307647658491328</c:v>
                </c:pt>
                <c:pt idx="44">
                  <c:v>4.8646727513281958</c:v>
                </c:pt>
                <c:pt idx="45">
                  <c:v>4.8919590078854958</c:v>
                </c:pt>
                <c:pt idx="46">
                  <c:v>4.9138664150329685</c:v>
                </c:pt>
                <c:pt idx="47">
                  <c:v>4.9314262267345956</c:v>
                </c:pt>
                <c:pt idx="48">
                  <c:v>4.9454867223743113</c:v>
                </c:pt>
                <c:pt idx="49">
                  <c:v>4.9567411564018107</c:v>
                </c:pt>
                <c:pt idx="50">
                  <c:v>4.9657534711809879</c:v>
                </c:pt>
                <c:pt idx="51">
                  <c:v>4.9729810848796872</c:v>
                </c:pt>
                <c:pt idx="52">
                  <c:v>4.9787945908881293</c:v>
                </c:pt>
                <c:pt idx="53">
                  <c:v>4.9834945078052826</c:v>
                </c:pt>
                <c:pt idx="54">
                  <c:v>4.9873253765083989</c:v>
                </c:pt>
                <c:pt idx="55">
                  <c:v>4.990487568374709</c:v>
                </c:pt>
                <c:pt idx="56">
                  <c:v>4.9931471839717876</c:v>
                </c:pt>
                <c:pt idx="57">
                  <c:v>4.9954444091519594</c:v>
                </c:pt>
                <c:pt idx="58">
                  <c:v>4.9975006711408714</c:v>
                </c:pt>
                <c:pt idx="59">
                  <c:v>4.9994249105689352</c:v>
                </c:pt>
                <c:pt idx="60">
                  <c:v>5.0013192623105063</c:v>
                </c:pt>
                <c:pt idx="61">
                  <c:v>5.0032844220278294</c:v>
                </c:pt>
                <c:pt idx="62">
                  <c:v>5.0054249687655403</c:v>
                </c:pt>
                <c:pt idx="63">
                  <c:v>5.0078549185568004</c:v>
                </c:pt>
                <c:pt idx="64">
                  <c:v>5.0107038014814602</c:v>
                </c:pt>
                <c:pt idx="65">
                  <c:v>5.0141235869848391</c:v>
                </c:pt>
                <c:pt idx="66">
                  <c:v>5.0182968322068957</c:v>
                </c:pt>
                <c:pt idx="67">
                  <c:v>5.0234464992759928</c:v>
                </c:pt>
                <c:pt idx="68">
                  <c:v>5.0298479851037605</c:v>
                </c:pt>
                <c:pt idx="69">
                  <c:v>5.0378440382818903</c:v>
                </c:pt>
                <c:pt idx="70">
                  <c:v>5.0478634121254888</c:v>
                </c:pt>
                <c:pt idx="71">
                  <c:v>5.0604443346081629</c:v>
                </c:pt>
                <c:pt idx="72">
                  <c:v>5.0762641845398679</c:v>
                </c:pt>
                <c:pt idx="73">
                  <c:v>5.0961771770150532</c:v>
                </c:pt>
                <c:pt idx="74">
                  <c:v>5.1212624208693756</c:v>
                </c:pt>
                <c:pt idx="75">
                  <c:v>5.152885477160436</c:v>
                </c:pt>
                <c:pt idx="76">
                  <c:v>5.1927776115075019</c:v>
                </c:pt>
                <c:pt idx="77">
                  <c:v>5.2431384336624127</c:v>
                </c:pt>
                <c:pt idx="78">
                  <c:v>5.3067697718028137</c:v>
                </c:pt>
                <c:pt idx="79">
                  <c:v>5.3872517812169516</c:v>
                </c:pt>
                <c:pt idx="80">
                  <c:v>5.4891769956690393</c:v>
                </c:pt>
                <c:pt idx="81">
                  <c:v>5.6184652197543441</c:v>
                </c:pt>
                <c:pt idx="82">
                  <c:v>5.7827934007101902</c:v>
                </c:pt>
                <c:pt idx="83">
                  <c:v>5.9921926391197475</c:v>
                </c:pt>
                <c:pt idx="84">
                  <c:v>6.2598941929735563</c:v>
                </c:pt>
                <c:pt idx="85">
                  <c:v>6.603556758743335</c:v>
                </c:pt>
                <c:pt idx="86">
                  <c:v>7.047095886898072</c:v>
                </c:pt>
                <c:pt idx="87">
                  <c:v>7.6234980173592382</c:v>
                </c:pt>
                <c:pt idx="88">
                  <c:v>8.3793098147820757</c:v>
                </c:pt>
                <c:pt idx="89">
                  <c:v>9.3821121222975457</c:v>
                </c:pt>
              </c:numCache>
            </c:numRef>
          </c:xVal>
          <c:yVal>
            <c:numRef>
              <c:f>CalcSheet!$H$3:$H$143</c:f>
              <c:numCache>
                <c:formatCode>0.00</c:formatCode>
                <c:ptCount val="141"/>
                <c:pt idx="0">
                  <c:v>3.9</c:v>
                </c:pt>
                <c:pt idx="1">
                  <c:v>4</c:v>
                </c:pt>
                <c:pt idx="2">
                  <c:v>4.0999999999999996</c:v>
                </c:pt>
                <c:pt idx="3">
                  <c:v>4.2</c:v>
                </c:pt>
                <c:pt idx="4">
                  <c:v>4.3</c:v>
                </c:pt>
                <c:pt idx="5">
                  <c:v>4.4000000000000004</c:v>
                </c:pt>
                <c:pt idx="6">
                  <c:v>4.5</c:v>
                </c:pt>
                <c:pt idx="7">
                  <c:v>4.5999999999999996</c:v>
                </c:pt>
                <c:pt idx="8">
                  <c:v>4.7</c:v>
                </c:pt>
                <c:pt idx="9">
                  <c:v>4.8</c:v>
                </c:pt>
                <c:pt idx="10">
                  <c:v>4.9000000000000004</c:v>
                </c:pt>
                <c:pt idx="11">
                  <c:v>5</c:v>
                </c:pt>
                <c:pt idx="12">
                  <c:v>5.0999999999999996</c:v>
                </c:pt>
                <c:pt idx="13">
                  <c:v>5.2</c:v>
                </c:pt>
                <c:pt idx="14">
                  <c:v>5.3</c:v>
                </c:pt>
                <c:pt idx="15">
                  <c:v>5.4</c:v>
                </c:pt>
                <c:pt idx="16">
                  <c:v>5.5</c:v>
                </c:pt>
                <c:pt idx="17">
                  <c:v>5.6</c:v>
                </c:pt>
                <c:pt idx="18">
                  <c:v>5.7</c:v>
                </c:pt>
                <c:pt idx="19">
                  <c:v>5.8</c:v>
                </c:pt>
                <c:pt idx="20">
                  <c:v>5.9</c:v>
                </c:pt>
                <c:pt idx="21">
                  <c:v>6</c:v>
                </c:pt>
                <c:pt idx="22">
                  <c:v>6.1</c:v>
                </c:pt>
                <c:pt idx="23">
                  <c:v>6.2</c:v>
                </c:pt>
                <c:pt idx="24">
                  <c:v>6.3</c:v>
                </c:pt>
                <c:pt idx="25">
                  <c:v>6.4</c:v>
                </c:pt>
                <c:pt idx="26">
                  <c:v>6.5</c:v>
                </c:pt>
                <c:pt idx="27">
                  <c:v>6.6</c:v>
                </c:pt>
                <c:pt idx="28">
                  <c:v>6.7</c:v>
                </c:pt>
                <c:pt idx="29">
                  <c:v>6.8</c:v>
                </c:pt>
                <c:pt idx="30">
                  <c:v>6.9</c:v>
                </c:pt>
                <c:pt idx="31">
                  <c:v>7</c:v>
                </c:pt>
                <c:pt idx="32">
                  <c:v>7.1</c:v>
                </c:pt>
                <c:pt idx="33">
                  <c:v>7.2</c:v>
                </c:pt>
                <c:pt idx="34">
                  <c:v>7.3</c:v>
                </c:pt>
                <c:pt idx="35">
                  <c:v>7.4</c:v>
                </c:pt>
                <c:pt idx="36">
                  <c:v>7.5</c:v>
                </c:pt>
                <c:pt idx="37">
                  <c:v>7.6</c:v>
                </c:pt>
                <c:pt idx="38">
                  <c:v>7.7</c:v>
                </c:pt>
                <c:pt idx="39">
                  <c:v>7.8</c:v>
                </c:pt>
                <c:pt idx="40">
                  <c:v>7.9</c:v>
                </c:pt>
                <c:pt idx="41">
                  <c:v>8</c:v>
                </c:pt>
                <c:pt idx="42">
                  <c:v>8.1</c:v>
                </c:pt>
                <c:pt idx="43">
                  <c:v>8.1999999999999993</c:v>
                </c:pt>
                <c:pt idx="44">
                  <c:v>8.3000000000000007</c:v>
                </c:pt>
                <c:pt idx="45">
                  <c:v>8.4</c:v>
                </c:pt>
                <c:pt idx="46">
                  <c:v>8.5</c:v>
                </c:pt>
                <c:pt idx="47">
                  <c:v>8.6</c:v>
                </c:pt>
                <c:pt idx="48">
                  <c:v>8.6999999999999993</c:v>
                </c:pt>
                <c:pt idx="49">
                  <c:v>8.8000000000000007</c:v>
                </c:pt>
                <c:pt idx="50">
                  <c:v>8.9</c:v>
                </c:pt>
                <c:pt idx="51">
                  <c:v>9</c:v>
                </c:pt>
                <c:pt idx="52">
                  <c:v>9.1</c:v>
                </c:pt>
                <c:pt idx="53">
                  <c:v>9.1999999999999993</c:v>
                </c:pt>
                <c:pt idx="54">
                  <c:v>9.3000000000000007</c:v>
                </c:pt>
                <c:pt idx="55">
                  <c:v>9.4</c:v>
                </c:pt>
                <c:pt idx="56">
                  <c:v>9.5</c:v>
                </c:pt>
                <c:pt idx="57">
                  <c:v>9.6</c:v>
                </c:pt>
                <c:pt idx="58">
                  <c:v>9.6999999999999993</c:v>
                </c:pt>
                <c:pt idx="59">
                  <c:v>9.8000000000000007</c:v>
                </c:pt>
                <c:pt idx="60">
                  <c:v>9.9</c:v>
                </c:pt>
                <c:pt idx="61">
                  <c:v>10</c:v>
                </c:pt>
                <c:pt idx="62">
                  <c:v>10.1</c:v>
                </c:pt>
                <c:pt idx="63">
                  <c:v>10.199999999999999</c:v>
                </c:pt>
                <c:pt idx="64">
                  <c:v>10.3</c:v>
                </c:pt>
                <c:pt idx="65">
                  <c:v>10.4</c:v>
                </c:pt>
                <c:pt idx="66">
                  <c:v>10.5</c:v>
                </c:pt>
                <c:pt idx="67">
                  <c:v>10.6</c:v>
                </c:pt>
                <c:pt idx="68">
                  <c:v>10.7</c:v>
                </c:pt>
                <c:pt idx="69">
                  <c:v>10.8</c:v>
                </c:pt>
                <c:pt idx="70">
                  <c:v>10.9</c:v>
                </c:pt>
                <c:pt idx="71">
                  <c:v>11</c:v>
                </c:pt>
                <c:pt idx="72">
                  <c:v>11.1</c:v>
                </c:pt>
                <c:pt idx="73">
                  <c:v>11.2</c:v>
                </c:pt>
                <c:pt idx="74">
                  <c:v>11.3</c:v>
                </c:pt>
                <c:pt idx="75">
                  <c:v>11.4</c:v>
                </c:pt>
                <c:pt idx="76">
                  <c:v>11.5</c:v>
                </c:pt>
                <c:pt idx="77">
                  <c:v>11.6</c:v>
                </c:pt>
                <c:pt idx="78">
                  <c:v>11.7</c:v>
                </c:pt>
                <c:pt idx="79">
                  <c:v>11.8</c:v>
                </c:pt>
                <c:pt idx="80">
                  <c:v>11.9</c:v>
                </c:pt>
                <c:pt idx="81">
                  <c:v>12</c:v>
                </c:pt>
                <c:pt idx="82">
                  <c:v>12.1</c:v>
                </c:pt>
                <c:pt idx="83">
                  <c:v>12.2</c:v>
                </c:pt>
                <c:pt idx="84">
                  <c:v>12.3</c:v>
                </c:pt>
                <c:pt idx="85">
                  <c:v>12.4</c:v>
                </c:pt>
                <c:pt idx="86">
                  <c:v>12.5</c:v>
                </c:pt>
                <c:pt idx="87">
                  <c:v>12.6</c:v>
                </c:pt>
                <c:pt idx="88">
                  <c:v>12.7</c:v>
                </c:pt>
                <c:pt idx="89">
                  <c:v>12.8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B28-4577-A73B-2FDD43AFB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Titrant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  <c:max val="14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Monoprotic!$B$20</c:f>
          <c:strCache>
            <c:ptCount val="1"/>
            <c:pt idx="0">
              <c:v>pH of 25mL of 0.1M Ammonia vs Volume 0.5M HNO3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CalcSheet!$AB$3:$AB$143</c:f>
              <c:numCache>
                <c:formatCode>0.00</c:formatCode>
                <c:ptCount val="141"/>
                <c:pt idx="0">
                  <c:v>9.3324639448468751</c:v>
                </c:pt>
                <c:pt idx="1">
                  <c:v>8.3421298217632653</c:v>
                </c:pt>
                <c:pt idx="2">
                  <c:v>7.595283001636985</c:v>
                </c:pt>
                <c:pt idx="3">
                  <c:v>7.0254682331856095</c:v>
                </c:pt>
                <c:pt idx="4">
                  <c:v>6.5868513891152265</c:v>
                </c:pt>
                <c:pt idx="5">
                  <c:v>6.2469155078789855</c:v>
                </c:pt>
                <c:pt idx="6">
                  <c:v>5.9820648301685404</c:v>
                </c:pt>
                <c:pt idx="7">
                  <c:v>5.7748646252425484</c:v>
                </c:pt>
                <c:pt idx="8">
                  <c:v>5.612244182193237</c:v>
                </c:pt>
                <c:pt idx="9">
                  <c:v>5.4842897583376153</c:v>
                </c:pt>
                <c:pt idx="10">
                  <c:v>5.3834116225487394</c:v>
                </c:pt>
                <c:pt idx="11">
                  <c:v>5.3037557102825001</c:v>
                </c:pt>
                <c:pt idx="12">
                  <c:v>5.2407796625739271</c:v>
                </c:pt>
                <c:pt idx="13">
                  <c:v>5.1909420650854301</c:v>
                </c:pt>
                <c:pt idx="14">
                  <c:v>5.151471351033047</c:v>
                </c:pt>
                <c:pt idx="15">
                  <c:v>5.1201918518693015</c:v>
                </c:pt>
                <c:pt idx="16">
                  <c:v>5.0953915364969253</c:v>
                </c:pt>
                <c:pt idx="17">
                  <c:v>5.0757206060917106</c:v>
                </c:pt>
                <c:pt idx="18">
                  <c:v>5.0601132119376118</c:v>
                </c:pt>
                <c:pt idx="19">
                  <c:v>5.0477266846783513</c:v>
                </c:pt>
                <c:pt idx="20">
                  <c:v>5.037894142642342</c:v>
                </c:pt>
                <c:pt idx="21">
                  <c:v>5.0300873971369597</c:v>
                </c:pt>
                <c:pt idx="22">
                  <c:v>5.0238878305127734</c:v>
                </c:pt>
                <c:pt idx="23">
                  <c:v>5.0189634778341663</c:v>
                </c:pt>
                <c:pt idx="24">
                  <c:v>5.0150509547944786</c:v>
                </c:pt>
                <c:pt idx="25">
                  <c:v>5.0119411835415626</c:v>
                </c:pt>
                <c:pt idx="26">
                  <c:v>5.0094681022607359</c:v>
                </c:pt>
                <c:pt idx="27">
                  <c:v>5.0074997232953713</c:v>
                </c:pt>
                <c:pt idx="28">
                  <c:v>5.0059310422422403</c:v>
                </c:pt>
                <c:pt idx="29">
                  <c:v>5.004678406945974</c:v>
                </c:pt>
                <c:pt idx="30">
                  <c:v>5.0036750380435455</c:v>
                </c:pt>
                <c:pt idx="31">
                  <c:v>5.002867457170928</c:v>
                </c:pt>
                <c:pt idx="32">
                  <c:v>5.0022126292572855</c:v>
                </c:pt>
                <c:pt idx="33">
                  <c:v>5.0016756646070117</c:v>
                </c:pt>
                <c:pt idx="34">
                  <c:v>5.0012279570691636</c:v>
                </c:pt>
                <c:pt idx="35">
                  <c:v>5.0008456583179957</c:v>
                </c:pt>
                <c:pt idx="36">
                  <c:v>5.0005084064894403</c:v>
                </c:pt>
                <c:pt idx="37">
                  <c:v>5.0001982411764372</c:v>
                </c:pt>
                <c:pt idx="38">
                  <c:v>4.9998986468597275</c:v>
                </c:pt>
                <c:pt idx="39">
                  <c:v>4.9995936738090467</c:v>
                </c:pt>
                <c:pt idx="40">
                  <c:v>4.9992670897282876</c:v>
                </c:pt>
                <c:pt idx="41">
                  <c:v>4.9989015171878144</c:v>
                </c:pt>
                <c:pt idx="42">
                  <c:v>4.9984775113099431</c:v>
                </c:pt>
                <c:pt idx="43">
                  <c:v>4.9979725292577495</c:v>
                </c:pt>
                <c:pt idx="44">
                  <c:v>4.9973597377245333</c:v>
                </c:pt>
                <c:pt idx="45">
                  <c:v>4.9966065966336535</c:v>
                </c:pt>
                <c:pt idx="46">
                  <c:v>4.9956731463473094</c:v>
                </c:pt>
                <c:pt idx="47">
                  <c:v>4.9945099114809484</c:v>
                </c:pt>
                <c:pt idx="48">
                  <c:v>4.993055316507002</c:v>
                </c:pt>
                <c:pt idx="49">
                  <c:v>4.9912324862813993</c:v>
                </c:pt>
                <c:pt idx="50">
                  <c:v>4.9889452780907435</c:v>
                </c:pt>
                <c:pt idx="51">
                  <c:v>4.9860733606752028</c:v>
                </c:pt>
                <c:pt idx="52">
                  <c:v>4.9824661202831892</c:v>
                </c:pt>
                <c:pt idx="53">
                  <c:v>4.977935135385958</c:v>
                </c:pt>
                <c:pt idx="54">
                  <c:v>4.9722449229676657</c:v>
                </c:pt>
                <c:pt idx="55">
                  <c:v>4.9651016255615819</c:v>
                </c:pt>
                <c:pt idx="56">
                  <c:v>4.9561392886775097</c:v>
                </c:pt>
                <c:pt idx="57">
                  <c:v>4.9449033883769093</c:v>
                </c:pt>
                <c:pt idx="58">
                  <c:v>4.9308313330982063</c:v>
                </c:pt>
                <c:pt idx="59">
                  <c:v>4.9132298201174702</c:v>
                </c:pt>
                <c:pt idx="60">
                  <c:v>4.8912492306501409</c:v>
                </c:pt>
                <c:pt idx="61">
                  <c:v>4.8638557759476946</c:v>
                </c:pt>
                <c:pt idx="62">
                  <c:v>4.8298029607664343</c:v>
                </c:pt>
                <c:pt idx="63">
                  <c:v>4.7876052286164903</c:v>
                </c:pt>
                <c:pt idx="64">
                  <c:v>4.7355185079924569</c:v>
                </c:pt>
                <c:pt idx="65">
                  <c:v>4.6715348435521244</c:v>
                </c:pt>
                <c:pt idx="66">
                  <c:v>4.5934012614774389</c:v>
                </c:pt>
                <c:pt idx="67">
                  <c:v>4.498676045179498</c:v>
                </c:pt>
                <c:pt idx="68">
                  <c:v>4.3848376980468942</c:v>
                </c:pt>
                <c:pt idx="69">
                  <c:v>4.2494613095722622</c:v>
                </c:pt>
                <c:pt idx="70">
                  <c:v>4.090471358571552</c:v>
                </c:pt>
                <c:pt idx="71">
                  <c:v>3.9064665652137944</c:v>
                </c:pt>
                <c:pt idx="72">
                  <c:v>3.6970899503720642</c:v>
                </c:pt>
                <c:pt idx="73">
                  <c:v>3.4633881945620772</c:v>
                </c:pt>
                <c:pt idx="74">
                  <c:v>3.2080771243202597</c:v>
                </c:pt>
                <c:pt idx="75">
                  <c:v>2.9356189593644166</c:v>
                </c:pt>
                <c:pt idx="76">
                  <c:v>2.6520367686358659</c:v>
                </c:pt>
                <c:pt idx="77">
                  <c:v>2.364447914943661</c:v>
                </c:pt>
                <c:pt idx="78">
                  <c:v>2.0803778860187876</c:v>
                </c:pt>
                <c:pt idx="79">
                  <c:v>1.8069876721590949</c:v>
                </c:pt>
                <c:pt idx="80">
                  <c:v>1.5503779566144313</c:v>
                </c:pt>
                <c:pt idx="81">
                  <c:v>1.3151065462759959</c:v>
                </c:pt>
                <c:pt idx="82">
                  <c:v>1.1039853410642562</c:v>
                </c:pt>
                <c:pt idx="83">
                  <c:v>0.91814298067573774</c:v>
                </c:pt>
                <c:pt idx="84">
                  <c:v>0.75728097895851465</c:v>
                </c:pt>
                <c:pt idx="85">
                  <c:v>0.62002913590799436</c:v>
                </c:pt>
                <c:pt idx="86">
                  <c:v>0.5043157175552524</c:v>
                </c:pt>
                <c:pt idx="87">
                  <c:v>0.40769462494614278</c:v>
                </c:pt>
                <c:pt idx="88">
                  <c:v>0.32760102004764075</c:v>
                </c:pt>
                <c:pt idx="89">
                  <c:v>0.2615298270211317</c:v>
                </c:pt>
                <c:pt idx="90">
                  <c:v>0.20714545573637844</c:v>
                </c:pt>
                <c:pt idx="91">
                  <c:v>0.16233714190060858</c:v>
                </c:pt>
                <c:pt idx="92">
                  <c:v>0.12523505291780235</c:v>
                </c:pt>
                <c:pt idx="93">
                  <c:v>9.4200263336529338E-2</c:v>
                </c:pt>
                <c:pt idx="94">
                  <c:v>6.7798638984226861E-2</c:v>
                </c:pt>
                <c:pt idx="95">
                  <c:v>4.4765610722933231E-2</c:v>
                </c:pt>
                <c:pt idx="96">
                  <c:v>2.3966230101277713E-2</c:v>
                </c:pt>
                <c:pt idx="97">
                  <c:v>4.3529014261670254E-3</c:v>
                </c:pt>
              </c:numCache>
            </c:numRef>
          </c:xVal>
          <c:yVal>
            <c:numRef>
              <c:f>CalcSheet!$V$3:$V$143</c:f>
              <c:numCache>
                <c:formatCode>0.00</c:formatCode>
                <c:ptCount val="141"/>
                <c:pt idx="0">
                  <c:v>1.2</c:v>
                </c:pt>
                <c:pt idx="1">
                  <c:v>1.3</c:v>
                </c:pt>
                <c:pt idx="2">
                  <c:v>1.4</c:v>
                </c:pt>
                <c:pt idx="3">
                  <c:v>1.5</c:v>
                </c:pt>
                <c:pt idx="4">
                  <c:v>1.6</c:v>
                </c:pt>
                <c:pt idx="5">
                  <c:v>1.7</c:v>
                </c:pt>
                <c:pt idx="6">
                  <c:v>1.8</c:v>
                </c:pt>
                <c:pt idx="7">
                  <c:v>1.9</c:v>
                </c:pt>
                <c:pt idx="8">
                  <c:v>2</c:v>
                </c:pt>
                <c:pt idx="9">
                  <c:v>2.1</c:v>
                </c:pt>
                <c:pt idx="10">
                  <c:v>2.2000000000000002</c:v>
                </c:pt>
                <c:pt idx="11">
                  <c:v>2.2999999999999998</c:v>
                </c:pt>
                <c:pt idx="12">
                  <c:v>2.4</c:v>
                </c:pt>
                <c:pt idx="13">
                  <c:v>2.5</c:v>
                </c:pt>
                <c:pt idx="14">
                  <c:v>2.6</c:v>
                </c:pt>
                <c:pt idx="15">
                  <c:v>2.7</c:v>
                </c:pt>
                <c:pt idx="16">
                  <c:v>2.8</c:v>
                </c:pt>
                <c:pt idx="17">
                  <c:v>2.9</c:v>
                </c:pt>
                <c:pt idx="18">
                  <c:v>3</c:v>
                </c:pt>
                <c:pt idx="19">
                  <c:v>3.1</c:v>
                </c:pt>
                <c:pt idx="20">
                  <c:v>3.2</c:v>
                </c:pt>
                <c:pt idx="21">
                  <c:v>3.3</c:v>
                </c:pt>
                <c:pt idx="22">
                  <c:v>3.4</c:v>
                </c:pt>
                <c:pt idx="23">
                  <c:v>3.5</c:v>
                </c:pt>
                <c:pt idx="24">
                  <c:v>3.6</c:v>
                </c:pt>
                <c:pt idx="25">
                  <c:v>3.7</c:v>
                </c:pt>
                <c:pt idx="26">
                  <c:v>3.8</c:v>
                </c:pt>
                <c:pt idx="27">
                  <c:v>3.9</c:v>
                </c:pt>
                <c:pt idx="28">
                  <c:v>4</c:v>
                </c:pt>
                <c:pt idx="29">
                  <c:v>4.0999999999999996</c:v>
                </c:pt>
                <c:pt idx="30">
                  <c:v>4.2</c:v>
                </c:pt>
                <c:pt idx="31">
                  <c:v>4.3</c:v>
                </c:pt>
                <c:pt idx="32">
                  <c:v>4.4000000000000004</c:v>
                </c:pt>
                <c:pt idx="33">
                  <c:v>4.5</c:v>
                </c:pt>
                <c:pt idx="34">
                  <c:v>4.5999999999999996</c:v>
                </c:pt>
                <c:pt idx="35">
                  <c:v>4.7</c:v>
                </c:pt>
                <c:pt idx="36">
                  <c:v>4.8</c:v>
                </c:pt>
                <c:pt idx="37">
                  <c:v>4.9000000000000004</c:v>
                </c:pt>
                <c:pt idx="38">
                  <c:v>5</c:v>
                </c:pt>
                <c:pt idx="39">
                  <c:v>5.0999999999999996</c:v>
                </c:pt>
                <c:pt idx="40">
                  <c:v>5.2</c:v>
                </c:pt>
                <c:pt idx="41">
                  <c:v>5.3</c:v>
                </c:pt>
                <c:pt idx="42">
                  <c:v>5.4</c:v>
                </c:pt>
                <c:pt idx="43">
                  <c:v>5.5</c:v>
                </c:pt>
                <c:pt idx="44">
                  <c:v>5.6</c:v>
                </c:pt>
                <c:pt idx="45">
                  <c:v>5.7</c:v>
                </c:pt>
                <c:pt idx="46">
                  <c:v>5.8</c:v>
                </c:pt>
                <c:pt idx="47">
                  <c:v>5.9</c:v>
                </c:pt>
                <c:pt idx="48">
                  <c:v>6</c:v>
                </c:pt>
                <c:pt idx="49">
                  <c:v>6.1</c:v>
                </c:pt>
                <c:pt idx="50">
                  <c:v>6.2</c:v>
                </c:pt>
                <c:pt idx="51">
                  <c:v>6.3</c:v>
                </c:pt>
                <c:pt idx="52">
                  <c:v>6.4</c:v>
                </c:pt>
                <c:pt idx="53">
                  <c:v>6.5</c:v>
                </c:pt>
                <c:pt idx="54">
                  <c:v>6.6</c:v>
                </c:pt>
                <c:pt idx="55">
                  <c:v>6.7</c:v>
                </c:pt>
                <c:pt idx="56">
                  <c:v>6.8</c:v>
                </c:pt>
                <c:pt idx="57">
                  <c:v>6.9</c:v>
                </c:pt>
                <c:pt idx="58">
                  <c:v>7</c:v>
                </c:pt>
                <c:pt idx="59">
                  <c:v>7.1</c:v>
                </c:pt>
                <c:pt idx="60">
                  <c:v>7.2</c:v>
                </c:pt>
                <c:pt idx="61">
                  <c:v>7.3</c:v>
                </c:pt>
                <c:pt idx="62">
                  <c:v>7.4</c:v>
                </c:pt>
                <c:pt idx="63">
                  <c:v>7.5</c:v>
                </c:pt>
                <c:pt idx="64">
                  <c:v>7.6</c:v>
                </c:pt>
                <c:pt idx="65">
                  <c:v>7.7</c:v>
                </c:pt>
                <c:pt idx="66">
                  <c:v>7.8</c:v>
                </c:pt>
                <c:pt idx="67">
                  <c:v>7.9</c:v>
                </c:pt>
                <c:pt idx="68">
                  <c:v>8</c:v>
                </c:pt>
                <c:pt idx="69">
                  <c:v>8.1</c:v>
                </c:pt>
                <c:pt idx="70">
                  <c:v>8.1999999999999993</c:v>
                </c:pt>
                <c:pt idx="71">
                  <c:v>8.3000000000000007</c:v>
                </c:pt>
                <c:pt idx="72">
                  <c:v>8.4</c:v>
                </c:pt>
                <c:pt idx="73">
                  <c:v>8.5</c:v>
                </c:pt>
                <c:pt idx="74">
                  <c:v>8.6</c:v>
                </c:pt>
                <c:pt idx="75">
                  <c:v>8.6999999999999993</c:v>
                </c:pt>
                <c:pt idx="76">
                  <c:v>8.8000000000000007</c:v>
                </c:pt>
                <c:pt idx="77">
                  <c:v>8.9</c:v>
                </c:pt>
                <c:pt idx="78">
                  <c:v>9</c:v>
                </c:pt>
                <c:pt idx="79">
                  <c:v>9.1</c:v>
                </c:pt>
                <c:pt idx="80">
                  <c:v>9.1999999999999993</c:v>
                </c:pt>
                <c:pt idx="81">
                  <c:v>9.3000000000000007</c:v>
                </c:pt>
                <c:pt idx="82">
                  <c:v>9.4</c:v>
                </c:pt>
                <c:pt idx="83">
                  <c:v>9.5</c:v>
                </c:pt>
                <c:pt idx="84">
                  <c:v>9.6</c:v>
                </c:pt>
                <c:pt idx="85">
                  <c:v>9.6999999999999993</c:v>
                </c:pt>
                <c:pt idx="86">
                  <c:v>9.8000000000000007</c:v>
                </c:pt>
                <c:pt idx="87">
                  <c:v>9.9</c:v>
                </c:pt>
                <c:pt idx="88">
                  <c:v>10</c:v>
                </c:pt>
                <c:pt idx="89">
                  <c:v>10.1</c:v>
                </c:pt>
                <c:pt idx="90">
                  <c:v>10.199999999999999</c:v>
                </c:pt>
                <c:pt idx="91">
                  <c:v>10.3</c:v>
                </c:pt>
                <c:pt idx="92">
                  <c:v>10.4</c:v>
                </c:pt>
                <c:pt idx="93">
                  <c:v>10.5</c:v>
                </c:pt>
                <c:pt idx="94">
                  <c:v>10.6</c:v>
                </c:pt>
                <c:pt idx="95">
                  <c:v>10.7</c:v>
                </c:pt>
                <c:pt idx="96">
                  <c:v>10.8</c:v>
                </c:pt>
                <c:pt idx="97">
                  <c:v>10.9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91-42F5-BC05-1826DD80C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Titrant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  <c:max val="14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Weak Acid Strong Base - Alpha 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420246000496744"/>
          <c:y val="0.18026393435471019"/>
          <c:w val="0.76868529484084158"/>
          <c:h val="0.53163247577374384"/>
        </c:manualLayout>
      </c:layout>
      <c:scatterChart>
        <c:scatterStyle val="smoothMarker"/>
        <c:varyColors val="0"/>
        <c:ser>
          <c:idx val="0"/>
          <c:order val="0"/>
          <c:tx>
            <c:v>Alpha HA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CalcSheet!$N$3:$N$143</c:f>
              <c:numCache>
                <c:formatCode>0.00</c:formatCode>
                <c:ptCount val="141"/>
                <c:pt idx="0">
                  <c:v>8.4391166544564534E-4</c:v>
                </c:pt>
                <c:pt idx="1">
                  <c:v>3.9830375509007018E-3</c:v>
                </c:pt>
                <c:pt idx="2">
                  <c:v>7.3319118836246509E-3</c:v>
                </c:pt>
                <c:pt idx="3">
                  <c:v>1.1067286617473596E-2</c:v>
                </c:pt>
                <c:pt idx="4">
                  <c:v>1.5385629968176858E-2</c:v>
                </c:pt>
                <c:pt idx="5">
                  <c:v>2.0513066431355875E-2</c:v>
                </c:pt>
                <c:pt idx="6">
                  <c:v>2.6716603292717821E-2</c:v>
                </c:pt>
                <c:pt idx="7">
                  <c:v>3.4317072338156056E-2</c:v>
                </c:pt>
                <c:pt idx="8">
                  <c:v>4.3704213798758412E-2</c:v>
                </c:pt>
                <c:pt idx="9">
                  <c:v>5.5354300518640445E-2</c:v>
                </c:pt>
                <c:pt idx="10">
                  <c:v>6.9850617619328564E-2</c:v>
                </c:pt>
                <c:pt idx="11">
                  <c:v>8.7906936939619068E-2</c:v>
                </c:pt>
                <c:pt idx="12">
                  <c:v>0.11039379867539353</c:v>
                </c:pt>
                <c:pt idx="13">
                  <c:v>0.13836685517852543</c:v>
                </c:pt>
                <c:pt idx="14">
                  <c:v>0.17309564069397798</c:v>
                </c:pt>
                <c:pt idx="15">
                  <c:v>0.21608978659904837</c:v>
                </c:pt>
                <c:pt idx="16">
                  <c:v>0.26911779382851081</c:v>
                </c:pt>
                <c:pt idx="17">
                  <c:v>0.33421095799757672</c:v>
                </c:pt>
                <c:pt idx="18">
                  <c:v>0.41364204764424217</c:v>
                </c:pt>
                <c:pt idx="19">
                  <c:v>0.50986533743193252</c:v>
                </c:pt>
                <c:pt idx="20">
                  <c:v>0.62540263966842313</c:v>
                </c:pt>
                <c:pt idx="21">
                  <c:v>0.76266085949081008</c:v>
                </c:pt>
                <c:pt idx="22">
                  <c:v>0.92367282779998838</c:v>
                </c:pt>
                <c:pt idx="23">
                  <c:v>1.1097673192554851</c:v>
                </c:pt>
                <c:pt idx="24">
                  <c:v>1.3211973242851096</c:v>
                </c:pt>
                <c:pt idx="25">
                  <c:v>1.5567849714094102</c:v>
                </c:pt>
                <c:pt idx="26">
                  <c:v>1.8136680297231458</c:v>
                </c:pt>
                <c:pt idx="27">
                  <c:v>2.0872420596621031</c:v>
                </c:pt>
                <c:pt idx="28">
                  <c:v>2.3713694379625068</c:v>
                </c:pt>
                <c:pt idx="29">
                  <c:v>2.6588674278563182</c:v>
                </c:pt>
                <c:pt idx="30">
                  <c:v>2.9422071420806182</c:v>
                </c:pt>
                <c:pt idx="31">
                  <c:v>3.2142857707142864</c:v>
                </c:pt>
                <c:pt idx="32">
                  <c:v>3.4691088538316359</c:v>
                </c:pt>
                <c:pt idx="33">
                  <c:v>3.7022507011807959</c:v>
                </c:pt>
                <c:pt idx="34">
                  <c:v>3.9110334066019097</c:v>
                </c:pt>
                <c:pt idx="35">
                  <c:v>4.0944442919944626</c:v>
                </c:pt>
                <c:pt idx="36">
                  <c:v>4.2528671882163289</c:v>
                </c:pt>
                <c:pt idx="37">
                  <c:v>4.3877219568761285</c:v>
                </c:pt>
                <c:pt idx="38">
                  <c:v>4.5010949213127915</c:v>
                </c:pt>
                <c:pt idx="39">
                  <c:v>4.5954154302470887</c:v>
                </c:pt>
                <c:pt idx="40">
                  <c:v>4.6732047942148593</c:v>
                </c:pt>
                <c:pt idx="41">
                  <c:v>4.7369015790663154</c:v>
                </c:pt>
                <c:pt idx="42">
                  <c:v>4.7887540177629253</c:v>
                </c:pt>
                <c:pt idx="43">
                  <c:v>4.8307647658491328</c:v>
                </c:pt>
                <c:pt idx="44">
                  <c:v>4.8646727513281958</c:v>
                </c:pt>
                <c:pt idx="45">
                  <c:v>4.8919590078854958</c:v>
                </c:pt>
                <c:pt idx="46">
                  <c:v>4.9138664150329685</c:v>
                </c:pt>
                <c:pt idx="47">
                  <c:v>4.9314262267345956</c:v>
                </c:pt>
                <c:pt idx="48">
                  <c:v>4.9454867223743113</c:v>
                </c:pt>
                <c:pt idx="49">
                  <c:v>4.9567411564018107</c:v>
                </c:pt>
                <c:pt idx="50">
                  <c:v>4.9657534711809879</c:v>
                </c:pt>
                <c:pt idx="51">
                  <c:v>4.9729810848796872</c:v>
                </c:pt>
                <c:pt idx="52">
                  <c:v>4.9787945908881293</c:v>
                </c:pt>
                <c:pt idx="53">
                  <c:v>4.9834945078052826</c:v>
                </c:pt>
                <c:pt idx="54">
                  <c:v>4.9873253765083989</c:v>
                </c:pt>
                <c:pt idx="55">
                  <c:v>4.990487568374709</c:v>
                </c:pt>
                <c:pt idx="56">
                  <c:v>4.9931471839717876</c:v>
                </c:pt>
                <c:pt idx="57">
                  <c:v>4.9954444091519594</c:v>
                </c:pt>
                <c:pt idx="58">
                  <c:v>4.9975006711408714</c:v>
                </c:pt>
                <c:pt idx="59">
                  <c:v>4.9994249105689352</c:v>
                </c:pt>
                <c:pt idx="60">
                  <c:v>5.0013192623105063</c:v>
                </c:pt>
                <c:pt idx="61">
                  <c:v>5.0032844220278294</c:v>
                </c:pt>
                <c:pt idx="62">
                  <c:v>5.0054249687655403</c:v>
                </c:pt>
                <c:pt idx="63">
                  <c:v>5.0078549185568004</c:v>
                </c:pt>
                <c:pt idx="64">
                  <c:v>5.0107038014814602</c:v>
                </c:pt>
                <c:pt idx="65">
                  <c:v>5.0141235869848391</c:v>
                </c:pt>
                <c:pt idx="66">
                  <c:v>5.0182968322068957</c:v>
                </c:pt>
                <c:pt idx="67">
                  <c:v>5.0234464992759928</c:v>
                </c:pt>
                <c:pt idx="68">
                  <c:v>5.0298479851037605</c:v>
                </c:pt>
                <c:pt idx="69">
                  <c:v>5.0378440382818903</c:v>
                </c:pt>
                <c:pt idx="70">
                  <c:v>5.0478634121254888</c:v>
                </c:pt>
                <c:pt idx="71">
                  <c:v>5.0604443346081629</c:v>
                </c:pt>
                <c:pt idx="72">
                  <c:v>5.0762641845398679</c:v>
                </c:pt>
                <c:pt idx="73">
                  <c:v>5.0961771770150532</c:v>
                </c:pt>
                <c:pt idx="74">
                  <c:v>5.1212624208693756</c:v>
                </c:pt>
                <c:pt idx="75">
                  <c:v>5.152885477160436</c:v>
                </c:pt>
                <c:pt idx="76">
                  <c:v>5.1927776115075019</c:v>
                </c:pt>
                <c:pt idx="77">
                  <c:v>5.2431384336624127</c:v>
                </c:pt>
                <c:pt idx="78">
                  <c:v>5.3067697718028137</c:v>
                </c:pt>
                <c:pt idx="79">
                  <c:v>5.3872517812169516</c:v>
                </c:pt>
                <c:pt idx="80">
                  <c:v>5.4891769956690393</c:v>
                </c:pt>
                <c:pt idx="81">
                  <c:v>5.6184652197543441</c:v>
                </c:pt>
                <c:pt idx="82">
                  <c:v>5.7827934007101902</c:v>
                </c:pt>
                <c:pt idx="83">
                  <c:v>5.9921926391197475</c:v>
                </c:pt>
                <c:pt idx="84">
                  <c:v>6.2598941929735563</c:v>
                </c:pt>
                <c:pt idx="85">
                  <c:v>6.603556758743335</c:v>
                </c:pt>
                <c:pt idx="86">
                  <c:v>7.047095886898072</c:v>
                </c:pt>
                <c:pt idx="87">
                  <c:v>7.6234980173592382</c:v>
                </c:pt>
                <c:pt idx="88">
                  <c:v>8.3793098147820757</c:v>
                </c:pt>
                <c:pt idx="89">
                  <c:v>9.3821121222975457</c:v>
                </c:pt>
              </c:numCache>
            </c:numRef>
          </c:xVal>
          <c:yVal>
            <c:numRef>
              <c:f>CalcSheet!$K$3:$K$143</c:f>
              <c:numCache>
                <c:formatCode>0.00</c:formatCode>
                <c:ptCount val="141"/>
                <c:pt idx="0">
                  <c:v>0.99857225056054177</c:v>
                </c:pt>
                <c:pt idx="1">
                  <c:v>0.99820323417847867</c:v>
                </c:pt>
                <c:pt idx="2">
                  <c:v>0.99773905770265336</c:v>
                </c:pt>
                <c:pt idx="3">
                  <c:v>0.99715530761404481</c:v>
                </c:pt>
                <c:pt idx="4">
                  <c:v>0.99642138034593963</c:v>
                </c:pt>
                <c:pt idx="5">
                  <c:v>0.99549895542630884</c:v>
                </c:pt>
                <c:pt idx="6">
                  <c:v>0.99434011683148216</c:v>
                </c:pt>
                <c:pt idx="7">
                  <c:v>0.99288505611326605</c:v>
                </c:pt>
                <c:pt idx="8">
                  <c:v>0.99105928727410841</c:v>
                </c:pt>
                <c:pt idx="9">
                  <c:v>0.98877030604118876</c:v>
                </c:pt>
                <c:pt idx="10">
                  <c:v>0.98590364023321553</c:v>
                </c:pt>
                <c:pt idx="11">
                  <c:v>0.98231827111984282</c:v>
                </c:pt>
                <c:pt idx="12">
                  <c:v>0.9778414694570976</c:v>
                </c:pt>
                <c:pt idx="13">
                  <c:v>0.97226320011153</c:v>
                </c:pt>
                <c:pt idx="14">
                  <c:v>0.9653304264162198</c:v>
                </c:pt>
                <c:pt idx="15">
                  <c:v>0.95674191344490223</c:v>
                </c:pt>
                <c:pt idx="16">
                  <c:v>0.94614451033043978</c:v>
                </c:pt>
                <c:pt idx="17">
                  <c:v>0.93313239448253471</c:v>
                </c:pt>
                <c:pt idx="18">
                  <c:v>0.91725135917569756</c:v>
                </c:pt>
                <c:pt idx="19">
                  <c:v>0.89801082537522103</c:v>
                </c:pt>
                <c:pt idx="20">
                  <c:v>0.8749066501122098</c:v>
                </c:pt>
                <c:pt idx="21">
                  <c:v>0.84745762711864403</c:v>
                </c:pt>
                <c:pt idx="22">
                  <c:v>0.81525732952721308</c:v>
                </c:pt>
                <c:pt idx="23">
                  <c:v>0.7780401136691395</c:v>
                </c:pt>
                <c:pt idx="24">
                  <c:v>0.73575547057522916</c:v>
                </c:pt>
                <c:pt idx="25">
                  <c:v>0.68863904623832473</c:v>
                </c:pt>
                <c:pt idx="26">
                  <c:v>0.63726334492557901</c:v>
                </c:pt>
                <c:pt idx="27">
                  <c:v>0.58254930212300948</c:v>
                </c:pt>
                <c:pt idx="28">
                  <c:v>0.52572448209953004</c:v>
                </c:pt>
                <c:pt idx="29">
                  <c:v>0.46822546601795634</c:v>
                </c:pt>
                <c:pt idx="30">
                  <c:v>0.4115580611871677</c:v>
                </c:pt>
                <c:pt idx="31">
                  <c:v>0.35714285714285715</c:v>
                </c:pt>
                <c:pt idx="32">
                  <c:v>0.30617877263657073</c:v>
                </c:pt>
                <c:pt idx="33">
                  <c:v>0.25955097316407605</c:v>
                </c:pt>
                <c:pt idx="34">
                  <c:v>0.21779506956383976</c:v>
                </c:pt>
                <c:pt idx="35">
                  <c:v>0.1811136308032015</c:v>
                </c:pt>
                <c:pt idx="36">
                  <c:v>0.14942992956379206</c:v>
                </c:pt>
                <c:pt idx="37">
                  <c:v>0.1224600399332804</c:v>
                </c:pt>
                <c:pt idx="38">
                  <c:v>9.9786753658899566E-2</c:v>
                </c:pt>
                <c:pt idx="39">
                  <c:v>8.0924270399962764E-2</c:v>
                </c:pt>
                <c:pt idx="40">
                  <c:v>6.5368414118432486E-2</c:v>
                </c:pt>
                <c:pt idx="41">
                  <c:v>5.2631578947368418E-2</c:v>
                </c:pt>
                <c:pt idx="42">
                  <c:v>4.2264252534266432E-2</c:v>
                </c:pt>
                <c:pt idx="43">
                  <c:v>3.3866072087118351E-2</c:v>
                </c:pt>
                <c:pt idx="44">
                  <c:v>2.708946335705021E-2</c:v>
                </c:pt>
                <c:pt idx="45">
                  <c:v>2.1638485245410156E-2</c:v>
                </c:pt>
                <c:pt idx="46">
                  <c:v>1.7264895919429084E-2</c:v>
                </c:pt>
                <c:pt idx="47">
                  <c:v>1.3762864877582675E-2</c:v>
                </c:pt>
                <c:pt idx="48">
                  <c:v>1.0963265139923231E-2</c:v>
                </c:pt>
                <c:pt idx="49">
                  <c:v>8.7281114887750276E-3</c:v>
                </c:pt>
                <c:pt idx="50">
                  <c:v>6.9454533559330399E-3</c:v>
                </c:pt>
                <c:pt idx="51">
                  <c:v>5.5248618784530393E-3</c:v>
                </c:pt>
                <c:pt idx="52">
                  <c:v>4.3935462051276743E-3</c:v>
                </c:pt>
                <c:pt idx="53">
                  <c:v>3.4930742424007519E-3</c:v>
                </c:pt>
                <c:pt idx="54">
                  <c:v>2.7766423108263058E-3</c:v>
                </c:pt>
                <c:pt idx="55">
                  <c:v>2.2068256524283504E-3</c:v>
                </c:pt>
                <c:pt idx="56">
                  <c:v>1.7537399153401937E-3</c:v>
                </c:pt>
                <c:pt idx="57">
                  <c:v>1.3935477765322482E-3</c:v>
                </c:pt>
                <c:pt idx="58">
                  <c:v>1.1072516985453263E-3</c:v>
                </c:pt>
                <c:pt idx="59">
                  <c:v>8.7972162646892142E-4</c:v>
                </c:pt>
                <c:pt idx="60">
                  <c:v>6.9891418387079296E-4</c:v>
                </c:pt>
                <c:pt idx="61">
                  <c:v>5.5524708495280405E-4</c:v>
                </c:pt>
                <c:pt idx="62">
                  <c:v>4.4109880971412226E-4</c:v>
                </c:pt>
                <c:pt idx="63">
                  <c:v>3.5040902851670954E-4</c:v>
                </c:pt>
                <c:pt idx="64">
                  <c:v>2.7835984623665648E-4</c:v>
                </c:pt>
                <c:pt idx="65">
                  <c:v>2.2112174466743241E-4</c:v>
                </c:pt>
                <c:pt idx="66">
                  <c:v>1.7565123345537965E-4</c:v>
                </c:pt>
                <c:pt idx="67">
                  <c:v>1.3952977492006458E-4</c:v>
                </c:pt>
                <c:pt idx="68">
                  <c:v>1.1083562049067538E-4</c:v>
                </c:pt>
                <c:pt idx="69">
                  <c:v>8.804186975006054E-5</c:v>
                </c:pt>
                <c:pt idx="70">
                  <c:v>6.9935409351674831E-5</c:v>
                </c:pt>
                <c:pt idx="71">
                  <c:v>5.5552469307260703E-5</c:v>
                </c:pt>
                <c:pt idx="72">
                  <c:v>4.412739906029347E-5</c:v>
                </c:pt>
                <c:pt idx="73">
                  <c:v>3.50519571216894E-5</c:v>
                </c:pt>
                <c:pt idx="74">
                  <c:v>2.7842959949510909E-5</c:v>
                </c:pt>
                <c:pt idx="75">
                  <c:v>2.2116575877002812E-5</c:v>
                </c:pt>
                <c:pt idx="76">
                  <c:v>1.7567900586604477E-5</c:v>
                </c:pt>
                <c:pt idx="77">
                  <c:v>1.3954729882294034E-5</c:v>
                </c:pt>
                <c:pt idx="78">
                  <c:v>1.1084667767494475E-5</c:v>
                </c:pt>
                <c:pt idx="79">
                  <c:v>8.8048846536631034E-6</c:v>
                </c:pt>
                <c:pt idx="80">
                  <c:v>6.9939811494086904E-6</c:v>
                </c:pt>
                <c:pt idx="81">
                  <c:v>5.5555246915294916E-6</c:v>
                </c:pt>
                <c:pt idx="82">
                  <c:v>4.4129151634509364E-6</c:v>
                </c:pt>
                <c:pt idx="83">
                  <c:v>3.5053062932302358E-6</c:v>
                </c:pt>
                <c:pt idx="84">
                  <c:v>2.7843657674371905E-6</c:v>
                </c:pt>
                <c:pt idx="85">
                  <c:v>2.2117016114401428E-6</c:v>
                </c:pt>
                <c:pt idx="86">
                  <c:v>1.7568178359014329E-6</c:v>
                </c:pt>
                <c:pt idx="87">
                  <c:v>1.3954905145532723E-6</c:v>
                </c:pt>
                <c:pt idx="88">
                  <c:v>1.1084778351471273E-6</c:v>
                </c:pt>
                <c:pt idx="89">
                  <c:v>8.8049544276103958E-7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26-40EC-B495-718F6764EA77}"/>
            </c:ext>
          </c:extLst>
        </c:ser>
        <c:ser>
          <c:idx val="1"/>
          <c:order val="1"/>
          <c:tx>
            <c:v>Alpha A-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CalcSheet!$N$3:$N$143</c:f>
              <c:numCache>
                <c:formatCode>0.00</c:formatCode>
                <c:ptCount val="141"/>
                <c:pt idx="0">
                  <c:v>8.4391166544564534E-4</c:v>
                </c:pt>
                <c:pt idx="1">
                  <c:v>3.9830375509007018E-3</c:v>
                </c:pt>
                <c:pt idx="2">
                  <c:v>7.3319118836246509E-3</c:v>
                </c:pt>
                <c:pt idx="3">
                  <c:v>1.1067286617473596E-2</c:v>
                </c:pt>
                <c:pt idx="4">
                  <c:v>1.5385629968176858E-2</c:v>
                </c:pt>
                <c:pt idx="5">
                  <c:v>2.0513066431355875E-2</c:v>
                </c:pt>
                <c:pt idx="6">
                  <c:v>2.6716603292717821E-2</c:v>
                </c:pt>
                <c:pt idx="7">
                  <c:v>3.4317072338156056E-2</c:v>
                </c:pt>
                <c:pt idx="8">
                  <c:v>4.3704213798758412E-2</c:v>
                </c:pt>
                <c:pt idx="9">
                  <c:v>5.5354300518640445E-2</c:v>
                </c:pt>
                <c:pt idx="10">
                  <c:v>6.9850617619328564E-2</c:v>
                </c:pt>
                <c:pt idx="11">
                  <c:v>8.7906936939619068E-2</c:v>
                </c:pt>
                <c:pt idx="12">
                  <c:v>0.11039379867539353</c:v>
                </c:pt>
                <c:pt idx="13">
                  <c:v>0.13836685517852543</c:v>
                </c:pt>
                <c:pt idx="14">
                  <c:v>0.17309564069397798</c:v>
                </c:pt>
                <c:pt idx="15">
                  <c:v>0.21608978659904837</c:v>
                </c:pt>
                <c:pt idx="16">
                  <c:v>0.26911779382851081</c:v>
                </c:pt>
                <c:pt idx="17">
                  <c:v>0.33421095799757672</c:v>
                </c:pt>
                <c:pt idx="18">
                  <c:v>0.41364204764424217</c:v>
                </c:pt>
                <c:pt idx="19">
                  <c:v>0.50986533743193252</c:v>
                </c:pt>
                <c:pt idx="20">
                  <c:v>0.62540263966842313</c:v>
                </c:pt>
                <c:pt idx="21">
                  <c:v>0.76266085949081008</c:v>
                </c:pt>
                <c:pt idx="22">
                  <c:v>0.92367282779998838</c:v>
                </c:pt>
                <c:pt idx="23">
                  <c:v>1.1097673192554851</c:v>
                </c:pt>
                <c:pt idx="24">
                  <c:v>1.3211973242851096</c:v>
                </c:pt>
                <c:pt idx="25">
                  <c:v>1.5567849714094102</c:v>
                </c:pt>
                <c:pt idx="26">
                  <c:v>1.8136680297231458</c:v>
                </c:pt>
                <c:pt idx="27">
                  <c:v>2.0872420596621031</c:v>
                </c:pt>
                <c:pt idx="28">
                  <c:v>2.3713694379625068</c:v>
                </c:pt>
                <c:pt idx="29">
                  <c:v>2.6588674278563182</c:v>
                </c:pt>
                <c:pt idx="30">
                  <c:v>2.9422071420806182</c:v>
                </c:pt>
                <c:pt idx="31">
                  <c:v>3.2142857707142864</c:v>
                </c:pt>
                <c:pt idx="32">
                  <c:v>3.4691088538316359</c:v>
                </c:pt>
                <c:pt idx="33">
                  <c:v>3.7022507011807959</c:v>
                </c:pt>
                <c:pt idx="34">
                  <c:v>3.9110334066019097</c:v>
                </c:pt>
                <c:pt idx="35">
                  <c:v>4.0944442919944626</c:v>
                </c:pt>
                <c:pt idx="36">
                  <c:v>4.2528671882163289</c:v>
                </c:pt>
                <c:pt idx="37">
                  <c:v>4.3877219568761285</c:v>
                </c:pt>
                <c:pt idx="38">
                  <c:v>4.5010949213127915</c:v>
                </c:pt>
                <c:pt idx="39">
                  <c:v>4.5954154302470887</c:v>
                </c:pt>
                <c:pt idx="40">
                  <c:v>4.6732047942148593</c:v>
                </c:pt>
                <c:pt idx="41">
                  <c:v>4.7369015790663154</c:v>
                </c:pt>
                <c:pt idx="42">
                  <c:v>4.7887540177629253</c:v>
                </c:pt>
                <c:pt idx="43">
                  <c:v>4.8307647658491328</c:v>
                </c:pt>
                <c:pt idx="44">
                  <c:v>4.8646727513281958</c:v>
                </c:pt>
                <c:pt idx="45">
                  <c:v>4.8919590078854958</c:v>
                </c:pt>
                <c:pt idx="46">
                  <c:v>4.9138664150329685</c:v>
                </c:pt>
                <c:pt idx="47">
                  <c:v>4.9314262267345956</c:v>
                </c:pt>
                <c:pt idx="48">
                  <c:v>4.9454867223743113</c:v>
                </c:pt>
                <c:pt idx="49">
                  <c:v>4.9567411564018107</c:v>
                </c:pt>
                <c:pt idx="50">
                  <c:v>4.9657534711809879</c:v>
                </c:pt>
                <c:pt idx="51">
                  <c:v>4.9729810848796872</c:v>
                </c:pt>
                <c:pt idx="52">
                  <c:v>4.9787945908881293</c:v>
                </c:pt>
                <c:pt idx="53">
                  <c:v>4.9834945078052826</c:v>
                </c:pt>
                <c:pt idx="54">
                  <c:v>4.9873253765083989</c:v>
                </c:pt>
                <c:pt idx="55">
                  <c:v>4.990487568374709</c:v>
                </c:pt>
                <c:pt idx="56">
                  <c:v>4.9931471839717876</c:v>
                </c:pt>
                <c:pt idx="57">
                  <c:v>4.9954444091519594</c:v>
                </c:pt>
                <c:pt idx="58">
                  <c:v>4.9975006711408714</c:v>
                </c:pt>
                <c:pt idx="59">
                  <c:v>4.9994249105689352</c:v>
                </c:pt>
                <c:pt idx="60">
                  <c:v>5.0013192623105063</c:v>
                </c:pt>
                <c:pt idx="61">
                  <c:v>5.0032844220278294</c:v>
                </c:pt>
                <c:pt idx="62">
                  <c:v>5.0054249687655403</c:v>
                </c:pt>
                <c:pt idx="63">
                  <c:v>5.0078549185568004</c:v>
                </c:pt>
                <c:pt idx="64">
                  <c:v>5.0107038014814602</c:v>
                </c:pt>
                <c:pt idx="65">
                  <c:v>5.0141235869848391</c:v>
                </c:pt>
                <c:pt idx="66">
                  <c:v>5.0182968322068957</c:v>
                </c:pt>
                <c:pt idx="67">
                  <c:v>5.0234464992759928</c:v>
                </c:pt>
                <c:pt idx="68">
                  <c:v>5.0298479851037605</c:v>
                </c:pt>
                <c:pt idx="69">
                  <c:v>5.0378440382818903</c:v>
                </c:pt>
                <c:pt idx="70">
                  <c:v>5.0478634121254888</c:v>
                </c:pt>
                <c:pt idx="71">
                  <c:v>5.0604443346081629</c:v>
                </c:pt>
                <c:pt idx="72">
                  <c:v>5.0762641845398679</c:v>
                </c:pt>
                <c:pt idx="73">
                  <c:v>5.0961771770150532</c:v>
                </c:pt>
                <c:pt idx="74">
                  <c:v>5.1212624208693756</c:v>
                </c:pt>
                <c:pt idx="75">
                  <c:v>5.152885477160436</c:v>
                </c:pt>
                <c:pt idx="76">
                  <c:v>5.1927776115075019</c:v>
                </c:pt>
                <c:pt idx="77">
                  <c:v>5.2431384336624127</c:v>
                </c:pt>
                <c:pt idx="78">
                  <c:v>5.3067697718028137</c:v>
                </c:pt>
                <c:pt idx="79">
                  <c:v>5.3872517812169516</c:v>
                </c:pt>
                <c:pt idx="80">
                  <c:v>5.4891769956690393</c:v>
                </c:pt>
                <c:pt idx="81">
                  <c:v>5.6184652197543441</c:v>
                </c:pt>
                <c:pt idx="82">
                  <c:v>5.7827934007101902</c:v>
                </c:pt>
                <c:pt idx="83">
                  <c:v>5.9921926391197475</c:v>
                </c:pt>
                <c:pt idx="84">
                  <c:v>6.2598941929735563</c:v>
                </c:pt>
                <c:pt idx="85">
                  <c:v>6.603556758743335</c:v>
                </c:pt>
                <c:pt idx="86">
                  <c:v>7.047095886898072</c:v>
                </c:pt>
                <c:pt idx="87">
                  <c:v>7.6234980173592382</c:v>
                </c:pt>
                <c:pt idx="88">
                  <c:v>8.3793098147820757</c:v>
                </c:pt>
                <c:pt idx="89">
                  <c:v>9.3821121222975457</c:v>
                </c:pt>
              </c:numCache>
            </c:numRef>
          </c:xVal>
          <c:yVal>
            <c:numRef>
              <c:f>CalcSheet!$L$3:$L$143</c:f>
              <c:numCache>
                <c:formatCode>0.00</c:formatCode>
                <c:ptCount val="141"/>
                <c:pt idx="0">
                  <c:v>1.4277494394583346E-3</c:v>
                </c:pt>
                <c:pt idx="1">
                  <c:v>1.7967658215212617E-3</c:v>
                </c:pt>
                <c:pt idx="2">
                  <c:v>2.2609422973465872E-3</c:v>
                </c:pt>
                <c:pt idx="3">
                  <c:v>2.8446923859551431E-3</c:v>
                </c:pt>
                <c:pt idx="4">
                  <c:v>3.5786196540603461E-3</c:v>
                </c:pt>
                <c:pt idx="5">
                  <c:v>4.5010445736911597E-3</c:v>
                </c:pt>
                <c:pt idx="6">
                  <c:v>5.6598831685177502E-3</c:v>
                </c:pt>
                <c:pt idx="7">
                  <c:v>7.1149438867338516E-3</c:v>
                </c:pt>
                <c:pt idx="8">
                  <c:v>8.9407127258914892E-3</c:v>
                </c:pt>
                <c:pt idx="9">
                  <c:v>1.1229693958811099E-2</c:v>
                </c:pt>
                <c:pt idx="10">
                  <c:v>1.4096359766784493E-2</c:v>
                </c:pt>
                <c:pt idx="11">
                  <c:v>1.768172888015717E-2</c:v>
                </c:pt>
                <c:pt idx="12">
                  <c:v>2.2158530542902444E-2</c:v>
                </c:pt>
                <c:pt idx="13">
                  <c:v>2.773679988847003E-2</c:v>
                </c:pt>
                <c:pt idx="14">
                  <c:v>3.4669573583780228E-2</c:v>
                </c:pt>
                <c:pt idx="15">
                  <c:v>4.3258086555097809E-2</c:v>
                </c:pt>
                <c:pt idx="16">
                  <c:v>5.3855489669560247E-2</c:v>
                </c:pt>
                <c:pt idx="17">
                  <c:v>6.6867605517465303E-2</c:v>
                </c:pt>
                <c:pt idx="18">
                  <c:v>8.2748640824302402E-2</c:v>
                </c:pt>
                <c:pt idx="19">
                  <c:v>0.10198917462477902</c:v>
                </c:pt>
                <c:pt idx="20">
                  <c:v>0.12509334988779022</c:v>
                </c:pt>
                <c:pt idx="21">
                  <c:v>0.15254237288135594</c:v>
                </c:pt>
                <c:pt idx="22">
                  <c:v>0.18474267047278684</c:v>
                </c:pt>
                <c:pt idx="23">
                  <c:v>0.22195988633086047</c:v>
                </c:pt>
                <c:pt idx="24">
                  <c:v>0.26424452942477089</c:v>
                </c:pt>
                <c:pt idx="25">
                  <c:v>0.31136095376167516</c:v>
                </c:pt>
                <c:pt idx="26">
                  <c:v>0.36273665507442093</c:v>
                </c:pt>
                <c:pt idx="27">
                  <c:v>0.41745069787699063</c:v>
                </c:pt>
                <c:pt idx="28">
                  <c:v>0.47427551790046985</c:v>
                </c:pt>
                <c:pt idx="29">
                  <c:v>0.53177453398204366</c:v>
                </c:pt>
                <c:pt idx="30">
                  <c:v>0.58844193881283235</c:v>
                </c:pt>
                <c:pt idx="31">
                  <c:v>0.6428571428571429</c:v>
                </c:pt>
                <c:pt idx="32">
                  <c:v>0.69382122736342922</c:v>
                </c:pt>
                <c:pt idx="33">
                  <c:v>0.74044902683592406</c:v>
                </c:pt>
                <c:pt idx="34">
                  <c:v>0.78220493043616024</c:v>
                </c:pt>
                <c:pt idx="35">
                  <c:v>0.81888636919679847</c:v>
                </c:pt>
                <c:pt idx="36">
                  <c:v>0.85057007043620791</c:v>
                </c:pt>
                <c:pt idx="37">
                  <c:v>0.87753996006671953</c:v>
                </c:pt>
                <c:pt idx="38">
                  <c:v>0.90021324634110045</c:v>
                </c:pt>
                <c:pt idx="39">
                  <c:v>0.91907572960003714</c:v>
                </c:pt>
                <c:pt idx="40">
                  <c:v>0.93463158588156747</c:v>
                </c:pt>
                <c:pt idx="41">
                  <c:v>0.94736842105263153</c:v>
                </c:pt>
                <c:pt idx="42">
                  <c:v>0.95773574746573353</c:v>
                </c:pt>
                <c:pt idx="43">
                  <c:v>0.96613392791288166</c:v>
                </c:pt>
                <c:pt idx="44">
                  <c:v>0.9729105366429498</c:v>
                </c:pt>
                <c:pt idx="45">
                  <c:v>0.97836151475458988</c:v>
                </c:pt>
                <c:pt idx="46">
                  <c:v>0.98273510408057085</c:v>
                </c:pt>
                <c:pt idx="47">
                  <c:v>0.98623713512241729</c:v>
                </c:pt>
                <c:pt idx="48">
                  <c:v>0.98903673486007671</c:v>
                </c:pt>
                <c:pt idx="49">
                  <c:v>0.99127188851122494</c:v>
                </c:pt>
                <c:pt idx="50">
                  <c:v>0.993054546644067</c:v>
                </c:pt>
                <c:pt idx="51">
                  <c:v>0.99447513812154698</c:v>
                </c:pt>
                <c:pt idx="52">
                  <c:v>0.99560645379487223</c:v>
                </c:pt>
                <c:pt idx="53">
                  <c:v>0.99650692575759914</c:v>
                </c:pt>
                <c:pt idx="54">
                  <c:v>0.9972233576891737</c:v>
                </c:pt>
                <c:pt idx="55">
                  <c:v>0.99779317434757164</c:v>
                </c:pt>
                <c:pt idx="56">
                  <c:v>0.99824626008465989</c:v>
                </c:pt>
                <c:pt idx="57">
                  <c:v>0.99860645222346767</c:v>
                </c:pt>
                <c:pt idx="58">
                  <c:v>0.99889274830145458</c:v>
                </c:pt>
                <c:pt idx="59">
                  <c:v>0.99912027837353112</c:v>
                </c:pt>
                <c:pt idx="60">
                  <c:v>0.9993010858161292</c:v>
                </c:pt>
                <c:pt idx="61">
                  <c:v>0.9994447529150472</c:v>
                </c:pt>
                <c:pt idx="62">
                  <c:v>0.9995589011902859</c:v>
                </c:pt>
                <c:pt idx="63">
                  <c:v>0.99964959097148332</c:v>
                </c:pt>
                <c:pt idx="64">
                  <c:v>0.9997216401537633</c:v>
                </c:pt>
                <c:pt idx="65">
                  <c:v>0.99977887825533251</c:v>
                </c:pt>
                <c:pt idx="66">
                  <c:v>0.99982434876654458</c:v>
                </c:pt>
                <c:pt idx="67">
                  <c:v>0.99986047022507996</c:v>
                </c:pt>
                <c:pt idx="68">
                  <c:v>0.99988916437950937</c:v>
                </c:pt>
                <c:pt idx="69">
                  <c:v>0.99991195813024991</c:v>
                </c:pt>
                <c:pt idx="70">
                  <c:v>0.99993006459064837</c:v>
                </c:pt>
                <c:pt idx="71">
                  <c:v>0.99994444753069267</c:v>
                </c:pt>
                <c:pt idx="72">
                  <c:v>0.99995587260093965</c:v>
                </c:pt>
                <c:pt idx="73">
                  <c:v>0.99996494804287839</c:v>
                </c:pt>
                <c:pt idx="74">
                  <c:v>0.99997215704005049</c:v>
                </c:pt>
                <c:pt idx="75">
                  <c:v>0.99997788342412297</c:v>
                </c:pt>
                <c:pt idx="76">
                  <c:v>0.9999824320994134</c:v>
                </c:pt>
                <c:pt idx="77">
                  <c:v>0.99998604527011781</c:v>
                </c:pt>
                <c:pt idx="78">
                  <c:v>0.99998891533223244</c:v>
                </c:pt>
                <c:pt idx="79">
                  <c:v>0.9999911951153464</c:v>
                </c:pt>
                <c:pt idx="80">
                  <c:v>0.99999300601885055</c:v>
                </c:pt>
                <c:pt idx="81">
                  <c:v>0.9999944444753085</c:v>
                </c:pt>
                <c:pt idx="82">
                  <c:v>0.9999955870848366</c:v>
                </c:pt>
                <c:pt idx="83">
                  <c:v>0.99999649469370666</c:v>
                </c:pt>
                <c:pt idx="84">
                  <c:v>0.99999721563423249</c:v>
                </c:pt>
                <c:pt idx="85">
                  <c:v>0.99999778829838859</c:v>
                </c:pt>
                <c:pt idx="86">
                  <c:v>0.99999824318216401</c:v>
                </c:pt>
                <c:pt idx="87">
                  <c:v>0.99999860450948552</c:v>
                </c:pt>
                <c:pt idx="88">
                  <c:v>0.99999889152216481</c:v>
                </c:pt>
                <c:pt idx="89">
                  <c:v>0.99999911950455722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26-40EC-B495-718F6764E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121807"/>
        <c:axId val="664783903"/>
      </c:scatterChart>
      <c:valAx>
        <c:axId val="976121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 Titrant (mL)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783903"/>
        <c:crosses val="autoZero"/>
        <c:crossBetween val="midCat"/>
      </c:valAx>
      <c:valAx>
        <c:axId val="6647839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Alpha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12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Strong Acid Weak Base - Alpha 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420246000496744"/>
          <c:y val="0.18028414934125744"/>
          <c:w val="0.76868529484084158"/>
          <c:h val="0.55102283735223123"/>
        </c:manualLayout>
      </c:layout>
      <c:scatterChart>
        <c:scatterStyle val="smoothMarker"/>
        <c:varyColors val="0"/>
        <c:ser>
          <c:idx val="0"/>
          <c:order val="0"/>
          <c:tx>
            <c:v>Alpha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CalcSheet!$AB$3:$AB$143</c:f>
              <c:numCache>
                <c:formatCode>0.00</c:formatCode>
                <c:ptCount val="141"/>
                <c:pt idx="0">
                  <c:v>9.3324639448468751</c:v>
                </c:pt>
                <c:pt idx="1">
                  <c:v>8.3421298217632653</c:v>
                </c:pt>
                <c:pt idx="2">
                  <c:v>7.595283001636985</c:v>
                </c:pt>
                <c:pt idx="3">
                  <c:v>7.0254682331856095</c:v>
                </c:pt>
                <c:pt idx="4">
                  <c:v>6.5868513891152265</c:v>
                </c:pt>
                <c:pt idx="5">
                  <c:v>6.2469155078789855</c:v>
                </c:pt>
                <c:pt idx="6">
                  <c:v>5.9820648301685404</c:v>
                </c:pt>
                <c:pt idx="7">
                  <c:v>5.7748646252425484</c:v>
                </c:pt>
                <c:pt idx="8">
                  <c:v>5.612244182193237</c:v>
                </c:pt>
                <c:pt idx="9">
                  <c:v>5.4842897583376153</c:v>
                </c:pt>
                <c:pt idx="10">
                  <c:v>5.3834116225487394</c:v>
                </c:pt>
                <c:pt idx="11">
                  <c:v>5.3037557102825001</c:v>
                </c:pt>
                <c:pt idx="12">
                  <c:v>5.2407796625739271</c:v>
                </c:pt>
                <c:pt idx="13">
                  <c:v>5.1909420650854301</c:v>
                </c:pt>
                <c:pt idx="14">
                  <c:v>5.151471351033047</c:v>
                </c:pt>
                <c:pt idx="15">
                  <c:v>5.1201918518693015</c:v>
                </c:pt>
                <c:pt idx="16">
                  <c:v>5.0953915364969253</c:v>
                </c:pt>
                <c:pt idx="17">
                  <c:v>5.0757206060917106</c:v>
                </c:pt>
                <c:pt idx="18">
                  <c:v>5.0601132119376118</c:v>
                </c:pt>
                <c:pt idx="19">
                  <c:v>5.0477266846783513</c:v>
                </c:pt>
                <c:pt idx="20">
                  <c:v>5.037894142642342</c:v>
                </c:pt>
                <c:pt idx="21">
                  <c:v>5.0300873971369597</c:v>
                </c:pt>
                <c:pt idx="22">
                  <c:v>5.0238878305127734</c:v>
                </c:pt>
                <c:pt idx="23">
                  <c:v>5.0189634778341663</c:v>
                </c:pt>
                <c:pt idx="24">
                  <c:v>5.0150509547944786</c:v>
                </c:pt>
                <c:pt idx="25">
                  <c:v>5.0119411835415626</c:v>
                </c:pt>
                <c:pt idx="26">
                  <c:v>5.0094681022607359</c:v>
                </c:pt>
                <c:pt idx="27">
                  <c:v>5.0074997232953713</c:v>
                </c:pt>
                <c:pt idx="28">
                  <c:v>5.0059310422422403</c:v>
                </c:pt>
                <c:pt idx="29">
                  <c:v>5.004678406945974</c:v>
                </c:pt>
                <c:pt idx="30">
                  <c:v>5.0036750380435455</c:v>
                </c:pt>
                <c:pt idx="31">
                  <c:v>5.002867457170928</c:v>
                </c:pt>
                <c:pt idx="32">
                  <c:v>5.0022126292572855</c:v>
                </c:pt>
                <c:pt idx="33">
                  <c:v>5.0016756646070117</c:v>
                </c:pt>
                <c:pt idx="34">
                  <c:v>5.0012279570691636</c:v>
                </c:pt>
                <c:pt idx="35">
                  <c:v>5.0008456583179957</c:v>
                </c:pt>
                <c:pt idx="36">
                  <c:v>5.0005084064894403</c:v>
                </c:pt>
                <c:pt idx="37">
                  <c:v>5.0001982411764372</c:v>
                </c:pt>
                <c:pt idx="38">
                  <c:v>4.9998986468597275</c:v>
                </c:pt>
                <c:pt idx="39">
                  <c:v>4.9995936738090467</c:v>
                </c:pt>
                <c:pt idx="40">
                  <c:v>4.9992670897282876</c:v>
                </c:pt>
                <c:pt idx="41">
                  <c:v>4.9989015171878144</c:v>
                </c:pt>
                <c:pt idx="42">
                  <c:v>4.9984775113099431</c:v>
                </c:pt>
                <c:pt idx="43">
                  <c:v>4.9979725292577495</c:v>
                </c:pt>
                <c:pt idx="44">
                  <c:v>4.9973597377245333</c:v>
                </c:pt>
                <c:pt idx="45">
                  <c:v>4.9966065966336535</c:v>
                </c:pt>
                <c:pt idx="46">
                  <c:v>4.9956731463473094</c:v>
                </c:pt>
                <c:pt idx="47">
                  <c:v>4.9945099114809484</c:v>
                </c:pt>
                <c:pt idx="48">
                  <c:v>4.993055316507002</c:v>
                </c:pt>
                <c:pt idx="49">
                  <c:v>4.9912324862813993</c:v>
                </c:pt>
                <c:pt idx="50">
                  <c:v>4.9889452780907435</c:v>
                </c:pt>
                <c:pt idx="51">
                  <c:v>4.9860733606752028</c:v>
                </c:pt>
                <c:pt idx="52">
                  <c:v>4.9824661202831892</c:v>
                </c:pt>
                <c:pt idx="53">
                  <c:v>4.977935135385958</c:v>
                </c:pt>
                <c:pt idx="54">
                  <c:v>4.9722449229676657</c:v>
                </c:pt>
                <c:pt idx="55">
                  <c:v>4.9651016255615819</c:v>
                </c:pt>
                <c:pt idx="56">
                  <c:v>4.9561392886775097</c:v>
                </c:pt>
                <c:pt idx="57">
                  <c:v>4.9449033883769093</c:v>
                </c:pt>
                <c:pt idx="58">
                  <c:v>4.9308313330982063</c:v>
                </c:pt>
                <c:pt idx="59">
                  <c:v>4.9132298201174702</c:v>
                </c:pt>
                <c:pt idx="60">
                  <c:v>4.8912492306501409</c:v>
                </c:pt>
                <c:pt idx="61">
                  <c:v>4.8638557759476946</c:v>
                </c:pt>
                <c:pt idx="62">
                  <c:v>4.8298029607664343</c:v>
                </c:pt>
                <c:pt idx="63">
                  <c:v>4.7876052286164903</c:v>
                </c:pt>
                <c:pt idx="64">
                  <c:v>4.7355185079924569</c:v>
                </c:pt>
                <c:pt idx="65">
                  <c:v>4.6715348435521244</c:v>
                </c:pt>
                <c:pt idx="66">
                  <c:v>4.5934012614774389</c:v>
                </c:pt>
                <c:pt idx="67">
                  <c:v>4.498676045179498</c:v>
                </c:pt>
                <c:pt idx="68">
                  <c:v>4.3848376980468942</c:v>
                </c:pt>
                <c:pt idx="69">
                  <c:v>4.2494613095722622</c:v>
                </c:pt>
                <c:pt idx="70">
                  <c:v>4.090471358571552</c:v>
                </c:pt>
                <c:pt idx="71">
                  <c:v>3.9064665652137944</c:v>
                </c:pt>
                <c:pt idx="72">
                  <c:v>3.6970899503720642</c:v>
                </c:pt>
                <c:pt idx="73">
                  <c:v>3.4633881945620772</c:v>
                </c:pt>
                <c:pt idx="74">
                  <c:v>3.2080771243202597</c:v>
                </c:pt>
                <c:pt idx="75">
                  <c:v>2.9356189593644166</c:v>
                </c:pt>
                <c:pt idx="76">
                  <c:v>2.6520367686358659</c:v>
                </c:pt>
                <c:pt idx="77">
                  <c:v>2.364447914943661</c:v>
                </c:pt>
                <c:pt idx="78">
                  <c:v>2.0803778860187876</c:v>
                </c:pt>
                <c:pt idx="79">
                  <c:v>1.8069876721590949</c:v>
                </c:pt>
                <c:pt idx="80">
                  <c:v>1.5503779566144313</c:v>
                </c:pt>
                <c:pt idx="81">
                  <c:v>1.3151065462759959</c:v>
                </c:pt>
                <c:pt idx="82">
                  <c:v>1.1039853410642562</c:v>
                </c:pt>
                <c:pt idx="83">
                  <c:v>0.91814298067573774</c:v>
                </c:pt>
                <c:pt idx="84">
                  <c:v>0.75728097895851465</c:v>
                </c:pt>
                <c:pt idx="85">
                  <c:v>0.62002913590799436</c:v>
                </c:pt>
                <c:pt idx="86">
                  <c:v>0.5043157175552524</c:v>
                </c:pt>
                <c:pt idx="87">
                  <c:v>0.40769462494614278</c:v>
                </c:pt>
                <c:pt idx="88">
                  <c:v>0.32760102004764075</c:v>
                </c:pt>
                <c:pt idx="89">
                  <c:v>0.2615298270211317</c:v>
                </c:pt>
                <c:pt idx="90">
                  <c:v>0.20714545573637844</c:v>
                </c:pt>
                <c:pt idx="91">
                  <c:v>0.16233714190060858</c:v>
                </c:pt>
                <c:pt idx="92">
                  <c:v>0.12523505291780235</c:v>
                </c:pt>
                <c:pt idx="93">
                  <c:v>9.4200263336529338E-2</c:v>
                </c:pt>
                <c:pt idx="94">
                  <c:v>6.7798638984226861E-2</c:v>
                </c:pt>
                <c:pt idx="95">
                  <c:v>4.4765610722933231E-2</c:v>
                </c:pt>
                <c:pt idx="96">
                  <c:v>2.3966230101277713E-2</c:v>
                </c:pt>
                <c:pt idx="97">
                  <c:v>4.3529014261670254E-3</c:v>
                </c:pt>
              </c:numCache>
            </c:numRef>
          </c:xVal>
          <c:yVal>
            <c:numRef>
              <c:f>CalcSheet!$Z$3:$Z$143</c:f>
              <c:numCache>
                <c:formatCode>0.00</c:formatCode>
                <c:ptCount val="141"/>
                <c:pt idx="0">
                  <c:v>2.2232529011071928E-8</c:v>
                </c:pt>
                <c:pt idx="1">
                  <c:v>2.7989095579368412E-8</c:v>
                </c:pt>
                <c:pt idx="2">
                  <c:v>3.5236183422642939E-8</c:v>
                </c:pt>
                <c:pt idx="3">
                  <c:v>4.4359726320687706E-8</c:v>
                </c:pt>
                <c:pt idx="4">
                  <c:v>5.5845586083913744E-8</c:v>
                </c:pt>
                <c:pt idx="5">
                  <c:v>7.030542644097237E-8</c:v>
                </c:pt>
                <c:pt idx="6">
                  <c:v>8.8509286322354912E-8</c:v>
                </c:pt>
                <c:pt idx="7">
                  <c:v>1.1142658717738161E-7</c:v>
                </c:pt>
                <c:pt idx="8">
                  <c:v>1.4027775809992559E-7</c:v>
                </c:pt>
                <c:pt idx="9">
                  <c:v>1.7659922796716679E-7</c:v>
                </c:pt>
                <c:pt idx="10">
                  <c:v>2.2232524562504728E-7</c:v>
                </c:pt>
                <c:pt idx="11">
                  <c:v>2.7989088528864943E-7</c:v>
                </c:pt>
                <c:pt idx="12">
                  <c:v>3.5236172248348896E-7</c:v>
                </c:pt>
                <c:pt idx="13">
                  <c:v>4.4359708610626928E-7</c:v>
                </c:pt>
                <c:pt idx="14">
                  <c:v>5.5845558015362504E-7</c:v>
                </c:pt>
                <c:pt idx="15">
                  <c:v>7.0305381955323679E-7</c:v>
                </c:pt>
                <c:pt idx="16">
                  <c:v>8.8509215817367144E-7</c:v>
                </c:pt>
                <c:pt idx="17">
                  <c:v>1.1142647543453471E-6</c:v>
                </c:pt>
                <c:pt idx="18">
                  <c:v>1.4027758099950441E-6</c:v>
                </c:pt>
                <c:pt idx="19">
                  <c:v>1.765989472820271E-6</c:v>
                </c:pt>
                <c:pt idx="20">
                  <c:v>2.2232480076930385E-6</c:v>
                </c:pt>
                <c:pt idx="21">
                  <c:v>2.7989018024025647E-6</c:v>
                </c:pt>
                <c:pt idx="22">
                  <c:v>3.5236060505798141E-6</c:v>
                </c:pt>
                <c:pt idx="23">
                  <c:v>4.435953151079663E-6</c:v>
                </c:pt>
                <c:pt idx="24">
                  <c:v>5.5845277331401748E-6</c:v>
                </c:pt>
                <c:pt idx="25">
                  <c:v>7.0304937101932685E-6</c:v>
                </c:pt>
                <c:pt idx="26">
                  <c:v>8.8508510773667861E-6</c:v>
                </c:pt>
                <c:pt idx="27">
                  <c:v>1.1142535801839201E-5</c:v>
                </c:pt>
                <c:pt idx="28">
                  <c:v>1.4027581001988721E-5</c:v>
                </c:pt>
                <c:pt idx="29">
                  <c:v>1.765961404797017E-5</c:v>
                </c:pt>
                <c:pt idx="30">
                  <c:v>2.2232035230978064E-5</c:v>
                </c:pt>
                <c:pt idx="31">
                  <c:v>2.7988312995168432E-5</c:v>
                </c:pt>
                <c:pt idx="32">
                  <c:v>3.5234943119269301E-5</c:v>
                </c:pt>
                <c:pt idx="33">
                  <c:v>4.4357760590265888E-5</c:v>
                </c:pt>
                <c:pt idx="34">
                  <c:v>5.5842470646967571E-5</c:v>
                </c:pt>
                <c:pt idx="35">
                  <c:v>7.0300488877628756E-5</c:v>
                </c:pt>
                <c:pt idx="36">
                  <c:v>8.8501460954408472E-5</c:v>
                </c:pt>
                <c:pt idx="37">
                  <c:v>1.1141418508947641E-4</c:v>
                </c:pt>
                <c:pt idx="38">
                  <c:v>1.4025810268281807E-4</c:v>
                </c:pt>
                <c:pt idx="39">
                  <c:v>1.7656807736280713E-4</c:v>
                </c:pt>
                <c:pt idx="40">
                  <c:v>2.22275877503524E-4</c:v>
                </c:pt>
                <c:pt idx="41">
                  <c:v>2.7981264659628812E-4</c:v>
                </c:pt>
                <c:pt idx="42">
                  <c:v>3.5223773150478652E-4</c:v>
                </c:pt>
                <c:pt idx="43">
                  <c:v>4.4340059158707381E-4</c:v>
                </c:pt>
                <c:pt idx="44">
                  <c:v>5.5814419311318907E-4</c:v>
                </c:pt>
                <c:pt idx="45">
                  <c:v>7.0256037573536597E-4</c:v>
                </c:pt>
                <c:pt idx="46">
                  <c:v>8.8431024480666476E-4</c:v>
                </c:pt>
                <c:pt idx="47">
                  <c:v>1.1130257891432368E-3</c:v>
                </c:pt>
                <c:pt idx="48">
                  <c:v>1.4008127487829573E-3</c:v>
                </c:pt>
                <c:pt idx="49">
                  <c:v>1.7628793596556577E-3</c:v>
                </c:pt>
                <c:pt idx="50">
                  <c:v>2.2183210616900928E-3</c:v>
                </c:pt>
                <c:pt idx="51">
                  <c:v>2.791097606289759E-3</c:v>
                </c:pt>
                <c:pt idx="52">
                  <c:v>3.5112461745623242E-3</c:v>
                </c:pt>
                <c:pt idx="53">
                  <c:v>4.4163818788310093E-3</c:v>
                </c:pt>
                <c:pt idx="54">
                  <c:v>5.5535448219896097E-3</c:v>
                </c:pt>
                <c:pt idx="55">
                  <c:v>6.9814596848990201E-3</c:v>
                </c:pt>
                <c:pt idx="56">
                  <c:v>8.7732777534851696E-3</c:v>
                </c:pt>
                <c:pt idx="57">
                  <c:v>1.1019869302888436E-2</c:v>
                </c:pt>
                <c:pt idx="58">
                  <c:v>1.3833721408026297E-2</c:v>
                </c:pt>
                <c:pt idx="59">
                  <c:v>1.7353465009010541E-2</c:v>
                </c:pt>
                <c:pt idx="60">
                  <c:v>2.1748994346829597E-2</c:v>
                </c:pt>
                <c:pt idx="61">
                  <c:v>2.7227036222260768E-2</c:v>
                </c:pt>
                <c:pt idx="62">
                  <c:v>3.4036855730328094E-2</c:v>
                </c:pt>
                <c:pt idx="63">
                  <c:v>4.2475525517602281E-2</c:v>
                </c:pt>
                <c:pt idx="64">
                  <c:v>5.2891814649542748E-2</c:v>
                </c:pt>
                <c:pt idx="65">
                  <c:v>6.5687260217792268E-2</c:v>
                </c:pt>
                <c:pt idx="66">
                  <c:v>8.1312391755788097E-2</c:v>
                </c:pt>
                <c:pt idx="67">
                  <c:v>0.10025547313159926</c:v>
                </c:pt>
                <c:pt idx="68">
                  <c:v>0.12302070645554201</c:v>
                </c:pt>
                <c:pt idx="69">
                  <c:v>0.15009295457262936</c:v>
                </c:pt>
                <c:pt idx="70">
                  <c:v>0.18188717516790701</c:v>
                </c:pt>
                <c:pt idx="71">
                  <c:v>0.21868344381015706</c:v>
                </c:pt>
                <c:pt idx="72">
                  <c:v>0.26055293375598465</c:v>
                </c:pt>
                <c:pt idx="73">
                  <c:v>0.30728603340004462</c:v>
                </c:pt>
                <c:pt idx="74">
                  <c:v>0.35833923493354874</c:v>
                </c:pt>
                <c:pt idx="75">
                  <c:v>0.41281966648130464</c:v>
                </c:pt>
                <c:pt idx="76">
                  <c:v>0.46952217689005304</c:v>
                </c:pt>
                <c:pt idx="77">
                  <c:v>0.52702261592261723</c:v>
                </c:pt>
                <c:pt idx="78">
                  <c:v>0.58381502890173409</c:v>
                </c:pt>
                <c:pt idx="79">
                  <c:v>0.63846613217370352</c:v>
                </c:pt>
                <c:pt idx="80">
                  <c:v>0.68975441414432204</c:v>
                </c:pt>
                <c:pt idx="81">
                  <c:v>0.73676657363707809</c:v>
                </c:pt>
                <c:pt idx="82">
                  <c:v>0.77893803214781254</c:v>
                </c:pt>
                <c:pt idx="83">
                  <c:v>0.81604028727052202</c:v>
                </c:pt>
                <c:pt idx="84">
                  <c:v>0.84812953880290365</c:v>
                </c:pt>
                <c:pt idx="85">
                  <c:v>0.87547542142941404</c:v>
                </c:pt>
                <c:pt idx="86">
                  <c:v>0.89848673583896976</c:v>
                </c:pt>
                <c:pt idx="87">
                  <c:v>0.91764572150174539</c:v>
                </c:pt>
                <c:pt idx="88">
                  <c:v>0.93345656192236592</c:v>
                </c:pt>
                <c:pt idx="89">
                  <c:v>0.94640921917207421</c:v>
                </c:pt>
                <c:pt idx="90">
                  <c:v>0.9569569039062491</c:v>
                </c:pt>
                <c:pt idx="91">
                  <c:v>0.96550427141686668</c:v>
                </c:pt>
                <c:pt idx="92">
                  <c:v>0.97240327564101736</c:v>
                </c:pt>
                <c:pt idx="93">
                  <c:v>0.97795401256285486</c:v>
                </c:pt>
                <c:pt idx="94">
                  <c:v>0.98240848561820349</c:v>
                </c:pt>
                <c:pt idx="95">
                  <c:v>0.98597582287081109</c:v>
                </c:pt>
                <c:pt idx="96">
                  <c:v>0.98882797580489934</c:v>
                </c:pt>
                <c:pt idx="97">
                  <c:v>0.99110530778643346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B0-455F-A4EF-2B893D5E6A0E}"/>
            </c:ext>
          </c:extLst>
        </c:ser>
        <c:ser>
          <c:idx val="1"/>
          <c:order val="1"/>
          <c:tx>
            <c:v>Alpha HB+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CalcSheet!$AB$3:$AB$143</c:f>
              <c:numCache>
                <c:formatCode>0.00</c:formatCode>
                <c:ptCount val="141"/>
                <c:pt idx="0">
                  <c:v>9.3324639448468751</c:v>
                </c:pt>
                <c:pt idx="1">
                  <c:v>8.3421298217632653</c:v>
                </c:pt>
                <c:pt idx="2">
                  <c:v>7.595283001636985</c:v>
                </c:pt>
                <c:pt idx="3">
                  <c:v>7.0254682331856095</c:v>
                </c:pt>
                <c:pt idx="4">
                  <c:v>6.5868513891152265</c:v>
                </c:pt>
                <c:pt idx="5">
                  <c:v>6.2469155078789855</c:v>
                </c:pt>
                <c:pt idx="6">
                  <c:v>5.9820648301685404</c:v>
                </c:pt>
                <c:pt idx="7">
                  <c:v>5.7748646252425484</c:v>
                </c:pt>
                <c:pt idx="8">
                  <c:v>5.612244182193237</c:v>
                </c:pt>
                <c:pt idx="9">
                  <c:v>5.4842897583376153</c:v>
                </c:pt>
                <c:pt idx="10">
                  <c:v>5.3834116225487394</c:v>
                </c:pt>
                <c:pt idx="11">
                  <c:v>5.3037557102825001</c:v>
                </c:pt>
                <c:pt idx="12">
                  <c:v>5.2407796625739271</c:v>
                </c:pt>
                <c:pt idx="13">
                  <c:v>5.1909420650854301</c:v>
                </c:pt>
                <c:pt idx="14">
                  <c:v>5.151471351033047</c:v>
                </c:pt>
                <c:pt idx="15">
                  <c:v>5.1201918518693015</c:v>
                </c:pt>
                <c:pt idx="16">
                  <c:v>5.0953915364969253</c:v>
                </c:pt>
                <c:pt idx="17">
                  <c:v>5.0757206060917106</c:v>
                </c:pt>
                <c:pt idx="18">
                  <c:v>5.0601132119376118</c:v>
                </c:pt>
                <c:pt idx="19">
                  <c:v>5.0477266846783513</c:v>
                </c:pt>
                <c:pt idx="20">
                  <c:v>5.037894142642342</c:v>
                </c:pt>
                <c:pt idx="21">
                  <c:v>5.0300873971369597</c:v>
                </c:pt>
                <c:pt idx="22">
                  <c:v>5.0238878305127734</c:v>
                </c:pt>
                <c:pt idx="23">
                  <c:v>5.0189634778341663</c:v>
                </c:pt>
                <c:pt idx="24">
                  <c:v>5.0150509547944786</c:v>
                </c:pt>
                <c:pt idx="25">
                  <c:v>5.0119411835415626</c:v>
                </c:pt>
                <c:pt idx="26">
                  <c:v>5.0094681022607359</c:v>
                </c:pt>
                <c:pt idx="27">
                  <c:v>5.0074997232953713</c:v>
                </c:pt>
                <c:pt idx="28">
                  <c:v>5.0059310422422403</c:v>
                </c:pt>
                <c:pt idx="29">
                  <c:v>5.004678406945974</c:v>
                </c:pt>
                <c:pt idx="30">
                  <c:v>5.0036750380435455</c:v>
                </c:pt>
                <c:pt idx="31">
                  <c:v>5.002867457170928</c:v>
                </c:pt>
                <c:pt idx="32">
                  <c:v>5.0022126292572855</c:v>
                </c:pt>
                <c:pt idx="33">
                  <c:v>5.0016756646070117</c:v>
                </c:pt>
                <c:pt idx="34">
                  <c:v>5.0012279570691636</c:v>
                </c:pt>
                <c:pt idx="35">
                  <c:v>5.0008456583179957</c:v>
                </c:pt>
                <c:pt idx="36">
                  <c:v>5.0005084064894403</c:v>
                </c:pt>
                <c:pt idx="37">
                  <c:v>5.0001982411764372</c:v>
                </c:pt>
                <c:pt idx="38">
                  <c:v>4.9998986468597275</c:v>
                </c:pt>
                <c:pt idx="39">
                  <c:v>4.9995936738090467</c:v>
                </c:pt>
                <c:pt idx="40">
                  <c:v>4.9992670897282876</c:v>
                </c:pt>
                <c:pt idx="41">
                  <c:v>4.9989015171878144</c:v>
                </c:pt>
                <c:pt idx="42">
                  <c:v>4.9984775113099431</c:v>
                </c:pt>
                <c:pt idx="43">
                  <c:v>4.9979725292577495</c:v>
                </c:pt>
                <c:pt idx="44">
                  <c:v>4.9973597377245333</c:v>
                </c:pt>
                <c:pt idx="45">
                  <c:v>4.9966065966336535</c:v>
                </c:pt>
                <c:pt idx="46">
                  <c:v>4.9956731463473094</c:v>
                </c:pt>
                <c:pt idx="47">
                  <c:v>4.9945099114809484</c:v>
                </c:pt>
                <c:pt idx="48">
                  <c:v>4.993055316507002</c:v>
                </c:pt>
                <c:pt idx="49">
                  <c:v>4.9912324862813993</c:v>
                </c:pt>
                <c:pt idx="50">
                  <c:v>4.9889452780907435</c:v>
                </c:pt>
                <c:pt idx="51">
                  <c:v>4.9860733606752028</c:v>
                </c:pt>
                <c:pt idx="52">
                  <c:v>4.9824661202831892</c:v>
                </c:pt>
                <c:pt idx="53">
                  <c:v>4.977935135385958</c:v>
                </c:pt>
                <c:pt idx="54">
                  <c:v>4.9722449229676657</c:v>
                </c:pt>
                <c:pt idx="55">
                  <c:v>4.9651016255615819</c:v>
                </c:pt>
                <c:pt idx="56">
                  <c:v>4.9561392886775097</c:v>
                </c:pt>
                <c:pt idx="57">
                  <c:v>4.9449033883769093</c:v>
                </c:pt>
                <c:pt idx="58">
                  <c:v>4.9308313330982063</c:v>
                </c:pt>
                <c:pt idx="59">
                  <c:v>4.9132298201174702</c:v>
                </c:pt>
                <c:pt idx="60">
                  <c:v>4.8912492306501409</c:v>
                </c:pt>
                <c:pt idx="61">
                  <c:v>4.8638557759476946</c:v>
                </c:pt>
                <c:pt idx="62">
                  <c:v>4.8298029607664343</c:v>
                </c:pt>
                <c:pt idx="63">
                  <c:v>4.7876052286164903</c:v>
                </c:pt>
                <c:pt idx="64">
                  <c:v>4.7355185079924569</c:v>
                </c:pt>
                <c:pt idx="65">
                  <c:v>4.6715348435521244</c:v>
                </c:pt>
                <c:pt idx="66">
                  <c:v>4.5934012614774389</c:v>
                </c:pt>
                <c:pt idx="67">
                  <c:v>4.498676045179498</c:v>
                </c:pt>
                <c:pt idx="68">
                  <c:v>4.3848376980468942</c:v>
                </c:pt>
                <c:pt idx="69">
                  <c:v>4.2494613095722622</c:v>
                </c:pt>
                <c:pt idx="70">
                  <c:v>4.090471358571552</c:v>
                </c:pt>
                <c:pt idx="71">
                  <c:v>3.9064665652137944</c:v>
                </c:pt>
                <c:pt idx="72">
                  <c:v>3.6970899503720642</c:v>
                </c:pt>
                <c:pt idx="73">
                  <c:v>3.4633881945620772</c:v>
                </c:pt>
                <c:pt idx="74">
                  <c:v>3.2080771243202597</c:v>
                </c:pt>
                <c:pt idx="75">
                  <c:v>2.9356189593644166</c:v>
                </c:pt>
                <c:pt idx="76">
                  <c:v>2.6520367686358659</c:v>
                </c:pt>
                <c:pt idx="77">
                  <c:v>2.364447914943661</c:v>
                </c:pt>
                <c:pt idx="78">
                  <c:v>2.0803778860187876</c:v>
                </c:pt>
                <c:pt idx="79">
                  <c:v>1.8069876721590949</c:v>
                </c:pt>
                <c:pt idx="80">
                  <c:v>1.5503779566144313</c:v>
                </c:pt>
                <c:pt idx="81">
                  <c:v>1.3151065462759959</c:v>
                </c:pt>
                <c:pt idx="82">
                  <c:v>1.1039853410642562</c:v>
                </c:pt>
                <c:pt idx="83">
                  <c:v>0.91814298067573774</c:v>
                </c:pt>
                <c:pt idx="84">
                  <c:v>0.75728097895851465</c:v>
                </c:pt>
                <c:pt idx="85">
                  <c:v>0.62002913590799436</c:v>
                </c:pt>
                <c:pt idx="86">
                  <c:v>0.5043157175552524</c:v>
                </c:pt>
                <c:pt idx="87">
                  <c:v>0.40769462494614278</c:v>
                </c:pt>
                <c:pt idx="88">
                  <c:v>0.32760102004764075</c:v>
                </c:pt>
                <c:pt idx="89">
                  <c:v>0.2615298270211317</c:v>
                </c:pt>
                <c:pt idx="90">
                  <c:v>0.20714545573637844</c:v>
                </c:pt>
                <c:pt idx="91">
                  <c:v>0.16233714190060858</c:v>
                </c:pt>
                <c:pt idx="92">
                  <c:v>0.12523505291780235</c:v>
                </c:pt>
                <c:pt idx="93">
                  <c:v>9.4200263336529338E-2</c:v>
                </c:pt>
                <c:pt idx="94">
                  <c:v>6.7798638984226861E-2</c:v>
                </c:pt>
                <c:pt idx="95">
                  <c:v>4.4765610722933231E-2</c:v>
                </c:pt>
                <c:pt idx="96">
                  <c:v>2.3966230101277713E-2</c:v>
                </c:pt>
                <c:pt idx="97">
                  <c:v>4.3529014261670254E-3</c:v>
                </c:pt>
              </c:numCache>
            </c:numRef>
          </c:xVal>
          <c:yVal>
            <c:numRef>
              <c:f>CalcSheet!$Y$3:$Y$143</c:f>
              <c:numCache>
                <c:formatCode>0.00</c:formatCode>
                <c:ptCount val="141"/>
                <c:pt idx="0">
                  <c:v>0.99999997776747096</c:v>
                </c:pt>
                <c:pt idx="1">
                  <c:v>0.9999999720109044</c:v>
                </c:pt>
                <c:pt idx="2">
                  <c:v>0.99999996476381658</c:v>
                </c:pt>
                <c:pt idx="3">
                  <c:v>0.99999995564027377</c:v>
                </c:pt>
                <c:pt idx="4">
                  <c:v>0.99999994415441384</c:v>
                </c:pt>
                <c:pt idx="5">
                  <c:v>0.99999992969457352</c:v>
                </c:pt>
                <c:pt idx="6">
                  <c:v>0.99999991149071354</c:v>
                </c:pt>
                <c:pt idx="7">
                  <c:v>0.99999988857341282</c:v>
                </c:pt>
                <c:pt idx="8">
                  <c:v>0.99999985972224192</c:v>
                </c:pt>
                <c:pt idx="9">
                  <c:v>0.99999982340077209</c:v>
                </c:pt>
                <c:pt idx="10">
                  <c:v>0.99999977767475445</c:v>
                </c:pt>
                <c:pt idx="11">
                  <c:v>0.99999972010911475</c:v>
                </c:pt>
                <c:pt idx="12">
                  <c:v>0.99999964763827753</c:v>
                </c:pt>
                <c:pt idx="13">
                  <c:v>0.99999955640291394</c:v>
                </c:pt>
                <c:pt idx="14">
                  <c:v>0.99999944154441989</c:v>
                </c:pt>
                <c:pt idx="15">
                  <c:v>0.9999992969461805</c:v>
                </c:pt>
                <c:pt idx="16">
                  <c:v>0.99999911490784177</c:v>
                </c:pt>
                <c:pt idx="17">
                  <c:v>0.99999888573524565</c:v>
                </c:pt>
                <c:pt idx="18">
                  <c:v>0.99999859722418993</c:v>
                </c:pt>
                <c:pt idx="19">
                  <c:v>0.99999823401052723</c:v>
                </c:pt>
                <c:pt idx="20">
                  <c:v>0.99999777675199242</c:v>
                </c:pt>
                <c:pt idx="21">
                  <c:v>0.99999720109819767</c:v>
                </c:pt>
                <c:pt idx="22">
                  <c:v>0.9999964763939494</c:v>
                </c:pt>
                <c:pt idx="23">
                  <c:v>0.99999556404684886</c:v>
                </c:pt>
                <c:pt idx="24">
                  <c:v>0.99999441547226686</c:v>
                </c:pt>
                <c:pt idx="25">
                  <c:v>0.9999929695062898</c:v>
                </c:pt>
                <c:pt idx="26">
                  <c:v>0.99999114914892262</c:v>
                </c:pt>
                <c:pt idx="27">
                  <c:v>0.99998885746419819</c:v>
                </c:pt>
                <c:pt idx="28">
                  <c:v>0.999985972418998</c:v>
                </c:pt>
                <c:pt idx="29">
                  <c:v>0.99998234038595202</c:v>
                </c:pt>
                <c:pt idx="30">
                  <c:v>0.999977767964769</c:v>
                </c:pt>
                <c:pt idx="31">
                  <c:v>0.99997201168700478</c:v>
                </c:pt>
                <c:pt idx="32">
                  <c:v>0.9999647650568807</c:v>
                </c:pt>
                <c:pt idx="33">
                  <c:v>0.99995564223940969</c:v>
                </c:pt>
                <c:pt idx="34">
                  <c:v>0.99994415752935306</c:v>
                </c:pt>
                <c:pt idx="35">
                  <c:v>0.99992969951112243</c:v>
                </c:pt>
                <c:pt idx="36">
                  <c:v>0.9999114985390456</c:v>
                </c:pt>
                <c:pt idx="37">
                  <c:v>0.99988858581491047</c:v>
                </c:pt>
                <c:pt idx="38">
                  <c:v>0.99985974189731708</c:v>
                </c:pt>
                <c:pt idx="39">
                  <c:v>0.99982343192263712</c:v>
                </c:pt>
                <c:pt idx="40">
                  <c:v>0.99977772412249644</c:v>
                </c:pt>
                <c:pt idx="41">
                  <c:v>0.99972018735340373</c:v>
                </c:pt>
                <c:pt idx="42">
                  <c:v>0.99964776226849517</c:v>
                </c:pt>
                <c:pt idx="43">
                  <c:v>0.9995565994084129</c:v>
                </c:pt>
                <c:pt idx="44">
                  <c:v>0.99944185580688683</c:v>
                </c:pt>
                <c:pt idx="45">
                  <c:v>0.99929743962426465</c:v>
                </c:pt>
                <c:pt idx="46">
                  <c:v>0.99911568975519338</c:v>
                </c:pt>
                <c:pt idx="47">
                  <c:v>0.99888697421085682</c:v>
                </c:pt>
                <c:pt idx="48">
                  <c:v>0.9985991872512171</c:v>
                </c:pt>
                <c:pt idx="49">
                  <c:v>0.99823712064034442</c:v>
                </c:pt>
                <c:pt idx="50">
                  <c:v>0.99778167893830993</c:v>
                </c:pt>
                <c:pt idx="51">
                  <c:v>0.99720890239371029</c:v>
                </c:pt>
                <c:pt idx="52">
                  <c:v>0.99648875382543767</c:v>
                </c:pt>
                <c:pt idx="53">
                  <c:v>0.99558361812116891</c:v>
                </c:pt>
                <c:pt idx="54">
                  <c:v>0.99444645517801034</c:v>
                </c:pt>
                <c:pt idx="55">
                  <c:v>0.99301854031510095</c:v>
                </c:pt>
                <c:pt idx="56">
                  <c:v>0.99122672224651487</c:v>
                </c:pt>
                <c:pt idx="57">
                  <c:v>0.98898013069711155</c:v>
                </c:pt>
                <c:pt idx="58">
                  <c:v>0.9861662785919737</c:v>
                </c:pt>
                <c:pt idx="59">
                  <c:v>0.98264653499098953</c:v>
                </c:pt>
                <c:pt idx="60">
                  <c:v>0.97825100565317047</c:v>
                </c:pt>
                <c:pt idx="61">
                  <c:v>0.97277296377773914</c:v>
                </c:pt>
                <c:pt idx="62">
                  <c:v>0.965963144269672</c:v>
                </c:pt>
                <c:pt idx="63">
                  <c:v>0.95752447448239786</c:v>
                </c:pt>
                <c:pt idx="64">
                  <c:v>0.94710818535045727</c:v>
                </c:pt>
                <c:pt idx="65">
                  <c:v>0.93431273978220775</c:v>
                </c:pt>
                <c:pt idx="66">
                  <c:v>0.91868760824421192</c:v>
                </c:pt>
                <c:pt idx="67">
                  <c:v>0.89974452686840078</c:v>
                </c:pt>
                <c:pt idx="68">
                  <c:v>0.87697929354445803</c:v>
                </c:pt>
                <c:pt idx="69">
                  <c:v>0.84990704542737061</c:v>
                </c:pt>
                <c:pt idx="70">
                  <c:v>0.81811282483209302</c:v>
                </c:pt>
                <c:pt idx="71">
                  <c:v>0.78131655618984297</c:v>
                </c:pt>
                <c:pt idx="72">
                  <c:v>0.73944706624401535</c:v>
                </c:pt>
                <c:pt idx="73">
                  <c:v>0.69271396659995543</c:v>
                </c:pt>
                <c:pt idx="74">
                  <c:v>0.64166076506645131</c:v>
                </c:pt>
                <c:pt idx="75">
                  <c:v>0.58718033351869536</c:v>
                </c:pt>
                <c:pt idx="76">
                  <c:v>0.53047782310994684</c:v>
                </c:pt>
                <c:pt idx="77">
                  <c:v>0.47297738407738282</c:v>
                </c:pt>
                <c:pt idx="78">
                  <c:v>0.41618497109826597</c:v>
                </c:pt>
                <c:pt idx="79">
                  <c:v>0.36153386782629637</c:v>
                </c:pt>
                <c:pt idx="80">
                  <c:v>0.31024558585567785</c:v>
                </c:pt>
                <c:pt idx="81">
                  <c:v>0.26323342636292191</c:v>
                </c:pt>
                <c:pt idx="82">
                  <c:v>0.22106196785218737</c:v>
                </c:pt>
                <c:pt idx="83">
                  <c:v>0.18395971272947795</c:v>
                </c:pt>
                <c:pt idx="84">
                  <c:v>0.15187046119709635</c:v>
                </c:pt>
                <c:pt idx="85">
                  <c:v>0.12452457857058598</c:v>
                </c:pt>
                <c:pt idx="86">
                  <c:v>0.10151326416103033</c:v>
                </c:pt>
                <c:pt idx="87">
                  <c:v>8.2354278498254677E-2</c:v>
                </c:pt>
                <c:pt idx="88">
                  <c:v>6.6543438077634021E-2</c:v>
                </c:pt>
                <c:pt idx="89">
                  <c:v>5.3590780827925823E-2</c:v>
                </c:pt>
                <c:pt idx="90">
                  <c:v>4.3043096093750961E-2</c:v>
                </c:pt>
                <c:pt idx="91">
                  <c:v>3.4495728583133385E-2</c:v>
                </c:pt>
                <c:pt idx="92">
                  <c:v>2.7596724358982722E-2</c:v>
                </c:pt>
                <c:pt idx="93">
                  <c:v>2.2045987437145198E-2</c:v>
                </c:pt>
                <c:pt idx="94">
                  <c:v>1.7591514381796534E-2</c:v>
                </c:pt>
                <c:pt idx="95">
                  <c:v>1.4024177129188936E-2</c:v>
                </c:pt>
                <c:pt idx="96">
                  <c:v>1.1172024195100628E-2</c:v>
                </c:pt>
                <c:pt idx="97">
                  <c:v>8.8946922135665404E-3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B0-455F-A4EF-2B893D5E6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121807"/>
        <c:axId val="664783903"/>
      </c:scatterChart>
      <c:valAx>
        <c:axId val="976121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 Titrant (mL)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783903"/>
        <c:crosses val="autoZero"/>
        <c:crossBetween val="midCat"/>
      </c:valAx>
      <c:valAx>
        <c:axId val="6647839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Alpha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12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583228546022865E-2"/>
          <c:y val="9.5567660155101791E-2"/>
          <c:w val="0.90613787624701359"/>
          <c:h val="0.79196591680245032"/>
        </c:manualLayout>
      </c:layout>
      <c:scatterChart>
        <c:scatterStyle val="smoothMarker"/>
        <c:varyColors val="0"/>
        <c:ser>
          <c:idx val="0"/>
          <c:order val="0"/>
          <c:tx>
            <c:v>pH</c:v>
          </c:tx>
          <c:spPr>
            <a:ln w="635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CalcSheet!$AP$3:$AP$143</c:f>
              <c:numCache>
                <c:formatCode>0.00</c:formatCode>
                <c:ptCount val="141"/>
                <c:pt idx="0">
                  <c:v>6.1853769140796377E-2</c:v>
                </c:pt>
                <c:pt idx="1">
                  <c:v>0.224082800899119</c:v>
                </c:pt>
                <c:pt idx="2">
                  <c:v>0.3981049439350644</c:v>
                </c:pt>
                <c:pt idx="3">
                  <c:v>0.59297242786628146</c:v>
                </c:pt>
                <c:pt idx="4">
                  <c:v>0.81875884542759592</c:v>
                </c:pt>
                <c:pt idx="5">
                  <c:v>1.0870318820969931</c:v>
                </c:pt>
                <c:pt idx="6">
                  <c:v>1.4113744414381075</c:v>
                </c:pt>
                <c:pt idx="7">
                  <c:v>1.8079631499118431</c:v>
                </c:pt>
                <c:pt idx="8">
                  <c:v>2.2962071178024526</c:v>
                </c:pt>
                <c:pt idx="9">
                  <c:v>2.8994393624406256</c:v>
                </c:pt>
                <c:pt idx="10">
                  <c:v>3.6456363068130124</c:v>
                </c:pt>
                <c:pt idx="11">
                  <c:v>4.5681145635126006</c:v>
                </c:pt>
                <c:pt idx="12">
                  <c:v>5.7061159162329496</c:v>
                </c:pt>
                <c:pt idx="13">
                  <c:v>7.105138834336115</c:v>
                </c:pt>
                <c:pt idx="14">
                  <c:v>8.8168083825847745</c:v>
                </c:pt>
                <c:pt idx="15">
                  <c:v>10.898002228937838</c:v>
                </c:pt>
                <c:pt idx="16">
                  <c:v>13.408885427408297</c:v>
                </c:pt>
                <c:pt idx="17">
                  <c:v>16.409483553939317</c:v>
                </c:pt>
                <c:pt idx="18">
                  <c:v>19.954494149219943</c:v>
                </c:pt>
                <c:pt idx="19">
                  <c:v>24.086264254490647</c:v>
                </c:pt>
                <c:pt idx="20">
                  <c:v>28.826299071552839</c:v>
                </c:pt>
                <c:pt idx="21">
                  <c:v>34.166305163550476</c:v>
                </c:pt>
                <c:pt idx="22">
                  <c:v>40.060481565867619</c:v>
                </c:pt>
                <c:pt idx="23">
                  <c:v>46.421270291820868</c:v>
                </c:pt>
                <c:pt idx="24">
                  <c:v>53.120688557702678</c:v>
                </c:pt>
                <c:pt idx="25">
                  <c:v>59.998416175678287</c:v>
                </c:pt>
                <c:pt idx="26">
                  <c:v>66.87609172610135</c:v>
                </c:pt>
                <c:pt idx="27">
                  <c:v>73.575351016889357</c:v>
                </c:pt>
                <c:pt idx="28">
                  <c:v>79.935865395332939</c:v>
                </c:pt>
                <c:pt idx="29">
                  <c:v>85.829637469869553</c:v>
                </c:pt>
                <c:pt idx="30">
                  <c:v>91.169087725522814</c:v>
                </c:pt>
                <c:pt idx="31">
                  <c:v>95.908385603270588</c:v>
                </c:pt>
                <c:pt idx="32">
                  <c:v>100.03919843100186</c:v>
                </c:pt>
                <c:pt idx="33">
                  <c:v>103.58298044703348</c:v>
                </c:pt>
                <c:pt idx="34">
                  <c:v>106.58201329014503</c:v>
                </c:pt>
                <c:pt idx="35">
                  <c:v>109.0909111818182</c:v>
                </c:pt>
                <c:pt idx="36">
                  <c:v>111.16959403315612</c:v>
                </c:pt>
                <c:pt idx="37">
                  <c:v>112.87809327360274</c:v>
                </c:pt>
                <c:pt idx="38">
                  <c:v>114.27311789133235</c:v>
                </c:pt>
                <c:pt idx="39">
                  <c:v>115.40608026579068</c:v>
                </c:pt>
                <c:pt idx="40">
                  <c:v>116.32221090070851</c:v>
                </c:pt>
                <c:pt idx="41">
                  <c:v>117.06041414525264</c:v>
                </c:pt>
                <c:pt idx="42">
                  <c:v>117.65358186817701</c:v>
                </c:pt>
                <c:pt idx="43">
                  <c:v>118.1291560247887</c:v>
                </c:pt>
                <c:pt idx="44">
                  <c:v>118.50979730257905</c:v>
                </c:pt>
                <c:pt idx="45">
                  <c:v>118.81406932881212</c:v>
                </c:pt>
                <c:pt idx="46">
                  <c:v>119.05708588061121</c:v>
                </c:pt>
                <c:pt idx="47">
                  <c:v>119.25109432984422</c:v>
                </c:pt>
                <c:pt idx="48">
                  <c:v>119.40598505743556</c:v>
                </c:pt>
                <c:pt idx="49">
                  <c:v>119.52972646685228</c:v>
                </c:pt>
                <c:pt idx="50">
                  <c:v>119.6287306757268</c:v>
                </c:pt>
                <c:pt idx="51">
                  <c:v>119.70815756779494</c:v>
                </c:pt>
                <c:pt idx="52">
                  <c:v>119.77216576186382</c:v>
                </c:pt>
                <c:pt idx="53">
                  <c:v>119.82411894620293</c:v>
                </c:pt>
                <c:pt idx="54">
                  <c:v>119.86675541422088</c:v>
                </c:pt>
                <c:pt idx="55">
                  <c:v>119.90232781620601</c:v>
                </c:pt>
                <c:pt idx="56">
                  <c:v>119.93271928744079</c:v>
                </c:pt>
                <c:pt idx="57">
                  <c:v>119.95954132389409</c:v>
                </c:pt>
                <c:pt idx="58">
                  <c:v>119.98421810521712</c:v>
                </c:pt>
                <c:pt idx="59">
                  <c:v>120.00806143651441</c:v>
                </c:pt>
                <c:pt idx="60">
                  <c:v>120.03234010719825</c:v>
                </c:pt>
                <c:pt idx="61">
                  <c:v>120.05834725368868</c:v>
                </c:pt>
                <c:pt idx="62">
                  <c:v>120.08746926959924</c:v>
                </c:pt>
                <c:pt idx="63">
                  <c:v>120.12125994350178</c:v>
                </c:pt>
                <c:pt idx="64">
                  <c:v>120.16152383925525</c:v>
                </c:pt>
                <c:pt idx="65">
                  <c:v>120.21041349730186</c:v>
                </c:pt>
                <c:pt idx="66">
                  <c:v>120.27054587285066</c:v>
                </c:pt>
                <c:pt idx="67">
                  <c:v>120.34514460541007</c:v>
                </c:pt>
                <c:pt idx="68">
                  <c:v>120.43821633060855</c:v>
                </c:pt>
                <c:pt idx="69">
                  <c:v>120.55477143948991</c:v>
                </c:pt>
                <c:pt idx="70">
                  <c:v>120.70110266521023</c:v>
                </c:pt>
                <c:pt idx="71">
                  <c:v>120.88513892904257</c:v>
                </c:pt>
                <c:pt idx="72">
                  <c:v>121.11689744688579</c:v>
                </c:pt>
                <c:pt idx="73">
                  <c:v>121.40906484677586</c:v>
                </c:pt>
                <c:pt idx="74">
                  <c:v>121.77774899196912</c:v>
                </c:pt>
                <c:pt idx="75">
                  <c:v>122.24345892491716</c:v>
                </c:pt>
                <c:pt idx="76">
                  <c:v>122.83239335793868</c:v>
                </c:pt>
                <c:pt idx="77">
                  <c:v>123.57815251000811</c:v>
                </c:pt>
                <c:pt idx="78">
                  <c:v>124.52404057236269</c:v>
                </c:pt>
                <c:pt idx="79">
                  <c:v>125.72620811833737</c:v>
                </c:pt>
                <c:pt idx="80">
                  <c:v>127.25801526276676</c:v>
                </c:pt>
                <c:pt idx="81">
                  <c:v>129.21621298632195</c:v>
                </c:pt>
                <c:pt idx="82">
                  <c:v>131.72990777863214</c:v>
                </c:pt>
                <c:pt idx="83">
                  <c:v>134.97392041495334</c:v>
                </c:pt>
                <c:pt idx="84">
                  <c:v>139.18932738062693</c:v>
                </c:pt>
                <c:pt idx="85">
                  <c:v>144.71621801743362</c:v>
                </c:pt>
                <c:pt idx="86">
                  <c:v>152.04820339160833</c:v>
                </c:pt>
                <c:pt idx="87">
                  <c:v>161.92781260144869</c:v>
                </c:pt>
                <c:pt idx="88">
                  <c:v>175.52393477244513</c:v>
                </c:pt>
                <c:pt idx="89">
                  <c:v>194.78776409006656</c:v>
                </c:pt>
                <c:pt idx="90">
                  <c:v>223.23941195367084</c:v>
                </c:pt>
              </c:numCache>
            </c:numRef>
          </c:xVal>
          <c:yVal>
            <c:numRef>
              <c:f>CalcSheet!$AJ$3:$AJ$143</c:f>
              <c:numCache>
                <c:formatCode>0.00</c:formatCode>
                <c:ptCount val="141"/>
                <c:pt idx="0">
                  <c:v>3.5</c:v>
                </c:pt>
                <c:pt idx="1">
                  <c:v>3.6</c:v>
                </c:pt>
                <c:pt idx="2">
                  <c:v>3.7</c:v>
                </c:pt>
                <c:pt idx="3">
                  <c:v>3.8</c:v>
                </c:pt>
                <c:pt idx="4">
                  <c:v>3.9</c:v>
                </c:pt>
                <c:pt idx="5">
                  <c:v>4</c:v>
                </c:pt>
                <c:pt idx="6">
                  <c:v>4.0999999999999996</c:v>
                </c:pt>
                <c:pt idx="7">
                  <c:v>4.2</c:v>
                </c:pt>
                <c:pt idx="8">
                  <c:v>4.3</c:v>
                </c:pt>
                <c:pt idx="9">
                  <c:v>4.4000000000000004</c:v>
                </c:pt>
                <c:pt idx="10">
                  <c:v>4.5</c:v>
                </c:pt>
                <c:pt idx="11">
                  <c:v>4.5999999999999996</c:v>
                </c:pt>
                <c:pt idx="12">
                  <c:v>4.7</c:v>
                </c:pt>
                <c:pt idx="13">
                  <c:v>4.8</c:v>
                </c:pt>
                <c:pt idx="14">
                  <c:v>4.9000000000000004</c:v>
                </c:pt>
                <c:pt idx="15">
                  <c:v>5</c:v>
                </c:pt>
                <c:pt idx="16">
                  <c:v>5.0999999999999996</c:v>
                </c:pt>
                <c:pt idx="17">
                  <c:v>5.2</c:v>
                </c:pt>
                <c:pt idx="18">
                  <c:v>5.3</c:v>
                </c:pt>
                <c:pt idx="19">
                  <c:v>5.4</c:v>
                </c:pt>
                <c:pt idx="20">
                  <c:v>5.5</c:v>
                </c:pt>
                <c:pt idx="21">
                  <c:v>5.6</c:v>
                </c:pt>
                <c:pt idx="22">
                  <c:v>5.7</c:v>
                </c:pt>
                <c:pt idx="23">
                  <c:v>5.8</c:v>
                </c:pt>
                <c:pt idx="24">
                  <c:v>5.9</c:v>
                </c:pt>
                <c:pt idx="25">
                  <c:v>6</c:v>
                </c:pt>
                <c:pt idx="26">
                  <c:v>6.1</c:v>
                </c:pt>
                <c:pt idx="27">
                  <c:v>6.2</c:v>
                </c:pt>
                <c:pt idx="28">
                  <c:v>6.3</c:v>
                </c:pt>
                <c:pt idx="29">
                  <c:v>6.4</c:v>
                </c:pt>
                <c:pt idx="30">
                  <c:v>6.5</c:v>
                </c:pt>
                <c:pt idx="31">
                  <c:v>6.6</c:v>
                </c:pt>
                <c:pt idx="32">
                  <c:v>6.7</c:v>
                </c:pt>
                <c:pt idx="33">
                  <c:v>6.8</c:v>
                </c:pt>
                <c:pt idx="34">
                  <c:v>6.9</c:v>
                </c:pt>
                <c:pt idx="35">
                  <c:v>7</c:v>
                </c:pt>
                <c:pt idx="36">
                  <c:v>7.1</c:v>
                </c:pt>
                <c:pt idx="37">
                  <c:v>7.2</c:v>
                </c:pt>
                <c:pt idx="38">
                  <c:v>7.3</c:v>
                </c:pt>
                <c:pt idx="39">
                  <c:v>7.4</c:v>
                </c:pt>
                <c:pt idx="40">
                  <c:v>7.5</c:v>
                </c:pt>
                <c:pt idx="41">
                  <c:v>7.6</c:v>
                </c:pt>
                <c:pt idx="42">
                  <c:v>7.7</c:v>
                </c:pt>
                <c:pt idx="43">
                  <c:v>7.8</c:v>
                </c:pt>
                <c:pt idx="44">
                  <c:v>7.9</c:v>
                </c:pt>
                <c:pt idx="45">
                  <c:v>8</c:v>
                </c:pt>
                <c:pt idx="46">
                  <c:v>8.1</c:v>
                </c:pt>
                <c:pt idx="47">
                  <c:v>8.1999999999999993</c:v>
                </c:pt>
                <c:pt idx="48">
                  <c:v>8.3000000000000007</c:v>
                </c:pt>
                <c:pt idx="49">
                  <c:v>8.4</c:v>
                </c:pt>
                <c:pt idx="50">
                  <c:v>8.5</c:v>
                </c:pt>
                <c:pt idx="51">
                  <c:v>8.6</c:v>
                </c:pt>
                <c:pt idx="52">
                  <c:v>8.6999999999999993</c:v>
                </c:pt>
                <c:pt idx="53">
                  <c:v>8.8000000000000007</c:v>
                </c:pt>
                <c:pt idx="54">
                  <c:v>8.9</c:v>
                </c:pt>
                <c:pt idx="55">
                  <c:v>9</c:v>
                </c:pt>
                <c:pt idx="56">
                  <c:v>9.1</c:v>
                </c:pt>
                <c:pt idx="57">
                  <c:v>9.1999999999999993</c:v>
                </c:pt>
                <c:pt idx="58">
                  <c:v>9.3000000000000007</c:v>
                </c:pt>
                <c:pt idx="59">
                  <c:v>9.4</c:v>
                </c:pt>
                <c:pt idx="60">
                  <c:v>9.5</c:v>
                </c:pt>
                <c:pt idx="61">
                  <c:v>9.6</c:v>
                </c:pt>
                <c:pt idx="62">
                  <c:v>9.6999999999999993</c:v>
                </c:pt>
                <c:pt idx="63">
                  <c:v>9.8000000000000007</c:v>
                </c:pt>
                <c:pt idx="64">
                  <c:v>9.9</c:v>
                </c:pt>
                <c:pt idx="65">
                  <c:v>10</c:v>
                </c:pt>
                <c:pt idx="66">
                  <c:v>10.1</c:v>
                </c:pt>
                <c:pt idx="67">
                  <c:v>10.199999999999999</c:v>
                </c:pt>
                <c:pt idx="68">
                  <c:v>10.3</c:v>
                </c:pt>
                <c:pt idx="69">
                  <c:v>10.4</c:v>
                </c:pt>
                <c:pt idx="70">
                  <c:v>10.5</c:v>
                </c:pt>
                <c:pt idx="71">
                  <c:v>10.6</c:v>
                </c:pt>
                <c:pt idx="72">
                  <c:v>10.7</c:v>
                </c:pt>
                <c:pt idx="73">
                  <c:v>10.8</c:v>
                </c:pt>
                <c:pt idx="74">
                  <c:v>10.9</c:v>
                </c:pt>
                <c:pt idx="75">
                  <c:v>11</c:v>
                </c:pt>
                <c:pt idx="76">
                  <c:v>11.1</c:v>
                </c:pt>
                <c:pt idx="77">
                  <c:v>11.2</c:v>
                </c:pt>
                <c:pt idx="78">
                  <c:v>11.3</c:v>
                </c:pt>
                <c:pt idx="79">
                  <c:v>11.4</c:v>
                </c:pt>
                <c:pt idx="80">
                  <c:v>11.5</c:v>
                </c:pt>
                <c:pt idx="81">
                  <c:v>11.6</c:v>
                </c:pt>
                <c:pt idx="82">
                  <c:v>11.7</c:v>
                </c:pt>
                <c:pt idx="83">
                  <c:v>11.8</c:v>
                </c:pt>
                <c:pt idx="84">
                  <c:v>11.9</c:v>
                </c:pt>
                <c:pt idx="85">
                  <c:v>12</c:v>
                </c:pt>
                <c:pt idx="86">
                  <c:v>12.1</c:v>
                </c:pt>
                <c:pt idx="87">
                  <c:v>12.2</c:v>
                </c:pt>
                <c:pt idx="88">
                  <c:v>12.3</c:v>
                </c:pt>
                <c:pt idx="89">
                  <c:v>12.4</c:v>
                </c:pt>
                <c:pt idx="90">
                  <c:v>12.5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C-4B43-9A91-9D0E9EAF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Volume Titrant (mL)</a:t>
                </a:r>
              </a:p>
            </c:rich>
          </c:tx>
          <c:layout>
            <c:manualLayout>
              <c:xMode val="edge"/>
              <c:yMode val="edge"/>
              <c:x val="0.4109438648516997"/>
              <c:y val="0.950929280907292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  <c:max val="1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pH of Solution</a:t>
                </a:r>
              </a:p>
            </c:rich>
          </c:tx>
          <c:layout>
            <c:manualLayout>
              <c:xMode val="edge"/>
              <c:yMode val="edge"/>
              <c:x val="3.0867253149877609E-3"/>
              <c:y val="0.4208037032257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B$58" horiz="1" max="14" noThreeD="1" page="0" val="8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22" fmlaLink="$E$58" horiz="1" max="20" min="1" page="0" val="12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12</xdr:row>
          <xdr:rowOff>30480</xdr:rowOff>
        </xdr:from>
        <xdr:to>
          <xdr:col>11</xdr:col>
          <xdr:colOff>716280</xdr:colOff>
          <xdr:row>13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6928</xdr:colOff>
          <xdr:row>21</xdr:row>
          <xdr:rowOff>175260</xdr:rowOff>
        </xdr:from>
        <xdr:to>
          <xdr:col>16</xdr:col>
          <xdr:colOff>6928</xdr:colOff>
          <xdr:row>24</xdr:row>
          <xdr:rowOff>68580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Plots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26</xdr:row>
          <xdr:rowOff>30480</xdr:rowOff>
        </xdr:from>
        <xdr:to>
          <xdr:col>11</xdr:col>
          <xdr:colOff>708660</xdr:colOff>
          <xdr:row>27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109904</xdr:colOff>
      <xdr:row>0</xdr:row>
      <xdr:rowOff>41910</xdr:rowOff>
    </xdr:from>
    <xdr:to>
      <xdr:col>6</xdr:col>
      <xdr:colOff>384224</xdr:colOff>
      <xdr:row>13</xdr:row>
      <xdr:rowOff>163830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107853</xdr:colOff>
      <xdr:row>14</xdr:row>
      <xdr:rowOff>68580</xdr:rowOff>
    </xdr:from>
    <xdr:to>
      <xdr:col>6</xdr:col>
      <xdr:colOff>382173</xdr:colOff>
      <xdr:row>27</xdr:row>
      <xdr:rowOff>185283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441960</xdr:colOff>
      <xdr:row>0</xdr:row>
      <xdr:rowOff>38100</xdr:rowOff>
    </xdr:from>
    <xdr:to>
      <xdr:col>10</xdr:col>
      <xdr:colOff>1005840</xdr:colOff>
      <xdr:row>13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449580</xdr:colOff>
      <xdr:row>14</xdr:row>
      <xdr:rowOff>57150</xdr:rowOff>
    </xdr:from>
    <xdr:to>
      <xdr:col>10</xdr:col>
      <xdr:colOff>1013460</xdr:colOff>
      <xdr:row>27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178593</xdr:colOff>
      <xdr:row>1</xdr:row>
      <xdr:rowOff>7075</xdr:rowOff>
    </xdr:from>
    <xdr:to>
      <xdr:col>16</xdr:col>
      <xdr:colOff>476249</xdr:colOff>
      <xdr:row>39</xdr:row>
      <xdr:rowOff>136072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5</xdr:row>
          <xdr:rowOff>60960</xdr:rowOff>
        </xdr:from>
        <xdr:to>
          <xdr:col>22</xdr:col>
          <xdr:colOff>655320</xdr:colOff>
          <xdr:row>5</xdr:row>
          <xdr:rowOff>327660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137160</xdr:colOff>
          <xdr:row>2</xdr:row>
          <xdr:rowOff>121920</xdr:rowOff>
        </xdr:from>
        <xdr:to>
          <xdr:col>22</xdr:col>
          <xdr:colOff>594360</xdr:colOff>
          <xdr:row>3</xdr:row>
          <xdr:rowOff>304800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11</xdr:row>
          <xdr:rowOff>76200</xdr:rowOff>
        </xdr:from>
        <xdr:to>
          <xdr:col>22</xdr:col>
          <xdr:colOff>579120</xdr:colOff>
          <xdr:row>13</xdr:row>
          <xdr:rowOff>30480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</xdr:colOff>
          <xdr:row>6</xdr:row>
          <xdr:rowOff>60960</xdr:rowOff>
        </xdr:from>
        <xdr:to>
          <xdr:col>22</xdr:col>
          <xdr:colOff>647700</xdr:colOff>
          <xdr:row>6</xdr:row>
          <xdr:rowOff>327660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github.com/jkelowitt/titration-curves" TargetMode="External"/><Relationship Id="rId1" Type="http://schemas.openxmlformats.org/officeDocument/2006/relationships/hyperlink" Target="mailto:jkelowitt@proton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98614-113C-436F-A11B-99A80CDA983B}">
  <sheetPr codeName="Sheet1">
    <tabColor theme="5" tint="0.59999389629810485"/>
  </sheetPr>
  <dimension ref="B1:S53"/>
  <sheetViews>
    <sheetView showGridLines="0" showRowColHeaders="0" tabSelected="1" zoomScale="110" zoomScaleNormal="110" workbookViewId="0"/>
  </sheetViews>
  <sheetFormatPr defaultRowHeight="14.4" x14ac:dyDescent="0.3"/>
  <cols>
    <col min="1" max="1" width="9.33203125" customWidth="1"/>
    <col min="2" max="2" width="9.44140625" customWidth="1"/>
    <col min="3" max="7" width="9.33203125" customWidth="1"/>
    <col min="8" max="8" width="22.6640625" bestFit="1" customWidth="1"/>
    <col min="9" max="9" width="10.44140625" bestFit="1" customWidth="1"/>
    <col min="10" max="10" width="9.33203125" customWidth="1"/>
    <col min="11" max="11" width="21" bestFit="1" customWidth="1"/>
    <col min="12" max="12" width="28" bestFit="1" customWidth="1"/>
    <col min="13" max="13" width="11.33203125" bestFit="1" customWidth="1"/>
    <col min="14" max="14" width="9.33203125" customWidth="1"/>
    <col min="15" max="15" width="4" bestFit="1" customWidth="1"/>
    <col min="16" max="19" width="9.33203125" customWidth="1"/>
  </cols>
  <sheetData>
    <row r="1" spans="2:19" x14ac:dyDescent="0.3">
      <c r="G1" s="1"/>
    </row>
    <row r="2" spans="2:19" ht="15" thickBot="1" x14ac:dyDescent="0.35"/>
    <row r="3" spans="2:19" x14ac:dyDescent="0.3">
      <c r="L3" s="49" t="s">
        <v>0</v>
      </c>
      <c r="M3" s="50"/>
    </row>
    <row r="4" spans="2:19" x14ac:dyDescent="0.3">
      <c r="D4" s="4"/>
      <c r="E4" s="4"/>
      <c r="L4" s="2" t="s">
        <v>1</v>
      </c>
      <c r="M4" s="13" t="s">
        <v>14</v>
      </c>
    </row>
    <row r="5" spans="2:19" x14ac:dyDescent="0.3">
      <c r="B5" t="str">
        <f>_xlfn.CONCAT("pH of ", WASB_Va, "mL of ", WASB_Ca, "M ",  M4, " vs Volume ", WASB_Cb, "M ", M8)</f>
        <v>pH of 25mL of 0.1M Formic Acid vs Volume 0.5M KOH</v>
      </c>
      <c r="L5" s="2" t="s">
        <v>2</v>
      </c>
      <c r="M5" s="14">
        <v>1.8E-7</v>
      </c>
    </row>
    <row r="6" spans="2:19" x14ac:dyDescent="0.3">
      <c r="L6" s="2" t="s">
        <v>4</v>
      </c>
      <c r="M6" s="42">
        <v>0.1</v>
      </c>
    </row>
    <row r="7" spans="2:19" x14ac:dyDescent="0.3">
      <c r="L7" s="2" t="s">
        <v>5</v>
      </c>
      <c r="M7" s="15">
        <v>25</v>
      </c>
      <c r="O7" s="4"/>
      <c r="P7" s="4"/>
      <c r="Q7" s="4"/>
      <c r="R7" s="4"/>
    </row>
    <row r="8" spans="2:19" x14ac:dyDescent="0.3">
      <c r="L8" s="2" t="s">
        <v>3</v>
      </c>
      <c r="M8" s="46" t="s">
        <v>15</v>
      </c>
      <c r="O8" s="4"/>
      <c r="P8" s="4"/>
      <c r="Q8" s="4"/>
      <c r="R8" s="4"/>
    </row>
    <row r="9" spans="2:19" x14ac:dyDescent="0.3">
      <c r="L9" s="2" t="s">
        <v>6</v>
      </c>
      <c r="M9" s="15">
        <v>0.5</v>
      </c>
      <c r="O9" s="4"/>
      <c r="P9" s="4"/>
      <c r="Q9" s="4"/>
      <c r="R9" s="4"/>
    </row>
    <row r="10" spans="2:19" x14ac:dyDescent="0.3">
      <c r="L10" s="11" t="s">
        <v>42</v>
      </c>
      <c r="M10" s="12">
        <f>0.5*M11</f>
        <v>2.5</v>
      </c>
    </row>
    <row r="11" spans="2:19" x14ac:dyDescent="0.3">
      <c r="L11" s="10" t="s">
        <v>43</v>
      </c>
      <c r="M11" s="3">
        <f>(M6*M7)/M9</f>
        <v>5</v>
      </c>
    </row>
    <row r="12" spans="2:19" ht="15" thickBot="1" x14ac:dyDescent="0.35">
      <c r="L12" s="5" t="s">
        <v>44</v>
      </c>
      <c r="M12" s="9">
        <f>2*M11</f>
        <v>10</v>
      </c>
    </row>
    <row r="13" spans="2:19" x14ac:dyDescent="0.3">
      <c r="L13" s="4"/>
      <c r="M13" s="4"/>
    </row>
    <row r="14" spans="2:19" ht="15" customHeight="1" x14ac:dyDescent="0.3">
      <c r="L14" s="4"/>
      <c r="M14" s="4"/>
      <c r="P14" s="8"/>
      <c r="Q14" s="8"/>
      <c r="R14" s="8"/>
      <c r="S14" s="8"/>
    </row>
    <row r="15" spans="2:19" x14ac:dyDescent="0.3">
      <c r="L15" s="4"/>
      <c r="M15" s="4"/>
    </row>
    <row r="16" spans="2:19" ht="15" thickBot="1" x14ac:dyDescent="0.35">
      <c r="L16" s="4"/>
      <c r="M16" s="4"/>
    </row>
    <row r="17" spans="2:16" x14ac:dyDescent="0.3">
      <c r="L17" s="49" t="s">
        <v>9</v>
      </c>
      <c r="M17" s="50"/>
    </row>
    <row r="18" spans="2:16" x14ac:dyDescent="0.3">
      <c r="L18" s="2" t="s">
        <v>3</v>
      </c>
      <c r="M18" s="16" t="s">
        <v>35</v>
      </c>
    </row>
    <row r="19" spans="2:16" x14ac:dyDescent="0.3">
      <c r="L19" s="2" t="s">
        <v>8</v>
      </c>
      <c r="M19" s="48">
        <v>7.1999999999999997E-6</v>
      </c>
    </row>
    <row r="20" spans="2:16" x14ac:dyDescent="0.3">
      <c r="B20" t="str">
        <f>_xlfn.CONCAT("pH of ", SAWB_Vb, "mL of ", SAWB_Cb, "M ",  M18, " vs Volume ", SAWB_Ca, "M ", M22)</f>
        <v>pH of 25mL of 0.1M Ammonia vs Volume 0.5M HNO3</v>
      </c>
      <c r="L20" s="2" t="s">
        <v>6</v>
      </c>
      <c r="M20" s="43">
        <v>0.1</v>
      </c>
    </row>
    <row r="21" spans="2:16" x14ac:dyDescent="0.3">
      <c r="L21" s="2" t="s">
        <v>7</v>
      </c>
      <c r="M21" s="17">
        <v>25</v>
      </c>
    </row>
    <row r="22" spans="2:16" x14ac:dyDescent="0.3">
      <c r="L22" s="2" t="s">
        <v>1</v>
      </c>
      <c r="M22" s="45" t="s">
        <v>11</v>
      </c>
    </row>
    <row r="23" spans="2:16" x14ac:dyDescent="0.3">
      <c r="L23" s="2" t="s">
        <v>4</v>
      </c>
      <c r="M23" s="17">
        <v>0.5</v>
      </c>
    </row>
    <row r="24" spans="2:16" x14ac:dyDescent="0.3">
      <c r="L24" s="11" t="s">
        <v>42</v>
      </c>
      <c r="M24" s="12">
        <f>0.5*M25</f>
        <v>2.5</v>
      </c>
    </row>
    <row r="25" spans="2:16" ht="15" thickBot="1" x14ac:dyDescent="0.35">
      <c r="L25" s="10" t="s">
        <v>43</v>
      </c>
      <c r="M25" s="3">
        <f>(M20*M21)/M23</f>
        <v>5</v>
      </c>
    </row>
    <row r="26" spans="2:16" ht="15" thickBot="1" x14ac:dyDescent="0.35">
      <c r="L26" s="5" t="s">
        <v>44</v>
      </c>
      <c r="M26" s="9">
        <f>2*M25</f>
        <v>10</v>
      </c>
      <c r="O26" s="6" t="s">
        <v>10</v>
      </c>
      <c r="P26" s="7">
        <v>1.0099999999999999E-14</v>
      </c>
    </row>
    <row r="50" spans="2:3" x14ac:dyDescent="0.3">
      <c r="B50" t="s">
        <v>33</v>
      </c>
      <c r="C50" t="s">
        <v>30</v>
      </c>
    </row>
    <row r="51" spans="2:3" x14ac:dyDescent="0.3">
      <c r="B51" t="s">
        <v>31</v>
      </c>
      <c r="C51" s="47" t="s">
        <v>32</v>
      </c>
    </row>
    <row r="52" spans="2:3" x14ac:dyDescent="0.3">
      <c r="B52" t="s">
        <v>34</v>
      </c>
      <c r="C52" s="47" t="s">
        <v>17</v>
      </c>
    </row>
    <row r="53" spans="2:3" x14ac:dyDescent="0.3">
      <c r="B53" s="4" t="s">
        <v>40</v>
      </c>
      <c r="C53" t="s">
        <v>41</v>
      </c>
    </row>
  </sheetData>
  <scenarios current="0" show="0" sqref="L10:L19">
    <scenario name="Changing Ka and Concentration" locked="1" count="2" user="Author">
      <inputCells r="M5" val="0.00002" numFmtId="11"/>
      <inputCells r="M6" val="0.05" numFmtId="2"/>
    </scenario>
  </scenarios>
  <mergeCells count="2">
    <mergeCell ref="L3:M3"/>
    <mergeCell ref="L17:M17"/>
  </mergeCells>
  <dataValidations count="1">
    <dataValidation type="decimal" errorStyle="warning" operator="greaterThan" allowBlank="1" showInputMessage="1" showErrorMessage="1" errorTitle="Invalid Input" error="The value in this cell must be a positive real number. Anything else will break macros. Only do this if you know what you're doing" sqref="M9 M6 M7 M5 M19 M20 M21 M23" xr:uid="{389292E2-8E3F-4F24-9CB0-4A770676F75A}">
      <formula1>0</formula1>
    </dataValidation>
  </dataValidations>
  <hyperlinks>
    <hyperlink ref="C51" r:id="rId1" xr:uid="{B50D3E73-4D61-442B-9D28-E3E7A8AF4BAE}"/>
    <hyperlink ref="C52" r:id="rId2" xr:uid="{6786B45B-9625-410C-BB1E-902E27391A57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PrepareWASB">
                <anchor moveWithCells="1">
                  <from>
                    <xdr:col>11</xdr:col>
                    <xdr:colOff>30480</xdr:colOff>
                    <xdr:row>12</xdr:row>
                    <xdr:rowOff>30480</xdr:rowOff>
                  </from>
                  <to>
                    <xdr:col>11</xdr:col>
                    <xdr:colOff>716280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ResetCalcSheet">
                <anchor moveWithCells="1">
                  <from>
                    <xdr:col>14</xdr:col>
                    <xdr:colOff>7620</xdr:colOff>
                    <xdr:row>21</xdr:row>
                    <xdr:rowOff>175260</xdr:rowOff>
                  </from>
                  <to>
                    <xdr:col>16</xdr:col>
                    <xdr:colOff>7620</xdr:colOff>
                    <xdr:row>24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PrepareSAWB">
                <anchor moveWithCells="1">
                  <from>
                    <xdr:col>11</xdr:col>
                    <xdr:colOff>22860</xdr:colOff>
                    <xdr:row>26</xdr:row>
                    <xdr:rowOff>30480</xdr:rowOff>
                  </from>
                  <to>
                    <xdr:col>11</xdr:col>
                    <xdr:colOff>708660</xdr:colOff>
                    <xdr:row>27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FF0A9-F92E-443D-BF97-B7703F67AA7E}">
  <sheetPr codeName="Sheet3">
    <tabColor theme="5" tint="0.39997558519241921"/>
  </sheetPr>
  <dimension ref="A1:W58"/>
  <sheetViews>
    <sheetView showGridLines="0" showRowColHeaders="0" zoomScale="70" zoomScaleNormal="70" workbookViewId="0"/>
  </sheetViews>
  <sheetFormatPr defaultRowHeight="14.4" x14ac:dyDescent="0.3"/>
  <cols>
    <col min="1" max="1" width="13.6640625" bestFit="1" customWidth="1"/>
    <col min="2" max="2" width="12" bestFit="1" customWidth="1"/>
    <col min="4" max="4" width="21.6640625" bestFit="1" customWidth="1"/>
    <col min="8" max="8" width="22.6640625" bestFit="1" customWidth="1"/>
    <col min="9" max="9" width="8.5546875" bestFit="1" customWidth="1"/>
    <col min="17" max="17" width="9.33203125" customWidth="1"/>
    <col min="18" max="18" width="3.33203125" customWidth="1"/>
    <col min="19" max="19" width="55.44140625" bestFit="1" customWidth="1"/>
    <col min="20" max="20" width="22.33203125" bestFit="1" customWidth="1"/>
    <col min="21" max="21" width="8.33203125" customWidth="1"/>
    <col min="23" max="23" width="10" customWidth="1"/>
  </cols>
  <sheetData>
    <row r="1" spans="4:23" ht="15" thickBot="1" x14ac:dyDescent="0.35">
      <c r="G1" s="1"/>
    </row>
    <row r="2" spans="4:23" ht="5.4" customHeight="1" x14ac:dyDescent="0.55000000000000004">
      <c r="R2" s="19"/>
      <c r="S2" s="20"/>
      <c r="T2" s="20"/>
      <c r="U2" s="20"/>
      <c r="V2" s="20"/>
      <c r="W2" s="21"/>
    </row>
    <row r="3" spans="4:23" ht="10.95" customHeight="1" thickBot="1" x14ac:dyDescent="0.6">
      <c r="R3" s="22"/>
      <c r="S3" s="23"/>
      <c r="T3" s="23"/>
      <c r="U3" s="23"/>
      <c r="V3" s="23"/>
      <c r="W3" s="24"/>
    </row>
    <row r="4" spans="4:23" ht="34.200000000000003" thickBot="1" x14ac:dyDescent="0.7">
      <c r="D4" s="4"/>
      <c r="E4" s="4"/>
      <c r="R4" s="22"/>
      <c r="S4" s="51" t="s">
        <v>0</v>
      </c>
      <c r="T4" s="52"/>
      <c r="U4" s="25"/>
      <c r="V4" s="23"/>
      <c r="W4" s="24"/>
    </row>
    <row r="5" spans="4:23" ht="28.8" x14ac:dyDescent="0.55000000000000004">
      <c r="R5" s="22"/>
      <c r="S5" s="55" t="s">
        <v>12</v>
      </c>
      <c r="T5" s="56"/>
      <c r="U5" s="23"/>
      <c r="V5" s="23"/>
      <c r="W5" s="24"/>
    </row>
    <row r="6" spans="4:23" ht="28.8" x14ac:dyDescent="0.55000000000000004">
      <c r="R6" s="22"/>
      <c r="S6" s="26" t="s">
        <v>2</v>
      </c>
      <c r="T6" s="27">
        <f>10^(B58-14)</f>
        <v>9.9999999999999995E-7</v>
      </c>
      <c r="U6" s="23"/>
      <c r="V6" s="23"/>
      <c r="W6" s="24"/>
    </row>
    <row r="7" spans="4:23" ht="28.8" x14ac:dyDescent="0.55000000000000004">
      <c r="R7" s="22"/>
      <c r="S7" s="26" t="s">
        <v>4</v>
      </c>
      <c r="T7" s="27">
        <f>0.01*E58</f>
        <v>0.12</v>
      </c>
      <c r="U7" s="23"/>
      <c r="V7" s="23"/>
      <c r="W7" s="24"/>
    </row>
    <row r="8" spans="4:23" ht="28.8" x14ac:dyDescent="0.55000000000000004">
      <c r="R8" s="22"/>
      <c r="S8" s="26" t="s">
        <v>5</v>
      </c>
      <c r="T8" s="28">
        <v>100</v>
      </c>
      <c r="U8" s="23"/>
      <c r="V8" s="23"/>
      <c r="W8" s="24"/>
    </row>
    <row r="9" spans="4:23" ht="28.8" x14ac:dyDescent="0.55000000000000004">
      <c r="R9" s="22"/>
      <c r="S9" s="53" t="s">
        <v>13</v>
      </c>
      <c r="T9" s="54"/>
      <c r="U9" s="23"/>
      <c r="V9" s="23"/>
      <c r="W9" s="24"/>
    </row>
    <row r="10" spans="4:23" ht="28.8" x14ac:dyDescent="0.55000000000000004">
      <c r="R10" s="22"/>
      <c r="S10" s="26" t="s">
        <v>6</v>
      </c>
      <c r="T10" s="28">
        <v>0.1</v>
      </c>
      <c r="U10" s="23"/>
      <c r="V10" s="23"/>
      <c r="W10" s="24"/>
    </row>
    <row r="11" spans="4:23" ht="28.8" x14ac:dyDescent="0.55000000000000004">
      <c r="R11" s="22"/>
      <c r="S11" s="36" t="s">
        <v>42</v>
      </c>
      <c r="T11" s="37">
        <f>0.5*T12</f>
        <v>60</v>
      </c>
      <c r="U11" s="23"/>
      <c r="V11" s="23"/>
      <c r="W11" s="24"/>
    </row>
    <row r="12" spans="4:23" ht="28.8" x14ac:dyDescent="0.55000000000000004">
      <c r="R12" s="22"/>
      <c r="S12" s="26" t="s">
        <v>43</v>
      </c>
      <c r="T12" s="29">
        <f>(T7*T8)/T10</f>
        <v>120</v>
      </c>
      <c r="U12" s="23"/>
      <c r="V12" s="23"/>
      <c r="W12" s="24"/>
    </row>
    <row r="13" spans="4:23" ht="29.4" thickBot="1" x14ac:dyDescent="0.6">
      <c r="H13" s="4"/>
      <c r="I13" s="4"/>
      <c r="R13" s="22"/>
      <c r="S13" s="30" t="s">
        <v>44</v>
      </c>
      <c r="T13" s="31">
        <f>2*T12</f>
        <v>240</v>
      </c>
      <c r="U13" s="23"/>
      <c r="V13" s="23"/>
      <c r="W13" s="24"/>
    </row>
    <row r="14" spans="4:23" ht="9" customHeight="1" x14ac:dyDescent="0.55000000000000004">
      <c r="H14" s="4"/>
      <c r="I14" s="4"/>
      <c r="R14" s="22"/>
      <c r="S14" s="23"/>
      <c r="T14" s="23"/>
      <c r="U14" s="23"/>
      <c r="V14" s="23"/>
      <c r="W14" s="24"/>
    </row>
    <row r="15" spans="4:23" ht="13.5" customHeight="1" thickBot="1" x14ac:dyDescent="0.6">
      <c r="R15" s="32"/>
      <c r="S15" s="33"/>
      <c r="T15" s="34"/>
      <c r="U15" s="34"/>
      <c r="V15" s="34"/>
      <c r="W15" s="35"/>
    </row>
    <row r="25" spans="19:19" x14ac:dyDescent="0.3">
      <c r="S25" t="s">
        <v>16</v>
      </c>
    </row>
    <row r="58" spans="1:5" x14ac:dyDescent="0.3">
      <c r="A58" s="39" t="s">
        <v>45</v>
      </c>
      <c r="B58" s="40">
        <v>8</v>
      </c>
      <c r="D58" s="39" t="s">
        <v>39</v>
      </c>
      <c r="E58" s="40">
        <v>12</v>
      </c>
    </row>
  </sheetData>
  <mergeCells count="3">
    <mergeCell ref="S4:T4"/>
    <mergeCell ref="S9:T9"/>
    <mergeCell ref="S5:T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croll Bar 2">
              <controlPr defaultSize="0" autoPict="0" macro="[0]!Demonstration">
                <anchor moveWithCells="1">
                  <from>
                    <xdr:col>20</xdr:col>
                    <xdr:colOff>22860</xdr:colOff>
                    <xdr:row>5</xdr:row>
                    <xdr:rowOff>60960</xdr:rowOff>
                  </from>
                  <to>
                    <xdr:col>22</xdr:col>
                    <xdr:colOff>655320</xdr:colOff>
                    <xdr:row>5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emonstration">
                <anchor moveWithCells="1" sizeWithCells="1">
                  <from>
                    <xdr:col>21</xdr:col>
                    <xdr:colOff>137160</xdr:colOff>
                    <xdr:row>2</xdr:row>
                    <xdr:rowOff>121920</xdr:rowOff>
                  </from>
                  <to>
                    <xdr:col>22</xdr:col>
                    <xdr:colOff>594360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ResetCalcSheet">
                <anchor moveWithCells="1">
                  <from>
                    <xdr:col>20</xdr:col>
                    <xdr:colOff>403860</xdr:colOff>
                    <xdr:row>11</xdr:row>
                    <xdr:rowOff>76200</xdr:rowOff>
                  </from>
                  <to>
                    <xdr:col>22</xdr:col>
                    <xdr:colOff>579120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Scroll Bar 5">
              <controlPr defaultSize="0" autoPict="0" macro="[0]!Demonstration">
                <anchor moveWithCells="1">
                  <from>
                    <xdr:col>20</xdr:col>
                    <xdr:colOff>7620</xdr:colOff>
                    <xdr:row>6</xdr:row>
                    <xdr:rowOff>60960</xdr:rowOff>
                  </from>
                  <to>
                    <xdr:col>22</xdr:col>
                    <xdr:colOff>647700</xdr:colOff>
                    <xdr:row>6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B8E7-9310-46B7-9CB0-AD2FB1A2CDF2}">
  <sheetPr codeName="Sheet2">
    <tabColor theme="5" tint="-0.249977111117893"/>
  </sheetPr>
  <dimension ref="A1:AP143"/>
  <sheetViews>
    <sheetView zoomScale="73" zoomScaleNormal="73" workbookViewId="0">
      <selection sqref="A1:G1"/>
    </sheetView>
  </sheetViews>
  <sheetFormatPr defaultColWidth="9.44140625" defaultRowHeight="15" customHeight="1" x14ac:dyDescent="0.3"/>
  <cols>
    <col min="1" max="1" width="6.5546875" style="41" bestFit="1" customWidth="1"/>
    <col min="2" max="3" width="9.6640625" style="44" bestFit="1" customWidth="1"/>
    <col min="4" max="4" width="9.5546875" style="41" bestFit="1" customWidth="1"/>
    <col min="5" max="5" width="8.6640625" style="41" bestFit="1" customWidth="1"/>
    <col min="6" max="6" width="9.5546875" style="41" bestFit="1" customWidth="1"/>
    <col min="7" max="7" width="15" style="18" bestFit="1" customWidth="1"/>
    <col min="8" max="8" width="6.5546875" style="41" bestFit="1" customWidth="1"/>
    <col min="9" max="10" width="9.33203125" style="44" bestFit="1" customWidth="1"/>
    <col min="11" max="11" width="9.5546875" style="41" bestFit="1" customWidth="1"/>
    <col min="12" max="12" width="8.6640625" style="41" bestFit="1" customWidth="1"/>
    <col min="13" max="13" width="5.44140625" style="41" bestFit="1" customWidth="1"/>
    <col min="14" max="14" width="15" style="38" bestFit="1" customWidth="1"/>
    <col min="15" max="15" width="6.5546875" style="41" bestFit="1" customWidth="1"/>
    <col min="16" max="17" width="9.6640625" style="44" bestFit="1" customWidth="1"/>
    <col min="18" max="18" width="8.6640625" style="41" bestFit="1" customWidth="1"/>
    <col min="19" max="19" width="9.5546875" style="41" bestFit="1" customWidth="1"/>
    <col min="20" max="20" width="9" style="41" bestFit="1" customWidth="1"/>
    <col min="21" max="21" width="15" style="18" bestFit="1" customWidth="1"/>
    <col min="22" max="22" width="6.5546875" style="41" bestFit="1" customWidth="1"/>
    <col min="23" max="24" width="9.33203125" style="44" bestFit="1" customWidth="1"/>
    <col min="25" max="25" width="8.6640625" style="41" bestFit="1" customWidth="1"/>
    <col min="26" max="26" width="9.5546875" style="41" bestFit="1" customWidth="1"/>
    <col min="27" max="27" width="5.44140625" style="41" bestFit="1" customWidth="1"/>
    <col min="28" max="28" width="15" style="38" bestFit="1" customWidth="1"/>
    <col min="29" max="29" width="6.5546875" style="41" bestFit="1" customWidth="1"/>
    <col min="30" max="31" width="9.6640625" style="44" bestFit="1" customWidth="1"/>
    <col min="32" max="32" width="9.5546875" style="41" bestFit="1" customWidth="1"/>
    <col min="33" max="33" width="8.6640625" style="41" bestFit="1" customWidth="1"/>
    <col min="34" max="34" width="8.44140625" style="41" bestFit="1" customWidth="1"/>
    <col min="35" max="35" width="15" style="18" bestFit="1" customWidth="1"/>
    <col min="36" max="36" width="6.5546875" style="41" bestFit="1" customWidth="1"/>
    <col min="37" max="38" width="9.33203125" style="44" bestFit="1" customWidth="1"/>
    <col min="39" max="39" width="9.5546875" style="41" bestFit="1" customWidth="1"/>
    <col min="40" max="40" width="8.6640625" style="41" bestFit="1" customWidth="1"/>
    <col min="41" max="41" width="5.44140625" style="41" bestFit="1" customWidth="1"/>
    <col min="42" max="42" width="15" style="38" bestFit="1" customWidth="1"/>
    <col min="43" max="45" width="9.44140625" style="41"/>
    <col min="46" max="46" width="5.44140625" style="41" bestFit="1" customWidth="1"/>
    <col min="47" max="48" width="9.33203125" style="41" bestFit="1" customWidth="1"/>
    <col min="49" max="49" width="9.88671875" style="41" bestFit="1" customWidth="1"/>
    <col min="50" max="50" width="9.33203125" style="41" bestFit="1" customWidth="1"/>
    <col min="51" max="52" width="9.6640625" style="41" bestFit="1" customWidth="1"/>
    <col min="53" max="53" width="9.33203125" style="41" bestFit="1" customWidth="1"/>
    <col min="54" max="16384" width="9.44140625" style="41"/>
  </cols>
  <sheetData>
    <row r="1" spans="1:42" ht="15" customHeight="1" x14ac:dyDescent="0.3">
      <c r="A1" s="58" t="s">
        <v>20</v>
      </c>
      <c r="B1" s="58"/>
      <c r="C1" s="58"/>
      <c r="D1" s="58"/>
      <c r="E1" s="58"/>
      <c r="F1" s="58"/>
      <c r="G1" s="60"/>
      <c r="H1" s="57" t="s">
        <v>36</v>
      </c>
      <c r="I1" s="58"/>
      <c r="J1" s="58"/>
      <c r="K1" s="58"/>
      <c r="L1" s="58"/>
      <c r="M1" s="58"/>
      <c r="N1" s="59"/>
      <c r="O1" s="61" t="s">
        <v>19</v>
      </c>
      <c r="P1" s="58"/>
      <c r="Q1" s="58"/>
      <c r="R1" s="58"/>
      <c r="S1" s="58"/>
      <c r="T1" s="58"/>
      <c r="U1" s="60"/>
      <c r="V1" s="57" t="s">
        <v>37</v>
      </c>
      <c r="W1" s="58"/>
      <c r="X1" s="58"/>
      <c r="Y1" s="58"/>
      <c r="Z1" s="58"/>
      <c r="AA1" s="58"/>
      <c r="AB1" s="59"/>
      <c r="AC1" s="61" t="s">
        <v>18</v>
      </c>
      <c r="AD1" s="58"/>
      <c r="AE1" s="58"/>
      <c r="AF1" s="58"/>
      <c r="AG1" s="58"/>
      <c r="AH1" s="58"/>
      <c r="AI1" s="60"/>
      <c r="AJ1" s="57" t="s">
        <v>38</v>
      </c>
      <c r="AK1" s="58"/>
      <c r="AL1" s="58"/>
      <c r="AM1" s="58"/>
      <c r="AN1" s="58"/>
      <c r="AO1" s="58"/>
      <c r="AP1" s="59"/>
    </row>
    <row r="2" spans="1:42" ht="15" customHeight="1" x14ac:dyDescent="0.3">
      <c r="A2" s="41" t="s">
        <v>21</v>
      </c>
      <c r="B2" s="44" t="s">
        <v>22</v>
      </c>
      <c r="C2" s="44" t="s">
        <v>23</v>
      </c>
      <c r="D2" s="41" t="s">
        <v>24</v>
      </c>
      <c r="E2" s="41" t="s">
        <v>25</v>
      </c>
      <c r="F2" s="41" t="s">
        <v>26</v>
      </c>
      <c r="G2" s="18" t="s">
        <v>27</v>
      </c>
      <c r="H2" s="41" t="s">
        <v>21</v>
      </c>
      <c r="I2" s="44" t="s">
        <v>22</v>
      </c>
      <c r="J2" s="44" t="s">
        <v>23</v>
      </c>
      <c r="K2" s="41" t="s">
        <v>24</v>
      </c>
      <c r="L2" s="41" t="s">
        <v>25</v>
      </c>
      <c r="M2" s="41" t="s">
        <v>26</v>
      </c>
      <c r="N2" s="38" t="s">
        <v>27</v>
      </c>
      <c r="O2" s="41" t="s">
        <v>21</v>
      </c>
      <c r="P2" s="44" t="s">
        <v>22</v>
      </c>
      <c r="Q2" s="44" t="s">
        <v>23</v>
      </c>
      <c r="R2" s="41" t="s">
        <v>28</v>
      </c>
      <c r="S2" s="41" t="s">
        <v>29</v>
      </c>
      <c r="T2" s="41" t="s">
        <v>26</v>
      </c>
      <c r="U2" s="18" t="s">
        <v>27</v>
      </c>
      <c r="V2" s="41" t="s">
        <v>21</v>
      </c>
      <c r="W2" s="44" t="s">
        <v>22</v>
      </c>
      <c r="X2" s="44" t="s">
        <v>23</v>
      </c>
      <c r="Y2" s="41" t="s">
        <v>28</v>
      </c>
      <c r="Z2" s="41" t="s">
        <v>29</v>
      </c>
      <c r="AA2" s="41" t="s">
        <v>26</v>
      </c>
      <c r="AB2" s="38" t="s">
        <v>27</v>
      </c>
      <c r="AC2" s="41" t="s">
        <v>21</v>
      </c>
      <c r="AD2" s="44" t="s">
        <v>22</v>
      </c>
      <c r="AE2" s="44" t="s">
        <v>23</v>
      </c>
      <c r="AF2" s="41" t="s">
        <v>24</v>
      </c>
      <c r="AG2" s="41" t="s">
        <v>25</v>
      </c>
      <c r="AH2" s="41" t="s">
        <v>26</v>
      </c>
      <c r="AI2" s="18" t="s">
        <v>27</v>
      </c>
      <c r="AJ2" s="41" t="s">
        <v>21</v>
      </c>
      <c r="AK2" s="44" t="s">
        <v>22</v>
      </c>
      <c r="AL2" s="44" t="s">
        <v>23</v>
      </c>
      <c r="AM2" s="41" t="s">
        <v>24</v>
      </c>
      <c r="AN2" s="41" t="s">
        <v>25</v>
      </c>
      <c r="AO2" s="41" t="s">
        <v>26</v>
      </c>
      <c r="AP2" s="38" t="s">
        <v>27</v>
      </c>
    </row>
    <row r="3" spans="1:42" ht="15" customHeight="1" x14ac:dyDescent="0.3">
      <c r="A3" s="41">
        <v>0</v>
      </c>
      <c r="B3" s="44">
        <f>10^(-A3)</f>
        <v>1</v>
      </c>
      <c r="C3" s="44">
        <f t="shared" ref="C3:C4" si="0">Kw/B3</f>
        <v>1.0099999999999999E-14</v>
      </c>
      <c r="D3" s="41">
        <f t="shared" ref="D3:D4" si="1">B3/(B3+WASB_Ka)</f>
        <v>0.9999998200000324</v>
      </c>
      <c r="E3" s="41">
        <f t="shared" ref="E3:E4" si="2">WASB_Ka/(B3+WASB_Ka)</f>
        <v>1.7999996760000583E-7</v>
      </c>
      <c r="F3" s="41">
        <f t="shared" ref="F3:F4" si="3">(E3-((B3-C3)/WASB_Ca)) / (1 + ((B3-C3)/WASB_Cb))</f>
        <v>-3.3333332733333334</v>
      </c>
      <c r="G3" s="18">
        <f>F3*(WASB_Va * WASB_Ca)/WASB_Cb</f>
        <v>-16.666666366666668</v>
      </c>
      <c r="H3" s="41">
        <v>3.9</v>
      </c>
      <c r="I3" s="44">
        <v>1.2589254117941672E-4</v>
      </c>
      <c r="J3" s="44">
        <v>8.0227151707152435E-11</v>
      </c>
      <c r="K3" s="41">
        <v>0.99857225056054177</v>
      </c>
      <c r="L3" s="41">
        <v>1.4277494394583346E-3</v>
      </c>
      <c r="M3" s="41">
        <v>1.6878233308912906E-4</v>
      </c>
      <c r="N3" s="38">
        <v>8.4391166544564534E-4</v>
      </c>
      <c r="O3" s="41">
        <v>0</v>
      </c>
      <c r="P3" s="44">
        <f t="shared" ref="P3:P4" si="4">10^-O3</f>
        <v>1</v>
      </c>
      <c r="Q3" s="44">
        <f t="shared" ref="Q3:Q4" si="5">Kw/P3</f>
        <v>1.0099999999999999E-14</v>
      </c>
      <c r="R3" s="41">
        <f t="shared" ref="R3:R4" si="6">P3/(P3+(Kw/SAWB_Kb))</f>
        <v>0.99999999859722233</v>
      </c>
      <c r="S3" s="41">
        <f t="shared" ref="S3:S4" si="7">(Kw/SAWB_Kb)/(P3+(Kw/SAWB_Kb))</f>
        <v>1.4027777758099923E-9</v>
      </c>
      <c r="T3" s="41">
        <f t="shared" ref="T3:T4" si="8">(R3+((P3-Q3)/SAWB_Cb))/(1-((P3-Q3)/SAWB_Ca))</f>
        <v>-10.999999998597342</v>
      </c>
      <c r="U3" s="18">
        <f t="shared" ref="U3:U4" si="9">(T3*SAWB_Cb*SAWB_Vb)/SAWB_Ca</f>
        <v>-54.999999992986716</v>
      </c>
      <c r="V3" s="41">
        <v>1.2</v>
      </c>
      <c r="W3" s="44">
        <v>6.3095734448019317E-2</v>
      </c>
      <c r="X3" s="44">
        <v>1.6007421243857248E-13</v>
      </c>
      <c r="Y3" s="41">
        <v>0.99999997776747096</v>
      </c>
      <c r="Z3" s="41">
        <v>2.2232529011071928E-8</v>
      </c>
      <c r="AA3" s="41">
        <v>1.8664927889693748</v>
      </c>
      <c r="AB3" s="38">
        <v>9.3324639448468751</v>
      </c>
      <c r="AC3" s="41">
        <v>0</v>
      </c>
      <c r="AD3" s="44">
        <f>10^(-AC3)</f>
        <v>1</v>
      </c>
      <c r="AE3" s="44">
        <f t="shared" ref="AE3:AE4" si="10">Kw/AD3</f>
        <v>1.0099999999999999E-14</v>
      </c>
      <c r="AF3" s="41">
        <f t="shared" ref="AF3:AF4" si="11">AD3/(AD3+DEMO_Ka)</f>
        <v>0.99999900000100006</v>
      </c>
      <c r="AG3" s="41">
        <f t="shared" ref="AG3:AG4" si="12">DEMO_Ka/(AD3+DEMO_Ka)</f>
        <v>9.9999900000100006E-7</v>
      </c>
      <c r="AH3" s="41">
        <f t="shared" ref="AH3:AH4" si="13">(AG3-((AD3-AE3)/DEMO_Ca)) / (1 + ((AD3-AE3)/DEMO_Cb))</f>
        <v>-0.75757566666675691</v>
      </c>
      <c r="AI3" s="18">
        <f t="shared" ref="AI3:AI4" si="14">AH3*(DEMO_Va * DEMO_Ca)/DEMO_Cb</f>
        <v>-90.909080000010817</v>
      </c>
      <c r="AJ3" s="41">
        <v>3.5</v>
      </c>
      <c r="AK3" s="44">
        <v>3.1622776601683783E-4</v>
      </c>
      <c r="AL3" s="44">
        <v>3.1939004367700641E-11</v>
      </c>
      <c r="AM3" s="41">
        <v>0.99684769081673974</v>
      </c>
      <c r="AN3" s="41">
        <v>3.1523091832602124E-3</v>
      </c>
      <c r="AO3" s="41">
        <v>5.1544807617330318E-4</v>
      </c>
      <c r="AP3" s="38">
        <v>6.1853769140796377E-2</v>
      </c>
    </row>
    <row r="4" spans="1:42" ht="15" customHeight="1" x14ac:dyDescent="0.3">
      <c r="A4" s="41">
        <v>0.1</v>
      </c>
      <c r="B4" s="44">
        <f>10^(-A4)</f>
        <v>0.79432823472428149</v>
      </c>
      <c r="C4" s="44">
        <f t="shared" si="0"/>
        <v>1.2715146659121089E-14</v>
      </c>
      <c r="D4" s="41">
        <f t="shared" si="1"/>
        <v>0.99999977339347723</v>
      </c>
      <c r="E4" s="41">
        <f t="shared" si="2"/>
        <v>2.2660652277242229E-7</v>
      </c>
      <c r="F4" s="41">
        <f t="shared" si="3"/>
        <v>-3.0684960381507578</v>
      </c>
      <c r="G4" s="18">
        <f t="shared" ref="G4:G5" si="15">F4*(WASB_Va * WASB_Ca)/WASB_Cb</f>
        <v>-15.34248019075379</v>
      </c>
      <c r="H4" s="41">
        <v>4</v>
      </c>
      <c r="I4" s="44">
        <v>1E-4</v>
      </c>
      <c r="J4" s="44">
        <v>1.0099999999999999E-10</v>
      </c>
      <c r="K4" s="41">
        <v>0.99820323417847867</v>
      </c>
      <c r="L4" s="41">
        <v>1.7967658215212617E-3</v>
      </c>
      <c r="M4" s="41">
        <v>7.9660751018014039E-4</v>
      </c>
      <c r="N4" s="38">
        <v>3.9830375509007018E-3</v>
      </c>
      <c r="O4" s="41">
        <v>0.1</v>
      </c>
      <c r="P4" s="44">
        <f t="shared" si="4"/>
        <v>0.79432823472428149</v>
      </c>
      <c r="Q4" s="44">
        <f t="shared" si="5"/>
        <v>1.2715146659121089E-14</v>
      </c>
      <c r="R4" s="41">
        <f t="shared" si="6"/>
        <v>0.99999999823400743</v>
      </c>
      <c r="S4" s="41">
        <f t="shared" si="7"/>
        <v>1.7659925884258658E-9</v>
      </c>
      <c r="T4" s="41">
        <f t="shared" si="8"/>
        <v>-15.192702042083901</v>
      </c>
      <c r="U4" s="18">
        <f t="shared" si="9"/>
        <v>-75.963510210419514</v>
      </c>
      <c r="V4" s="41">
        <v>1.3</v>
      </c>
      <c r="W4" s="44">
        <v>5.0118723362727206E-2</v>
      </c>
      <c r="X4" s="44">
        <v>2.0152149381185691E-13</v>
      </c>
      <c r="Y4" s="41">
        <v>0.9999999720109044</v>
      </c>
      <c r="Z4" s="41">
        <v>2.7989095579368412E-8</v>
      </c>
      <c r="AA4" s="41">
        <v>1.6684259643526529</v>
      </c>
      <c r="AB4" s="38">
        <v>8.3421298217632653</v>
      </c>
      <c r="AC4" s="41">
        <v>0.1</v>
      </c>
      <c r="AD4" s="44">
        <f>10^(-AC4)</f>
        <v>0.79432823472428149</v>
      </c>
      <c r="AE4" s="44">
        <f t="shared" si="10"/>
        <v>1.2715146659121089E-14</v>
      </c>
      <c r="AF4" s="41">
        <f t="shared" si="11"/>
        <v>0.99999874107617304</v>
      </c>
      <c r="AG4" s="41">
        <f t="shared" si="12"/>
        <v>1.2589238269029699E-6</v>
      </c>
      <c r="AH4" s="41">
        <f t="shared" si="13"/>
        <v>-0.74015338441736456</v>
      </c>
      <c r="AI4" s="18">
        <f t="shared" si="14"/>
        <v>-88.818406130083744</v>
      </c>
      <c r="AJ4" s="41">
        <v>3.6</v>
      </c>
      <c r="AK4" s="44">
        <v>2.5118864315095774E-4</v>
      </c>
      <c r="AL4" s="44">
        <v>4.020882422590326E-11</v>
      </c>
      <c r="AM4" s="41">
        <v>0.99603471438084767</v>
      </c>
      <c r="AN4" s="41">
        <v>3.965285619152205E-3</v>
      </c>
      <c r="AO4" s="41">
        <v>1.8673566741593249E-3</v>
      </c>
      <c r="AP4" s="38">
        <v>0.224082800899119</v>
      </c>
    </row>
    <row r="5" spans="1:42" ht="15" customHeight="1" x14ac:dyDescent="0.3">
      <c r="A5" s="41">
        <v>0.2</v>
      </c>
      <c r="B5" s="44">
        <f t="shared" ref="B5:B68" si="16">10^(-A5)</f>
        <v>0.63095734448019325</v>
      </c>
      <c r="C5" s="44">
        <f t="shared" ref="C5:C68" si="17">Kw/B5</f>
        <v>1.6007421243857246E-14</v>
      </c>
      <c r="D5" s="41">
        <f t="shared" ref="D5:D68" si="18">B5/(B5+WASB_Ka)</f>
        <v>0.99999971471930671</v>
      </c>
      <c r="E5" s="41">
        <f t="shared" ref="E5:E68" si="19">WASB_Ka/(B5+WASB_Ka)</f>
        <v>2.8528069325790327E-7</v>
      </c>
      <c r="F5" s="41">
        <f t="shared" ref="F5:F68" si="20">(E5-((B5-C5)/WASB_Ca)) / (1 + ((B5-C5)/WASB_Cb))</f>
        <v>-2.7894832596100931</v>
      </c>
      <c r="G5" s="18">
        <f t="shared" si="15"/>
        <v>-13.947416298050467</v>
      </c>
      <c r="H5" s="41">
        <v>4.0999999999999996</v>
      </c>
      <c r="I5" s="44">
        <v>7.9432823472428153E-5</v>
      </c>
      <c r="J5" s="44">
        <v>1.2715146659121088E-10</v>
      </c>
      <c r="K5" s="41">
        <v>0.99773905770265336</v>
      </c>
      <c r="L5" s="41">
        <v>2.2609422973465872E-3</v>
      </c>
      <c r="M5" s="41">
        <v>1.4663823767249301E-3</v>
      </c>
      <c r="N5" s="38">
        <v>7.3319118836246509E-3</v>
      </c>
      <c r="O5" s="41">
        <v>0.2</v>
      </c>
      <c r="P5" s="44">
        <f t="shared" ref="P5:P68" si="21">10^-O5</f>
        <v>0.63095734448019325</v>
      </c>
      <c r="Q5" s="44">
        <f t="shared" ref="Q5:Q68" si="22">Kw/P5</f>
        <v>1.6007421243857246E-14</v>
      </c>
      <c r="R5" s="41">
        <f t="shared" ref="R5:R68" si="23">P5/(P5+(Kw/SAWB_Kb))</f>
        <v>0.99999999777674708</v>
      </c>
      <c r="S5" s="41">
        <f t="shared" ref="S5:S68" si="24">(Kw/SAWB_Kb)/(P5+(Kw/SAWB_Kb))</f>
        <v>2.2232529455928746E-9</v>
      </c>
      <c r="T5" s="41">
        <f t="shared" ref="T5:T68" si="25">(R5+((P5-Q5)/SAWB_Cb))/(1-((P5-Q5)/SAWB_Ca))</f>
        <v>-27.908222603295666</v>
      </c>
      <c r="U5" s="18">
        <f t="shared" ref="U5:U68" si="26">(T5*SAWB_Cb*SAWB_Vb)/SAWB_Ca</f>
        <v>-139.54111301647833</v>
      </c>
      <c r="V5" s="41">
        <v>1.4</v>
      </c>
      <c r="W5" s="44">
        <v>3.9810717055349727E-2</v>
      </c>
      <c r="X5" s="44">
        <v>2.5370052958246757E-13</v>
      </c>
      <c r="Y5" s="41">
        <v>0.99999996476381658</v>
      </c>
      <c r="Z5" s="41">
        <v>3.5236183422642939E-8</v>
      </c>
      <c r="AA5" s="41">
        <v>1.5190566003273969</v>
      </c>
      <c r="AB5" s="38">
        <v>7.595283001636985</v>
      </c>
      <c r="AC5" s="41">
        <v>0.2</v>
      </c>
      <c r="AD5" s="44">
        <f t="shared" ref="AD5:AD68" si="27">10^(-AC5)</f>
        <v>0.63095734448019325</v>
      </c>
      <c r="AE5" s="44">
        <f t="shared" ref="AE5:AE68" si="28">Kw/AD5</f>
        <v>1.6007421243857246E-14</v>
      </c>
      <c r="AF5" s="41">
        <f t="shared" ref="AF5:AF68" si="29">AD5/(AD5+DEMO_Ka)</f>
        <v>0.99999841510931942</v>
      </c>
      <c r="AG5" s="41">
        <f t="shared" ref="AG5:AG68" si="30">DEMO_Ka/(AD5+DEMO_Ka)</f>
        <v>1.584890680578663E-6</v>
      </c>
      <c r="AH5" s="41">
        <f t="shared" ref="AH5:AH68" si="31">(AG5-((AD5-AE5)/DEMO_Ca)) / (1 + ((AD5-AE5)/DEMO_Cb))</f>
        <v>-0.71932737600669305</v>
      </c>
      <c r="AI5" s="18">
        <f t="shared" ref="AI5:AI68" si="32">AH5*(DEMO_Va * DEMO_Ca)/DEMO_Cb</f>
        <v>-86.319285120803158</v>
      </c>
      <c r="AJ5" s="41">
        <v>3.7</v>
      </c>
      <c r="AK5" s="44">
        <v>1.9952623149688758E-4</v>
      </c>
      <c r="AL5" s="44">
        <v>5.0619910596354591E-11</v>
      </c>
      <c r="AM5" s="41">
        <v>0.99501312126331198</v>
      </c>
      <c r="AN5" s="41">
        <v>4.986878736687979E-3</v>
      </c>
      <c r="AO5" s="41">
        <v>3.3175411994588702E-3</v>
      </c>
      <c r="AP5" s="38">
        <v>0.3981049439350644</v>
      </c>
    </row>
    <row r="6" spans="1:42" ht="15" customHeight="1" x14ac:dyDescent="0.3">
      <c r="A6" s="41">
        <v>0.3</v>
      </c>
      <c r="B6" s="44">
        <f t="shared" si="16"/>
        <v>0.50118723362727224</v>
      </c>
      <c r="C6" s="44">
        <f t="shared" si="17"/>
        <v>2.0152149381185686E-14</v>
      </c>
      <c r="D6" s="41">
        <f t="shared" si="18"/>
        <v>0.99999964085291226</v>
      </c>
      <c r="E6" s="41">
        <f t="shared" si="19"/>
        <v>3.5914708770772139E-7</v>
      </c>
      <c r="F6" s="41">
        <f t="shared" si="20"/>
        <v>-2.5029643850769387</v>
      </c>
      <c r="G6" s="18">
        <f t="shared" ref="G6:G69" si="33">F6*(WASB_Va * WASB_Ca)/WASB_Cb</f>
        <v>-12.514821925384695</v>
      </c>
      <c r="H6" s="41">
        <v>4.2</v>
      </c>
      <c r="I6" s="44">
        <v>6.3095734448019279E-5</v>
      </c>
      <c r="J6" s="44">
        <v>1.6007421243857255E-10</v>
      </c>
      <c r="K6" s="41">
        <v>0.99715530761404481</v>
      </c>
      <c r="L6" s="41">
        <v>2.8446923859551431E-3</v>
      </c>
      <c r="M6" s="41">
        <v>2.2134573234947191E-3</v>
      </c>
      <c r="N6" s="38">
        <v>1.1067286617473596E-2</v>
      </c>
      <c r="O6" s="41">
        <v>0.3</v>
      </c>
      <c r="P6" s="44">
        <f t="shared" si="21"/>
        <v>0.50118723362727224</v>
      </c>
      <c r="Q6" s="44">
        <f t="shared" si="22"/>
        <v>2.0152149381185686E-14</v>
      </c>
      <c r="R6" s="41">
        <f t="shared" si="23"/>
        <v>0.99999999720109034</v>
      </c>
      <c r="S6" s="41">
        <f t="shared" si="24"/>
        <v>2.7989096284418941E-9</v>
      </c>
      <c r="T6" s="41">
        <f t="shared" si="25"/>
        <v>-2531.8826031691192</v>
      </c>
      <c r="U6" s="18">
        <f t="shared" si="26"/>
        <v>-12659.413015845597</v>
      </c>
      <c r="V6" s="41">
        <v>1.5</v>
      </c>
      <c r="W6" s="44">
        <v>3.1622776601683784E-2</v>
      </c>
      <c r="X6" s="44">
        <v>3.193900436770064E-13</v>
      </c>
      <c r="Y6" s="41">
        <v>0.99999995564027377</v>
      </c>
      <c r="Z6" s="41">
        <v>4.4359726320687706E-8</v>
      </c>
      <c r="AA6" s="41">
        <v>1.405093646637122</v>
      </c>
      <c r="AB6" s="38">
        <v>7.0254682331856095</v>
      </c>
      <c r="AC6" s="41">
        <v>0.3</v>
      </c>
      <c r="AD6" s="44">
        <f t="shared" si="27"/>
        <v>0.50118723362727224</v>
      </c>
      <c r="AE6" s="44">
        <f t="shared" si="28"/>
        <v>2.0152149381185686E-14</v>
      </c>
      <c r="AF6" s="41">
        <f t="shared" si="29"/>
        <v>0.999998004741666</v>
      </c>
      <c r="AG6" s="41">
        <f t="shared" si="30"/>
        <v>1.9952583339051171E-6</v>
      </c>
      <c r="AH6" s="41">
        <f t="shared" si="31"/>
        <v>-0.69471839243318256</v>
      </c>
      <c r="AI6" s="18">
        <f t="shared" si="32"/>
        <v>-83.366207091981892</v>
      </c>
      <c r="AJ6" s="41">
        <v>3.8</v>
      </c>
      <c r="AK6" s="44">
        <v>1.584893192461112E-4</v>
      </c>
      <c r="AL6" s="44">
        <v>6.3726691792499571E-11</v>
      </c>
      <c r="AM6" s="41">
        <v>0.99372998765856613</v>
      </c>
      <c r="AN6" s="41">
        <v>6.2700123414338466E-3</v>
      </c>
      <c r="AO6" s="41">
        <v>4.941436898885679E-3</v>
      </c>
      <c r="AP6" s="38">
        <v>0.59297242786628146</v>
      </c>
    </row>
    <row r="7" spans="1:42" ht="15" customHeight="1" x14ac:dyDescent="0.3">
      <c r="A7" s="41">
        <v>0.4</v>
      </c>
      <c r="B7" s="44">
        <f t="shared" si="16"/>
        <v>0.3981071705534972</v>
      </c>
      <c r="C7" s="44">
        <f t="shared" si="17"/>
        <v>2.537005295824676E-14</v>
      </c>
      <c r="D7" s="41">
        <f t="shared" si="18"/>
        <v>0.99999954786064671</v>
      </c>
      <c r="E7" s="41">
        <f t="shared" si="19"/>
        <v>4.5213935324163728E-7</v>
      </c>
      <c r="F7" s="41">
        <f t="shared" si="20"/>
        <v>-2.2163675917106702</v>
      </c>
      <c r="G7" s="18">
        <f t="shared" si="33"/>
        <v>-11.081837958553351</v>
      </c>
      <c r="H7" s="41">
        <v>4.3</v>
      </c>
      <c r="I7" s="44">
        <v>5.0118723362727238E-5</v>
      </c>
      <c r="J7" s="44">
        <v>2.0152149381185678E-10</v>
      </c>
      <c r="K7" s="41">
        <v>0.99642138034593963</v>
      </c>
      <c r="L7" s="41">
        <v>3.5786196540603461E-3</v>
      </c>
      <c r="M7" s="41">
        <v>3.0771259936353715E-3</v>
      </c>
      <c r="N7" s="38">
        <v>1.5385629968176858E-2</v>
      </c>
      <c r="O7" s="41">
        <v>0.4</v>
      </c>
      <c r="P7" s="44">
        <f t="shared" si="21"/>
        <v>0.3981071705534972</v>
      </c>
      <c r="Q7" s="44">
        <f t="shared" si="22"/>
        <v>2.537005295824676E-14</v>
      </c>
      <c r="R7" s="41">
        <f t="shared" si="23"/>
        <v>0.99999999647638149</v>
      </c>
      <c r="S7" s="41">
        <f t="shared" si="24"/>
        <v>3.5236184540072742E-9</v>
      </c>
      <c r="T7" s="41">
        <f t="shared" si="25"/>
        <v>24.442699889029441</v>
      </c>
      <c r="U7" s="18">
        <f t="shared" si="26"/>
        <v>122.21349944514721</v>
      </c>
      <c r="V7" s="41">
        <v>1.6</v>
      </c>
      <c r="W7" s="44">
        <v>2.511886431509578E-2</v>
      </c>
      <c r="X7" s="44">
        <v>4.0208824225903255E-13</v>
      </c>
      <c r="Y7" s="41">
        <v>0.99999994415441384</v>
      </c>
      <c r="Z7" s="41">
        <v>5.5845586083913744E-8</v>
      </c>
      <c r="AA7" s="41">
        <v>1.3173702778230454</v>
      </c>
      <c r="AB7" s="38">
        <v>6.5868513891152265</v>
      </c>
      <c r="AC7" s="41">
        <v>0.4</v>
      </c>
      <c r="AD7" s="44">
        <f t="shared" si="27"/>
        <v>0.3981071705534972</v>
      </c>
      <c r="AE7" s="44">
        <f t="shared" si="28"/>
        <v>2.537005295824676E-14</v>
      </c>
      <c r="AF7" s="41">
        <f t="shared" si="29"/>
        <v>0.9999974881198781</v>
      </c>
      <c r="AG7" s="41">
        <f t="shared" si="30"/>
        <v>2.5118801219519844E-6</v>
      </c>
      <c r="AH7" s="41">
        <f t="shared" si="31"/>
        <v>-0.66603282162066424</v>
      </c>
      <c r="AI7" s="18">
        <f t="shared" si="32"/>
        <v>-79.923938594479694</v>
      </c>
      <c r="AJ7" s="41">
        <v>3.9</v>
      </c>
      <c r="AK7" s="44">
        <v>1.2589254117941672E-4</v>
      </c>
      <c r="AL7" s="44">
        <v>8.0227151707152435E-11</v>
      </c>
      <c r="AM7" s="41">
        <v>0.99211931614966975</v>
      </c>
      <c r="AN7" s="41">
        <v>7.8806838503302848E-3</v>
      </c>
      <c r="AO7" s="41">
        <v>6.8229903785632998E-3</v>
      </c>
      <c r="AP7" s="38">
        <v>0.81875884542759592</v>
      </c>
    </row>
    <row r="8" spans="1:42" ht="15" customHeight="1" x14ac:dyDescent="0.3">
      <c r="A8" s="41">
        <v>0.5</v>
      </c>
      <c r="B8" s="44">
        <f t="shared" si="16"/>
        <v>0.31622776601683794</v>
      </c>
      <c r="C8" s="44">
        <f t="shared" si="17"/>
        <v>3.193900436770063E-14</v>
      </c>
      <c r="D8" s="41">
        <f t="shared" si="18"/>
        <v>0.99999943079034515</v>
      </c>
      <c r="E8" s="41">
        <f t="shared" si="19"/>
        <v>5.6920965483049269E-7</v>
      </c>
      <c r="F8" s="41">
        <f t="shared" si="20"/>
        <v>-1.9371290849307461</v>
      </c>
      <c r="G8" s="18">
        <f t="shared" si="33"/>
        <v>-9.68564542465373</v>
      </c>
      <c r="H8" s="41">
        <v>4.4000000000000004</v>
      </c>
      <c r="I8" s="44">
        <v>3.9810717055349634E-5</v>
      </c>
      <c r="J8" s="44">
        <v>2.5370052958246817E-10</v>
      </c>
      <c r="K8" s="41">
        <v>0.99549895542630884</v>
      </c>
      <c r="L8" s="41">
        <v>4.5010445736911597E-3</v>
      </c>
      <c r="M8" s="41">
        <v>4.1026132862711749E-3</v>
      </c>
      <c r="N8" s="38">
        <v>2.0513066431355875E-2</v>
      </c>
      <c r="O8" s="41">
        <v>0.5</v>
      </c>
      <c r="P8" s="44">
        <f t="shared" si="21"/>
        <v>0.31622776601683794</v>
      </c>
      <c r="Q8" s="44">
        <f t="shared" si="22"/>
        <v>3.193900436770063E-14</v>
      </c>
      <c r="R8" s="41">
        <f t="shared" si="23"/>
        <v>0.99999999556402719</v>
      </c>
      <c r="S8" s="41">
        <f t="shared" si="24"/>
        <v>4.4359728091694547E-9</v>
      </c>
      <c r="T8" s="41">
        <f t="shared" si="25"/>
        <v>11.324555308264712</v>
      </c>
      <c r="U8" s="18">
        <f t="shared" si="26"/>
        <v>56.62277654132356</v>
      </c>
      <c r="V8" s="41">
        <v>1.7</v>
      </c>
      <c r="W8" s="44">
        <v>1.9952623149688792E-2</v>
      </c>
      <c r="X8" s="44">
        <v>5.0619910596354508E-13</v>
      </c>
      <c r="Y8" s="41">
        <v>0.99999992969457352</v>
      </c>
      <c r="Z8" s="41">
        <v>7.030542644097237E-8</v>
      </c>
      <c r="AA8" s="41">
        <v>1.249383101575797</v>
      </c>
      <c r="AB8" s="38">
        <v>6.2469155078789855</v>
      </c>
      <c r="AC8" s="41">
        <v>0.5</v>
      </c>
      <c r="AD8" s="44">
        <f t="shared" si="27"/>
        <v>0.31622776601683794</v>
      </c>
      <c r="AE8" s="44">
        <f t="shared" si="28"/>
        <v>3.193900436770063E-14</v>
      </c>
      <c r="AF8" s="41">
        <f t="shared" si="29"/>
        <v>0.99999683773233994</v>
      </c>
      <c r="AG8" s="41">
        <f t="shared" si="30"/>
        <v>3.162267660200002E-6</v>
      </c>
      <c r="AH8" s="41">
        <f t="shared" si="31"/>
        <v>-0.63312167912875883</v>
      </c>
      <c r="AI8" s="18">
        <f t="shared" si="32"/>
        <v>-75.974601495451054</v>
      </c>
      <c r="AJ8" s="41">
        <v>4</v>
      </c>
      <c r="AK8" s="44">
        <v>1E-4</v>
      </c>
      <c r="AL8" s="44">
        <v>1.0099999999999999E-10</v>
      </c>
      <c r="AM8" s="41">
        <v>0.99009900990099009</v>
      </c>
      <c r="AN8" s="41">
        <v>9.9009900990099011E-3</v>
      </c>
      <c r="AO8" s="41">
        <v>9.0585990174749439E-3</v>
      </c>
      <c r="AP8" s="38">
        <v>1.0870318820969931</v>
      </c>
    </row>
    <row r="9" spans="1:42" ht="15" customHeight="1" x14ac:dyDescent="0.3">
      <c r="A9" s="41">
        <v>0.6</v>
      </c>
      <c r="B9" s="44">
        <f t="shared" si="16"/>
        <v>0.25118864315095801</v>
      </c>
      <c r="C9" s="44">
        <f t="shared" si="17"/>
        <v>4.0208824225903217E-14</v>
      </c>
      <c r="D9" s="41">
        <f t="shared" si="18"/>
        <v>0.99999928340760647</v>
      </c>
      <c r="E9" s="41">
        <f t="shared" si="19"/>
        <v>7.1659239349126861E-7</v>
      </c>
      <c r="F9" s="41">
        <f t="shared" si="20"/>
        <v>-1.6719406888131918</v>
      </c>
      <c r="G9" s="18">
        <f t="shared" si="33"/>
        <v>-8.3597034440659588</v>
      </c>
      <c r="H9" s="41">
        <v>4.5</v>
      </c>
      <c r="I9" s="44">
        <v>3.1622776601683748E-5</v>
      </c>
      <c r="J9" s="44">
        <v>3.1939004367700672E-10</v>
      </c>
      <c r="K9" s="41">
        <v>0.99434011683148216</v>
      </c>
      <c r="L9" s="41">
        <v>5.6598831685177502E-3</v>
      </c>
      <c r="M9" s="41">
        <v>5.3433206585435638E-3</v>
      </c>
      <c r="N9" s="38">
        <v>2.6716603292717821E-2</v>
      </c>
      <c r="O9" s="41">
        <v>0.6</v>
      </c>
      <c r="P9" s="44">
        <f t="shared" si="21"/>
        <v>0.25118864315095801</v>
      </c>
      <c r="Q9" s="44">
        <f t="shared" si="22"/>
        <v>4.0208824225903217E-14</v>
      </c>
      <c r="R9" s="41">
        <f t="shared" si="23"/>
        <v>0.99999999441544107</v>
      </c>
      <c r="S9" s="41">
        <f t="shared" si="24"/>
        <v>5.5845588890770379E-9</v>
      </c>
      <c r="T9" s="41">
        <f t="shared" si="25"/>
        <v>7.057327427491126</v>
      </c>
      <c r="U9" s="18">
        <f t="shared" si="26"/>
        <v>35.286637137455635</v>
      </c>
      <c r="V9" s="41">
        <v>1.8</v>
      </c>
      <c r="W9" s="44">
        <v>1.5848931924611124E-2</v>
      </c>
      <c r="X9" s="44">
        <v>6.3726691792499559E-13</v>
      </c>
      <c r="Y9" s="41">
        <v>0.99999991149071354</v>
      </c>
      <c r="Z9" s="41">
        <v>8.8509286322354912E-8</v>
      </c>
      <c r="AA9" s="41">
        <v>1.1964129660337079</v>
      </c>
      <c r="AB9" s="38">
        <v>5.9820648301685404</v>
      </c>
      <c r="AC9" s="41">
        <v>0.6</v>
      </c>
      <c r="AD9" s="44">
        <f t="shared" si="27"/>
        <v>0.25118864315095801</v>
      </c>
      <c r="AE9" s="44">
        <f t="shared" si="28"/>
        <v>4.0208824225903217E-14</v>
      </c>
      <c r="AF9" s="41">
        <f t="shared" si="29"/>
        <v>0.99999601894414347</v>
      </c>
      <c r="AG9" s="41">
        <f t="shared" si="30"/>
        <v>3.9810558566661438E-6</v>
      </c>
      <c r="AH9" s="41">
        <f t="shared" si="31"/>
        <v>-0.59604282561293531</v>
      </c>
      <c r="AI9" s="18">
        <f t="shared" si="32"/>
        <v>-71.525139073552239</v>
      </c>
      <c r="AJ9" s="41">
        <v>4.0999999999999996</v>
      </c>
      <c r="AK9" s="44">
        <v>7.9432823472428153E-5</v>
      </c>
      <c r="AL9" s="44">
        <v>1.2715146659121088E-10</v>
      </c>
      <c r="AM9" s="41">
        <v>0.98756726474555767</v>
      </c>
      <c r="AN9" s="41">
        <v>1.2432735254442403E-2</v>
      </c>
      <c r="AO9" s="41">
        <v>1.1761453678650897E-2</v>
      </c>
      <c r="AP9" s="38">
        <v>1.4113744414381075</v>
      </c>
    </row>
    <row r="10" spans="1:42" ht="15" customHeight="1" x14ac:dyDescent="0.3">
      <c r="A10" s="41">
        <v>0.7</v>
      </c>
      <c r="B10" s="44">
        <f t="shared" si="16"/>
        <v>0.19952623149688795</v>
      </c>
      <c r="C10" s="44">
        <f t="shared" si="17"/>
        <v>5.0619910596354503E-14</v>
      </c>
      <c r="D10" s="41">
        <f t="shared" si="18"/>
        <v>0.99999909786379337</v>
      </c>
      <c r="E10" s="41">
        <f t="shared" si="19"/>
        <v>9.0213620667862062E-7</v>
      </c>
      <c r="F10" s="41">
        <f t="shared" si="20"/>
        <v>-1.4261519604223643</v>
      </c>
      <c r="G10" s="18">
        <f t="shared" si="33"/>
        <v>-7.1307598021118217</v>
      </c>
      <c r="H10" s="41">
        <v>4.5999999999999996</v>
      </c>
      <c r="I10" s="44">
        <v>2.5118864315095791E-5</v>
      </c>
      <c r="J10" s="44">
        <v>4.0208824225903234E-10</v>
      </c>
      <c r="K10" s="41">
        <v>0.99288505611326605</v>
      </c>
      <c r="L10" s="41">
        <v>7.1149438867338516E-3</v>
      </c>
      <c r="M10" s="41">
        <v>6.8634144676312115E-3</v>
      </c>
      <c r="N10" s="38">
        <v>3.4317072338156056E-2</v>
      </c>
      <c r="O10" s="41">
        <v>0.7</v>
      </c>
      <c r="P10" s="44">
        <f t="shared" si="21"/>
        <v>0.19952623149688795</v>
      </c>
      <c r="Q10" s="44">
        <f t="shared" si="22"/>
        <v>5.0619910596354503E-14</v>
      </c>
      <c r="R10" s="41">
        <f t="shared" si="23"/>
        <v>0.99999999296945685</v>
      </c>
      <c r="S10" s="41">
        <f t="shared" si="24"/>
        <v>7.0305430889540329E-9</v>
      </c>
      <c r="T10" s="41">
        <f t="shared" si="25"/>
        <v>4.9842326051605115</v>
      </c>
      <c r="U10" s="18">
        <f t="shared" si="26"/>
        <v>24.92116302580256</v>
      </c>
      <c r="V10" s="41">
        <v>1.9</v>
      </c>
      <c r="W10" s="44">
        <v>1.2589254117941664E-2</v>
      </c>
      <c r="X10" s="44">
        <v>8.0227151707152477E-13</v>
      </c>
      <c r="Y10" s="41">
        <v>0.99999988857341282</v>
      </c>
      <c r="Z10" s="41">
        <v>1.1142658717738161E-7</v>
      </c>
      <c r="AA10" s="41">
        <v>1.1549729250485097</v>
      </c>
      <c r="AB10" s="38">
        <v>5.7748646252425484</v>
      </c>
      <c r="AC10" s="41">
        <v>0.7</v>
      </c>
      <c r="AD10" s="44">
        <f t="shared" si="27"/>
        <v>0.19952623149688795</v>
      </c>
      <c r="AE10" s="44">
        <f t="shared" si="28"/>
        <v>5.0619910596354503E-14</v>
      </c>
      <c r="AF10" s="41">
        <f t="shared" si="29"/>
        <v>0.99999498815278243</v>
      </c>
      <c r="AG10" s="41">
        <f t="shared" si="30"/>
        <v>5.0118472175342996E-6</v>
      </c>
      <c r="AH10" s="41">
        <f t="shared" si="31"/>
        <v>-0.55511451389435884</v>
      </c>
      <c r="AI10" s="18">
        <f t="shared" si="32"/>
        <v>-66.613741667323055</v>
      </c>
      <c r="AJ10" s="41">
        <v>4.2</v>
      </c>
      <c r="AK10" s="44">
        <v>6.3095734448019279E-5</v>
      </c>
      <c r="AL10" s="44">
        <v>1.6007421243857255E-10</v>
      </c>
      <c r="AM10" s="41">
        <v>0.98439833775817043</v>
      </c>
      <c r="AN10" s="41">
        <v>1.5601662241829612E-2</v>
      </c>
      <c r="AO10" s="41">
        <v>1.5066359582598693E-2</v>
      </c>
      <c r="AP10" s="38">
        <v>1.8079631499118431</v>
      </c>
    </row>
    <row r="11" spans="1:42" ht="15" customHeight="1" x14ac:dyDescent="0.3">
      <c r="A11" s="41">
        <v>0.8</v>
      </c>
      <c r="B11" s="44">
        <f t="shared" si="16"/>
        <v>0.15848931924611132</v>
      </c>
      <c r="C11" s="44">
        <f t="shared" si="17"/>
        <v>6.3726691792499529E-14</v>
      </c>
      <c r="D11" s="41">
        <f t="shared" si="18"/>
        <v>0.99999886427806983</v>
      </c>
      <c r="E11" s="41">
        <f t="shared" si="19"/>
        <v>1.1357219301985804E-6</v>
      </c>
      <c r="F11" s="41">
        <f t="shared" si="20"/>
        <v>-1.2034303445902539</v>
      </c>
      <c r="G11" s="18">
        <f t="shared" si="33"/>
        <v>-6.0171517229512697</v>
      </c>
      <c r="H11" s="41">
        <v>4.7</v>
      </c>
      <c r="I11" s="44">
        <v>1.9952623149688769E-5</v>
      </c>
      <c r="J11" s="44">
        <v>5.0619910596354569E-10</v>
      </c>
      <c r="K11" s="41">
        <v>0.99105928727410841</v>
      </c>
      <c r="L11" s="41">
        <v>8.9407127258914892E-3</v>
      </c>
      <c r="M11" s="41">
        <v>8.7408427597516821E-3</v>
      </c>
      <c r="N11" s="38">
        <v>4.3704213798758412E-2</v>
      </c>
      <c r="O11" s="41">
        <v>0.8</v>
      </c>
      <c r="P11" s="44">
        <f t="shared" si="21"/>
        <v>0.15848931924611132</v>
      </c>
      <c r="Q11" s="44">
        <f t="shared" si="22"/>
        <v>6.3726691792499529E-14</v>
      </c>
      <c r="R11" s="41">
        <f t="shared" si="23"/>
        <v>0.99999999114907068</v>
      </c>
      <c r="S11" s="41">
        <f t="shared" si="24"/>
        <v>8.8509293372859833E-9</v>
      </c>
      <c r="T11" s="41">
        <f t="shared" si="25"/>
        <v>3.7844983031026778</v>
      </c>
      <c r="U11" s="18">
        <f t="shared" si="26"/>
        <v>18.922491515513389</v>
      </c>
      <c r="V11" s="41">
        <v>2</v>
      </c>
      <c r="W11" s="44">
        <v>0.01</v>
      </c>
      <c r="X11" s="44">
        <v>1.0099999999999999E-12</v>
      </c>
      <c r="Y11" s="41">
        <v>0.99999985972224192</v>
      </c>
      <c r="Z11" s="41">
        <v>1.4027775809992559E-7</v>
      </c>
      <c r="AA11" s="41">
        <v>1.1224488364386473</v>
      </c>
      <c r="AB11" s="38">
        <v>5.612244182193237</v>
      </c>
      <c r="AC11" s="41">
        <v>0.8</v>
      </c>
      <c r="AD11" s="44">
        <f t="shared" si="27"/>
        <v>0.15848931924611132</v>
      </c>
      <c r="AE11" s="44">
        <f t="shared" si="28"/>
        <v>6.3726691792499529E-14</v>
      </c>
      <c r="AF11" s="41">
        <f t="shared" si="29"/>
        <v>0.99999369046636566</v>
      </c>
      <c r="AG11" s="41">
        <f t="shared" si="30"/>
        <v>6.3095336343360655E-6</v>
      </c>
      <c r="AH11" s="41">
        <f t="shared" si="31"/>
        <v>-0.51094490920129454</v>
      </c>
      <c r="AI11" s="18">
        <f t="shared" si="32"/>
        <v>-61.313389104155341</v>
      </c>
      <c r="AJ11" s="41">
        <v>4.3</v>
      </c>
      <c r="AK11" s="44">
        <v>5.0118723362727238E-5</v>
      </c>
      <c r="AL11" s="44">
        <v>2.0152149381185678E-10</v>
      </c>
      <c r="AM11" s="41">
        <v>0.98043769612742049</v>
      </c>
      <c r="AN11" s="41">
        <v>1.9562303872579515E-2</v>
      </c>
      <c r="AO11" s="41">
        <v>1.913505931502044E-2</v>
      </c>
      <c r="AP11" s="38">
        <v>2.2962071178024526</v>
      </c>
    </row>
    <row r="12" spans="1:42" ht="15" customHeight="1" x14ac:dyDescent="0.3">
      <c r="A12" s="41">
        <v>0.9</v>
      </c>
      <c r="B12" s="44">
        <f t="shared" si="16"/>
        <v>0.12589254117941667</v>
      </c>
      <c r="C12" s="44">
        <f t="shared" si="17"/>
        <v>8.0227151707152451E-14</v>
      </c>
      <c r="D12" s="41">
        <f t="shared" si="18"/>
        <v>0.99999857021122185</v>
      </c>
      <c r="E12" s="41">
        <f t="shared" si="19"/>
        <v>1.4297887782048342E-6</v>
      </c>
      <c r="F12" s="41">
        <f t="shared" si="20"/>
        <v>-1.0057029754919766</v>
      </c>
      <c r="G12" s="18">
        <f t="shared" si="33"/>
        <v>-5.0285148774598829</v>
      </c>
      <c r="H12" s="41">
        <v>4.8</v>
      </c>
      <c r="I12" s="44">
        <v>1.5848931924611131E-5</v>
      </c>
      <c r="J12" s="44">
        <v>6.3726691792499525E-10</v>
      </c>
      <c r="K12" s="41">
        <v>0.98877030604118876</v>
      </c>
      <c r="L12" s="41">
        <v>1.1229693958811099E-2</v>
      </c>
      <c r="M12" s="41">
        <v>1.1070860103728089E-2</v>
      </c>
      <c r="N12" s="38">
        <v>5.5354300518640445E-2</v>
      </c>
      <c r="O12" s="41">
        <v>0.9</v>
      </c>
      <c r="P12" s="44">
        <f t="shared" si="21"/>
        <v>0.12589254117941667</v>
      </c>
      <c r="Q12" s="44">
        <f t="shared" si="22"/>
        <v>8.0227151707152451E-14</v>
      </c>
      <c r="R12" s="41">
        <f t="shared" si="23"/>
        <v>0.99999998885734009</v>
      </c>
      <c r="S12" s="41">
        <f t="shared" si="24"/>
        <v>1.114265983516786E-8</v>
      </c>
      <c r="T12" s="41">
        <f t="shared" si="25"/>
        <v>3.019086291104355</v>
      </c>
      <c r="U12" s="18">
        <f t="shared" si="26"/>
        <v>15.095431455521776</v>
      </c>
      <c r="V12" s="41">
        <v>2.1</v>
      </c>
      <c r="W12" s="44">
        <v>7.9432823472428121E-3</v>
      </c>
      <c r="X12" s="44">
        <v>1.2715146659121093E-12</v>
      </c>
      <c r="Y12" s="41">
        <v>0.99999982340077209</v>
      </c>
      <c r="Z12" s="41">
        <v>1.7659922796716679E-7</v>
      </c>
      <c r="AA12" s="41">
        <v>1.096857951667523</v>
      </c>
      <c r="AB12" s="38">
        <v>5.4842897583376153</v>
      </c>
      <c r="AC12" s="41">
        <v>0.9</v>
      </c>
      <c r="AD12" s="44">
        <f t="shared" si="27"/>
        <v>0.12589254117941667</v>
      </c>
      <c r="AE12" s="44">
        <f t="shared" si="28"/>
        <v>8.0227151707152451E-14</v>
      </c>
      <c r="AF12" s="41">
        <f t="shared" si="29"/>
        <v>0.99999205678074798</v>
      </c>
      <c r="AG12" s="41">
        <f t="shared" si="30"/>
        <v>7.9432192520095532E-6</v>
      </c>
      <c r="AH12" s="41">
        <f t="shared" si="31"/>
        <v>-0.46442284509769294</v>
      </c>
      <c r="AI12" s="18">
        <f t="shared" si="32"/>
        <v>-55.730741411723145</v>
      </c>
      <c r="AJ12" s="41">
        <v>4.4000000000000004</v>
      </c>
      <c r="AK12" s="44">
        <v>3.9810717055349634E-5</v>
      </c>
      <c r="AL12" s="44">
        <v>2.5370052958246817E-10</v>
      </c>
      <c r="AM12" s="41">
        <v>0.975496632449664</v>
      </c>
      <c r="AN12" s="41">
        <v>2.4503367550336046E-2</v>
      </c>
      <c r="AO12" s="41">
        <v>2.4161994687005216E-2</v>
      </c>
      <c r="AP12" s="38">
        <v>2.8994393624406256</v>
      </c>
    </row>
    <row r="13" spans="1:42" ht="15" customHeight="1" x14ac:dyDescent="0.3">
      <c r="A13" s="41">
        <v>1</v>
      </c>
      <c r="B13" s="44">
        <f t="shared" si="16"/>
        <v>0.1</v>
      </c>
      <c r="C13" s="44">
        <f t="shared" si="17"/>
        <v>1.0099999999999999E-13</v>
      </c>
      <c r="D13" s="41">
        <f t="shared" si="18"/>
        <v>0.99999820000324002</v>
      </c>
      <c r="E13" s="41">
        <f t="shared" si="19"/>
        <v>1.7999967600058318E-6</v>
      </c>
      <c r="F13" s="41">
        <f t="shared" si="20"/>
        <v>-0.83333183333533178</v>
      </c>
      <c r="G13" s="18">
        <f t="shared" si="33"/>
        <v>-4.1666591666766593</v>
      </c>
      <c r="H13" s="41">
        <v>4.9000000000000004</v>
      </c>
      <c r="I13" s="44">
        <v>1.2589254117941658E-5</v>
      </c>
      <c r="J13" s="44">
        <v>8.0227151707152515E-10</v>
      </c>
      <c r="K13" s="41">
        <v>0.98590364023321553</v>
      </c>
      <c r="L13" s="41">
        <v>1.4096359766784493E-2</v>
      </c>
      <c r="M13" s="41">
        <v>1.3970123523865712E-2</v>
      </c>
      <c r="N13" s="38">
        <v>6.9850617619328564E-2</v>
      </c>
      <c r="O13" s="41">
        <v>1</v>
      </c>
      <c r="P13" s="44">
        <f t="shared" si="21"/>
        <v>0.1</v>
      </c>
      <c r="Q13" s="44">
        <f t="shared" si="22"/>
        <v>1.0099999999999999E-13</v>
      </c>
      <c r="R13" s="41">
        <f t="shared" si="23"/>
        <v>0.99999998597222239</v>
      </c>
      <c r="S13" s="41">
        <f t="shared" si="24"/>
        <v>1.4027777580999228E-8</v>
      </c>
      <c r="T13" s="41">
        <f t="shared" si="25"/>
        <v>2.4999999824633843</v>
      </c>
      <c r="U13" s="18">
        <f t="shared" si="26"/>
        <v>12.499999912316923</v>
      </c>
      <c r="V13" s="41">
        <v>2.2000000000000002</v>
      </c>
      <c r="W13" s="44">
        <v>6.3095734448019251E-3</v>
      </c>
      <c r="X13" s="44">
        <v>1.6007421243857264E-12</v>
      </c>
      <c r="Y13" s="41">
        <v>0.99999977767475445</v>
      </c>
      <c r="Z13" s="41">
        <v>2.2232524562504728E-7</v>
      </c>
      <c r="AA13" s="41">
        <v>1.0766823245097479</v>
      </c>
      <c r="AB13" s="38">
        <v>5.3834116225487394</v>
      </c>
      <c r="AC13" s="41">
        <v>1</v>
      </c>
      <c r="AD13" s="44">
        <f t="shared" si="27"/>
        <v>0.1</v>
      </c>
      <c r="AE13" s="44">
        <f t="shared" si="28"/>
        <v>1.0099999999999999E-13</v>
      </c>
      <c r="AF13" s="41">
        <f t="shared" si="29"/>
        <v>0.99999000009999894</v>
      </c>
      <c r="AG13" s="41">
        <f t="shared" si="30"/>
        <v>9.9999000009999891E-6</v>
      </c>
      <c r="AH13" s="41">
        <f t="shared" si="31"/>
        <v>-0.41666166671645583</v>
      </c>
      <c r="AI13" s="18">
        <f t="shared" si="32"/>
        <v>-49.999400005974699</v>
      </c>
      <c r="AJ13" s="41">
        <v>4.5</v>
      </c>
      <c r="AK13" s="44">
        <v>3.1622776601683748E-5</v>
      </c>
      <c r="AL13" s="44">
        <v>3.1939004367700672E-10</v>
      </c>
      <c r="AM13" s="41">
        <v>0.9693465699682845</v>
      </c>
      <c r="AN13" s="41">
        <v>3.0653430031715553E-2</v>
      </c>
      <c r="AO13" s="41">
        <v>3.0380302556775103E-2</v>
      </c>
      <c r="AP13" s="38">
        <v>3.6456363068130124</v>
      </c>
    </row>
    <row r="14" spans="1:42" ht="15" customHeight="1" x14ac:dyDescent="0.3">
      <c r="A14" s="41">
        <v>1.1000000000000001</v>
      </c>
      <c r="B14" s="44">
        <f t="shared" si="16"/>
        <v>7.9432823472428096E-2</v>
      </c>
      <c r="C14" s="44">
        <f t="shared" si="17"/>
        <v>1.2715146659121095E-13</v>
      </c>
      <c r="D14" s="41">
        <f t="shared" si="18"/>
        <v>0.99999773393939373</v>
      </c>
      <c r="E14" s="41">
        <f t="shared" si="19"/>
        <v>2.2660606061871954E-6</v>
      </c>
      <c r="F14" s="41">
        <f t="shared" si="20"/>
        <v>-0.68543404557437448</v>
      </c>
      <c r="G14" s="18">
        <f t="shared" si="33"/>
        <v>-3.4271702278718723</v>
      </c>
      <c r="H14" s="41">
        <v>5</v>
      </c>
      <c r="I14" s="44">
        <v>1.0000000000000001E-5</v>
      </c>
      <c r="J14" s="44">
        <v>1.0099999999999998E-9</v>
      </c>
      <c r="K14" s="41">
        <v>0.98231827111984282</v>
      </c>
      <c r="L14" s="41">
        <v>1.768172888015717E-2</v>
      </c>
      <c r="M14" s="41">
        <v>1.7581387387923815E-2</v>
      </c>
      <c r="N14" s="38">
        <v>8.7906936939619068E-2</v>
      </c>
      <c r="O14" s="41">
        <v>1.1000000000000001</v>
      </c>
      <c r="P14" s="44">
        <f t="shared" si="21"/>
        <v>7.9432823472428096E-2</v>
      </c>
      <c r="Q14" s="44">
        <f t="shared" si="22"/>
        <v>1.2715146659121095E-13</v>
      </c>
      <c r="R14" s="41">
        <f t="shared" si="23"/>
        <v>0.99999998234007437</v>
      </c>
      <c r="S14" s="41">
        <f t="shared" si="24"/>
        <v>1.7659925603572987E-8</v>
      </c>
      <c r="T14" s="41">
        <f t="shared" si="25"/>
        <v>2.1332242709446287</v>
      </c>
      <c r="U14" s="18">
        <f t="shared" si="26"/>
        <v>10.666121354723144</v>
      </c>
      <c r="V14" s="41">
        <v>2.2999999999999998</v>
      </c>
      <c r="W14" s="44">
        <v>5.0118723362727212E-3</v>
      </c>
      <c r="X14" s="44">
        <v>2.015214938118569E-12</v>
      </c>
      <c r="Y14" s="41">
        <v>0.99999972010911475</v>
      </c>
      <c r="Z14" s="41">
        <v>2.7989088528864943E-7</v>
      </c>
      <c r="AA14" s="41">
        <v>1.0607511420564999</v>
      </c>
      <c r="AB14" s="38">
        <v>5.3037557102825001</v>
      </c>
      <c r="AC14" s="41">
        <v>1.1000000000000001</v>
      </c>
      <c r="AD14" s="44">
        <f t="shared" si="27"/>
        <v>7.9432823472428096E-2</v>
      </c>
      <c r="AE14" s="44">
        <f t="shared" si="28"/>
        <v>1.2715146659121095E-13</v>
      </c>
      <c r="AF14" s="41">
        <f t="shared" si="29"/>
        <v>0.99998741090436938</v>
      </c>
      <c r="AG14" s="41">
        <f t="shared" si="30"/>
        <v>1.2589095630617672E-5</v>
      </c>
      <c r="AH14" s="41">
        <f t="shared" si="31"/>
        <v>-0.36889995581497337</v>
      </c>
      <c r="AI14" s="18">
        <f t="shared" si="32"/>
        <v>-44.267994697796809</v>
      </c>
      <c r="AJ14" s="41">
        <v>4.5999999999999996</v>
      </c>
      <c r="AK14" s="44">
        <v>2.5118864315095791E-5</v>
      </c>
      <c r="AL14" s="44">
        <v>4.0208824225903234E-10</v>
      </c>
      <c r="AM14" s="41">
        <v>0.96171349611774526</v>
      </c>
      <c r="AN14" s="41">
        <v>3.8286503882254748E-2</v>
      </c>
      <c r="AO14" s="41">
        <v>3.8067621362605004E-2</v>
      </c>
      <c r="AP14" s="38">
        <v>4.5681145635126006</v>
      </c>
    </row>
    <row r="15" spans="1:42" ht="15" customHeight="1" x14ac:dyDescent="0.3">
      <c r="A15" s="41">
        <v>1.2</v>
      </c>
      <c r="B15" s="44">
        <f t="shared" si="16"/>
        <v>6.3095734448019317E-2</v>
      </c>
      <c r="C15" s="44">
        <f t="shared" si="17"/>
        <v>1.6007421243857248E-13</v>
      </c>
      <c r="D15" s="41">
        <f t="shared" si="18"/>
        <v>0.99999714720039201</v>
      </c>
      <c r="E15" s="41">
        <f t="shared" si="19"/>
        <v>2.852799607941184E-6</v>
      </c>
      <c r="F15" s="41">
        <f t="shared" si="20"/>
        <v>-0.56025508015760739</v>
      </c>
      <c r="G15" s="18">
        <f t="shared" si="33"/>
        <v>-2.8012754007880369</v>
      </c>
      <c r="H15" s="41">
        <v>5.0999999999999996</v>
      </c>
      <c r="I15" s="44">
        <v>7.9432823472428065E-6</v>
      </c>
      <c r="J15" s="44">
        <v>1.2715146659121102E-9</v>
      </c>
      <c r="K15" s="41">
        <v>0.9778414694570976</v>
      </c>
      <c r="L15" s="41">
        <v>2.2158530542902444E-2</v>
      </c>
      <c r="M15" s="41">
        <v>2.2078759735078706E-2</v>
      </c>
      <c r="N15" s="38">
        <v>0.11039379867539353</v>
      </c>
      <c r="O15" s="41">
        <v>1.2</v>
      </c>
      <c r="P15" s="44">
        <f t="shared" si="21"/>
        <v>6.3095734448019317E-2</v>
      </c>
      <c r="Q15" s="44">
        <f t="shared" si="22"/>
        <v>1.6007421243857248E-13</v>
      </c>
      <c r="R15" s="41">
        <f t="shared" si="23"/>
        <v>0.99999997776747096</v>
      </c>
      <c r="S15" s="41">
        <f t="shared" si="24"/>
        <v>2.2232529011071928E-8</v>
      </c>
      <c r="T15" s="41">
        <f t="shared" si="25"/>
        <v>1.8664927889693748</v>
      </c>
      <c r="U15" s="18">
        <f t="shared" si="26"/>
        <v>9.3324639448468751</v>
      </c>
      <c r="V15" s="41">
        <v>2.4</v>
      </c>
      <c r="W15" s="44">
        <v>3.9810717055349717E-3</v>
      </c>
      <c r="X15" s="44">
        <v>2.5370052958246762E-12</v>
      </c>
      <c r="Y15" s="41">
        <v>0.99999964763827753</v>
      </c>
      <c r="Z15" s="41">
        <v>3.5236172248348896E-7</v>
      </c>
      <c r="AA15" s="41">
        <v>1.0481559325147853</v>
      </c>
      <c r="AB15" s="38">
        <v>5.2407796625739271</v>
      </c>
      <c r="AC15" s="41">
        <v>1.2</v>
      </c>
      <c r="AD15" s="44">
        <f t="shared" si="27"/>
        <v>6.3095734448019317E-2</v>
      </c>
      <c r="AE15" s="44">
        <f t="shared" si="28"/>
        <v>1.6007421243857248E-13</v>
      </c>
      <c r="AF15" s="41">
        <f t="shared" si="29"/>
        <v>0.99998415131926</v>
      </c>
      <c r="AG15" s="41">
        <f t="shared" si="30"/>
        <v>1.5848680739948994E-5</v>
      </c>
      <c r="AH15" s="41">
        <f t="shared" si="31"/>
        <v>-0.32237626579550011</v>
      </c>
      <c r="AI15" s="18">
        <f t="shared" si="32"/>
        <v>-38.68515189546001</v>
      </c>
      <c r="AJ15" s="41">
        <v>4.7</v>
      </c>
      <c r="AK15" s="44">
        <v>1.9952623149688769E-5</v>
      </c>
      <c r="AL15" s="44">
        <v>5.0619910596354569E-10</v>
      </c>
      <c r="AM15" s="41">
        <v>0.95227327896579606</v>
      </c>
      <c r="AN15" s="41">
        <v>4.7726721034203966E-2</v>
      </c>
      <c r="AO15" s="41">
        <v>4.7550965968607917E-2</v>
      </c>
      <c r="AP15" s="38">
        <v>5.7061159162329496</v>
      </c>
    </row>
    <row r="16" spans="1:42" ht="15" customHeight="1" x14ac:dyDescent="0.3">
      <c r="A16" s="41">
        <v>1.3</v>
      </c>
      <c r="B16" s="44">
        <f t="shared" si="16"/>
        <v>5.0118723362727206E-2</v>
      </c>
      <c r="C16" s="44">
        <f t="shared" si="17"/>
        <v>2.0152149381185691E-13</v>
      </c>
      <c r="D16" s="41">
        <f t="shared" si="18"/>
        <v>0.99999640854073168</v>
      </c>
      <c r="E16" s="41">
        <f t="shared" si="19"/>
        <v>3.5914592683179837E-6</v>
      </c>
      <c r="F16" s="41">
        <f t="shared" si="20"/>
        <v>-0.45552316334787868</v>
      </c>
      <c r="G16" s="18">
        <f t="shared" si="33"/>
        <v>-2.2776158167393934</v>
      </c>
      <c r="H16" s="41">
        <v>5.2</v>
      </c>
      <c r="I16" s="44">
        <v>6.3095734448019212E-6</v>
      </c>
      <c r="J16" s="44">
        <v>1.6007421243857275E-9</v>
      </c>
      <c r="K16" s="41">
        <v>0.97226320011153</v>
      </c>
      <c r="L16" s="41">
        <v>2.773679988847003E-2</v>
      </c>
      <c r="M16" s="41">
        <v>2.7673371035705087E-2</v>
      </c>
      <c r="N16" s="38">
        <v>0.13836685517852543</v>
      </c>
      <c r="O16" s="41">
        <v>1.3</v>
      </c>
      <c r="P16" s="44">
        <f t="shared" si="21"/>
        <v>5.0118723362727206E-2</v>
      </c>
      <c r="Q16" s="44">
        <f t="shared" si="22"/>
        <v>2.0152149381185691E-13</v>
      </c>
      <c r="R16" s="41">
        <f t="shared" si="23"/>
        <v>0.9999999720109044</v>
      </c>
      <c r="S16" s="41">
        <f t="shared" si="24"/>
        <v>2.7989095579368412E-8</v>
      </c>
      <c r="T16" s="41">
        <f t="shared" si="25"/>
        <v>1.6684259643526529</v>
      </c>
      <c r="U16" s="18">
        <f t="shared" si="26"/>
        <v>8.3421298217632653</v>
      </c>
      <c r="V16" s="41">
        <v>2.5</v>
      </c>
      <c r="W16" s="44">
        <v>3.1622776601683764E-3</v>
      </c>
      <c r="X16" s="44">
        <v>3.1939004367700658E-12</v>
      </c>
      <c r="Y16" s="41">
        <v>0.99999955640291394</v>
      </c>
      <c r="Z16" s="41">
        <v>4.4359708610626928E-7</v>
      </c>
      <c r="AA16" s="41">
        <v>1.038188413017086</v>
      </c>
      <c r="AB16" s="38">
        <v>5.1909420650854301</v>
      </c>
      <c r="AC16" s="41">
        <v>1.3</v>
      </c>
      <c r="AD16" s="44">
        <f t="shared" si="27"/>
        <v>5.0118723362727206E-2</v>
      </c>
      <c r="AE16" s="44">
        <f t="shared" si="28"/>
        <v>2.0152149381185691E-13</v>
      </c>
      <c r="AF16" s="41">
        <f t="shared" si="29"/>
        <v>0.99998004777494953</v>
      </c>
      <c r="AG16" s="41">
        <f t="shared" si="30"/>
        <v>1.9952225050461375E-5</v>
      </c>
      <c r="AH16" s="41">
        <f t="shared" si="31"/>
        <v>-0.27820385521627206</v>
      </c>
      <c r="AI16" s="18">
        <f t="shared" si="32"/>
        <v>-33.384462625952644</v>
      </c>
      <c r="AJ16" s="41">
        <v>4.8</v>
      </c>
      <c r="AK16" s="44">
        <v>1.5848931924611131E-5</v>
      </c>
      <c r="AL16" s="44">
        <v>6.3726691792499525E-10</v>
      </c>
      <c r="AM16" s="41">
        <v>0.94064905689723233</v>
      </c>
      <c r="AN16" s="41">
        <v>5.9350943102767603E-2</v>
      </c>
      <c r="AO16" s="41">
        <v>5.92094902861343E-2</v>
      </c>
      <c r="AP16" s="38">
        <v>7.105138834336115</v>
      </c>
    </row>
    <row r="17" spans="1:42" ht="15" customHeight="1" x14ac:dyDescent="0.3">
      <c r="A17" s="41">
        <v>1.4</v>
      </c>
      <c r="B17" s="44">
        <f t="shared" si="16"/>
        <v>3.9810717055349727E-2</v>
      </c>
      <c r="C17" s="44">
        <f t="shared" si="17"/>
        <v>2.5370052958246757E-13</v>
      </c>
      <c r="D17" s="41">
        <f t="shared" si="18"/>
        <v>0.99999547862486615</v>
      </c>
      <c r="E17" s="41">
        <f t="shared" si="19"/>
        <v>4.5213751337917132E-6</v>
      </c>
      <c r="F17" s="41">
        <f t="shared" si="20"/>
        <v>-0.36874281724865604</v>
      </c>
      <c r="G17" s="18">
        <f t="shared" si="33"/>
        <v>-1.8437140862432801</v>
      </c>
      <c r="H17" s="41">
        <v>5.3</v>
      </c>
      <c r="I17" s="44">
        <v>5.011872336272719E-6</v>
      </c>
      <c r="J17" s="44">
        <v>2.0152149381185696E-9</v>
      </c>
      <c r="K17" s="41">
        <v>0.9653304264162198</v>
      </c>
      <c r="L17" s="41">
        <v>3.4669573583780228E-2</v>
      </c>
      <c r="M17" s="41">
        <v>3.4619128138795599E-2</v>
      </c>
      <c r="N17" s="38">
        <v>0.17309564069397798</v>
      </c>
      <c r="O17" s="41">
        <v>1.4</v>
      </c>
      <c r="P17" s="44">
        <f t="shared" si="21"/>
        <v>3.9810717055349727E-2</v>
      </c>
      <c r="Q17" s="44">
        <f t="shared" si="22"/>
        <v>2.5370052958246757E-13</v>
      </c>
      <c r="R17" s="41">
        <f t="shared" si="23"/>
        <v>0.99999996476381658</v>
      </c>
      <c r="S17" s="41">
        <f t="shared" si="24"/>
        <v>3.5236183422642939E-8</v>
      </c>
      <c r="T17" s="41">
        <f t="shared" si="25"/>
        <v>1.5190566003273969</v>
      </c>
      <c r="U17" s="18">
        <f t="shared" si="26"/>
        <v>7.595283001636985</v>
      </c>
      <c r="V17" s="41">
        <v>2.6</v>
      </c>
      <c r="W17" s="44">
        <v>2.5118864315095777E-3</v>
      </c>
      <c r="X17" s="44">
        <v>4.0208824225903259E-12</v>
      </c>
      <c r="Y17" s="41">
        <v>0.99999944154441989</v>
      </c>
      <c r="Z17" s="41">
        <v>5.5845558015362504E-7</v>
      </c>
      <c r="AA17" s="41">
        <v>1.0302942702066094</v>
      </c>
      <c r="AB17" s="38">
        <v>5.151471351033047</v>
      </c>
      <c r="AC17" s="41">
        <v>1.4</v>
      </c>
      <c r="AD17" s="44">
        <f t="shared" si="27"/>
        <v>3.9810717055349727E-2</v>
      </c>
      <c r="AE17" s="44">
        <f t="shared" si="28"/>
        <v>2.5370052958246757E-13</v>
      </c>
      <c r="AF17" s="41">
        <f t="shared" si="29"/>
        <v>0.99997488176662641</v>
      </c>
      <c r="AG17" s="41">
        <f t="shared" si="30"/>
        <v>2.5118233373599853E-5</v>
      </c>
      <c r="AH17" s="41">
        <f t="shared" si="31"/>
        <v>-0.23727140823906431</v>
      </c>
      <c r="AI17" s="18">
        <f t="shared" si="32"/>
        <v>-28.472568988687716</v>
      </c>
      <c r="AJ17" s="41">
        <v>4.9000000000000004</v>
      </c>
      <c r="AK17" s="44">
        <v>1.2589254117941658E-5</v>
      </c>
      <c r="AL17" s="44">
        <v>8.0227151707152515E-10</v>
      </c>
      <c r="AM17" s="41">
        <v>0.92641244388242638</v>
      </c>
      <c r="AN17" s="41">
        <v>7.3587556117573602E-2</v>
      </c>
      <c r="AO17" s="41">
        <v>7.3473403188206457E-2</v>
      </c>
      <c r="AP17" s="38">
        <v>8.8168083825847745</v>
      </c>
    </row>
    <row r="18" spans="1:42" ht="15" customHeight="1" x14ac:dyDescent="0.3">
      <c r="A18" s="41">
        <v>1.5</v>
      </c>
      <c r="B18" s="44">
        <f t="shared" si="16"/>
        <v>3.1622776601683784E-2</v>
      </c>
      <c r="C18" s="44">
        <f t="shared" si="17"/>
        <v>3.193900436770064E-13</v>
      </c>
      <c r="D18" s="41">
        <f t="shared" si="18"/>
        <v>0.99999430793261146</v>
      </c>
      <c r="E18" s="41">
        <f t="shared" si="19"/>
        <v>5.6920673884875072E-6</v>
      </c>
      <c r="F18" s="41">
        <f t="shared" si="20"/>
        <v>-0.29741208227368104</v>
      </c>
      <c r="G18" s="18">
        <f t="shared" si="33"/>
        <v>-1.4870604113684052</v>
      </c>
      <c r="H18" s="41">
        <v>5.4</v>
      </c>
      <c r="I18" s="44">
        <v>3.9810717055349657E-6</v>
      </c>
      <c r="J18" s="44">
        <v>2.53700529582468E-9</v>
      </c>
      <c r="K18" s="41">
        <v>0.95674191344490223</v>
      </c>
      <c r="L18" s="41">
        <v>4.3258086555097809E-2</v>
      </c>
      <c r="M18" s="41">
        <v>4.3217957319809673E-2</v>
      </c>
      <c r="N18" s="38">
        <v>0.21608978659904837</v>
      </c>
      <c r="O18" s="41">
        <v>1.5</v>
      </c>
      <c r="P18" s="44">
        <f t="shared" si="21"/>
        <v>3.1622776601683784E-2</v>
      </c>
      <c r="Q18" s="44">
        <f t="shared" si="22"/>
        <v>3.193900436770064E-13</v>
      </c>
      <c r="R18" s="41">
        <f t="shared" si="23"/>
        <v>0.99999995564027377</v>
      </c>
      <c r="S18" s="41">
        <f t="shared" si="24"/>
        <v>4.4359726320687706E-8</v>
      </c>
      <c r="T18" s="41">
        <f t="shared" si="25"/>
        <v>1.405093646637122</v>
      </c>
      <c r="U18" s="18">
        <f t="shared" si="26"/>
        <v>7.0254682331856095</v>
      </c>
      <c r="V18" s="41">
        <v>2.7</v>
      </c>
      <c r="W18" s="44">
        <v>1.9952623149688781E-3</v>
      </c>
      <c r="X18" s="44">
        <v>5.0619910596354535E-12</v>
      </c>
      <c r="Y18" s="41">
        <v>0.9999992969461805</v>
      </c>
      <c r="Z18" s="41">
        <v>7.0305381955323679E-7</v>
      </c>
      <c r="AA18" s="41">
        <v>1.0240383703738603</v>
      </c>
      <c r="AB18" s="38">
        <v>5.1201918518693015</v>
      </c>
      <c r="AC18" s="41">
        <v>1.5</v>
      </c>
      <c r="AD18" s="44">
        <f t="shared" si="27"/>
        <v>3.1622776601683784E-2</v>
      </c>
      <c r="AE18" s="44">
        <f t="shared" si="28"/>
        <v>3.193900436770064E-13</v>
      </c>
      <c r="AF18" s="41">
        <f t="shared" si="29"/>
        <v>0.99996837822336671</v>
      </c>
      <c r="AG18" s="41">
        <f t="shared" si="30"/>
        <v>3.1621776633305579E-5</v>
      </c>
      <c r="AH18" s="41">
        <f t="shared" si="31"/>
        <v>-0.20018686991088644</v>
      </c>
      <c r="AI18" s="18">
        <f t="shared" si="32"/>
        <v>-24.022424389306373</v>
      </c>
      <c r="AJ18" s="41">
        <v>5</v>
      </c>
      <c r="AK18" s="44">
        <v>1.0000000000000001E-5</v>
      </c>
      <c r="AL18" s="44">
        <v>1.0099999999999998E-9</v>
      </c>
      <c r="AM18" s="41">
        <v>0.90909090909090906</v>
      </c>
      <c r="AN18" s="41">
        <v>9.0909090909090898E-2</v>
      </c>
      <c r="AO18" s="41">
        <v>9.0816685241148637E-2</v>
      </c>
      <c r="AP18" s="38">
        <v>10.898002228937838</v>
      </c>
    </row>
    <row r="19" spans="1:42" ht="15" customHeight="1" x14ac:dyDescent="0.3">
      <c r="A19" s="41">
        <v>1.6</v>
      </c>
      <c r="B19" s="44">
        <f t="shared" si="16"/>
        <v>2.511886431509578E-2</v>
      </c>
      <c r="C19" s="44">
        <f t="shared" si="17"/>
        <v>4.0208824225903255E-13</v>
      </c>
      <c r="D19" s="41">
        <f t="shared" si="18"/>
        <v>0.99999283412228024</v>
      </c>
      <c r="E19" s="41">
        <f t="shared" si="19"/>
        <v>7.1658777197914926E-6</v>
      </c>
      <c r="F19" s="41">
        <f t="shared" si="20"/>
        <v>-0.23916630532500621</v>
      </c>
      <c r="G19" s="18">
        <f t="shared" si="33"/>
        <v>-1.195831526625031</v>
      </c>
      <c r="H19" s="41">
        <v>5.5</v>
      </c>
      <c r="I19" s="44">
        <v>3.1622776601683767E-6</v>
      </c>
      <c r="J19" s="44">
        <v>3.1939004367700655E-9</v>
      </c>
      <c r="K19" s="41">
        <v>0.94614451033043978</v>
      </c>
      <c r="L19" s="41">
        <v>5.3855489669560247E-2</v>
      </c>
      <c r="M19" s="41">
        <v>5.3823558765702162E-2</v>
      </c>
      <c r="N19" s="38">
        <v>0.26911779382851081</v>
      </c>
      <c r="O19" s="41">
        <v>1.6</v>
      </c>
      <c r="P19" s="44">
        <f t="shared" si="21"/>
        <v>2.511886431509578E-2</v>
      </c>
      <c r="Q19" s="44">
        <f t="shared" si="22"/>
        <v>4.0208824225903255E-13</v>
      </c>
      <c r="R19" s="41">
        <f t="shared" si="23"/>
        <v>0.99999994415441384</v>
      </c>
      <c r="S19" s="41">
        <f t="shared" si="24"/>
        <v>5.5845586083913744E-8</v>
      </c>
      <c r="T19" s="41">
        <f t="shared" si="25"/>
        <v>1.3173702778230454</v>
      </c>
      <c r="U19" s="18">
        <f t="shared" si="26"/>
        <v>6.5868513891152265</v>
      </c>
      <c r="V19" s="41">
        <v>2.8</v>
      </c>
      <c r="W19" s="44">
        <v>1.5848931924611134E-3</v>
      </c>
      <c r="X19" s="44">
        <v>6.3726691792499515E-12</v>
      </c>
      <c r="Y19" s="41">
        <v>0.99999911490784177</v>
      </c>
      <c r="Z19" s="41">
        <v>8.8509215817367144E-7</v>
      </c>
      <c r="AA19" s="41">
        <v>1.019078307299385</v>
      </c>
      <c r="AB19" s="38">
        <v>5.0953915364969253</v>
      </c>
      <c r="AC19" s="41">
        <v>1.6</v>
      </c>
      <c r="AD19" s="44">
        <f t="shared" si="27"/>
        <v>2.511886431509578E-2</v>
      </c>
      <c r="AE19" s="44">
        <f t="shared" si="28"/>
        <v>4.0208824225903255E-13</v>
      </c>
      <c r="AF19" s="41">
        <f t="shared" si="29"/>
        <v>0.99996019086777466</v>
      </c>
      <c r="AG19" s="41">
        <f t="shared" si="30"/>
        <v>3.9809132225250515E-5</v>
      </c>
      <c r="AH19" s="41">
        <f t="shared" si="31"/>
        <v>-0.1672681903749593</v>
      </c>
      <c r="AI19" s="18">
        <f t="shared" si="32"/>
        <v>-20.072182844995112</v>
      </c>
      <c r="AJ19" s="41">
        <v>5.0999999999999996</v>
      </c>
      <c r="AK19" s="44">
        <v>7.9432823472428065E-6</v>
      </c>
      <c r="AL19" s="44">
        <v>1.2715146659121102E-9</v>
      </c>
      <c r="AM19" s="41">
        <v>0.88818423022188286</v>
      </c>
      <c r="AN19" s="41">
        <v>0.11181576977811705</v>
      </c>
      <c r="AO19" s="41">
        <v>0.11174071189506914</v>
      </c>
      <c r="AP19" s="38">
        <v>13.408885427408297</v>
      </c>
    </row>
    <row r="20" spans="1:42" ht="15" customHeight="1" x14ac:dyDescent="0.3">
      <c r="A20" s="41">
        <v>1.7</v>
      </c>
      <c r="B20" s="44">
        <f t="shared" si="16"/>
        <v>1.9952623149688792E-2</v>
      </c>
      <c r="C20" s="44">
        <f t="shared" si="17"/>
        <v>5.0619910596354508E-13</v>
      </c>
      <c r="D20" s="41">
        <f t="shared" si="18"/>
        <v>0.99999097871117915</v>
      </c>
      <c r="E20" s="41">
        <f t="shared" si="19"/>
        <v>9.0212888209047218E-6</v>
      </c>
      <c r="F20" s="41">
        <f t="shared" si="20"/>
        <v>-0.19186095167151448</v>
      </c>
      <c r="G20" s="18">
        <f t="shared" si="33"/>
        <v>-0.95930475835757245</v>
      </c>
      <c r="H20" s="41">
        <v>5.6</v>
      </c>
      <c r="I20" s="44">
        <v>2.5118864315095806E-6</v>
      </c>
      <c r="J20" s="44">
        <v>4.0208824225903214E-9</v>
      </c>
      <c r="K20" s="41">
        <v>0.93313239448253471</v>
      </c>
      <c r="L20" s="41">
        <v>6.6867605517465303E-2</v>
      </c>
      <c r="M20" s="41">
        <v>6.6842191599515349E-2</v>
      </c>
      <c r="N20" s="38">
        <v>0.33421095799757672</v>
      </c>
      <c r="O20" s="41">
        <v>1.7</v>
      </c>
      <c r="P20" s="44">
        <f t="shared" si="21"/>
        <v>1.9952623149688792E-2</v>
      </c>
      <c r="Q20" s="44">
        <f t="shared" si="22"/>
        <v>5.0619910596354508E-13</v>
      </c>
      <c r="R20" s="41">
        <f t="shared" si="23"/>
        <v>0.99999992969457352</v>
      </c>
      <c r="S20" s="41">
        <f t="shared" si="24"/>
        <v>7.030542644097237E-8</v>
      </c>
      <c r="T20" s="41">
        <f t="shared" si="25"/>
        <v>1.249383101575797</v>
      </c>
      <c r="U20" s="18">
        <f t="shared" si="26"/>
        <v>6.2469155078789855</v>
      </c>
      <c r="V20" s="41">
        <v>2.9</v>
      </c>
      <c r="W20" s="44">
        <v>1.2589254117941662E-3</v>
      </c>
      <c r="X20" s="44">
        <v>8.0227151707152493E-12</v>
      </c>
      <c r="Y20" s="41">
        <v>0.99999888573524565</v>
      </c>
      <c r="Z20" s="41">
        <v>1.1142647543453471E-6</v>
      </c>
      <c r="AA20" s="41">
        <v>1.0151441212183421</v>
      </c>
      <c r="AB20" s="38">
        <v>5.0757206060917106</v>
      </c>
      <c r="AC20" s="41">
        <v>1.7</v>
      </c>
      <c r="AD20" s="44">
        <f t="shared" si="27"/>
        <v>1.9952623149688792E-2</v>
      </c>
      <c r="AE20" s="44">
        <f t="shared" si="28"/>
        <v>5.0619910596354508E-13</v>
      </c>
      <c r="AF20" s="41">
        <f t="shared" si="29"/>
        <v>0.99994988378839778</v>
      </c>
      <c r="AG20" s="41">
        <f t="shared" si="30"/>
        <v>5.0116211602181956E-5</v>
      </c>
      <c r="AH20" s="41">
        <f t="shared" si="31"/>
        <v>-0.1385728290061593</v>
      </c>
      <c r="AI20" s="18">
        <f t="shared" si="32"/>
        <v>-16.628739480739114</v>
      </c>
      <c r="AJ20" s="41">
        <v>5.2</v>
      </c>
      <c r="AK20" s="44">
        <v>6.3095734448019212E-6</v>
      </c>
      <c r="AL20" s="44">
        <v>1.6007421243857275E-9</v>
      </c>
      <c r="AM20" s="41">
        <v>0.86319311139678978</v>
      </c>
      <c r="AN20" s="41">
        <v>0.13680688860321022</v>
      </c>
      <c r="AO20" s="41">
        <v>0.13674569628282765</v>
      </c>
      <c r="AP20" s="38">
        <v>16.409483553939317</v>
      </c>
    </row>
    <row r="21" spans="1:42" ht="15" customHeight="1" x14ac:dyDescent="0.3">
      <c r="A21" s="41">
        <v>1.8</v>
      </c>
      <c r="B21" s="44">
        <f t="shared" si="16"/>
        <v>1.5848931924611124E-2</v>
      </c>
      <c r="C21" s="44">
        <f t="shared" si="17"/>
        <v>6.3726691792499559E-13</v>
      </c>
      <c r="D21" s="41">
        <f t="shared" si="18"/>
        <v>0.99998864289678469</v>
      </c>
      <c r="E21" s="41">
        <f t="shared" si="19"/>
        <v>1.1357103215385144E-5</v>
      </c>
      <c r="F21" s="41">
        <f t="shared" si="20"/>
        <v>-0.15360888850292292</v>
      </c>
      <c r="G21" s="18">
        <f t="shared" si="33"/>
        <v>-0.76804444251461468</v>
      </c>
      <c r="H21" s="41">
        <v>5.7</v>
      </c>
      <c r="I21" s="44">
        <v>1.9952623149688749E-6</v>
      </c>
      <c r="J21" s="44">
        <v>5.0619910596354619E-9</v>
      </c>
      <c r="K21" s="41">
        <v>0.91725135917569756</v>
      </c>
      <c r="L21" s="41">
        <v>8.2748640824302402E-2</v>
      </c>
      <c r="M21" s="41">
        <v>8.272840952884844E-2</v>
      </c>
      <c r="N21" s="38">
        <v>0.41364204764424217</v>
      </c>
      <c r="O21" s="41">
        <v>1.8</v>
      </c>
      <c r="P21" s="44">
        <f t="shared" si="21"/>
        <v>1.5848931924611124E-2</v>
      </c>
      <c r="Q21" s="44">
        <f t="shared" si="22"/>
        <v>6.3726691792499559E-13</v>
      </c>
      <c r="R21" s="41">
        <f t="shared" si="23"/>
        <v>0.99999991149071354</v>
      </c>
      <c r="S21" s="41">
        <f t="shared" si="24"/>
        <v>8.8509286322354912E-8</v>
      </c>
      <c r="T21" s="41">
        <f t="shared" si="25"/>
        <v>1.1964129660337079</v>
      </c>
      <c r="U21" s="18">
        <f t="shared" si="26"/>
        <v>5.9820648301685404</v>
      </c>
      <c r="V21" s="41">
        <v>3</v>
      </c>
      <c r="W21" s="44">
        <v>1E-3</v>
      </c>
      <c r="X21" s="44">
        <v>1.0099999999999999E-11</v>
      </c>
      <c r="Y21" s="41">
        <v>0.99999859722418993</v>
      </c>
      <c r="Z21" s="41">
        <v>1.4027758099950441E-6</v>
      </c>
      <c r="AA21" s="41">
        <v>1.0120226423875223</v>
      </c>
      <c r="AB21" s="38">
        <v>5.0601132119376118</v>
      </c>
      <c r="AC21" s="41">
        <v>1.8</v>
      </c>
      <c r="AD21" s="44">
        <f t="shared" si="27"/>
        <v>1.5848931924611124E-2</v>
      </c>
      <c r="AE21" s="44">
        <f t="shared" si="28"/>
        <v>6.3726691792499559E-13</v>
      </c>
      <c r="AF21" s="41">
        <f t="shared" si="29"/>
        <v>0.99993690824637249</v>
      </c>
      <c r="AG21" s="41">
        <f t="shared" si="30"/>
        <v>6.3091753627486625E-5</v>
      </c>
      <c r="AH21" s="41">
        <f t="shared" si="31"/>
        <v>-0.11395128013160055</v>
      </c>
      <c r="AI21" s="18">
        <f t="shared" si="32"/>
        <v>-13.674153615792065</v>
      </c>
      <c r="AJ21" s="41">
        <v>5.3</v>
      </c>
      <c r="AK21" s="44">
        <v>5.011872336272719E-6</v>
      </c>
      <c r="AL21" s="44">
        <v>2.0152149381185696E-9</v>
      </c>
      <c r="AM21" s="41">
        <v>0.833662469183438</v>
      </c>
      <c r="AN21" s="41">
        <v>0.166337530816562</v>
      </c>
      <c r="AO21" s="41">
        <v>0.16628745124349953</v>
      </c>
      <c r="AP21" s="38">
        <v>19.954494149219943</v>
      </c>
    </row>
    <row r="22" spans="1:42" ht="15" customHeight="1" x14ac:dyDescent="0.3">
      <c r="A22" s="41">
        <v>1.9</v>
      </c>
      <c r="B22" s="44">
        <f t="shared" si="16"/>
        <v>1.2589254117941664E-2</v>
      </c>
      <c r="C22" s="44">
        <f t="shared" si="17"/>
        <v>8.0227151707152477E-13</v>
      </c>
      <c r="D22" s="41">
        <f t="shared" si="18"/>
        <v>0.99998570229620221</v>
      </c>
      <c r="E22" s="41">
        <f t="shared" si="19"/>
        <v>1.4297703797780345E-5</v>
      </c>
      <c r="F22" s="41">
        <f t="shared" si="20"/>
        <v>-0.12278665857364018</v>
      </c>
      <c r="G22" s="18">
        <f t="shared" si="33"/>
        <v>-0.61393329286820086</v>
      </c>
      <c r="H22" s="41">
        <v>5.8</v>
      </c>
      <c r="I22" s="44">
        <v>1.5848931924611111E-6</v>
      </c>
      <c r="J22" s="44">
        <v>6.3726691792499607E-9</v>
      </c>
      <c r="K22" s="41">
        <v>0.89801082537522103</v>
      </c>
      <c r="L22" s="41">
        <v>0.10198917462477902</v>
      </c>
      <c r="M22" s="41">
        <v>0.1019730674863865</v>
      </c>
      <c r="N22" s="38">
        <v>0.50986533743193252</v>
      </c>
      <c r="O22" s="41">
        <v>1.9</v>
      </c>
      <c r="P22" s="44">
        <f t="shared" si="21"/>
        <v>1.2589254117941664E-2</v>
      </c>
      <c r="Q22" s="44">
        <f t="shared" si="22"/>
        <v>8.0227151707152477E-13</v>
      </c>
      <c r="R22" s="41">
        <f t="shared" si="23"/>
        <v>0.99999988857341282</v>
      </c>
      <c r="S22" s="41">
        <f t="shared" si="24"/>
        <v>1.1142658717738161E-7</v>
      </c>
      <c r="T22" s="41">
        <f t="shared" si="25"/>
        <v>1.1549729250485097</v>
      </c>
      <c r="U22" s="18">
        <f t="shared" si="26"/>
        <v>5.7748646252425484</v>
      </c>
      <c r="V22" s="41">
        <v>3.1</v>
      </c>
      <c r="W22" s="44">
        <v>7.9432823472428099E-4</v>
      </c>
      <c r="X22" s="44">
        <v>1.2715146659121097E-11</v>
      </c>
      <c r="Y22" s="41">
        <v>0.99999823401052723</v>
      </c>
      <c r="Z22" s="41">
        <v>1.765989472820271E-6</v>
      </c>
      <c r="AA22" s="41">
        <v>1.0095453369356702</v>
      </c>
      <c r="AB22" s="38">
        <v>5.0477266846783513</v>
      </c>
      <c r="AC22" s="41">
        <v>1.9</v>
      </c>
      <c r="AD22" s="44">
        <f t="shared" si="27"/>
        <v>1.2589254117941664E-2</v>
      </c>
      <c r="AE22" s="44">
        <f t="shared" si="28"/>
        <v>8.0227151707152477E-13</v>
      </c>
      <c r="AF22" s="41">
        <f t="shared" si="29"/>
        <v>0.99992057348559993</v>
      </c>
      <c r="AG22" s="41">
        <f t="shared" si="30"/>
        <v>7.942651440013083E-5</v>
      </c>
      <c r="AH22" s="41">
        <f t="shared" si="31"/>
        <v>-9.3109262765604495E-2</v>
      </c>
      <c r="AI22" s="18">
        <f t="shared" si="32"/>
        <v>-11.173111531872539</v>
      </c>
      <c r="AJ22" s="41">
        <v>5.4</v>
      </c>
      <c r="AK22" s="44">
        <v>3.9810717055349657E-6</v>
      </c>
      <c r="AL22" s="44">
        <v>2.53700529582468E-9</v>
      </c>
      <c r="AM22" s="41">
        <v>0.79923999108689803</v>
      </c>
      <c r="AN22" s="41">
        <v>0.20076000891310203</v>
      </c>
      <c r="AO22" s="41">
        <v>0.20071886878742207</v>
      </c>
      <c r="AP22" s="38">
        <v>24.086264254490647</v>
      </c>
    </row>
    <row r="23" spans="1:42" ht="15" customHeight="1" x14ac:dyDescent="0.3">
      <c r="A23" s="41">
        <v>2</v>
      </c>
      <c r="B23" s="44">
        <f t="shared" si="16"/>
        <v>0.01</v>
      </c>
      <c r="C23" s="44">
        <f t="shared" si="17"/>
        <v>1.0099999999999999E-12</v>
      </c>
      <c r="D23" s="41">
        <f t="shared" si="18"/>
        <v>0.99998200032399409</v>
      </c>
      <c r="E23" s="41">
        <f t="shared" si="19"/>
        <v>1.7999676005831894E-5</v>
      </c>
      <c r="F23" s="41">
        <f t="shared" si="20"/>
        <v>-9.8021568935384482E-2</v>
      </c>
      <c r="G23" s="18">
        <f t="shared" si="33"/>
        <v>-0.49010784467692242</v>
      </c>
      <c r="H23" s="41">
        <v>5.9</v>
      </c>
      <c r="I23" s="44">
        <v>1.2589254117941642E-6</v>
      </c>
      <c r="J23" s="44">
        <v>8.0227151707152622E-9</v>
      </c>
      <c r="K23" s="41">
        <v>0.8749066501122098</v>
      </c>
      <c r="L23" s="41">
        <v>0.12509334988779022</v>
      </c>
      <c r="M23" s="41">
        <v>0.12508052793368463</v>
      </c>
      <c r="N23" s="38">
        <v>0.62540263966842313</v>
      </c>
      <c r="O23" s="41">
        <v>2</v>
      </c>
      <c r="P23" s="44">
        <f t="shared" si="21"/>
        <v>0.01</v>
      </c>
      <c r="Q23" s="44">
        <f t="shared" si="22"/>
        <v>1.0099999999999999E-12</v>
      </c>
      <c r="R23" s="41">
        <f t="shared" si="23"/>
        <v>0.99999985972224192</v>
      </c>
      <c r="S23" s="41">
        <f t="shared" si="24"/>
        <v>1.4027775809992559E-7</v>
      </c>
      <c r="T23" s="41">
        <f t="shared" si="25"/>
        <v>1.1224488364386473</v>
      </c>
      <c r="U23" s="18">
        <f t="shared" si="26"/>
        <v>5.612244182193237</v>
      </c>
      <c r="V23" s="41">
        <v>3.2</v>
      </c>
      <c r="W23" s="44">
        <v>6.3095734448019244E-4</v>
      </c>
      <c r="X23" s="44">
        <v>1.6007421243857267E-11</v>
      </c>
      <c r="Y23" s="41">
        <v>0.99999777675199242</v>
      </c>
      <c r="Z23" s="41">
        <v>2.2232480076930385E-6</v>
      </c>
      <c r="AA23" s="41">
        <v>1.0075788285284684</v>
      </c>
      <c r="AB23" s="38">
        <v>5.037894142642342</v>
      </c>
      <c r="AC23" s="41">
        <v>2</v>
      </c>
      <c r="AD23" s="44">
        <f t="shared" si="27"/>
        <v>0.01</v>
      </c>
      <c r="AE23" s="44">
        <f t="shared" si="28"/>
        <v>1.0099999999999999E-12</v>
      </c>
      <c r="AF23" s="41">
        <f t="shared" si="29"/>
        <v>0.99990000999900019</v>
      </c>
      <c r="AG23" s="41">
        <f t="shared" si="30"/>
        <v>9.9990000999900015E-5</v>
      </c>
      <c r="AH23" s="41">
        <f t="shared" si="31"/>
        <v>-7.5666675749710005E-2</v>
      </c>
      <c r="AI23" s="18">
        <f t="shared" si="32"/>
        <v>-9.0800010899652008</v>
      </c>
      <c r="AJ23" s="41">
        <v>5.5</v>
      </c>
      <c r="AK23" s="44">
        <v>3.1622776601683767E-6</v>
      </c>
      <c r="AL23" s="44">
        <v>3.1939004367700655E-9</v>
      </c>
      <c r="AM23" s="41">
        <v>0.75974692664795773</v>
      </c>
      <c r="AN23" s="41">
        <v>0.2402530733520423</v>
      </c>
      <c r="AO23" s="41">
        <v>0.24021915892960699</v>
      </c>
      <c r="AP23" s="38">
        <v>28.826299071552839</v>
      </c>
    </row>
    <row r="24" spans="1:42" ht="15" customHeight="1" x14ac:dyDescent="0.3">
      <c r="A24" s="41">
        <v>2.1</v>
      </c>
      <c r="B24" s="44">
        <f t="shared" si="16"/>
        <v>7.9432823472428121E-3</v>
      </c>
      <c r="C24" s="44">
        <f t="shared" si="17"/>
        <v>1.2715146659121093E-12</v>
      </c>
      <c r="D24" s="41">
        <f t="shared" si="18"/>
        <v>0.99997733985608139</v>
      </c>
      <c r="E24" s="41">
        <f t="shared" si="19"/>
        <v>2.2660143918536766E-5</v>
      </c>
      <c r="F24" s="41">
        <f t="shared" si="20"/>
        <v>-7.8168336973601746E-2</v>
      </c>
      <c r="G24" s="18">
        <f t="shared" si="33"/>
        <v>-0.39084168486800874</v>
      </c>
      <c r="H24" s="41">
        <v>6</v>
      </c>
      <c r="I24" s="44">
        <v>9.9999999999999995E-7</v>
      </c>
      <c r="J24" s="44">
        <v>1.0099999999999999E-8</v>
      </c>
      <c r="K24" s="41">
        <v>0.84745762711864403</v>
      </c>
      <c r="L24" s="41">
        <v>0.15254237288135594</v>
      </c>
      <c r="M24" s="41">
        <v>0.15253217189816201</v>
      </c>
      <c r="N24" s="38">
        <v>0.76266085949081008</v>
      </c>
      <c r="O24" s="41">
        <v>2.1</v>
      </c>
      <c r="P24" s="44">
        <f t="shared" si="21"/>
        <v>7.9432823472428121E-3</v>
      </c>
      <c r="Q24" s="44">
        <f t="shared" si="22"/>
        <v>1.2715146659121093E-12</v>
      </c>
      <c r="R24" s="41">
        <f t="shared" si="23"/>
        <v>0.99999982340077209</v>
      </c>
      <c r="S24" s="41">
        <f t="shared" si="24"/>
        <v>1.7659922796716679E-7</v>
      </c>
      <c r="T24" s="41">
        <f t="shared" si="25"/>
        <v>1.096857951667523</v>
      </c>
      <c r="U24" s="18">
        <f t="shared" si="26"/>
        <v>5.4842897583376153</v>
      </c>
      <c r="V24" s="41">
        <v>3.3</v>
      </c>
      <c r="W24" s="44">
        <v>5.0118723362727209E-4</v>
      </c>
      <c r="X24" s="44">
        <v>2.0152149381185689E-11</v>
      </c>
      <c r="Y24" s="41">
        <v>0.99999720109819767</v>
      </c>
      <c r="Z24" s="41">
        <v>2.7989018024025647E-6</v>
      </c>
      <c r="AA24" s="41">
        <v>1.0060174794273919</v>
      </c>
      <c r="AB24" s="38">
        <v>5.0300873971369597</v>
      </c>
      <c r="AC24" s="41">
        <v>2.1</v>
      </c>
      <c r="AD24" s="44">
        <f t="shared" si="27"/>
        <v>7.9432823472428121E-3</v>
      </c>
      <c r="AE24" s="44">
        <f t="shared" si="28"/>
        <v>1.2715146659121093E-12</v>
      </c>
      <c r="AF24" s="41">
        <f t="shared" si="29"/>
        <v>0.99987412330575753</v>
      </c>
      <c r="AG24" s="41">
        <f t="shared" si="30"/>
        <v>1.2587669424250333E-4</v>
      </c>
      <c r="AH24" s="41">
        <f t="shared" si="31"/>
        <v>-6.1206349686274961E-2</v>
      </c>
      <c r="AI24" s="18">
        <f t="shared" si="32"/>
        <v>-7.3447619623529947</v>
      </c>
      <c r="AJ24" s="41">
        <v>5.6</v>
      </c>
      <c r="AK24" s="44">
        <v>2.5118864315095806E-6</v>
      </c>
      <c r="AL24" s="44">
        <v>4.0208824225903214E-9</v>
      </c>
      <c r="AM24" s="41">
        <v>0.71525275104919861</v>
      </c>
      <c r="AN24" s="41">
        <v>0.28474724895080133</v>
      </c>
      <c r="AO24" s="41">
        <v>0.28471920969625397</v>
      </c>
      <c r="AP24" s="38">
        <v>34.166305163550476</v>
      </c>
    </row>
    <row r="25" spans="1:42" ht="15" customHeight="1" x14ac:dyDescent="0.3">
      <c r="A25" s="41">
        <v>2.2000000000000002</v>
      </c>
      <c r="B25" s="44">
        <f t="shared" si="16"/>
        <v>6.3095734448019251E-3</v>
      </c>
      <c r="C25" s="44">
        <f t="shared" si="17"/>
        <v>1.6007421243857264E-12</v>
      </c>
      <c r="D25" s="41">
        <f t="shared" si="18"/>
        <v>0.99997147273636366</v>
      </c>
      <c r="E25" s="41">
        <f t="shared" si="19"/>
        <v>2.8527263636313216E-5</v>
      </c>
      <c r="F25" s="41">
        <f t="shared" si="20"/>
        <v>-6.2281270665574852E-2</v>
      </c>
      <c r="G25" s="18">
        <f t="shared" si="33"/>
        <v>-0.31140635332787425</v>
      </c>
      <c r="H25" s="41">
        <v>6.1</v>
      </c>
      <c r="I25" s="44">
        <v>7.9432823472428114E-7</v>
      </c>
      <c r="J25" s="44">
        <v>1.2715146659121094E-8</v>
      </c>
      <c r="K25" s="41">
        <v>0.81525732952721308</v>
      </c>
      <c r="L25" s="41">
        <v>0.18474267047278684</v>
      </c>
      <c r="M25" s="41">
        <v>0.18473456555999768</v>
      </c>
      <c r="N25" s="38">
        <v>0.92367282779998838</v>
      </c>
      <c r="O25" s="41">
        <v>2.2000000000000002</v>
      </c>
      <c r="P25" s="44">
        <f t="shared" si="21"/>
        <v>6.3095734448019251E-3</v>
      </c>
      <c r="Q25" s="44">
        <f t="shared" si="22"/>
        <v>1.6007421243857264E-12</v>
      </c>
      <c r="R25" s="41">
        <f t="shared" si="23"/>
        <v>0.99999977767475445</v>
      </c>
      <c r="S25" s="41">
        <f t="shared" si="24"/>
        <v>2.2232524562504728E-7</v>
      </c>
      <c r="T25" s="41">
        <f t="shared" si="25"/>
        <v>1.0766823245097479</v>
      </c>
      <c r="U25" s="18">
        <f t="shared" si="26"/>
        <v>5.3834116225487394</v>
      </c>
      <c r="V25" s="41">
        <v>3.4</v>
      </c>
      <c r="W25" s="44">
        <v>3.9810717055349708E-4</v>
      </c>
      <c r="X25" s="44">
        <v>2.537005295824677E-11</v>
      </c>
      <c r="Y25" s="41">
        <v>0.9999964763939494</v>
      </c>
      <c r="Z25" s="41">
        <v>3.5236060505798141E-6</v>
      </c>
      <c r="AA25" s="41">
        <v>1.0047775661025546</v>
      </c>
      <c r="AB25" s="38">
        <v>5.0238878305127734</v>
      </c>
      <c r="AC25" s="41">
        <v>2.2000000000000002</v>
      </c>
      <c r="AD25" s="44">
        <f t="shared" si="27"/>
        <v>6.3095734448019251E-3</v>
      </c>
      <c r="AE25" s="44">
        <f t="shared" si="28"/>
        <v>1.6007421243857264E-12</v>
      </c>
      <c r="AF25" s="41">
        <f t="shared" si="29"/>
        <v>0.99984153579563773</v>
      </c>
      <c r="AG25" s="41">
        <f t="shared" si="30"/>
        <v>1.5846420436223729E-4</v>
      </c>
      <c r="AH25" s="41">
        <f t="shared" si="31"/>
        <v>-4.9310060036115648E-2</v>
      </c>
      <c r="AI25" s="18">
        <f t="shared" si="32"/>
        <v>-5.9172072043338773</v>
      </c>
      <c r="AJ25" s="41">
        <v>5.7</v>
      </c>
      <c r="AK25" s="44">
        <v>1.9952623149688749E-6</v>
      </c>
      <c r="AL25" s="44">
        <v>5.0619910596354619E-9</v>
      </c>
      <c r="AM25" s="41">
        <v>0.66613942458312159</v>
      </c>
      <c r="AN25" s="41">
        <v>0.33386057541687847</v>
      </c>
      <c r="AO25" s="41">
        <v>0.33383734638223017</v>
      </c>
      <c r="AP25" s="38">
        <v>40.060481565867619</v>
      </c>
    </row>
    <row r="26" spans="1:42" ht="15" customHeight="1" x14ac:dyDescent="0.3">
      <c r="A26" s="41">
        <v>2.2999999999999998</v>
      </c>
      <c r="B26" s="44">
        <f t="shared" si="16"/>
        <v>5.0118723362727212E-3</v>
      </c>
      <c r="C26" s="44">
        <f t="shared" si="17"/>
        <v>2.015214938118569E-12</v>
      </c>
      <c r="D26" s="41">
        <f t="shared" si="18"/>
        <v>0.9999640865681515</v>
      </c>
      <c r="E26" s="41">
        <f t="shared" si="19"/>
        <v>3.5913431848530812E-5</v>
      </c>
      <c r="F26" s="41">
        <f t="shared" si="20"/>
        <v>-4.9585774765288783E-2</v>
      </c>
      <c r="G26" s="18">
        <f t="shared" si="33"/>
        <v>-0.24792887382644391</v>
      </c>
      <c r="H26" s="41">
        <v>6.2</v>
      </c>
      <c r="I26" s="44">
        <v>6.3095734448019254E-7</v>
      </c>
      <c r="J26" s="44">
        <v>1.6007421243857263E-8</v>
      </c>
      <c r="K26" s="41">
        <v>0.7780401136691395</v>
      </c>
      <c r="L26" s="41">
        <v>0.22195988633086047</v>
      </c>
      <c r="M26" s="41">
        <v>0.22195346385109702</v>
      </c>
      <c r="N26" s="38">
        <v>1.1097673192554851</v>
      </c>
      <c r="O26" s="41">
        <v>2.2999999999999998</v>
      </c>
      <c r="P26" s="44">
        <f t="shared" si="21"/>
        <v>5.0118723362727212E-3</v>
      </c>
      <c r="Q26" s="44">
        <f t="shared" si="22"/>
        <v>2.015214938118569E-12</v>
      </c>
      <c r="R26" s="41">
        <f t="shared" si="23"/>
        <v>0.99999972010911475</v>
      </c>
      <c r="S26" s="41">
        <f t="shared" si="24"/>
        <v>2.7989088528864943E-7</v>
      </c>
      <c r="T26" s="41">
        <f t="shared" si="25"/>
        <v>1.0607511420564999</v>
      </c>
      <c r="U26" s="18">
        <f t="shared" si="26"/>
        <v>5.3037557102825001</v>
      </c>
      <c r="V26" s="41">
        <v>3.5</v>
      </c>
      <c r="W26" s="44">
        <v>3.1622776601683783E-4</v>
      </c>
      <c r="X26" s="44">
        <v>3.1939004367700641E-11</v>
      </c>
      <c r="Y26" s="41">
        <v>0.99999556404684886</v>
      </c>
      <c r="Z26" s="41">
        <v>4.435953151079663E-6</v>
      </c>
      <c r="AA26" s="41">
        <v>1.0037926955668333</v>
      </c>
      <c r="AB26" s="38">
        <v>5.0189634778341663</v>
      </c>
      <c r="AC26" s="41">
        <v>2.2999999999999998</v>
      </c>
      <c r="AD26" s="44">
        <f t="shared" si="27"/>
        <v>5.0118723362727212E-3</v>
      </c>
      <c r="AE26" s="44">
        <f t="shared" si="28"/>
        <v>2.015214938118569E-12</v>
      </c>
      <c r="AF26" s="41">
        <f t="shared" si="29"/>
        <v>0.99980051357127842</v>
      </c>
      <c r="AG26" s="41">
        <f t="shared" si="30"/>
        <v>1.9948642872153044E-4</v>
      </c>
      <c r="AH26" s="41">
        <f t="shared" si="31"/>
        <v>-3.9582301917683048E-2</v>
      </c>
      <c r="AI26" s="18">
        <f t="shared" si="32"/>
        <v>-4.7498762301219655</v>
      </c>
      <c r="AJ26" s="41">
        <v>5.8</v>
      </c>
      <c r="AK26" s="44">
        <v>1.5848931924611111E-6</v>
      </c>
      <c r="AL26" s="44">
        <v>6.3726691792499607E-9</v>
      </c>
      <c r="AM26" s="41">
        <v>0.61313682015314264</v>
      </c>
      <c r="AN26" s="41">
        <v>0.38686317984685731</v>
      </c>
      <c r="AO26" s="41">
        <v>0.38684391909850729</v>
      </c>
      <c r="AP26" s="38">
        <v>46.421270291820868</v>
      </c>
    </row>
    <row r="27" spans="1:42" ht="15" customHeight="1" x14ac:dyDescent="0.3">
      <c r="A27" s="41">
        <v>2.4</v>
      </c>
      <c r="B27" s="44">
        <f t="shared" si="16"/>
        <v>3.9810717055349717E-3</v>
      </c>
      <c r="C27" s="44">
        <f t="shared" si="17"/>
        <v>2.5370052958246762E-12</v>
      </c>
      <c r="D27" s="41">
        <f t="shared" si="18"/>
        <v>0.99995478808844229</v>
      </c>
      <c r="E27" s="41">
        <f t="shared" si="19"/>
        <v>4.5211911557803129E-5</v>
      </c>
      <c r="F27" s="41">
        <f t="shared" si="20"/>
        <v>-3.9451387513474052E-2</v>
      </c>
      <c r="G27" s="18">
        <f t="shared" si="33"/>
        <v>-0.19725693756737026</v>
      </c>
      <c r="H27" s="41">
        <v>6.3</v>
      </c>
      <c r="I27" s="44">
        <v>5.0118723362727218E-7</v>
      </c>
      <c r="J27" s="44">
        <v>2.0152149381185686E-8</v>
      </c>
      <c r="K27" s="41">
        <v>0.73575547057522916</v>
      </c>
      <c r="L27" s="41">
        <v>0.26424452942477089</v>
      </c>
      <c r="M27" s="41">
        <v>0.26423946485702193</v>
      </c>
      <c r="N27" s="38">
        <v>1.3211973242851096</v>
      </c>
      <c r="O27" s="41">
        <v>2.4</v>
      </c>
      <c r="P27" s="44">
        <f t="shared" si="21"/>
        <v>3.9810717055349717E-3</v>
      </c>
      <c r="Q27" s="44">
        <f t="shared" si="22"/>
        <v>2.5370052958246762E-12</v>
      </c>
      <c r="R27" s="41">
        <f t="shared" si="23"/>
        <v>0.99999964763827753</v>
      </c>
      <c r="S27" s="41">
        <f t="shared" si="24"/>
        <v>3.5236172248348896E-7</v>
      </c>
      <c r="T27" s="41">
        <f t="shared" si="25"/>
        <v>1.0481559325147853</v>
      </c>
      <c r="U27" s="18">
        <f t="shared" si="26"/>
        <v>5.2407796625739271</v>
      </c>
      <c r="V27" s="41">
        <v>3.6</v>
      </c>
      <c r="W27" s="44">
        <v>2.5118864315095774E-4</v>
      </c>
      <c r="X27" s="44">
        <v>4.020882422590326E-11</v>
      </c>
      <c r="Y27" s="41">
        <v>0.99999441547226686</v>
      </c>
      <c r="Z27" s="41">
        <v>5.5845277331401748E-6</v>
      </c>
      <c r="AA27" s="41">
        <v>1.0030101909588955</v>
      </c>
      <c r="AB27" s="38">
        <v>5.0150509547944786</v>
      </c>
      <c r="AC27" s="41">
        <v>2.4</v>
      </c>
      <c r="AD27" s="44">
        <f t="shared" si="27"/>
        <v>3.9810717055349717E-3</v>
      </c>
      <c r="AE27" s="44">
        <f t="shared" si="28"/>
        <v>2.5370052958246762E-12</v>
      </c>
      <c r="AF27" s="41">
        <f t="shared" si="29"/>
        <v>0.99974887443673854</v>
      </c>
      <c r="AG27" s="41">
        <f t="shared" si="30"/>
        <v>2.5112556326146188E-4</v>
      </c>
      <c r="AH27" s="41">
        <f t="shared" si="31"/>
        <v>-3.1663909038910504E-2</v>
      </c>
      <c r="AI27" s="18">
        <f t="shared" si="32"/>
        <v>-3.7996690846692602</v>
      </c>
      <c r="AJ27" s="41">
        <v>5.9</v>
      </c>
      <c r="AK27" s="44">
        <v>1.2589254117941642E-6</v>
      </c>
      <c r="AL27" s="44">
        <v>8.0227151707152622E-9</v>
      </c>
      <c r="AM27" s="41">
        <v>0.5573116337622922</v>
      </c>
      <c r="AN27" s="41">
        <v>0.44268836623770785</v>
      </c>
      <c r="AO27" s="41">
        <v>0.44267240464752233</v>
      </c>
      <c r="AP27" s="38">
        <v>53.120688557702678</v>
      </c>
    </row>
    <row r="28" spans="1:42" ht="15" customHeight="1" x14ac:dyDescent="0.3">
      <c r="A28" s="41">
        <v>2.5</v>
      </c>
      <c r="B28" s="44">
        <f t="shared" si="16"/>
        <v>3.1622776601683764E-3</v>
      </c>
      <c r="C28" s="44">
        <f t="shared" si="17"/>
        <v>3.1939004367700658E-12</v>
      </c>
      <c r="D28" s="41">
        <f t="shared" si="18"/>
        <v>0.99994308224193262</v>
      </c>
      <c r="E28" s="41">
        <f t="shared" si="19"/>
        <v>5.691775806744442E-5</v>
      </c>
      <c r="F28" s="41">
        <f t="shared" si="20"/>
        <v>-3.1367473490527639E-2</v>
      </c>
      <c r="G28" s="18">
        <f t="shared" si="33"/>
        <v>-0.15683736745263821</v>
      </c>
      <c r="H28" s="41">
        <v>6.4</v>
      </c>
      <c r="I28" s="44">
        <v>3.9810717055349618E-7</v>
      </c>
      <c r="J28" s="44">
        <v>2.5370052958246826E-8</v>
      </c>
      <c r="K28" s="41">
        <v>0.68863904623832473</v>
      </c>
      <c r="L28" s="41">
        <v>0.31136095376167516</v>
      </c>
      <c r="M28" s="41">
        <v>0.31135699428188202</v>
      </c>
      <c r="N28" s="38">
        <v>1.5567849714094102</v>
      </c>
      <c r="O28" s="41">
        <v>2.5</v>
      </c>
      <c r="P28" s="44">
        <f t="shared" si="21"/>
        <v>3.1622776601683764E-3</v>
      </c>
      <c r="Q28" s="44">
        <f t="shared" si="22"/>
        <v>3.1939004367700658E-12</v>
      </c>
      <c r="R28" s="41">
        <f t="shared" si="23"/>
        <v>0.99999955640291394</v>
      </c>
      <c r="S28" s="41">
        <f t="shared" si="24"/>
        <v>4.4359708610626928E-7</v>
      </c>
      <c r="T28" s="41">
        <f t="shared" si="25"/>
        <v>1.038188413017086</v>
      </c>
      <c r="U28" s="18">
        <f t="shared" si="26"/>
        <v>5.1909420650854301</v>
      </c>
      <c r="V28" s="41">
        <v>3.7</v>
      </c>
      <c r="W28" s="44">
        <v>1.9952623149688758E-4</v>
      </c>
      <c r="X28" s="44">
        <v>5.0619910596354591E-11</v>
      </c>
      <c r="Y28" s="41">
        <v>0.9999929695062898</v>
      </c>
      <c r="Z28" s="41">
        <v>7.0304937101932685E-6</v>
      </c>
      <c r="AA28" s="41">
        <v>1.0023882367083126</v>
      </c>
      <c r="AB28" s="38">
        <v>5.0119411835415626</v>
      </c>
      <c r="AC28" s="41">
        <v>2.5</v>
      </c>
      <c r="AD28" s="44">
        <f t="shared" si="27"/>
        <v>3.1622776601683764E-3</v>
      </c>
      <c r="AE28" s="44">
        <f t="shared" si="28"/>
        <v>3.1939004367700658E-12</v>
      </c>
      <c r="AF28" s="41">
        <f t="shared" si="29"/>
        <v>0.99968387220237032</v>
      </c>
      <c r="AG28" s="41">
        <f t="shared" si="30"/>
        <v>3.1612779762961798E-4</v>
      </c>
      <c r="AH28" s="41">
        <f t="shared" si="31"/>
        <v>-2.5238087605107071E-2</v>
      </c>
      <c r="AI28" s="18">
        <f t="shared" si="32"/>
        <v>-3.0285705126128484</v>
      </c>
      <c r="AJ28" s="41">
        <v>6</v>
      </c>
      <c r="AK28" s="44">
        <v>9.9999999999999995E-7</v>
      </c>
      <c r="AL28" s="44">
        <v>1.0099999999999999E-8</v>
      </c>
      <c r="AM28" s="41">
        <v>0.5</v>
      </c>
      <c r="AN28" s="41">
        <v>0.5</v>
      </c>
      <c r="AO28" s="41">
        <v>0.49998680146398572</v>
      </c>
      <c r="AP28" s="38">
        <v>59.998416175678287</v>
      </c>
    </row>
    <row r="29" spans="1:42" ht="15" customHeight="1" x14ac:dyDescent="0.3">
      <c r="A29" s="41">
        <v>2.6</v>
      </c>
      <c r="B29" s="44">
        <f t="shared" si="16"/>
        <v>2.5118864315095777E-3</v>
      </c>
      <c r="C29" s="44">
        <f t="shared" si="17"/>
        <v>4.0208824225903259E-12</v>
      </c>
      <c r="D29" s="41">
        <f t="shared" si="18"/>
        <v>0.99992834584398649</v>
      </c>
      <c r="E29" s="41">
        <f t="shared" si="19"/>
        <v>7.1654156013633966E-5</v>
      </c>
      <c r="F29" s="41">
        <f t="shared" si="20"/>
        <v>-2.4922007613532911E-2</v>
      </c>
      <c r="G29" s="18">
        <f t="shared" si="33"/>
        <v>-0.12461003806766456</v>
      </c>
      <c r="H29" s="41">
        <v>6.5</v>
      </c>
      <c r="I29" s="44">
        <v>3.1622776601683734E-7</v>
      </c>
      <c r="J29" s="44">
        <v>3.1939004367700689E-8</v>
      </c>
      <c r="K29" s="41">
        <v>0.63726334492557901</v>
      </c>
      <c r="L29" s="41">
        <v>0.36273665507442093</v>
      </c>
      <c r="M29" s="41">
        <v>0.36273360594462917</v>
      </c>
      <c r="N29" s="38">
        <v>1.8136680297231458</v>
      </c>
      <c r="O29" s="41">
        <v>2.6</v>
      </c>
      <c r="P29" s="44">
        <f t="shared" si="21"/>
        <v>2.5118864315095777E-3</v>
      </c>
      <c r="Q29" s="44">
        <f t="shared" si="22"/>
        <v>4.0208824225903259E-12</v>
      </c>
      <c r="R29" s="41">
        <f t="shared" si="23"/>
        <v>0.99999944154441989</v>
      </c>
      <c r="S29" s="41">
        <f t="shared" si="24"/>
        <v>5.5845558015362504E-7</v>
      </c>
      <c r="T29" s="41">
        <f t="shared" si="25"/>
        <v>1.0302942702066094</v>
      </c>
      <c r="U29" s="18">
        <f t="shared" si="26"/>
        <v>5.151471351033047</v>
      </c>
      <c r="V29" s="41">
        <v>3.8</v>
      </c>
      <c r="W29" s="44">
        <v>1.584893192461112E-4</v>
      </c>
      <c r="X29" s="44">
        <v>6.3726691792499571E-11</v>
      </c>
      <c r="Y29" s="41">
        <v>0.99999114914892262</v>
      </c>
      <c r="Z29" s="41">
        <v>8.8508510773667861E-6</v>
      </c>
      <c r="AA29" s="41">
        <v>1.0018936204521471</v>
      </c>
      <c r="AB29" s="38">
        <v>5.0094681022607359</v>
      </c>
      <c r="AC29" s="41">
        <v>2.6</v>
      </c>
      <c r="AD29" s="44">
        <f t="shared" si="27"/>
        <v>2.5118864315095777E-3</v>
      </c>
      <c r="AE29" s="44">
        <f t="shared" si="28"/>
        <v>4.0208824225903259E-12</v>
      </c>
      <c r="AF29" s="41">
        <f t="shared" si="29"/>
        <v>0.99960205125569512</v>
      </c>
      <c r="AG29" s="41">
        <f t="shared" si="30"/>
        <v>3.9794874430487708E-4</v>
      </c>
      <c r="AH29" s="41">
        <f t="shared" si="31"/>
        <v>-2.0031275266755712E-2</v>
      </c>
      <c r="AI29" s="18">
        <f t="shared" si="32"/>
        <v>-2.4037530320106852</v>
      </c>
      <c r="AJ29" s="41">
        <v>6.1</v>
      </c>
      <c r="AK29" s="44">
        <v>7.9432823472428114E-7</v>
      </c>
      <c r="AL29" s="44">
        <v>1.2715146659121094E-8</v>
      </c>
      <c r="AM29" s="41">
        <v>0.44268836623770719</v>
      </c>
      <c r="AN29" s="41">
        <v>0.55731163376229287</v>
      </c>
      <c r="AO29" s="41">
        <v>0.55730076438417797</v>
      </c>
      <c r="AP29" s="38">
        <v>66.87609172610135</v>
      </c>
    </row>
    <row r="30" spans="1:42" ht="15" customHeight="1" x14ac:dyDescent="0.3">
      <c r="A30" s="41">
        <v>2.7</v>
      </c>
      <c r="B30" s="44">
        <f t="shared" si="16"/>
        <v>1.9952623149688781E-3</v>
      </c>
      <c r="C30" s="44">
        <f t="shared" si="17"/>
        <v>5.0619910596354535E-12</v>
      </c>
      <c r="D30" s="41">
        <f t="shared" si="18"/>
        <v>0.99990979443572514</v>
      </c>
      <c r="E30" s="41">
        <f t="shared" si="19"/>
        <v>9.0205564275010067E-5</v>
      </c>
      <c r="F30" s="41">
        <f t="shared" si="20"/>
        <v>-1.9783471106278875E-2</v>
      </c>
      <c r="G30" s="18">
        <f t="shared" si="33"/>
        <v>-9.8917355531394371E-2</v>
      </c>
      <c r="H30" s="41">
        <v>6.6</v>
      </c>
      <c r="I30" s="44">
        <v>2.511886431509578E-7</v>
      </c>
      <c r="J30" s="44">
        <v>4.0208824225903253E-8</v>
      </c>
      <c r="K30" s="41">
        <v>0.58254930212300948</v>
      </c>
      <c r="L30" s="41">
        <v>0.41745069787699063</v>
      </c>
      <c r="M30" s="41">
        <v>0.4174484119324206</v>
      </c>
      <c r="N30" s="38">
        <v>2.0872420596621031</v>
      </c>
      <c r="O30" s="41">
        <v>2.7</v>
      </c>
      <c r="P30" s="44">
        <f t="shared" si="21"/>
        <v>1.9952623149688781E-3</v>
      </c>
      <c r="Q30" s="44">
        <f t="shared" si="22"/>
        <v>5.0619910596354535E-12</v>
      </c>
      <c r="R30" s="41">
        <f t="shared" si="23"/>
        <v>0.9999992969461805</v>
      </c>
      <c r="S30" s="41">
        <f t="shared" si="24"/>
        <v>7.0305381955323679E-7</v>
      </c>
      <c r="T30" s="41">
        <f t="shared" si="25"/>
        <v>1.0240383703738603</v>
      </c>
      <c r="U30" s="18">
        <f t="shared" si="26"/>
        <v>5.1201918518693015</v>
      </c>
      <c r="V30" s="41">
        <v>3.9</v>
      </c>
      <c r="W30" s="44">
        <v>1.2589254117941672E-4</v>
      </c>
      <c r="X30" s="44">
        <v>8.0227151707152435E-11</v>
      </c>
      <c r="Y30" s="41">
        <v>0.99998885746419819</v>
      </c>
      <c r="Z30" s="41">
        <v>1.1142535801839201E-5</v>
      </c>
      <c r="AA30" s="41">
        <v>1.0014999446590742</v>
      </c>
      <c r="AB30" s="38">
        <v>5.0074997232953713</v>
      </c>
      <c r="AC30" s="41">
        <v>2.7</v>
      </c>
      <c r="AD30" s="44">
        <f t="shared" si="27"/>
        <v>1.9952623149688781E-3</v>
      </c>
      <c r="AE30" s="44">
        <f t="shared" si="28"/>
        <v>5.0619910596354535E-12</v>
      </c>
      <c r="AF30" s="41">
        <f t="shared" si="29"/>
        <v>0.9994990638291863</v>
      </c>
      <c r="AG30" s="41">
        <f t="shared" si="30"/>
        <v>5.0093617081359873E-4</v>
      </c>
      <c r="AH30" s="41">
        <f t="shared" si="31"/>
        <v>-1.5810783148023502E-2</v>
      </c>
      <c r="AI30" s="18">
        <f t="shared" si="32"/>
        <v>-1.8972939777628199</v>
      </c>
      <c r="AJ30" s="41">
        <v>6.2</v>
      </c>
      <c r="AK30" s="44">
        <v>6.3095734448019254E-7</v>
      </c>
      <c r="AL30" s="44">
        <v>1.6007421243857263E-8</v>
      </c>
      <c r="AM30" s="41">
        <v>0.3868631798468567</v>
      </c>
      <c r="AN30" s="41">
        <v>0.6131368201531433</v>
      </c>
      <c r="AO30" s="41">
        <v>0.61312792514074477</v>
      </c>
      <c r="AP30" s="38">
        <v>73.575351016889357</v>
      </c>
    </row>
    <row r="31" spans="1:42" ht="15" customHeight="1" x14ac:dyDescent="0.3">
      <c r="A31" s="41">
        <v>2.8</v>
      </c>
      <c r="B31" s="44">
        <f t="shared" si="16"/>
        <v>1.5848931924611134E-3</v>
      </c>
      <c r="C31" s="44">
        <f t="shared" si="17"/>
        <v>6.3726691792499515E-12</v>
      </c>
      <c r="D31" s="41">
        <f t="shared" si="18"/>
        <v>0.99988644057520115</v>
      </c>
      <c r="E31" s="41">
        <f t="shared" si="19"/>
        <v>1.1355942479887467E-4</v>
      </c>
      <c r="F31" s="41">
        <f t="shared" si="20"/>
        <v>-1.5685652269283687E-2</v>
      </c>
      <c r="G31" s="18">
        <f t="shared" si="33"/>
        <v>-7.8428261346418435E-2</v>
      </c>
      <c r="H31" s="41">
        <v>6.7</v>
      </c>
      <c r="I31" s="44">
        <v>1.9952623149688761E-7</v>
      </c>
      <c r="J31" s="44">
        <v>5.0619910596354589E-8</v>
      </c>
      <c r="K31" s="41">
        <v>0.52572448209953004</v>
      </c>
      <c r="L31" s="41">
        <v>0.47427551790046985</v>
      </c>
      <c r="M31" s="41">
        <v>0.47427388759250139</v>
      </c>
      <c r="N31" s="38">
        <v>2.3713694379625068</v>
      </c>
      <c r="O31" s="41">
        <v>2.8</v>
      </c>
      <c r="P31" s="44">
        <f t="shared" si="21"/>
        <v>1.5848931924611134E-3</v>
      </c>
      <c r="Q31" s="44">
        <f t="shared" si="22"/>
        <v>6.3726691792499515E-12</v>
      </c>
      <c r="R31" s="41">
        <f t="shared" si="23"/>
        <v>0.99999911490784177</v>
      </c>
      <c r="S31" s="41">
        <f t="shared" si="24"/>
        <v>8.8509215817367144E-7</v>
      </c>
      <c r="T31" s="41">
        <f t="shared" si="25"/>
        <v>1.019078307299385</v>
      </c>
      <c r="U31" s="18">
        <f t="shared" si="26"/>
        <v>5.0953915364969253</v>
      </c>
      <c r="V31" s="41">
        <v>4</v>
      </c>
      <c r="W31" s="44">
        <v>1E-4</v>
      </c>
      <c r="X31" s="44">
        <v>1.0099999999999999E-10</v>
      </c>
      <c r="Y31" s="41">
        <v>0.999985972418998</v>
      </c>
      <c r="Z31" s="41">
        <v>1.4027581001988721E-5</v>
      </c>
      <c r="AA31" s="41">
        <v>1.001186208448448</v>
      </c>
      <c r="AB31" s="38">
        <v>5.0059310422422403</v>
      </c>
      <c r="AC31" s="41">
        <v>2.8</v>
      </c>
      <c r="AD31" s="44">
        <f t="shared" si="27"/>
        <v>1.5848931924611134E-3</v>
      </c>
      <c r="AE31" s="44">
        <f t="shared" si="28"/>
        <v>6.3726691792499515E-12</v>
      </c>
      <c r="AF31" s="41">
        <f t="shared" si="29"/>
        <v>0.99936944051166021</v>
      </c>
      <c r="AG31" s="41">
        <f t="shared" si="30"/>
        <v>6.3055948833989353E-4</v>
      </c>
      <c r="AH31" s="41">
        <f t="shared" si="31"/>
        <v>-1.2380663437844863E-2</v>
      </c>
      <c r="AI31" s="18">
        <f t="shared" si="32"/>
        <v>-1.4856796125413834</v>
      </c>
      <c r="AJ31" s="41">
        <v>6.3</v>
      </c>
      <c r="AK31" s="44">
        <v>5.0118723362727218E-7</v>
      </c>
      <c r="AL31" s="44">
        <v>2.0152149381185686E-8</v>
      </c>
      <c r="AM31" s="41">
        <v>0.33386057541687786</v>
      </c>
      <c r="AN31" s="41">
        <v>0.66613942458312203</v>
      </c>
      <c r="AO31" s="41">
        <v>0.66613221162777458</v>
      </c>
      <c r="AP31" s="38">
        <v>79.935865395332939</v>
      </c>
    </row>
    <row r="32" spans="1:42" ht="15" customHeight="1" x14ac:dyDescent="0.3">
      <c r="A32" s="41">
        <v>2.9</v>
      </c>
      <c r="B32" s="44">
        <f t="shared" si="16"/>
        <v>1.2589254117941662E-3</v>
      </c>
      <c r="C32" s="44">
        <f t="shared" si="17"/>
        <v>8.0227151707152493E-12</v>
      </c>
      <c r="D32" s="41">
        <f t="shared" si="18"/>
        <v>0.99985704135784503</v>
      </c>
      <c r="E32" s="41">
        <f t="shared" si="19"/>
        <v>1.4295864215491572E-4</v>
      </c>
      <c r="F32" s="41">
        <f t="shared" si="20"/>
        <v>-1.2415036186671308E-2</v>
      </c>
      <c r="G32" s="18">
        <f t="shared" si="33"/>
        <v>-6.2075180933356539E-2</v>
      </c>
      <c r="H32" s="41">
        <v>6.8</v>
      </c>
      <c r="I32" s="44">
        <v>1.5848931924611122E-7</v>
      </c>
      <c r="J32" s="44">
        <v>6.3726691792499566E-8</v>
      </c>
      <c r="K32" s="41">
        <v>0.46822546601795634</v>
      </c>
      <c r="L32" s="41">
        <v>0.53177453398204366</v>
      </c>
      <c r="M32" s="41">
        <v>0.53177348557126369</v>
      </c>
      <c r="N32" s="38">
        <v>2.6588674278563182</v>
      </c>
      <c r="O32" s="41">
        <v>2.9</v>
      </c>
      <c r="P32" s="44">
        <f t="shared" si="21"/>
        <v>1.2589254117941662E-3</v>
      </c>
      <c r="Q32" s="44">
        <f t="shared" si="22"/>
        <v>8.0227151707152493E-12</v>
      </c>
      <c r="R32" s="41">
        <f t="shared" si="23"/>
        <v>0.99999888573524565</v>
      </c>
      <c r="S32" s="41">
        <f t="shared" si="24"/>
        <v>1.1142647543453471E-6</v>
      </c>
      <c r="T32" s="41">
        <f t="shared" si="25"/>
        <v>1.0151441212183421</v>
      </c>
      <c r="U32" s="18">
        <f t="shared" si="26"/>
        <v>5.0757206060917106</v>
      </c>
      <c r="V32" s="41">
        <v>4.0999999999999996</v>
      </c>
      <c r="W32" s="44">
        <v>7.9432823472428153E-5</v>
      </c>
      <c r="X32" s="44">
        <v>1.2715146659121088E-10</v>
      </c>
      <c r="Y32" s="41">
        <v>0.99998234038595202</v>
      </c>
      <c r="Z32" s="41">
        <v>1.765961404797017E-5</v>
      </c>
      <c r="AA32" s="41">
        <v>1.0009356813891948</v>
      </c>
      <c r="AB32" s="38">
        <v>5.004678406945974</v>
      </c>
      <c r="AC32" s="41">
        <v>2.9</v>
      </c>
      <c r="AD32" s="44">
        <f t="shared" si="27"/>
        <v>1.2589254117941662E-3</v>
      </c>
      <c r="AE32" s="44">
        <f t="shared" si="28"/>
        <v>8.0227151707152493E-12</v>
      </c>
      <c r="AF32" s="41">
        <f t="shared" si="29"/>
        <v>0.99920630222183082</v>
      </c>
      <c r="AG32" s="41">
        <f t="shared" si="30"/>
        <v>7.9369777816924443E-4</v>
      </c>
      <c r="AH32" s="41">
        <f t="shared" si="31"/>
        <v>-9.5767827029481119E-3</v>
      </c>
      <c r="AI32" s="18">
        <f t="shared" si="32"/>
        <v>-1.1492139243537733</v>
      </c>
      <c r="AJ32" s="41">
        <v>6.4</v>
      </c>
      <c r="AK32" s="44">
        <v>3.9810717055349618E-7</v>
      </c>
      <c r="AL32" s="44">
        <v>2.5370052958246826E-8</v>
      </c>
      <c r="AM32" s="41">
        <v>0.28474724895080089</v>
      </c>
      <c r="AN32" s="41">
        <v>0.71525275104919905</v>
      </c>
      <c r="AO32" s="41">
        <v>0.71524697891557953</v>
      </c>
      <c r="AP32" s="38">
        <v>85.829637469869553</v>
      </c>
    </row>
    <row r="33" spans="1:42" ht="15" customHeight="1" x14ac:dyDescent="0.3">
      <c r="A33" s="41">
        <v>3</v>
      </c>
      <c r="B33" s="44">
        <f t="shared" si="16"/>
        <v>1E-3</v>
      </c>
      <c r="C33" s="44">
        <f t="shared" si="17"/>
        <v>1.0099999999999999E-11</v>
      </c>
      <c r="D33" s="41">
        <f t="shared" si="18"/>
        <v>0.99982003239416906</v>
      </c>
      <c r="E33" s="41">
        <f t="shared" si="19"/>
        <v>1.7996760583095041E-4</v>
      </c>
      <c r="F33" s="41">
        <f t="shared" si="20"/>
        <v>-9.8004314305060042E-3</v>
      </c>
      <c r="G33" s="18">
        <f t="shared" si="33"/>
        <v>-4.9002157152530021E-2</v>
      </c>
      <c r="H33" s="41">
        <v>6.9</v>
      </c>
      <c r="I33" s="44">
        <v>1.2589254117941651E-7</v>
      </c>
      <c r="J33" s="44">
        <v>8.0227151707152563E-8</v>
      </c>
      <c r="K33" s="41">
        <v>0.4115580611871677</v>
      </c>
      <c r="L33" s="41">
        <v>0.58844193881283235</v>
      </c>
      <c r="M33" s="41">
        <v>0.58844142841612368</v>
      </c>
      <c r="N33" s="38">
        <v>2.9422071420806182</v>
      </c>
      <c r="O33" s="41">
        <v>3</v>
      </c>
      <c r="P33" s="44">
        <f t="shared" si="21"/>
        <v>1E-3</v>
      </c>
      <c r="Q33" s="44">
        <f t="shared" si="22"/>
        <v>1.0099999999999999E-11</v>
      </c>
      <c r="R33" s="41">
        <f t="shared" si="23"/>
        <v>0.99999859722418993</v>
      </c>
      <c r="S33" s="41">
        <f t="shared" si="24"/>
        <v>1.4027758099950441E-6</v>
      </c>
      <c r="T33" s="41">
        <f t="shared" si="25"/>
        <v>1.0120226423875223</v>
      </c>
      <c r="U33" s="18">
        <f t="shared" si="26"/>
        <v>5.0601132119376118</v>
      </c>
      <c r="V33" s="41">
        <v>4.2</v>
      </c>
      <c r="W33" s="44">
        <v>6.3095734448019279E-5</v>
      </c>
      <c r="X33" s="44">
        <v>1.6007421243857255E-10</v>
      </c>
      <c r="Y33" s="41">
        <v>0.999977767964769</v>
      </c>
      <c r="Z33" s="41">
        <v>2.2232035230978064E-5</v>
      </c>
      <c r="AA33" s="41">
        <v>1.0007350076087091</v>
      </c>
      <c r="AB33" s="38">
        <v>5.0036750380435455</v>
      </c>
      <c r="AC33" s="41">
        <v>3</v>
      </c>
      <c r="AD33" s="44">
        <f t="shared" si="27"/>
        <v>1E-3</v>
      </c>
      <c r="AE33" s="44">
        <f t="shared" si="28"/>
        <v>1.0099999999999999E-11</v>
      </c>
      <c r="AF33" s="41">
        <f t="shared" si="29"/>
        <v>0.99900099900099903</v>
      </c>
      <c r="AG33" s="41">
        <f t="shared" si="30"/>
        <v>9.99000999000999E-4</v>
      </c>
      <c r="AH33" s="41">
        <f t="shared" si="31"/>
        <v>-7.2617150999001005E-3</v>
      </c>
      <c r="AI33" s="18">
        <f t="shared" si="32"/>
        <v>-0.87140581198801204</v>
      </c>
      <c r="AJ33" s="41">
        <v>6.5</v>
      </c>
      <c r="AK33" s="44">
        <v>3.1622776601683734E-7</v>
      </c>
      <c r="AL33" s="44">
        <v>3.1939004367700689E-8</v>
      </c>
      <c r="AM33" s="41">
        <v>0.24025307335204182</v>
      </c>
      <c r="AN33" s="41">
        <v>0.75974692664795818</v>
      </c>
      <c r="AO33" s="41">
        <v>0.75974239771269025</v>
      </c>
      <c r="AP33" s="38">
        <v>91.169087725522814</v>
      </c>
    </row>
    <row r="34" spans="1:42" ht="15" customHeight="1" x14ac:dyDescent="0.3">
      <c r="A34" s="41">
        <v>3.1</v>
      </c>
      <c r="B34" s="44">
        <f t="shared" si="16"/>
        <v>7.9432823472428099E-4</v>
      </c>
      <c r="C34" s="44">
        <f t="shared" si="17"/>
        <v>1.2715146659121097E-11</v>
      </c>
      <c r="D34" s="41">
        <f t="shared" si="18"/>
        <v>0.99977344476478269</v>
      </c>
      <c r="E34" s="41">
        <f t="shared" si="19"/>
        <v>2.2655523521724802E-4</v>
      </c>
      <c r="F34" s="41">
        <f t="shared" si="20"/>
        <v>-7.7044872016333631E-3</v>
      </c>
      <c r="G34" s="18">
        <f t="shared" si="33"/>
        <v>-3.8522436008166815E-2</v>
      </c>
      <c r="H34" s="41">
        <v>7</v>
      </c>
      <c r="I34" s="44">
        <v>9.9999999999999995E-8</v>
      </c>
      <c r="J34" s="44">
        <v>1.0099999999999999E-7</v>
      </c>
      <c r="K34" s="41">
        <v>0.35714285714285715</v>
      </c>
      <c r="L34" s="41">
        <v>0.6428571428571429</v>
      </c>
      <c r="M34" s="41">
        <v>0.64285715414285727</v>
      </c>
      <c r="N34" s="38">
        <v>3.2142857707142864</v>
      </c>
      <c r="O34" s="41">
        <v>3.1</v>
      </c>
      <c r="P34" s="44">
        <f t="shared" si="21"/>
        <v>7.9432823472428099E-4</v>
      </c>
      <c r="Q34" s="44">
        <f t="shared" si="22"/>
        <v>1.2715146659121097E-11</v>
      </c>
      <c r="R34" s="41">
        <f t="shared" si="23"/>
        <v>0.99999823401052723</v>
      </c>
      <c r="S34" s="41">
        <f t="shared" si="24"/>
        <v>1.765989472820271E-6</v>
      </c>
      <c r="T34" s="41">
        <f t="shared" si="25"/>
        <v>1.0095453369356702</v>
      </c>
      <c r="U34" s="18">
        <f t="shared" si="26"/>
        <v>5.0477266846783513</v>
      </c>
      <c r="V34" s="41">
        <v>4.3</v>
      </c>
      <c r="W34" s="44">
        <v>5.0118723362727238E-5</v>
      </c>
      <c r="X34" s="44">
        <v>2.0152149381185678E-10</v>
      </c>
      <c r="Y34" s="41">
        <v>0.99997201168700478</v>
      </c>
      <c r="Z34" s="41">
        <v>2.7988312995168432E-5</v>
      </c>
      <c r="AA34" s="41">
        <v>1.0005734914341855</v>
      </c>
      <c r="AB34" s="38">
        <v>5.002867457170928</v>
      </c>
      <c r="AC34" s="41">
        <v>3.1</v>
      </c>
      <c r="AD34" s="44">
        <f t="shared" si="27"/>
        <v>7.9432823472428099E-4</v>
      </c>
      <c r="AE34" s="44">
        <f t="shared" si="28"/>
        <v>1.2715146659121097E-11</v>
      </c>
      <c r="AF34" s="41">
        <f t="shared" si="29"/>
        <v>0.99874265748864466</v>
      </c>
      <c r="AG34" s="41">
        <f t="shared" si="30"/>
        <v>1.2573425113552937E-3</v>
      </c>
      <c r="AH34" s="41">
        <f t="shared" si="31"/>
        <v>-5.3198026449567462E-3</v>
      </c>
      <c r="AI34" s="18">
        <f t="shared" si="32"/>
        <v>-0.63837631739480949</v>
      </c>
      <c r="AJ34" s="41">
        <v>6.6</v>
      </c>
      <c r="AK34" s="44">
        <v>2.511886431509578E-7</v>
      </c>
      <c r="AL34" s="44">
        <v>4.0208824225903253E-8</v>
      </c>
      <c r="AM34" s="41">
        <v>0.20076000891310161</v>
      </c>
      <c r="AN34" s="41">
        <v>0.79923999108689836</v>
      </c>
      <c r="AO34" s="41">
        <v>0.79923654669392163</v>
      </c>
      <c r="AP34" s="38">
        <v>95.908385603270588</v>
      </c>
    </row>
    <row r="35" spans="1:42" ht="15" customHeight="1" x14ac:dyDescent="0.3">
      <c r="A35" s="41">
        <v>3.2</v>
      </c>
      <c r="B35" s="44">
        <f t="shared" si="16"/>
        <v>6.3095734448019244E-4</v>
      </c>
      <c r="C35" s="44">
        <f t="shared" si="17"/>
        <v>1.6007421243857267E-11</v>
      </c>
      <c r="D35" s="41">
        <f t="shared" si="18"/>
        <v>0.99971480058726636</v>
      </c>
      <c r="E35" s="41">
        <f t="shared" si="19"/>
        <v>2.8519941273360839E-4</v>
      </c>
      <c r="F35" s="41">
        <f t="shared" si="20"/>
        <v>-6.0167812076005987E-3</v>
      </c>
      <c r="G35" s="18">
        <f t="shared" si="33"/>
        <v>-3.0083906038002994E-2</v>
      </c>
      <c r="H35" s="41">
        <v>7.1</v>
      </c>
      <c r="I35" s="44">
        <v>7.943282347242818E-8</v>
      </c>
      <c r="J35" s="44">
        <v>1.2715146659121083E-7</v>
      </c>
      <c r="K35" s="41">
        <v>0.30617877263657073</v>
      </c>
      <c r="L35" s="41">
        <v>0.69382122736342922</v>
      </c>
      <c r="M35" s="41">
        <v>0.69382177076632723</v>
      </c>
      <c r="N35" s="38">
        <v>3.4691088538316359</v>
      </c>
      <c r="O35" s="41">
        <v>3.2</v>
      </c>
      <c r="P35" s="44">
        <f t="shared" si="21"/>
        <v>6.3095734448019244E-4</v>
      </c>
      <c r="Q35" s="44">
        <f t="shared" si="22"/>
        <v>1.6007421243857267E-11</v>
      </c>
      <c r="R35" s="41">
        <f t="shared" si="23"/>
        <v>0.99999777675199242</v>
      </c>
      <c r="S35" s="41">
        <f t="shared" si="24"/>
        <v>2.2232480076930385E-6</v>
      </c>
      <c r="T35" s="41">
        <f t="shared" si="25"/>
        <v>1.0075788285284684</v>
      </c>
      <c r="U35" s="18">
        <f t="shared" si="26"/>
        <v>5.037894142642342</v>
      </c>
      <c r="V35" s="41">
        <v>4.4000000000000004</v>
      </c>
      <c r="W35" s="44">
        <v>3.9810717055349634E-5</v>
      </c>
      <c r="X35" s="44">
        <v>2.5370052958246817E-10</v>
      </c>
      <c r="Y35" s="41">
        <v>0.9999647650568807</v>
      </c>
      <c r="Z35" s="41">
        <v>3.5234943119269301E-5</v>
      </c>
      <c r="AA35" s="41">
        <v>1.0004425258514571</v>
      </c>
      <c r="AB35" s="38">
        <v>5.0022126292572855</v>
      </c>
      <c r="AC35" s="41">
        <v>3.2</v>
      </c>
      <c r="AD35" s="44">
        <f t="shared" si="27"/>
        <v>6.3095734448019244E-4</v>
      </c>
      <c r="AE35" s="44">
        <f t="shared" si="28"/>
        <v>1.6007421243857267E-11</v>
      </c>
      <c r="AF35" s="41">
        <f t="shared" si="29"/>
        <v>0.99841761471919821</v>
      </c>
      <c r="AG35" s="41">
        <f t="shared" si="30"/>
        <v>1.5823852808017221E-3</v>
      </c>
      <c r="AH35" s="41">
        <f t="shared" si="31"/>
        <v>-3.6525464469882273E-3</v>
      </c>
      <c r="AI35" s="18">
        <f t="shared" si="32"/>
        <v>-0.43830557363858724</v>
      </c>
      <c r="AJ35" s="41">
        <v>6.7</v>
      </c>
      <c r="AK35" s="44">
        <v>1.9952623149688761E-7</v>
      </c>
      <c r="AL35" s="44">
        <v>5.0619910596354589E-8</v>
      </c>
      <c r="AM35" s="41">
        <v>0.16633753081656166</v>
      </c>
      <c r="AN35" s="41">
        <v>0.83366246918343834</v>
      </c>
      <c r="AO35" s="41">
        <v>0.83365998692501553</v>
      </c>
      <c r="AP35" s="38">
        <v>100.03919843100186</v>
      </c>
    </row>
    <row r="36" spans="1:42" ht="15" customHeight="1" x14ac:dyDescent="0.3">
      <c r="A36" s="41">
        <v>3.3</v>
      </c>
      <c r="B36" s="44">
        <f t="shared" si="16"/>
        <v>5.0118723362727209E-4</v>
      </c>
      <c r="C36" s="44">
        <f t="shared" si="17"/>
        <v>2.0152149381185689E-11</v>
      </c>
      <c r="D36" s="41">
        <f t="shared" si="18"/>
        <v>0.99964098172372029</v>
      </c>
      <c r="E36" s="41">
        <f t="shared" si="19"/>
        <v>3.5901827627973017E-4</v>
      </c>
      <c r="F36" s="41">
        <f t="shared" si="20"/>
        <v>-4.6481946270458584E-3</v>
      </c>
      <c r="G36" s="18">
        <f t="shared" si="33"/>
        <v>-2.3240973135229291E-2</v>
      </c>
      <c r="H36" s="41">
        <v>7.2</v>
      </c>
      <c r="I36" s="44">
        <v>6.3095734448019177E-8</v>
      </c>
      <c r="J36" s="44">
        <v>1.6007421243857284E-7</v>
      </c>
      <c r="K36" s="41">
        <v>0.25955097316407605</v>
      </c>
      <c r="L36" s="41">
        <v>0.74044902683592406</v>
      </c>
      <c r="M36" s="41">
        <v>0.74045014023615918</v>
      </c>
      <c r="N36" s="38">
        <v>3.7022507011807959</v>
      </c>
      <c r="O36" s="41">
        <v>3.3</v>
      </c>
      <c r="P36" s="44">
        <f t="shared" si="21"/>
        <v>5.0118723362727209E-4</v>
      </c>
      <c r="Q36" s="44">
        <f t="shared" si="22"/>
        <v>2.0152149381185689E-11</v>
      </c>
      <c r="R36" s="41">
        <f t="shared" si="23"/>
        <v>0.99999720109819767</v>
      </c>
      <c r="S36" s="41">
        <f t="shared" si="24"/>
        <v>2.7989018024025647E-6</v>
      </c>
      <c r="T36" s="41">
        <f t="shared" si="25"/>
        <v>1.0060174794273919</v>
      </c>
      <c r="U36" s="18">
        <f t="shared" si="26"/>
        <v>5.0300873971369597</v>
      </c>
      <c r="V36" s="41">
        <v>4.5</v>
      </c>
      <c r="W36" s="44">
        <v>3.1622776601683748E-5</v>
      </c>
      <c r="X36" s="44">
        <v>3.1939004367700672E-10</v>
      </c>
      <c r="Y36" s="41">
        <v>0.99995564223940969</v>
      </c>
      <c r="Z36" s="41">
        <v>4.4357760590265888E-5</v>
      </c>
      <c r="AA36" s="41">
        <v>1.0003351329214023</v>
      </c>
      <c r="AB36" s="38">
        <v>5.0016756646070117</v>
      </c>
      <c r="AC36" s="41">
        <v>3.3</v>
      </c>
      <c r="AD36" s="44">
        <f t="shared" si="27"/>
        <v>5.0118723362727209E-4</v>
      </c>
      <c r="AE36" s="44">
        <f t="shared" si="28"/>
        <v>2.0152149381185689E-11</v>
      </c>
      <c r="AF36" s="41">
        <f t="shared" si="29"/>
        <v>0.99800871082927167</v>
      </c>
      <c r="AG36" s="41">
        <f t="shared" si="30"/>
        <v>1.9912891707283202E-3</v>
      </c>
      <c r="AH36" s="41">
        <f t="shared" si="31"/>
        <v>-2.1743732608079775E-3</v>
      </c>
      <c r="AI36" s="18">
        <f t="shared" si="32"/>
        <v>-0.26092479129695728</v>
      </c>
      <c r="AJ36" s="41">
        <v>6.8</v>
      </c>
      <c r="AK36" s="44">
        <v>1.5848931924611122E-7</v>
      </c>
      <c r="AL36" s="44">
        <v>6.3726691792499566E-8</v>
      </c>
      <c r="AM36" s="41">
        <v>0.13680688860320991</v>
      </c>
      <c r="AN36" s="41">
        <v>0.86319311139679</v>
      </c>
      <c r="AO36" s="41">
        <v>0.86319150372527897</v>
      </c>
      <c r="AP36" s="38">
        <v>103.58298044703348</v>
      </c>
    </row>
    <row r="37" spans="1:42" ht="15" customHeight="1" x14ac:dyDescent="0.3">
      <c r="A37" s="41">
        <v>3.4</v>
      </c>
      <c r="B37" s="44">
        <f t="shared" si="16"/>
        <v>3.9810717055349708E-4</v>
      </c>
      <c r="C37" s="44">
        <f t="shared" si="17"/>
        <v>2.537005295824677E-11</v>
      </c>
      <c r="D37" s="41">
        <f t="shared" si="18"/>
        <v>0.99954806478011871</v>
      </c>
      <c r="E37" s="41">
        <f t="shared" si="19"/>
        <v>4.5193521988131117E-4</v>
      </c>
      <c r="F37" s="41">
        <f t="shared" si="20"/>
        <v>-3.5263285187939375E-3</v>
      </c>
      <c r="G37" s="18">
        <f t="shared" si="33"/>
        <v>-1.7631642593969689E-2</v>
      </c>
      <c r="H37" s="41">
        <v>7.3</v>
      </c>
      <c r="I37" s="44">
        <v>5.0118723362727164E-8</v>
      </c>
      <c r="J37" s="44">
        <v>2.0152149381185708E-7</v>
      </c>
      <c r="K37" s="41">
        <v>0.21779506956383976</v>
      </c>
      <c r="L37" s="41">
        <v>0.78220493043616024</v>
      </c>
      <c r="M37" s="41">
        <v>0.78220668132038196</v>
      </c>
      <c r="N37" s="38">
        <v>3.9110334066019097</v>
      </c>
      <c r="O37" s="41">
        <v>3.4</v>
      </c>
      <c r="P37" s="44">
        <f t="shared" si="21"/>
        <v>3.9810717055349708E-4</v>
      </c>
      <c r="Q37" s="44">
        <f t="shared" si="22"/>
        <v>2.537005295824677E-11</v>
      </c>
      <c r="R37" s="41">
        <f t="shared" si="23"/>
        <v>0.9999964763939494</v>
      </c>
      <c r="S37" s="41">
        <f t="shared" si="24"/>
        <v>3.5236060505798141E-6</v>
      </c>
      <c r="T37" s="41">
        <f t="shared" si="25"/>
        <v>1.0047775661025546</v>
      </c>
      <c r="U37" s="18">
        <f t="shared" si="26"/>
        <v>5.0238878305127734</v>
      </c>
      <c r="V37" s="41">
        <v>4.5999999999999996</v>
      </c>
      <c r="W37" s="44">
        <v>2.5118864315095791E-5</v>
      </c>
      <c r="X37" s="44">
        <v>4.0208824225903234E-10</v>
      </c>
      <c r="Y37" s="41">
        <v>0.99994415752935306</v>
      </c>
      <c r="Z37" s="41">
        <v>5.5842470646967571E-5</v>
      </c>
      <c r="AA37" s="41">
        <v>1.0002455914138326</v>
      </c>
      <c r="AB37" s="38">
        <v>5.0012279570691636</v>
      </c>
      <c r="AC37" s="41">
        <v>3.4</v>
      </c>
      <c r="AD37" s="44">
        <f t="shared" si="27"/>
        <v>3.9810717055349708E-4</v>
      </c>
      <c r="AE37" s="44">
        <f t="shared" si="28"/>
        <v>2.537005295824677E-11</v>
      </c>
      <c r="AF37" s="41">
        <f t="shared" si="29"/>
        <v>0.99749440733271422</v>
      </c>
      <c r="AG37" s="41">
        <f t="shared" si="30"/>
        <v>2.5055926672857358E-3</v>
      </c>
      <c r="AH37" s="41">
        <f t="shared" si="31"/>
        <v>-8.0874719553772562E-4</v>
      </c>
      <c r="AI37" s="18">
        <f t="shared" si="32"/>
        <v>-9.7049663464527064E-2</v>
      </c>
      <c r="AJ37" s="41">
        <v>6.9</v>
      </c>
      <c r="AK37" s="44">
        <v>1.2589254117941651E-7</v>
      </c>
      <c r="AL37" s="44">
        <v>8.0227151707152563E-8</v>
      </c>
      <c r="AM37" s="41">
        <v>0.11181576977811679</v>
      </c>
      <c r="AN37" s="41">
        <v>0.8881842302218832</v>
      </c>
      <c r="AO37" s="41">
        <v>0.88818344408454197</v>
      </c>
      <c r="AP37" s="38">
        <v>106.58201329014503</v>
      </c>
    </row>
    <row r="38" spans="1:42" ht="15" customHeight="1" x14ac:dyDescent="0.3">
      <c r="A38" s="41">
        <v>3.5</v>
      </c>
      <c r="B38" s="44">
        <f t="shared" si="16"/>
        <v>3.1622776601683783E-4</v>
      </c>
      <c r="C38" s="44">
        <f t="shared" si="17"/>
        <v>3.1939004367700641E-11</v>
      </c>
      <c r="D38" s="41">
        <f t="shared" si="18"/>
        <v>0.99943111383685057</v>
      </c>
      <c r="E38" s="41">
        <f t="shared" si="19"/>
        <v>5.6888616314942529E-4</v>
      </c>
      <c r="F38" s="41">
        <f t="shared" si="20"/>
        <v>-2.5917520098981458E-3</v>
      </c>
      <c r="G38" s="18">
        <f t="shared" si="33"/>
        <v>-1.2958760049490729E-2</v>
      </c>
      <c r="H38" s="41">
        <v>7.4</v>
      </c>
      <c r="I38" s="44">
        <v>3.981071705534957E-8</v>
      </c>
      <c r="J38" s="44">
        <v>2.5370052958246857E-7</v>
      </c>
      <c r="K38" s="41">
        <v>0.1811136308032015</v>
      </c>
      <c r="L38" s="41">
        <v>0.81888636919679847</v>
      </c>
      <c r="M38" s="41">
        <v>0.81888885839889258</v>
      </c>
      <c r="N38" s="38">
        <v>4.0944442919944626</v>
      </c>
      <c r="O38" s="41">
        <v>3.5</v>
      </c>
      <c r="P38" s="44">
        <f t="shared" si="21"/>
        <v>3.1622776601683783E-4</v>
      </c>
      <c r="Q38" s="44">
        <f t="shared" si="22"/>
        <v>3.1939004367700641E-11</v>
      </c>
      <c r="R38" s="41">
        <f t="shared" si="23"/>
        <v>0.99999556404684886</v>
      </c>
      <c r="S38" s="41">
        <f t="shared" si="24"/>
        <v>4.435953151079663E-6</v>
      </c>
      <c r="T38" s="41">
        <f t="shared" si="25"/>
        <v>1.0037926955668333</v>
      </c>
      <c r="U38" s="18">
        <f t="shared" si="26"/>
        <v>5.0189634778341663</v>
      </c>
      <c r="V38" s="41">
        <v>4.7</v>
      </c>
      <c r="W38" s="44">
        <v>1.9952623149688769E-5</v>
      </c>
      <c r="X38" s="44">
        <v>5.0619910596354569E-10</v>
      </c>
      <c r="Y38" s="41">
        <v>0.99992969951112243</v>
      </c>
      <c r="Z38" s="41">
        <v>7.0300488877628756E-5</v>
      </c>
      <c r="AA38" s="41">
        <v>1.000169131663599</v>
      </c>
      <c r="AB38" s="38">
        <v>5.0008456583179957</v>
      </c>
      <c r="AC38" s="41">
        <v>3.5</v>
      </c>
      <c r="AD38" s="44">
        <f t="shared" si="27"/>
        <v>3.1622776601683783E-4</v>
      </c>
      <c r="AE38" s="44">
        <f t="shared" si="28"/>
        <v>3.1939004367700641E-11</v>
      </c>
      <c r="AF38" s="41">
        <f t="shared" si="29"/>
        <v>0.99684769081673974</v>
      </c>
      <c r="AG38" s="41">
        <f t="shared" si="30"/>
        <v>3.1523091832602124E-3</v>
      </c>
      <c r="AH38" s="41">
        <f t="shared" si="31"/>
        <v>5.1544807617330318E-4</v>
      </c>
      <c r="AI38" s="18">
        <f t="shared" si="32"/>
        <v>6.1853769140796377E-2</v>
      </c>
      <c r="AJ38" s="41">
        <v>7</v>
      </c>
      <c r="AK38" s="44">
        <v>9.9999999999999995E-8</v>
      </c>
      <c r="AL38" s="44">
        <v>1.0099999999999999E-7</v>
      </c>
      <c r="AM38" s="41">
        <v>9.0909090909090898E-2</v>
      </c>
      <c r="AN38" s="41">
        <v>0.90909090909090895</v>
      </c>
      <c r="AO38" s="41">
        <v>0.90909092651515166</v>
      </c>
      <c r="AP38" s="38">
        <v>109.0909111818182</v>
      </c>
    </row>
    <row r="39" spans="1:42" ht="15" customHeight="1" x14ac:dyDescent="0.3">
      <c r="A39" s="41">
        <v>3.6</v>
      </c>
      <c r="B39" s="44">
        <f t="shared" si="16"/>
        <v>2.5118864315095774E-4</v>
      </c>
      <c r="C39" s="44">
        <f t="shared" si="17"/>
        <v>4.020882422590326E-11</v>
      </c>
      <c r="D39" s="41">
        <f t="shared" si="18"/>
        <v>0.99928392023068713</v>
      </c>
      <c r="E39" s="41">
        <f t="shared" si="19"/>
        <v>7.1607976931276269E-4</v>
      </c>
      <c r="F39" s="41">
        <f t="shared" si="20"/>
        <v>-1.7949045409804453E-3</v>
      </c>
      <c r="G39" s="18">
        <f t="shared" si="33"/>
        <v>-8.9745227049022255E-3</v>
      </c>
      <c r="H39" s="41">
        <v>7.5</v>
      </c>
      <c r="I39" s="44">
        <v>3.1622776601683699E-8</v>
      </c>
      <c r="J39" s="44">
        <v>3.1939004367700723E-7</v>
      </c>
      <c r="K39" s="41">
        <v>0.14942992956379206</v>
      </c>
      <c r="L39" s="41">
        <v>0.85057007043620791</v>
      </c>
      <c r="M39" s="41">
        <v>0.85057343764326576</v>
      </c>
      <c r="N39" s="38">
        <v>4.2528671882163289</v>
      </c>
      <c r="O39" s="41">
        <v>3.6</v>
      </c>
      <c r="P39" s="44">
        <f t="shared" si="21"/>
        <v>2.5118864315095774E-4</v>
      </c>
      <c r="Q39" s="44">
        <f t="shared" si="22"/>
        <v>4.020882422590326E-11</v>
      </c>
      <c r="R39" s="41">
        <f t="shared" si="23"/>
        <v>0.99999441547226686</v>
      </c>
      <c r="S39" s="41">
        <f t="shared" si="24"/>
        <v>5.5845277331401748E-6</v>
      </c>
      <c r="T39" s="41">
        <f t="shared" si="25"/>
        <v>1.0030101909588955</v>
      </c>
      <c r="U39" s="18">
        <f t="shared" si="26"/>
        <v>5.0150509547944786</v>
      </c>
      <c r="V39" s="41">
        <v>4.8</v>
      </c>
      <c r="W39" s="44">
        <v>1.5848931924611131E-5</v>
      </c>
      <c r="X39" s="44">
        <v>6.3726691792499525E-10</v>
      </c>
      <c r="Y39" s="41">
        <v>0.9999114985390456</v>
      </c>
      <c r="Z39" s="41">
        <v>8.8501460954408472E-5</v>
      </c>
      <c r="AA39" s="41">
        <v>1.000101681297888</v>
      </c>
      <c r="AB39" s="38">
        <v>5.0005084064894403</v>
      </c>
      <c r="AC39" s="41">
        <v>3.6</v>
      </c>
      <c r="AD39" s="44">
        <f t="shared" si="27"/>
        <v>2.5118864315095774E-4</v>
      </c>
      <c r="AE39" s="44">
        <f t="shared" si="28"/>
        <v>4.020882422590326E-11</v>
      </c>
      <c r="AF39" s="41">
        <f t="shared" si="29"/>
        <v>0.99603471438084767</v>
      </c>
      <c r="AG39" s="41">
        <f t="shared" si="30"/>
        <v>3.965285619152205E-3</v>
      </c>
      <c r="AH39" s="41">
        <f t="shared" si="31"/>
        <v>1.8673566741593249E-3</v>
      </c>
      <c r="AI39" s="18">
        <f t="shared" si="32"/>
        <v>0.224082800899119</v>
      </c>
      <c r="AJ39" s="41">
        <v>7.1</v>
      </c>
      <c r="AK39" s="44">
        <v>7.943282347242818E-8</v>
      </c>
      <c r="AL39" s="44">
        <v>1.2715146659121083E-7</v>
      </c>
      <c r="AM39" s="41">
        <v>7.358755611757356E-2</v>
      </c>
      <c r="AN39" s="41">
        <v>0.9264124438824265</v>
      </c>
      <c r="AO39" s="41">
        <v>0.92641328360963437</v>
      </c>
      <c r="AP39" s="38">
        <v>111.16959403315612</v>
      </c>
    </row>
    <row r="40" spans="1:42" ht="15" customHeight="1" x14ac:dyDescent="0.3">
      <c r="A40" s="41">
        <v>3.7</v>
      </c>
      <c r="B40" s="44">
        <f t="shared" si="16"/>
        <v>1.9952623149688758E-4</v>
      </c>
      <c r="C40" s="44">
        <f t="shared" si="17"/>
        <v>5.0619910596354591E-11</v>
      </c>
      <c r="D40" s="41">
        <f t="shared" si="18"/>
        <v>0.99909867609713121</v>
      </c>
      <c r="E40" s="41">
        <f t="shared" si="19"/>
        <v>9.0132390286882613E-4</v>
      </c>
      <c r="F40" s="41">
        <f t="shared" si="20"/>
        <v>-1.093501541528215E-3</v>
      </c>
      <c r="G40" s="18">
        <f t="shared" si="33"/>
        <v>-5.467507707641075E-3</v>
      </c>
      <c r="H40" s="41">
        <v>7.6</v>
      </c>
      <c r="I40" s="44">
        <v>2.5118864315095751E-8</v>
      </c>
      <c r="J40" s="44">
        <v>4.02088242259033E-7</v>
      </c>
      <c r="K40" s="41">
        <v>0.1224600399332804</v>
      </c>
      <c r="L40" s="41">
        <v>0.87753996006671953</v>
      </c>
      <c r="M40" s="41">
        <v>0.87754439137522566</v>
      </c>
      <c r="N40" s="38">
        <v>4.3877219568761285</v>
      </c>
      <c r="O40" s="41">
        <v>3.7</v>
      </c>
      <c r="P40" s="44">
        <f t="shared" si="21"/>
        <v>1.9952623149688758E-4</v>
      </c>
      <c r="Q40" s="44">
        <f t="shared" si="22"/>
        <v>5.0619910596354591E-11</v>
      </c>
      <c r="R40" s="41">
        <f t="shared" si="23"/>
        <v>0.9999929695062898</v>
      </c>
      <c r="S40" s="41">
        <f t="shared" si="24"/>
        <v>7.0304937101932685E-6</v>
      </c>
      <c r="T40" s="41">
        <f t="shared" si="25"/>
        <v>1.0023882367083126</v>
      </c>
      <c r="U40" s="18">
        <f t="shared" si="26"/>
        <v>5.0119411835415626</v>
      </c>
      <c r="V40" s="41">
        <v>4.9000000000000004</v>
      </c>
      <c r="W40" s="44">
        <v>1.2589254117941658E-5</v>
      </c>
      <c r="X40" s="44">
        <v>8.0227151707152515E-10</v>
      </c>
      <c r="Y40" s="41">
        <v>0.99988858581491047</v>
      </c>
      <c r="Z40" s="41">
        <v>1.1141418508947641E-4</v>
      </c>
      <c r="AA40" s="41">
        <v>1.0000396482352873</v>
      </c>
      <c r="AB40" s="38">
        <v>5.0001982411764372</v>
      </c>
      <c r="AC40" s="41">
        <v>3.7</v>
      </c>
      <c r="AD40" s="44">
        <f t="shared" si="27"/>
        <v>1.9952623149688758E-4</v>
      </c>
      <c r="AE40" s="44">
        <f t="shared" si="28"/>
        <v>5.0619910596354591E-11</v>
      </c>
      <c r="AF40" s="41">
        <f t="shared" si="29"/>
        <v>0.99501312126331198</v>
      </c>
      <c r="AG40" s="41">
        <f t="shared" si="30"/>
        <v>4.986878736687979E-3</v>
      </c>
      <c r="AH40" s="41">
        <f t="shared" si="31"/>
        <v>3.3175411994588702E-3</v>
      </c>
      <c r="AI40" s="18">
        <f t="shared" si="32"/>
        <v>0.3981049439350644</v>
      </c>
      <c r="AJ40" s="41">
        <v>7.2</v>
      </c>
      <c r="AK40" s="44">
        <v>6.3095734448019177E-8</v>
      </c>
      <c r="AL40" s="44">
        <v>1.6007421243857284E-7</v>
      </c>
      <c r="AM40" s="41">
        <v>5.9350943102767471E-2</v>
      </c>
      <c r="AN40" s="41">
        <v>0.94064905689723266</v>
      </c>
      <c r="AO40" s="41">
        <v>0.940650777280023</v>
      </c>
      <c r="AP40" s="38">
        <v>112.87809327360274</v>
      </c>
    </row>
    <row r="41" spans="1:42" ht="15" customHeight="1" x14ac:dyDescent="0.3">
      <c r="A41" s="41">
        <v>3.8</v>
      </c>
      <c r="B41" s="44">
        <f t="shared" si="16"/>
        <v>1.584893192461112E-4</v>
      </c>
      <c r="C41" s="44">
        <f t="shared" si="17"/>
        <v>6.3726691792499571E-11</v>
      </c>
      <c r="D41" s="41">
        <f t="shared" si="18"/>
        <v>0.99886556518389802</v>
      </c>
      <c r="E41" s="41">
        <f t="shared" si="19"/>
        <v>1.1344348161020524E-3</v>
      </c>
      <c r="F41" s="41">
        <f t="shared" si="20"/>
        <v>-4.5031499891428739E-4</v>
      </c>
      <c r="G41" s="18">
        <f t="shared" si="33"/>
        <v>-2.251574994571437E-3</v>
      </c>
      <c r="H41" s="41">
        <v>7.7</v>
      </c>
      <c r="I41" s="44">
        <v>1.9952623149688773E-8</v>
      </c>
      <c r="J41" s="44">
        <v>5.0619910596354556E-7</v>
      </c>
      <c r="K41" s="41">
        <v>9.9786753658899566E-2</v>
      </c>
      <c r="L41" s="41">
        <v>0.90021324634110045</v>
      </c>
      <c r="M41" s="41">
        <v>0.90021898426255831</v>
      </c>
      <c r="N41" s="38">
        <v>4.5010949213127915</v>
      </c>
      <c r="O41" s="41">
        <v>3.8</v>
      </c>
      <c r="P41" s="44">
        <f t="shared" si="21"/>
        <v>1.584893192461112E-4</v>
      </c>
      <c r="Q41" s="44">
        <f t="shared" si="22"/>
        <v>6.3726691792499571E-11</v>
      </c>
      <c r="R41" s="41">
        <f t="shared" si="23"/>
        <v>0.99999114914892262</v>
      </c>
      <c r="S41" s="41">
        <f t="shared" si="24"/>
        <v>8.8508510773667861E-6</v>
      </c>
      <c r="T41" s="41">
        <f t="shared" si="25"/>
        <v>1.0018936204521471</v>
      </c>
      <c r="U41" s="18">
        <f t="shared" si="26"/>
        <v>5.0094681022607359</v>
      </c>
      <c r="V41" s="41">
        <v>5</v>
      </c>
      <c r="W41" s="44">
        <v>1.0000000000000001E-5</v>
      </c>
      <c r="X41" s="44">
        <v>1.0099999999999998E-9</v>
      </c>
      <c r="Y41" s="41">
        <v>0.99985974189731708</v>
      </c>
      <c r="Z41" s="41">
        <v>1.4025810268281807E-4</v>
      </c>
      <c r="AA41" s="41">
        <v>0.99997972937194546</v>
      </c>
      <c r="AB41" s="38">
        <v>4.9998986468597275</v>
      </c>
      <c r="AC41" s="41">
        <v>3.8</v>
      </c>
      <c r="AD41" s="44">
        <f t="shared" si="27"/>
        <v>1.584893192461112E-4</v>
      </c>
      <c r="AE41" s="44">
        <f t="shared" si="28"/>
        <v>6.3726691792499571E-11</v>
      </c>
      <c r="AF41" s="41">
        <f t="shared" si="29"/>
        <v>0.99372998765856613</v>
      </c>
      <c r="AG41" s="41">
        <f t="shared" si="30"/>
        <v>6.2700123414338466E-3</v>
      </c>
      <c r="AH41" s="41">
        <f t="shared" si="31"/>
        <v>4.941436898885679E-3</v>
      </c>
      <c r="AI41" s="18">
        <f t="shared" si="32"/>
        <v>0.59297242786628146</v>
      </c>
      <c r="AJ41" s="41">
        <v>7.3</v>
      </c>
      <c r="AK41" s="44">
        <v>5.0118723362727164E-8</v>
      </c>
      <c r="AL41" s="44">
        <v>2.0152149381185708E-7</v>
      </c>
      <c r="AM41" s="41">
        <v>4.7726721034203848E-2</v>
      </c>
      <c r="AN41" s="41">
        <v>0.95227327896579606</v>
      </c>
      <c r="AO41" s="41">
        <v>0.95227598242776956</v>
      </c>
      <c r="AP41" s="38">
        <v>114.27311789133235</v>
      </c>
    </row>
    <row r="42" spans="1:42" ht="15" customHeight="1" x14ac:dyDescent="0.3">
      <c r="A42" s="41">
        <v>3.9</v>
      </c>
      <c r="B42" s="44">
        <f t="shared" si="16"/>
        <v>1.2589254117941672E-4</v>
      </c>
      <c r="C42" s="44">
        <f t="shared" si="17"/>
        <v>8.0227151707152435E-11</v>
      </c>
      <c r="D42" s="41">
        <f t="shared" si="18"/>
        <v>0.99857225056054177</v>
      </c>
      <c r="E42" s="41">
        <f t="shared" si="19"/>
        <v>1.4277494394583346E-3</v>
      </c>
      <c r="F42" s="41">
        <f t="shared" si="20"/>
        <v>1.6878233308912906E-4</v>
      </c>
      <c r="G42" s="18">
        <f t="shared" si="33"/>
        <v>8.4391166544564534E-4</v>
      </c>
      <c r="H42" s="41">
        <v>7.8</v>
      </c>
      <c r="I42" s="44">
        <v>1.5848931924611133E-8</v>
      </c>
      <c r="J42" s="44">
        <v>6.3726691792499521E-7</v>
      </c>
      <c r="K42" s="41">
        <v>8.0924270399962764E-2</v>
      </c>
      <c r="L42" s="41">
        <v>0.91907572960003714</v>
      </c>
      <c r="M42" s="41">
        <v>0.9190830860494178</v>
      </c>
      <c r="N42" s="38">
        <v>4.5954154302470887</v>
      </c>
      <c r="O42" s="41">
        <v>3.9</v>
      </c>
      <c r="P42" s="44">
        <f t="shared" si="21"/>
        <v>1.2589254117941672E-4</v>
      </c>
      <c r="Q42" s="44">
        <f t="shared" si="22"/>
        <v>8.0227151707152435E-11</v>
      </c>
      <c r="R42" s="41">
        <f t="shared" si="23"/>
        <v>0.99998885746419819</v>
      </c>
      <c r="S42" s="41">
        <f t="shared" si="24"/>
        <v>1.1142535801839201E-5</v>
      </c>
      <c r="T42" s="41">
        <f t="shared" si="25"/>
        <v>1.0014999446590742</v>
      </c>
      <c r="U42" s="18">
        <f t="shared" si="26"/>
        <v>5.0074997232953713</v>
      </c>
      <c r="V42" s="41">
        <v>5.0999999999999996</v>
      </c>
      <c r="W42" s="44">
        <v>7.9432823472428065E-6</v>
      </c>
      <c r="X42" s="44">
        <v>1.2715146659121102E-9</v>
      </c>
      <c r="Y42" s="41">
        <v>0.99982343192263712</v>
      </c>
      <c r="Z42" s="41">
        <v>1.7656807736280713E-4</v>
      </c>
      <c r="AA42" s="41">
        <v>0.99991873476180926</v>
      </c>
      <c r="AB42" s="38">
        <v>4.9995936738090467</v>
      </c>
      <c r="AC42" s="41">
        <v>3.9</v>
      </c>
      <c r="AD42" s="44">
        <f t="shared" si="27"/>
        <v>1.2589254117941672E-4</v>
      </c>
      <c r="AE42" s="44">
        <f t="shared" si="28"/>
        <v>8.0227151707152435E-11</v>
      </c>
      <c r="AF42" s="41">
        <f t="shared" si="29"/>
        <v>0.99211931614966975</v>
      </c>
      <c r="AG42" s="41">
        <f t="shared" si="30"/>
        <v>7.8806838503302848E-3</v>
      </c>
      <c r="AH42" s="41">
        <f t="shared" si="31"/>
        <v>6.8229903785632998E-3</v>
      </c>
      <c r="AI42" s="18">
        <f t="shared" si="32"/>
        <v>0.81875884542759592</v>
      </c>
      <c r="AJ42" s="41">
        <v>7.4</v>
      </c>
      <c r="AK42" s="44">
        <v>3.981071705534957E-8</v>
      </c>
      <c r="AL42" s="44">
        <v>2.5370052958246857E-7</v>
      </c>
      <c r="AM42" s="41">
        <v>3.8286503882254588E-2</v>
      </c>
      <c r="AN42" s="41">
        <v>0.96171349611774537</v>
      </c>
      <c r="AO42" s="41">
        <v>0.96171733554825578</v>
      </c>
      <c r="AP42" s="38">
        <v>115.40608026579068</v>
      </c>
    </row>
    <row r="43" spans="1:42" ht="15" customHeight="1" x14ac:dyDescent="0.3">
      <c r="A43" s="41">
        <v>4</v>
      </c>
      <c r="B43" s="44">
        <f t="shared" si="16"/>
        <v>1E-4</v>
      </c>
      <c r="C43" s="44">
        <f t="shared" si="17"/>
        <v>1.0099999999999999E-10</v>
      </c>
      <c r="D43" s="41">
        <f t="shared" si="18"/>
        <v>0.99820323417847867</v>
      </c>
      <c r="E43" s="41">
        <f t="shared" si="19"/>
        <v>1.7967658215212617E-3</v>
      </c>
      <c r="F43" s="41">
        <f t="shared" si="20"/>
        <v>7.9660751018014039E-4</v>
      </c>
      <c r="G43" s="18">
        <f t="shared" si="33"/>
        <v>3.9830375509007018E-3</v>
      </c>
      <c r="H43" s="41">
        <v>7.9</v>
      </c>
      <c r="I43" s="44">
        <v>1.2589254117941638E-8</v>
      </c>
      <c r="J43" s="44">
        <v>8.0227151707152647E-7</v>
      </c>
      <c r="K43" s="41">
        <v>6.5368414118432486E-2</v>
      </c>
      <c r="L43" s="41">
        <v>0.93463158588156747</v>
      </c>
      <c r="M43" s="41">
        <v>0.93464095884297194</v>
      </c>
      <c r="N43" s="38">
        <v>4.6732047942148593</v>
      </c>
      <c r="O43" s="41">
        <v>4</v>
      </c>
      <c r="P43" s="44">
        <f t="shared" si="21"/>
        <v>1E-4</v>
      </c>
      <c r="Q43" s="44">
        <f t="shared" si="22"/>
        <v>1.0099999999999999E-10</v>
      </c>
      <c r="R43" s="41">
        <f t="shared" si="23"/>
        <v>0.999985972418998</v>
      </c>
      <c r="S43" s="41">
        <f t="shared" si="24"/>
        <v>1.4027581001988721E-5</v>
      </c>
      <c r="T43" s="41">
        <f t="shared" si="25"/>
        <v>1.001186208448448</v>
      </c>
      <c r="U43" s="18">
        <f t="shared" si="26"/>
        <v>5.0059310422422403</v>
      </c>
      <c r="V43" s="41">
        <v>5.2</v>
      </c>
      <c r="W43" s="44">
        <v>6.3095734448019212E-6</v>
      </c>
      <c r="X43" s="44">
        <v>1.6007421243857275E-9</v>
      </c>
      <c r="Y43" s="41">
        <v>0.99977772412249644</v>
      </c>
      <c r="Z43" s="41">
        <v>2.22275877503524E-4</v>
      </c>
      <c r="AA43" s="41">
        <v>0.99985341794565741</v>
      </c>
      <c r="AB43" s="38">
        <v>4.9992670897282876</v>
      </c>
      <c r="AC43" s="41">
        <v>4</v>
      </c>
      <c r="AD43" s="44">
        <f t="shared" si="27"/>
        <v>1E-4</v>
      </c>
      <c r="AE43" s="44">
        <f t="shared" si="28"/>
        <v>1.0099999999999999E-10</v>
      </c>
      <c r="AF43" s="41">
        <f t="shared" si="29"/>
        <v>0.99009900990099009</v>
      </c>
      <c r="AG43" s="41">
        <f t="shared" si="30"/>
        <v>9.9009900990099011E-3</v>
      </c>
      <c r="AH43" s="41">
        <f t="shared" si="31"/>
        <v>9.0585990174749439E-3</v>
      </c>
      <c r="AI43" s="18">
        <f t="shared" si="32"/>
        <v>1.0870318820969931</v>
      </c>
      <c r="AJ43" s="41">
        <v>7.5</v>
      </c>
      <c r="AK43" s="44">
        <v>3.1622776601683699E-8</v>
      </c>
      <c r="AL43" s="44">
        <v>3.1939004367700723E-7</v>
      </c>
      <c r="AM43" s="41">
        <v>3.0653430031715417E-2</v>
      </c>
      <c r="AN43" s="41">
        <v>0.9693465699682845</v>
      </c>
      <c r="AO43" s="41">
        <v>0.9693517575059043</v>
      </c>
      <c r="AP43" s="38">
        <v>116.32221090070851</v>
      </c>
    </row>
    <row r="44" spans="1:42" ht="15" customHeight="1" x14ac:dyDescent="0.3">
      <c r="A44" s="41">
        <v>4.0999999999999996</v>
      </c>
      <c r="B44" s="44">
        <f t="shared" si="16"/>
        <v>7.9432823472428153E-5</v>
      </c>
      <c r="C44" s="44">
        <f t="shared" si="17"/>
        <v>1.2715146659121088E-10</v>
      </c>
      <c r="D44" s="41">
        <f t="shared" si="18"/>
        <v>0.99773905770265336</v>
      </c>
      <c r="E44" s="41">
        <f t="shared" si="19"/>
        <v>2.2609422973465872E-3</v>
      </c>
      <c r="F44" s="41">
        <f t="shared" si="20"/>
        <v>1.4663823767249301E-3</v>
      </c>
      <c r="G44" s="18">
        <f t="shared" si="33"/>
        <v>7.3319118836246509E-3</v>
      </c>
      <c r="H44" s="41">
        <v>8</v>
      </c>
      <c r="I44" s="44">
        <v>1E-8</v>
      </c>
      <c r="J44" s="44">
        <v>1.0099999999999999E-6</v>
      </c>
      <c r="K44" s="41">
        <v>5.2631578947368418E-2</v>
      </c>
      <c r="L44" s="41">
        <v>0.94736842105263153</v>
      </c>
      <c r="M44" s="41">
        <v>0.9473803158132631</v>
      </c>
      <c r="N44" s="38">
        <v>4.7369015790663154</v>
      </c>
      <c r="O44" s="41">
        <v>4.0999999999999996</v>
      </c>
      <c r="P44" s="44">
        <f t="shared" si="21"/>
        <v>7.9432823472428153E-5</v>
      </c>
      <c r="Q44" s="44">
        <f t="shared" si="22"/>
        <v>1.2715146659121088E-10</v>
      </c>
      <c r="R44" s="41">
        <f t="shared" si="23"/>
        <v>0.99998234038595202</v>
      </c>
      <c r="S44" s="41">
        <f t="shared" si="24"/>
        <v>1.765961404797017E-5</v>
      </c>
      <c r="T44" s="41">
        <f t="shared" si="25"/>
        <v>1.0009356813891948</v>
      </c>
      <c r="U44" s="18">
        <f t="shared" si="26"/>
        <v>5.004678406945974</v>
      </c>
      <c r="V44" s="41">
        <v>5.3</v>
      </c>
      <c r="W44" s="44">
        <v>5.011872336272719E-6</v>
      </c>
      <c r="X44" s="44">
        <v>2.0152149381185696E-9</v>
      </c>
      <c r="Y44" s="41">
        <v>0.99972018735340373</v>
      </c>
      <c r="Z44" s="41">
        <v>2.7981264659628812E-4</v>
      </c>
      <c r="AA44" s="41">
        <v>0.99978030343756286</v>
      </c>
      <c r="AB44" s="38">
        <v>4.9989015171878144</v>
      </c>
      <c r="AC44" s="41">
        <v>4.0999999999999996</v>
      </c>
      <c r="AD44" s="44">
        <f t="shared" si="27"/>
        <v>7.9432823472428153E-5</v>
      </c>
      <c r="AE44" s="44">
        <f t="shared" si="28"/>
        <v>1.2715146659121088E-10</v>
      </c>
      <c r="AF44" s="41">
        <f t="shared" si="29"/>
        <v>0.98756726474555767</v>
      </c>
      <c r="AG44" s="41">
        <f t="shared" si="30"/>
        <v>1.2432735254442403E-2</v>
      </c>
      <c r="AH44" s="41">
        <f t="shared" si="31"/>
        <v>1.1761453678650897E-2</v>
      </c>
      <c r="AI44" s="18">
        <f t="shared" si="32"/>
        <v>1.4113744414381075</v>
      </c>
      <c r="AJ44" s="41">
        <v>7.6</v>
      </c>
      <c r="AK44" s="44">
        <v>2.5118864315095751E-8</v>
      </c>
      <c r="AL44" s="44">
        <v>4.02088242259033E-7</v>
      </c>
      <c r="AM44" s="41">
        <v>2.4503367550335942E-2</v>
      </c>
      <c r="AN44" s="41">
        <v>0.975496632449664</v>
      </c>
      <c r="AO44" s="41">
        <v>0.97550345121043869</v>
      </c>
      <c r="AP44" s="38">
        <v>117.06041414525264</v>
      </c>
    </row>
    <row r="45" spans="1:42" ht="15" customHeight="1" x14ac:dyDescent="0.3">
      <c r="A45" s="41">
        <v>4.2</v>
      </c>
      <c r="B45" s="44">
        <f t="shared" si="16"/>
        <v>6.3095734448019279E-5</v>
      </c>
      <c r="C45" s="44">
        <f t="shared" si="17"/>
        <v>1.6007421243857255E-10</v>
      </c>
      <c r="D45" s="41">
        <f t="shared" si="18"/>
        <v>0.99715530761404481</v>
      </c>
      <c r="E45" s="41">
        <f t="shared" si="19"/>
        <v>2.8446923859551431E-3</v>
      </c>
      <c r="F45" s="41">
        <f t="shared" si="20"/>
        <v>2.2134573234947191E-3</v>
      </c>
      <c r="G45" s="18">
        <f t="shared" si="33"/>
        <v>1.1067286617473596E-2</v>
      </c>
      <c r="H45" s="41">
        <v>8.1</v>
      </c>
      <c r="I45" s="44">
        <v>7.9432823472428087E-9</v>
      </c>
      <c r="J45" s="44">
        <v>1.2715146659121098E-6</v>
      </c>
      <c r="K45" s="41">
        <v>4.2264252534266432E-2</v>
      </c>
      <c r="L45" s="41">
        <v>0.95773574746573353</v>
      </c>
      <c r="M45" s="41">
        <v>0.95775080355258513</v>
      </c>
      <c r="N45" s="38">
        <v>4.7887540177629253</v>
      </c>
      <c r="O45" s="41">
        <v>4.2</v>
      </c>
      <c r="P45" s="44">
        <f t="shared" si="21"/>
        <v>6.3095734448019279E-5</v>
      </c>
      <c r="Q45" s="44">
        <f t="shared" si="22"/>
        <v>1.6007421243857255E-10</v>
      </c>
      <c r="R45" s="41">
        <f t="shared" si="23"/>
        <v>0.999977767964769</v>
      </c>
      <c r="S45" s="41">
        <f t="shared" si="24"/>
        <v>2.2232035230978064E-5</v>
      </c>
      <c r="T45" s="41">
        <f t="shared" si="25"/>
        <v>1.0007350076087091</v>
      </c>
      <c r="U45" s="18">
        <f t="shared" si="26"/>
        <v>5.0036750380435455</v>
      </c>
      <c r="V45" s="41">
        <v>5.4</v>
      </c>
      <c r="W45" s="44">
        <v>3.9810717055349657E-6</v>
      </c>
      <c r="X45" s="44">
        <v>2.53700529582468E-9</v>
      </c>
      <c r="Y45" s="41">
        <v>0.99964776226849517</v>
      </c>
      <c r="Z45" s="41">
        <v>3.5223773150478652E-4</v>
      </c>
      <c r="AA45" s="41">
        <v>0.99969550226198844</v>
      </c>
      <c r="AB45" s="38">
        <v>4.9984775113099431</v>
      </c>
      <c r="AC45" s="41">
        <v>4.2</v>
      </c>
      <c r="AD45" s="44">
        <f t="shared" si="27"/>
        <v>6.3095734448019279E-5</v>
      </c>
      <c r="AE45" s="44">
        <f t="shared" si="28"/>
        <v>1.6007421243857255E-10</v>
      </c>
      <c r="AF45" s="41">
        <f t="shared" si="29"/>
        <v>0.98439833775817043</v>
      </c>
      <c r="AG45" s="41">
        <f t="shared" si="30"/>
        <v>1.5601662241829612E-2</v>
      </c>
      <c r="AH45" s="41">
        <f t="shared" si="31"/>
        <v>1.5066359582598693E-2</v>
      </c>
      <c r="AI45" s="18">
        <f t="shared" si="32"/>
        <v>1.8079631499118431</v>
      </c>
      <c r="AJ45" s="41">
        <v>7.7</v>
      </c>
      <c r="AK45" s="44">
        <v>1.9952623149688773E-8</v>
      </c>
      <c r="AL45" s="44">
        <v>5.0619910596354556E-7</v>
      </c>
      <c r="AM45" s="41">
        <v>1.9562303872579498E-2</v>
      </c>
      <c r="AN45" s="41">
        <v>0.9804376961274206</v>
      </c>
      <c r="AO45" s="41">
        <v>0.98044651556814177</v>
      </c>
      <c r="AP45" s="38">
        <v>117.65358186817701</v>
      </c>
    </row>
    <row r="46" spans="1:42" ht="15" customHeight="1" x14ac:dyDescent="0.3">
      <c r="A46" s="41">
        <v>4.3</v>
      </c>
      <c r="B46" s="44">
        <f t="shared" si="16"/>
        <v>5.0118723362727238E-5</v>
      </c>
      <c r="C46" s="44">
        <f t="shared" si="17"/>
        <v>2.0152149381185678E-10</v>
      </c>
      <c r="D46" s="41">
        <f t="shared" si="18"/>
        <v>0.99642138034593963</v>
      </c>
      <c r="E46" s="41">
        <f t="shared" si="19"/>
        <v>3.5786196540603461E-3</v>
      </c>
      <c r="F46" s="41">
        <f t="shared" si="20"/>
        <v>3.0771259936353715E-3</v>
      </c>
      <c r="G46" s="18">
        <f t="shared" si="33"/>
        <v>1.5385629968176858E-2</v>
      </c>
      <c r="H46" s="41">
        <v>8.1999999999999993</v>
      </c>
      <c r="I46" s="44">
        <v>6.3095734448019329E-9</v>
      </c>
      <c r="J46" s="44">
        <v>1.6007421243857243E-6</v>
      </c>
      <c r="K46" s="41">
        <v>3.3866072087118351E-2</v>
      </c>
      <c r="L46" s="41">
        <v>0.96613392791288166</v>
      </c>
      <c r="M46" s="41">
        <v>0.96615295316982652</v>
      </c>
      <c r="N46" s="38">
        <v>4.8307647658491328</v>
      </c>
      <c r="O46" s="41">
        <v>4.3</v>
      </c>
      <c r="P46" s="44">
        <f t="shared" si="21"/>
        <v>5.0118723362727238E-5</v>
      </c>
      <c r="Q46" s="44">
        <f t="shared" si="22"/>
        <v>2.0152149381185678E-10</v>
      </c>
      <c r="R46" s="41">
        <f t="shared" si="23"/>
        <v>0.99997201168700478</v>
      </c>
      <c r="S46" s="41">
        <f t="shared" si="24"/>
        <v>2.7988312995168432E-5</v>
      </c>
      <c r="T46" s="41">
        <f t="shared" si="25"/>
        <v>1.0005734914341855</v>
      </c>
      <c r="U46" s="18">
        <f t="shared" si="26"/>
        <v>5.002867457170928</v>
      </c>
      <c r="V46" s="41">
        <v>5.5</v>
      </c>
      <c r="W46" s="44">
        <v>3.1622776601683767E-6</v>
      </c>
      <c r="X46" s="44">
        <v>3.1939004367700655E-9</v>
      </c>
      <c r="Y46" s="41">
        <v>0.9995565994084129</v>
      </c>
      <c r="Z46" s="41">
        <v>4.4340059158707381E-4</v>
      </c>
      <c r="AA46" s="41">
        <v>0.99959450585154974</v>
      </c>
      <c r="AB46" s="38">
        <v>4.9979725292577495</v>
      </c>
      <c r="AC46" s="41">
        <v>4.3</v>
      </c>
      <c r="AD46" s="44">
        <f t="shared" si="27"/>
        <v>5.0118723362727238E-5</v>
      </c>
      <c r="AE46" s="44">
        <f t="shared" si="28"/>
        <v>2.0152149381185678E-10</v>
      </c>
      <c r="AF46" s="41">
        <f t="shared" si="29"/>
        <v>0.98043769612742049</v>
      </c>
      <c r="AG46" s="41">
        <f t="shared" si="30"/>
        <v>1.9562303872579515E-2</v>
      </c>
      <c r="AH46" s="41">
        <f t="shared" si="31"/>
        <v>1.913505931502044E-2</v>
      </c>
      <c r="AI46" s="18">
        <f t="shared" si="32"/>
        <v>2.2962071178024526</v>
      </c>
      <c r="AJ46" s="41">
        <v>7.8</v>
      </c>
      <c r="AK46" s="44">
        <v>1.5848931924611133E-8</v>
      </c>
      <c r="AL46" s="44">
        <v>6.3726691792499521E-7</v>
      </c>
      <c r="AM46" s="41">
        <v>1.5601662241829602E-2</v>
      </c>
      <c r="AN46" s="41">
        <v>0.98439833775817043</v>
      </c>
      <c r="AO46" s="41">
        <v>0.98440963353990585</v>
      </c>
      <c r="AP46" s="38">
        <v>118.1291560247887</v>
      </c>
    </row>
    <row r="47" spans="1:42" ht="15" customHeight="1" x14ac:dyDescent="0.3">
      <c r="A47" s="41">
        <v>4.4000000000000004</v>
      </c>
      <c r="B47" s="44">
        <f t="shared" si="16"/>
        <v>3.9810717055349634E-5</v>
      </c>
      <c r="C47" s="44">
        <f t="shared" si="17"/>
        <v>2.5370052958246817E-10</v>
      </c>
      <c r="D47" s="41">
        <f t="shared" si="18"/>
        <v>0.99549895542630884</v>
      </c>
      <c r="E47" s="41">
        <f t="shared" si="19"/>
        <v>4.5010445736911597E-3</v>
      </c>
      <c r="F47" s="41">
        <f t="shared" si="20"/>
        <v>4.1026132862711749E-3</v>
      </c>
      <c r="G47" s="18">
        <f t="shared" si="33"/>
        <v>2.0513066431355875E-2</v>
      </c>
      <c r="H47" s="41">
        <v>8.3000000000000007</v>
      </c>
      <c r="I47" s="44">
        <v>5.0118723362727114E-9</v>
      </c>
      <c r="J47" s="44">
        <v>2.0152149381185727E-6</v>
      </c>
      <c r="K47" s="41">
        <v>2.708946335705021E-2</v>
      </c>
      <c r="L47" s="41">
        <v>0.9729105366429498</v>
      </c>
      <c r="M47" s="41">
        <v>0.97293455026563913</v>
      </c>
      <c r="N47" s="38">
        <v>4.8646727513281958</v>
      </c>
      <c r="O47" s="41">
        <v>4.4000000000000004</v>
      </c>
      <c r="P47" s="44">
        <f t="shared" si="21"/>
        <v>3.9810717055349634E-5</v>
      </c>
      <c r="Q47" s="44">
        <f t="shared" si="22"/>
        <v>2.5370052958246817E-10</v>
      </c>
      <c r="R47" s="41">
        <f t="shared" si="23"/>
        <v>0.9999647650568807</v>
      </c>
      <c r="S47" s="41">
        <f t="shared" si="24"/>
        <v>3.5234943119269301E-5</v>
      </c>
      <c r="T47" s="41">
        <f t="shared" si="25"/>
        <v>1.0004425258514571</v>
      </c>
      <c r="U47" s="18">
        <f t="shared" si="26"/>
        <v>5.0022126292572855</v>
      </c>
      <c r="V47" s="41">
        <v>5.6</v>
      </c>
      <c r="W47" s="44">
        <v>2.5118864315095806E-6</v>
      </c>
      <c r="X47" s="44">
        <v>4.0208824225903214E-9</v>
      </c>
      <c r="Y47" s="41">
        <v>0.99944185580688683</v>
      </c>
      <c r="Z47" s="41">
        <v>5.5814419311318907E-4</v>
      </c>
      <c r="AA47" s="41">
        <v>0.99947194754490665</v>
      </c>
      <c r="AB47" s="38">
        <v>4.9973597377245333</v>
      </c>
      <c r="AC47" s="41">
        <v>4.4000000000000004</v>
      </c>
      <c r="AD47" s="44">
        <f t="shared" si="27"/>
        <v>3.9810717055349634E-5</v>
      </c>
      <c r="AE47" s="44">
        <f t="shared" si="28"/>
        <v>2.5370052958246817E-10</v>
      </c>
      <c r="AF47" s="41">
        <f t="shared" si="29"/>
        <v>0.975496632449664</v>
      </c>
      <c r="AG47" s="41">
        <f t="shared" si="30"/>
        <v>2.4503367550336046E-2</v>
      </c>
      <c r="AH47" s="41">
        <f t="shared" si="31"/>
        <v>2.4161994687005216E-2</v>
      </c>
      <c r="AI47" s="18">
        <f t="shared" si="32"/>
        <v>2.8994393624406256</v>
      </c>
      <c r="AJ47" s="41">
        <v>7.9</v>
      </c>
      <c r="AK47" s="44">
        <v>1.2589254117941638E-8</v>
      </c>
      <c r="AL47" s="44">
        <v>8.0227151707152647E-7</v>
      </c>
      <c r="AM47" s="41">
        <v>1.2432735254442372E-2</v>
      </c>
      <c r="AN47" s="41">
        <v>0.98756726474555767</v>
      </c>
      <c r="AO47" s="41">
        <v>0.98758164418815864</v>
      </c>
      <c r="AP47" s="38">
        <v>118.50979730257905</v>
      </c>
    </row>
    <row r="48" spans="1:42" ht="15" customHeight="1" x14ac:dyDescent="0.3">
      <c r="A48" s="41">
        <v>4.5</v>
      </c>
      <c r="B48" s="44">
        <f t="shared" si="16"/>
        <v>3.1622776601683748E-5</v>
      </c>
      <c r="C48" s="44">
        <f t="shared" si="17"/>
        <v>3.1939004367700672E-10</v>
      </c>
      <c r="D48" s="41">
        <f t="shared" si="18"/>
        <v>0.99434011683148216</v>
      </c>
      <c r="E48" s="41">
        <f t="shared" si="19"/>
        <v>5.6598831685177502E-3</v>
      </c>
      <c r="F48" s="41">
        <f t="shared" si="20"/>
        <v>5.3433206585435638E-3</v>
      </c>
      <c r="G48" s="18">
        <f t="shared" si="33"/>
        <v>2.6716603292717821E-2</v>
      </c>
      <c r="H48" s="41">
        <v>8.4</v>
      </c>
      <c r="I48" s="44">
        <v>3.9810717055349665E-9</v>
      </c>
      <c r="J48" s="44">
        <v>2.5370052958246796E-6</v>
      </c>
      <c r="K48" s="41">
        <v>2.1638485245410156E-2</v>
      </c>
      <c r="L48" s="41">
        <v>0.97836151475458988</v>
      </c>
      <c r="M48" s="41">
        <v>0.97839180157709915</v>
      </c>
      <c r="N48" s="38">
        <v>4.8919590078854958</v>
      </c>
      <c r="O48" s="41">
        <v>4.5</v>
      </c>
      <c r="P48" s="44">
        <f t="shared" si="21"/>
        <v>3.1622776601683748E-5</v>
      </c>
      <c r="Q48" s="44">
        <f t="shared" si="22"/>
        <v>3.1939004367700672E-10</v>
      </c>
      <c r="R48" s="41">
        <f t="shared" si="23"/>
        <v>0.99995564223940969</v>
      </c>
      <c r="S48" s="41">
        <f t="shared" si="24"/>
        <v>4.4357760590265888E-5</v>
      </c>
      <c r="T48" s="41">
        <f t="shared" si="25"/>
        <v>1.0003351329214023</v>
      </c>
      <c r="U48" s="18">
        <f t="shared" si="26"/>
        <v>5.0016756646070117</v>
      </c>
      <c r="V48" s="41">
        <v>5.7</v>
      </c>
      <c r="W48" s="44">
        <v>1.9952623149688749E-6</v>
      </c>
      <c r="X48" s="44">
        <v>5.0619910596354619E-9</v>
      </c>
      <c r="Y48" s="41">
        <v>0.99929743962426465</v>
      </c>
      <c r="Z48" s="41">
        <v>7.0256037573536597E-4</v>
      </c>
      <c r="AA48" s="41">
        <v>0.99932131932673063</v>
      </c>
      <c r="AB48" s="38">
        <v>4.9966065966336535</v>
      </c>
      <c r="AC48" s="41">
        <v>4.5</v>
      </c>
      <c r="AD48" s="44">
        <f t="shared" si="27"/>
        <v>3.1622776601683748E-5</v>
      </c>
      <c r="AE48" s="44">
        <f t="shared" si="28"/>
        <v>3.1939004367700672E-10</v>
      </c>
      <c r="AF48" s="41">
        <f t="shared" si="29"/>
        <v>0.9693465699682845</v>
      </c>
      <c r="AG48" s="41">
        <f t="shared" si="30"/>
        <v>3.0653430031715553E-2</v>
      </c>
      <c r="AH48" s="41">
        <f t="shared" si="31"/>
        <v>3.0380302556775103E-2</v>
      </c>
      <c r="AI48" s="18">
        <f t="shared" si="32"/>
        <v>3.6456363068130124</v>
      </c>
      <c r="AJ48" s="41">
        <v>8</v>
      </c>
      <c r="AK48" s="44">
        <v>1E-8</v>
      </c>
      <c r="AL48" s="44">
        <v>1.0099999999999999E-6</v>
      </c>
      <c r="AM48" s="41">
        <v>9.9009900990099028E-3</v>
      </c>
      <c r="AN48" s="41">
        <v>0.9900990099009902</v>
      </c>
      <c r="AO48" s="41">
        <v>0.99011724440676763</v>
      </c>
      <c r="AP48" s="38">
        <v>118.81406932881212</v>
      </c>
    </row>
    <row r="49" spans="1:42" ht="15" customHeight="1" x14ac:dyDescent="0.3">
      <c r="A49" s="41">
        <v>4.5999999999999996</v>
      </c>
      <c r="B49" s="44">
        <f t="shared" si="16"/>
        <v>2.5118864315095791E-5</v>
      </c>
      <c r="C49" s="44">
        <f t="shared" si="17"/>
        <v>4.0208824225903234E-10</v>
      </c>
      <c r="D49" s="41">
        <f t="shared" si="18"/>
        <v>0.99288505611326605</v>
      </c>
      <c r="E49" s="41">
        <f t="shared" si="19"/>
        <v>7.1149438867338516E-3</v>
      </c>
      <c r="F49" s="41">
        <f t="shared" si="20"/>
        <v>6.8634144676312115E-3</v>
      </c>
      <c r="G49" s="18">
        <f t="shared" si="33"/>
        <v>3.4317072338156056E-2</v>
      </c>
      <c r="H49" s="41">
        <v>8.5</v>
      </c>
      <c r="I49" s="44">
        <v>3.1622776601683779E-9</v>
      </c>
      <c r="J49" s="44">
        <v>3.1939004367700643E-6</v>
      </c>
      <c r="K49" s="41">
        <v>1.7264895919429084E-2</v>
      </c>
      <c r="L49" s="41">
        <v>0.98273510408057085</v>
      </c>
      <c r="M49" s="41">
        <v>0.98277328300659372</v>
      </c>
      <c r="N49" s="38">
        <v>4.9138664150329685</v>
      </c>
      <c r="O49" s="41">
        <v>4.5999999999999996</v>
      </c>
      <c r="P49" s="44">
        <f t="shared" si="21"/>
        <v>2.5118864315095791E-5</v>
      </c>
      <c r="Q49" s="44">
        <f t="shared" si="22"/>
        <v>4.0208824225903234E-10</v>
      </c>
      <c r="R49" s="41">
        <f t="shared" si="23"/>
        <v>0.99994415752935306</v>
      </c>
      <c r="S49" s="41">
        <f t="shared" si="24"/>
        <v>5.5842470646967571E-5</v>
      </c>
      <c r="T49" s="41">
        <f t="shared" si="25"/>
        <v>1.0002455914138326</v>
      </c>
      <c r="U49" s="18">
        <f t="shared" si="26"/>
        <v>5.0012279570691636</v>
      </c>
      <c r="V49" s="41">
        <v>5.8</v>
      </c>
      <c r="W49" s="44">
        <v>1.5848931924611111E-6</v>
      </c>
      <c r="X49" s="44">
        <v>6.3726691792499607E-9</v>
      </c>
      <c r="Y49" s="41">
        <v>0.99911568975519338</v>
      </c>
      <c r="Z49" s="41">
        <v>8.8431024480666476E-4</v>
      </c>
      <c r="AA49" s="41">
        <v>0.99913462926946184</v>
      </c>
      <c r="AB49" s="38">
        <v>4.9956731463473094</v>
      </c>
      <c r="AC49" s="41">
        <v>4.5999999999999996</v>
      </c>
      <c r="AD49" s="44">
        <f t="shared" si="27"/>
        <v>2.5118864315095791E-5</v>
      </c>
      <c r="AE49" s="44">
        <f t="shared" si="28"/>
        <v>4.0208824225903234E-10</v>
      </c>
      <c r="AF49" s="41">
        <f t="shared" si="29"/>
        <v>0.96171349611774526</v>
      </c>
      <c r="AG49" s="41">
        <f t="shared" si="30"/>
        <v>3.8286503882254748E-2</v>
      </c>
      <c r="AH49" s="41">
        <f t="shared" si="31"/>
        <v>3.8067621362605004E-2</v>
      </c>
      <c r="AI49" s="18">
        <f t="shared" si="32"/>
        <v>4.5681145635126006</v>
      </c>
      <c r="AJ49" s="41">
        <v>8.1</v>
      </c>
      <c r="AK49" s="44">
        <v>7.9432823472428087E-9</v>
      </c>
      <c r="AL49" s="44">
        <v>1.2715146659121098E-6</v>
      </c>
      <c r="AM49" s="41">
        <v>7.8806838503302779E-3</v>
      </c>
      <c r="AN49" s="41">
        <v>0.99211931614966964</v>
      </c>
      <c r="AO49" s="41">
        <v>0.99214238233842689</v>
      </c>
      <c r="AP49" s="38">
        <v>119.05708588061121</v>
      </c>
    </row>
    <row r="50" spans="1:42" ht="15" customHeight="1" x14ac:dyDescent="0.3">
      <c r="A50" s="41">
        <v>4.7</v>
      </c>
      <c r="B50" s="44">
        <f t="shared" si="16"/>
        <v>1.9952623149688769E-5</v>
      </c>
      <c r="C50" s="44">
        <f t="shared" si="17"/>
        <v>5.0619910596354569E-10</v>
      </c>
      <c r="D50" s="41">
        <f t="shared" si="18"/>
        <v>0.99105928727410841</v>
      </c>
      <c r="E50" s="41">
        <f t="shared" si="19"/>
        <v>8.9407127258914892E-3</v>
      </c>
      <c r="F50" s="41">
        <f t="shared" si="20"/>
        <v>8.7408427597516821E-3</v>
      </c>
      <c r="G50" s="18">
        <f t="shared" si="33"/>
        <v>4.3704213798758412E-2</v>
      </c>
      <c r="H50" s="41">
        <v>8.6</v>
      </c>
      <c r="I50" s="44">
        <v>2.5118864315095812E-9</v>
      </c>
      <c r="J50" s="44">
        <v>4.02088242259032E-6</v>
      </c>
      <c r="K50" s="41">
        <v>1.3762864877582675E-2</v>
      </c>
      <c r="L50" s="41">
        <v>0.98623713512241729</v>
      </c>
      <c r="M50" s="41">
        <v>0.98628524534691919</v>
      </c>
      <c r="N50" s="38">
        <v>4.9314262267345956</v>
      </c>
      <c r="O50" s="41">
        <v>4.7</v>
      </c>
      <c r="P50" s="44">
        <f t="shared" si="21"/>
        <v>1.9952623149688769E-5</v>
      </c>
      <c r="Q50" s="44">
        <f t="shared" si="22"/>
        <v>5.0619910596354569E-10</v>
      </c>
      <c r="R50" s="41">
        <f t="shared" si="23"/>
        <v>0.99992969951112243</v>
      </c>
      <c r="S50" s="41">
        <f t="shared" si="24"/>
        <v>7.0300488877628756E-5</v>
      </c>
      <c r="T50" s="41">
        <f t="shared" si="25"/>
        <v>1.000169131663599</v>
      </c>
      <c r="U50" s="18">
        <f t="shared" si="26"/>
        <v>5.0008456583179957</v>
      </c>
      <c r="V50" s="41">
        <v>5.9</v>
      </c>
      <c r="W50" s="44">
        <v>1.2589254117941642E-6</v>
      </c>
      <c r="X50" s="44">
        <v>8.0227151707152622E-9</v>
      </c>
      <c r="Y50" s="41">
        <v>0.99888697421085682</v>
      </c>
      <c r="Z50" s="41">
        <v>1.1130257891432368E-3</v>
      </c>
      <c r="AA50" s="41">
        <v>0.99890198229618976</v>
      </c>
      <c r="AB50" s="38">
        <v>4.9945099114809484</v>
      </c>
      <c r="AC50" s="41">
        <v>4.7</v>
      </c>
      <c r="AD50" s="44">
        <f t="shared" si="27"/>
        <v>1.9952623149688769E-5</v>
      </c>
      <c r="AE50" s="44">
        <f t="shared" si="28"/>
        <v>5.0619910596354569E-10</v>
      </c>
      <c r="AF50" s="41">
        <f t="shared" si="29"/>
        <v>0.95227327896579606</v>
      </c>
      <c r="AG50" s="41">
        <f t="shared" si="30"/>
        <v>4.7726721034203966E-2</v>
      </c>
      <c r="AH50" s="41">
        <f t="shared" si="31"/>
        <v>4.7550965968607917E-2</v>
      </c>
      <c r="AI50" s="18">
        <f t="shared" si="32"/>
        <v>5.7061159162329496</v>
      </c>
      <c r="AJ50" s="41">
        <v>8.1999999999999993</v>
      </c>
      <c r="AK50" s="44">
        <v>6.3095734448019329E-9</v>
      </c>
      <c r="AL50" s="44">
        <v>1.6007421243857243E-6</v>
      </c>
      <c r="AM50" s="41">
        <v>6.2700123414338423E-3</v>
      </c>
      <c r="AN50" s="41">
        <v>0.99372998765856613</v>
      </c>
      <c r="AO50" s="41">
        <v>0.99375911941536854</v>
      </c>
      <c r="AP50" s="38">
        <v>119.25109432984422</v>
      </c>
    </row>
    <row r="51" spans="1:42" ht="15" customHeight="1" x14ac:dyDescent="0.3">
      <c r="A51" s="41">
        <v>4.8</v>
      </c>
      <c r="B51" s="44">
        <f t="shared" si="16"/>
        <v>1.5848931924611131E-5</v>
      </c>
      <c r="C51" s="44">
        <f t="shared" si="17"/>
        <v>6.3726691792499525E-10</v>
      </c>
      <c r="D51" s="41">
        <f t="shared" si="18"/>
        <v>0.98877030604118876</v>
      </c>
      <c r="E51" s="41">
        <f t="shared" si="19"/>
        <v>1.1229693958811099E-2</v>
      </c>
      <c r="F51" s="41">
        <f t="shared" si="20"/>
        <v>1.1070860103728089E-2</v>
      </c>
      <c r="G51" s="18">
        <f t="shared" si="33"/>
        <v>5.5354300518640445E-2</v>
      </c>
      <c r="H51" s="41">
        <v>8.6999999999999993</v>
      </c>
      <c r="I51" s="44">
        <v>1.9952623149688824E-9</v>
      </c>
      <c r="J51" s="44">
        <v>5.0619910596354431E-6</v>
      </c>
      <c r="K51" s="41">
        <v>1.0963265139923231E-2</v>
      </c>
      <c r="L51" s="41">
        <v>0.98903673486007671</v>
      </c>
      <c r="M51" s="41">
        <v>0.98909734447486219</v>
      </c>
      <c r="N51" s="38">
        <v>4.9454867223743113</v>
      </c>
      <c r="O51" s="41">
        <v>4.8</v>
      </c>
      <c r="P51" s="44">
        <f t="shared" si="21"/>
        <v>1.5848931924611131E-5</v>
      </c>
      <c r="Q51" s="44">
        <f t="shared" si="22"/>
        <v>6.3726691792499525E-10</v>
      </c>
      <c r="R51" s="41">
        <f t="shared" si="23"/>
        <v>0.9999114985390456</v>
      </c>
      <c r="S51" s="41">
        <f t="shared" si="24"/>
        <v>8.8501460954408472E-5</v>
      </c>
      <c r="T51" s="41">
        <f t="shared" si="25"/>
        <v>1.000101681297888</v>
      </c>
      <c r="U51" s="18">
        <f t="shared" si="26"/>
        <v>5.0005084064894403</v>
      </c>
      <c r="V51" s="41">
        <v>6</v>
      </c>
      <c r="W51" s="44">
        <v>9.9999999999999995E-7</v>
      </c>
      <c r="X51" s="44">
        <v>1.0099999999999999E-8</v>
      </c>
      <c r="Y51" s="41">
        <v>0.9985991872512171</v>
      </c>
      <c r="Z51" s="41">
        <v>1.4008127487829573E-3</v>
      </c>
      <c r="AA51" s="41">
        <v>0.99861106330140026</v>
      </c>
      <c r="AB51" s="38">
        <v>4.993055316507002</v>
      </c>
      <c r="AC51" s="41">
        <v>4.8</v>
      </c>
      <c r="AD51" s="44">
        <f t="shared" si="27"/>
        <v>1.5848931924611131E-5</v>
      </c>
      <c r="AE51" s="44">
        <f t="shared" si="28"/>
        <v>6.3726691792499525E-10</v>
      </c>
      <c r="AF51" s="41">
        <f t="shared" si="29"/>
        <v>0.94064905689723233</v>
      </c>
      <c r="AG51" s="41">
        <f t="shared" si="30"/>
        <v>5.9350943102767603E-2</v>
      </c>
      <c r="AH51" s="41">
        <f t="shared" si="31"/>
        <v>5.92094902861343E-2</v>
      </c>
      <c r="AI51" s="18">
        <f t="shared" si="32"/>
        <v>7.105138834336115</v>
      </c>
      <c r="AJ51" s="41">
        <v>8.3000000000000007</v>
      </c>
      <c r="AK51" s="44">
        <v>5.0118723362727114E-9</v>
      </c>
      <c r="AL51" s="44">
        <v>2.0152149381185727E-6</v>
      </c>
      <c r="AM51" s="41">
        <v>4.9868787366879582E-3</v>
      </c>
      <c r="AN51" s="41">
        <v>0.99501312126331198</v>
      </c>
      <c r="AO51" s="41">
        <v>0.99504987547862978</v>
      </c>
      <c r="AP51" s="38">
        <v>119.40598505743556</v>
      </c>
    </row>
    <row r="52" spans="1:42" ht="15" customHeight="1" x14ac:dyDescent="0.3">
      <c r="A52" s="41">
        <v>4.9000000000000004</v>
      </c>
      <c r="B52" s="44">
        <f t="shared" si="16"/>
        <v>1.2589254117941658E-5</v>
      </c>
      <c r="C52" s="44">
        <f t="shared" si="17"/>
        <v>8.0227151707152515E-10</v>
      </c>
      <c r="D52" s="41">
        <f t="shared" si="18"/>
        <v>0.98590364023321553</v>
      </c>
      <c r="E52" s="41">
        <f t="shared" si="19"/>
        <v>1.4096359766784493E-2</v>
      </c>
      <c r="F52" s="41">
        <f t="shared" si="20"/>
        <v>1.3970123523865712E-2</v>
      </c>
      <c r="G52" s="18">
        <f t="shared" si="33"/>
        <v>6.9850617619328564E-2</v>
      </c>
      <c r="H52" s="41">
        <v>8.8000000000000007</v>
      </c>
      <c r="I52" s="44">
        <v>1.584893192461106E-9</v>
      </c>
      <c r="J52" s="44">
        <v>6.3726691792499815E-6</v>
      </c>
      <c r="K52" s="41">
        <v>8.7281114887750276E-3</v>
      </c>
      <c r="L52" s="41">
        <v>0.99127188851122494</v>
      </c>
      <c r="M52" s="41">
        <v>0.9913482312803622</v>
      </c>
      <c r="N52" s="38">
        <v>4.9567411564018107</v>
      </c>
      <c r="O52" s="41">
        <v>4.9000000000000004</v>
      </c>
      <c r="P52" s="44">
        <f t="shared" si="21"/>
        <v>1.2589254117941658E-5</v>
      </c>
      <c r="Q52" s="44">
        <f t="shared" si="22"/>
        <v>8.0227151707152515E-10</v>
      </c>
      <c r="R52" s="41">
        <f t="shared" si="23"/>
        <v>0.99988858581491047</v>
      </c>
      <c r="S52" s="41">
        <f t="shared" si="24"/>
        <v>1.1141418508947641E-4</v>
      </c>
      <c r="T52" s="41">
        <f t="shared" si="25"/>
        <v>1.0000396482352873</v>
      </c>
      <c r="U52" s="18">
        <f t="shared" si="26"/>
        <v>5.0001982411764372</v>
      </c>
      <c r="V52" s="41">
        <v>6.1</v>
      </c>
      <c r="W52" s="44">
        <v>7.9432823472428114E-7</v>
      </c>
      <c r="X52" s="44">
        <v>1.2715146659121094E-8</v>
      </c>
      <c r="Y52" s="41">
        <v>0.99823712064034442</v>
      </c>
      <c r="Z52" s="41">
        <v>1.7628793596556577E-3</v>
      </c>
      <c r="AA52" s="41">
        <v>0.99824649725627979</v>
      </c>
      <c r="AB52" s="38">
        <v>4.9912324862813993</v>
      </c>
      <c r="AC52" s="41">
        <v>4.9000000000000004</v>
      </c>
      <c r="AD52" s="44">
        <f t="shared" si="27"/>
        <v>1.2589254117941658E-5</v>
      </c>
      <c r="AE52" s="44">
        <f t="shared" si="28"/>
        <v>8.0227151707152515E-10</v>
      </c>
      <c r="AF52" s="41">
        <f t="shared" si="29"/>
        <v>0.92641244388242638</v>
      </c>
      <c r="AG52" s="41">
        <f t="shared" si="30"/>
        <v>7.3587556117573602E-2</v>
      </c>
      <c r="AH52" s="41">
        <f t="shared" si="31"/>
        <v>7.3473403188206457E-2</v>
      </c>
      <c r="AI52" s="18">
        <f t="shared" si="32"/>
        <v>8.8168083825847745</v>
      </c>
      <c r="AJ52" s="41">
        <v>8.4</v>
      </c>
      <c r="AK52" s="44">
        <v>3.9810717055349665E-9</v>
      </c>
      <c r="AL52" s="44">
        <v>2.5370052958246796E-6</v>
      </c>
      <c r="AM52" s="41">
        <v>3.9652856191521955E-3</v>
      </c>
      <c r="AN52" s="41">
        <v>0.99603471438084779</v>
      </c>
      <c r="AO52" s="41">
        <v>0.99608105389043566</v>
      </c>
      <c r="AP52" s="38">
        <v>119.52972646685228</v>
      </c>
    </row>
    <row r="53" spans="1:42" ht="15" customHeight="1" x14ac:dyDescent="0.3">
      <c r="A53" s="41">
        <v>5</v>
      </c>
      <c r="B53" s="44">
        <f t="shared" si="16"/>
        <v>1.0000000000000001E-5</v>
      </c>
      <c r="C53" s="44">
        <f t="shared" si="17"/>
        <v>1.0099999999999998E-9</v>
      </c>
      <c r="D53" s="41">
        <f t="shared" si="18"/>
        <v>0.98231827111984282</v>
      </c>
      <c r="E53" s="41">
        <f t="shared" si="19"/>
        <v>1.768172888015717E-2</v>
      </c>
      <c r="F53" s="41">
        <f t="shared" si="20"/>
        <v>1.7581387387923815E-2</v>
      </c>
      <c r="G53" s="18">
        <f t="shared" si="33"/>
        <v>8.7906936939619068E-2</v>
      </c>
      <c r="H53" s="41">
        <v>8.9</v>
      </c>
      <c r="I53" s="44">
        <v>1.2589254117941623E-9</v>
      </c>
      <c r="J53" s="44">
        <v>8.0227151707152736E-6</v>
      </c>
      <c r="K53" s="41">
        <v>6.9454533559330399E-3</v>
      </c>
      <c r="L53" s="41">
        <v>0.993054546644067</v>
      </c>
      <c r="M53" s="41">
        <v>0.99315069423619762</v>
      </c>
      <c r="N53" s="38">
        <v>4.9657534711809879</v>
      </c>
      <c r="O53" s="41">
        <v>5</v>
      </c>
      <c r="P53" s="44">
        <f t="shared" si="21"/>
        <v>1.0000000000000001E-5</v>
      </c>
      <c r="Q53" s="44">
        <f t="shared" si="22"/>
        <v>1.0099999999999998E-9</v>
      </c>
      <c r="R53" s="41">
        <f t="shared" si="23"/>
        <v>0.99985974189731708</v>
      </c>
      <c r="S53" s="41">
        <f t="shared" si="24"/>
        <v>1.4025810268281807E-4</v>
      </c>
      <c r="T53" s="41">
        <f t="shared" si="25"/>
        <v>0.99997972937194546</v>
      </c>
      <c r="U53" s="18">
        <f t="shared" si="26"/>
        <v>4.9998986468597275</v>
      </c>
      <c r="V53" s="41">
        <v>6.2</v>
      </c>
      <c r="W53" s="44">
        <v>6.3095734448019254E-7</v>
      </c>
      <c r="X53" s="44">
        <v>1.6007421243857263E-8</v>
      </c>
      <c r="Y53" s="41">
        <v>0.99778167893830993</v>
      </c>
      <c r="Z53" s="41">
        <v>2.2183210616900928E-3</v>
      </c>
      <c r="AA53" s="41">
        <v>0.99778905561814868</v>
      </c>
      <c r="AB53" s="38">
        <v>4.9889452780907435</v>
      </c>
      <c r="AC53" s="41">
        <v>5</v>
      </c>
      <c r="AD53" s="44">
        <f t="shared" si="27"/>
        <v>1.0000000000000001E-5</v>
      </c>
      <c r="AE53" s="44">
        <f t="shared" si="28"/>
        <v>1.0099999999999998E-9</v>
      </c>
      <c r="AF53" s="41">
        <f t="shared" si="29"/>
        <v>0.90909090909090906</v>
      </c>
      <c r="AG53" s="41">
        <f t="shared" si="30"/>
        <v>9.0909090909090898E-2</v>
      </c>
      <c r="AH53" s="41">
        <f t="shared" si="31"/>
        <v>9.0816685241148637E-2</v>
      </c>
      <c r="AI53" s="18">
        <f t="shared" si="32"/>
        <v>10.898002228937838</v>
      </c>
      <c r="AJ53" s="41">
        <v>8.5</v>
      </c>
      <c r="AK53" s="44">
        <v>3.1622776601683779E-9</v>
      </c>
      <c r="AL53" s="44">
        <v>3.1939004367700643E-6</v>
      </c>
      <c r="AM53" s="41">
        <v>3.1523091832602102E-3</v>
      </c>
      <c r="AN53" s="41">
        <v>0.99684769081673974</v>
      </c>
      <c r="AO53" s="41">
        <v>0.99690608896439004</v>
      </c>
      <c r="AP53" s="38">
        <v>119.6287306757268</v>
      </c>
    </row>
    <row r="54" spans="1:42" ht="15" customHeight="1" x14ac:dyDescent="0.3">
      <c r="A54" s="41">
        <v>5.0999999999999996</v>
      </c>
      <c r="B54" s="44">
        <f t="shared" si="16"/>
        <v>7.9432823472428065E-6</v>
      </c>
      <c r="C54" s="44">
        <f t="shared" si="17"/>
        <v>1.2715146659121102E-9</v>
      </c>
      <c r="D54" s="41">
        <f t="shared" si="18"/>
        <v>0.9778414694570976</v>
      </c>
      <c r="E54" s="41">
        <f t="shared" si="19"/>
        <v>2.2158530542902444E-2</v>
      </c>
      <c r="F54" s="41">
        <f t="shared" si="20"/>
        <v>2.2078759735078706E-2</v>
      </c>
      <c r="G54" s="18">
        <f t="shared" si="33"/>
        <v>0.11039379867539353</v>
      </c>
      <c r="H54" s="41">
        <v>9</v>
      </c>
      <c r="I54" s="44">
        <v>1.0000000000000001E-9</v>
      </c>
      <c r="J54" s="44">
        <v>1.0099999999999998E-5</v>
      </c>
      <c r="K54" s="41">
        <v>5.5248618784530393E-3</v>
      </c>
      <c r="L54" s="41">
        <v>0.99447513812154698</v>
      </c>
      <c r="M54" s="41">
        <v>0.99459621697593736</v>
      </c>
      <c r="N54" s="38">
        <v>4.9729810848796872</v>
      </c>
      <c r="O54" s="41">
        <v>5.0999999999999996</v>
      </c>
      <c r="P54" s="44">
        <f t="shared" si="21"/>
        <v>7.9432823472428065E-6</v>
      </c>
      <c r="Q54" s="44">
        <f t="shared" si="22"/>
        <v>1.2715146659121102E-9</v>
      </c>
      <c r="R54" s="41">
        <f t="shared" si="23"/>
        <v>0.99982343192263712</v>
      </c>
      <c r="S54" s="41">
        <f t="shared" si="24"/>
        <v>1.7656807736280713E-4</v>
      </c>
      <c r="T54" s="41">
        <f t="shared" si="25"/>
        <v>0.99991873476180926</v>
      </c>
      <c r="U54" s="18">
        <f t="shared" si="26"/>
        <v>4.9995936738090467</v>
      </c>
      <c r="V54" s="41">
        <v>6.3</v>
      </c>
      <c r="W54" s="44">
        <v>5.0118723362727218E-7</v>
      </c>
      <c r="X54" s="44">
        <v>2.0152149381185686E-8</v>
      </c>
      <c r="Y54" s="41">
        <v>0.99720890239371029</v>
      </c>
      <c r="Z54" s="41">
        <v>2.791097606289759E-3</v>
      </c>
      <c r="AA54" s="41">
        <v>0.99721467213504045</v>
      </c>
      <c r="AB54" s="38">
        <v>4.9860733606752028</v>
      </c>
      <c r="AC54" s="41">
        <v>5.0999999999999996</v>
      </c>
      <c r="AD54" s="44">
        <f t="shared" si="27"/>
        <v>7.9432823472428065E-6</v>
      </c>
      <c r="AE54" s="44">
        <f t="shared" si="28"/>
        <v>1.2715146659121102E-9</v>
      </c>
      <c r="AF54" s="41">
        <f t="shared" si="29"/>
        <v>0.88818423022188286</v>
      </c>
      <c r="AG54" s="41">
        <f t="shared" si="30"/>
        <v>0.11181576977811705</v>
      </c>
      <c r="AH54" s="41">
        <f t="shared" si="31"/>
        <v>0.11174071189506914</v>
      </c>
      <c r="AI54" s="18">
        <f t="shared" si="32"/>
        <v>13.408885427408297</v>
      </c>
      <c r="AJ54" s="41">
        <v>8.6</v>
      </c>
      <c r="AK54" s="44">
        <v>2.5118864315095812E-9</v>
      </c>
      <c r="AL54" s="44">
        <v>4.02088242259032E-6</v>
      </c>
      <c r="AM54" s="41">
        <v>2.5055926672857363E-3</v>
      </c>
      <c r="AN54" s="41">
        <v>0.99749440733271422</v>
      </c>
      <c r="AO54" s="41">
        <v>0.99756797973162459</v>
      </c>
      <c r="AP54" s="38">
        <v>119.70815756779494</v>
      </c>
    </row>
    <row r="55" spans="1:42" ht="15" customHeight="1" x14ac:dyDescent="0.3">
      <c r="A55" s="41">
        <v>5.2</v>
      </c>
      <c r="B55" s="44">
        <f t="shared" si="16"/>
        <v>6.3095734448019212E-6</v>
      </c>
      <c r="C55" s="44">
        <f t="shared" si="17"/>
        <v>1.6007421243857275E-9</v>
      </c>
      <c r="D55" s="41">
        <f t="shared" si="18"/>
        <v>0.97226320011153</v>
      </c>
      <c r="E55" s="41">
        <f t="shared" si="19"/>
        <v>2.773679988847003E-2</v>
      </c>
      <c r="F55" s="41">
        <f t="shared" si="20"/>
        <v>2.7673371035705087E-2</v>
      </c>
      <c r="G55" s="18">
        <f t="shared" si="33"/>
        <v>0.13836685517852543</v>
      </c>
      <c r="H55" s="41">
        <v>9.1</v>
      </c>
      <c r="I55" s="44">
        <v>7.9432823472428E-10</v>
      </c>
      <c r="J55" s="44">
        <v>1.2715146659121113E-5</v>
      </c>
      <c r="K55" s="41">
        <v>4.3935462051276743E-3</v>
      </c>
      <c r="L55" s="41">
        <v>0.99560645379487223</v>
      </c>
      <c r="M55" s="41">
        <v>0.99575891817762585</v>
      </c>
      <c r="N55" s="38">
        <v>4.9787945908881293</v>
      </c>
      <c r="O55" s="41">
        <v>5.2</v>
      </c>
      <c r="P55" s="44">
        <f t="shared" si="21"/>
        <v>6.3095734448019212E-6</v>
      </c>
      <c r="Q55" s="44">
        <f t="shared" si="22"/>
        <v>1.6007421243857275E-9</v>
      </c>
      <c r="R55" s="41">
        <f t="shared" si="23"/>
        <v>0.99977772412249644</v>
      </c>
      <c r="S55" s="41">
        <f t="shared" si="24"/>
        <v>2.22275877503524E-4</v>
      </c>
      <c r="T55" s="41">
        <f t="shared" si="25"/>
        <v>0.99985341794565741</v>
      </c>
      <c r="U55" s="18">
        <f t="shared" si="26"/>
        <v>4.9992670897282876</v>
      </c>
      <c r="V55" s="41">
        <v>6.4</v>
      </c>
      <c r="W55" s="44">
        <v>3.9810717055349618E-7</v>
      </c>
      <c r="X55" s="44">
        <v>2.5370052958246826E-8</v>
      </c>
      <c r="Y55" s="41">
        <v>0.99648875382543767</v>
      </c>
      <c r="Z55" s="41">
        <v>3.5112461745623242E-3</v>
      </c>
      <c r="AA55" s="41">
        <v>0.99649322405663776</v>
      </c>
      <c r="AB55" s="38">
        <v>4.9824661202831892</v>
      </c>
      <c r="AC55" s="41">
        <v>5.2</v>
      </c>
      <c r="AD55" s="44">
        <f t="shared" si="27"/>
        <v>6.3095734448019212E-6</v>
      </c>
      <c r="AE55" s="44">
        <f t="shared" si="28"/>
        <v>1.6007421243857275E-9</v>
      </c>
      <c r="AF55" s="41">
        <f t="shared" si="29"/>
        <v>0.86319311139678978</v>
      </c>
      <c r="AG55" s="41">
        <f t="shared" si="30"/>
        <v>0.13680688860321022</v>
      </c>
      <c r="AH55" s="41">
        <f t="shared" si="31"/>
        <v>0.13674569628282765</v>
      </c>
      <c r="AI55" s="18">
        <f t="shared" si="32"/>
        <v>16.409483553939317</v>
      </c>
      <c r="AJ55" s="41">
        <v>8.6999999999999993</v>
      </c>
      <c r="AK55" s="44">
        <v>1.9952623149688824E-9</v>
      </c>
      <c r="AL55" s="44">
        <v>5.0619910596354431E-6</v>
      </c>
      <c r="AM55" s="41">
        <v>1.9912891707283224E-3</v>
      </c>
      <c r="AN55" s="41">
        <v>0.99800871082927167</v>
      </c>
      <c r="AO55" s="41">
        <v>0.99810138134886528</v>
      </c>
      <c r="AP55" s="38">
        <v>119.77216576186382</v>
      </c>
    </row>
    <row r="56" spans="1:42" ht="15" customHeight="1" x14ac:dyDescent="0.3">
      <c r="A56" s="41">
        <v>5.3</v>
      </c>
      <c r="B56" s="44">
        <f t="shared" si="16"/>
        <v>5.011872336272719E-6</v>
      </c>
      <c r="C56" s="44">
        <f t="shared" si="17"/>
        <v>2.0152149381185696E-9</v>
      </c>
      <c r="D56" s="41">
        <f t="shared" si="18"/>
        <v>0.9653304264162198</v>
      </c>
      <c r="E56" s="41">
        <f t="shared" si="19"/>
        <v>3.4669573583780228E-2</v>
      </c>
      <c r="F56" s="41">
        <f t="shared" si="20"/>
        <v>3.4619128138795599E-2</v>
      </c>
      <c r="G56" s="18">
        <f t="shared" si="33"/>
        <v>0.17309564069397798</v>
      </c>
      <c r="H56" s="41">
        <v>9.1999999999999993</v>
      </c>
      <c r="I56" s="44">
        <v>6.309573444801927E-10</v>
      </c>
      <c r="J56" s="44">
        <v>1.6007421243857258E-5</v>
      </c>
      <c r="K56" s="41">
        <v>3.4930742424007519E-3</v>
      </c>
      <c r="L56" s="41">
        <v>0.99650692575759914</v>
      </c>
      <c r="M56" s="41">
        <v>0.99669890156105645</v>
      </c>
      <c r="N56" s="38">
        <v>4.9834945078052826</v>
      </c>
      <c r="O56" s="41">
        <v>5.3</v>
      </c>
      <c r="P56" s="44">
        <f t="shared" si="21"/>
        <v>5.011872336272719E-6</v>
      </c>
      <c r="Q56" s="44">
        <f t="shared" si="22"/>
        <v>2.0152149381185696E-9</v>
      </c>
      <c r="R56" s="41">
        <f t="shared" si="23"/>
        <v>0.99972018735340373</v>
      </c>
      <c r="S56" s="41">
        <f t="shared" si="24"/>
        <v>2.7981264659628812E-4</v>
      </c>
      <c r="T56" s="41">
        <f t="shared" si="25"/>
        <v>0.99978030343756286</v>
      </c>
      <c r="U56" s="18">
        <f t="shared" si="26"/>
        <v>4.9989015171878144</v>
      </c>
      <c r="V56" s="41">
        <v>6.5</v>
      </c>
      <c r="W56" s="44">
        <v>3.1622776601683734E-7</v>
      </c>
      <c r="X56" s="44">
        <v>3.1939004367700689E-8</v>
      </c>
      <c r="Y56" s="41">
        <v>0.99558361812116891</v>
      </c>
      <c r="Z56" s="41">
        <v>4.4163818788310093E-3</v>
      </c>
      <c r="AA56" s="41">
        <v>0.99558702707719149</v>
      </c>
      <c r="AB56" s="38">
        <v>4.977935135385958</v>
      </c>
      <c r="AC56" s="41">
        <v>5.3</v>
      </c>
      <c r="AD56" s="44">
        <f t="shared" si="27"/>
        <v>5.011872336272719E-6</v>
      </c>
      <c r="AE56" s="44">
        <f t="shared" si="28"/>
        <v>2.0152149381185696E-9</v>
      </c>
      <c r="AF56" s="41">
        <f t="shared" si="29"/>
        <v>0.833662469183438</v>
      </c>
      <c r="AG56" s="41">
        <f t="shared" si="30"/>
        <v>0.166337530816562</v>
      </c>
      <c r="AH56" s="41">
        <f t="shared" si="31"/>
        <v>0.16628745124349953</v>
      </c>
      <c r="AI56" s="18">
        <f t="shared" si="32"/>
        <v>19.954494149219943</v>
      </c>
      <c r="AJ56" s="41">
        <v>8.8000000000000007</v>
      </c>
      <c r="AK56" s="44">
        <v>1.584893192461106E-9</v>
      </c>
      <c r="AL56" s="44">
        <v>6.3726691792499815E-6</v>
      </c>
      <c r="AM56" s="41">
        <v>1.5823852808017126E-3</v>
      </c>
      <c r="AN56" s="41">
        <v>0.99841761471919821</v>
      </c>
      <c r="AO56" s="41">
        <v>0.99853432455169111</v>
      </c>
      <c r="AP56" s="38">
        <v>119.82411894620293</v>
      </c>
    </row>
    <row r="57" spans="1:42" ht="15" customHeight="1" x14ac:dyDescent="0.3">
      <c r="A57" s="41">
        <v>5.4</v>
      </c>
      <c r="B57" s="44">
        <f t="shared" si="16"/>
        <v>3.9810717055349657E-6</v>
      </c>
      <c r="C57" s="44">
        <f t="shared" si="17"/>
        <v>2.53700529582468E-9</v>
      </c>
      <c r="D57" s="41">
        <f t="shared" si="18"/>
        <v>0.95674191344490223</v>
      </c>
      <c r="E57" s="41">
        <f t="shared" si="19"/>
        <v>4.3258086555097809E-2</v>
      </c>
      <c r="F57" s="41">
        <f t="shared" si="20"/>
        <v>4.3217957319809673E-2</v>
      </c>
      <c r="G57" s="18">
        <f t="shared" si="33"/>
        <v>0.21608978659904837</v>
      </c>
      <c r="H57" s="41">
        <v>9.3000000000000007</v>
      </c>
      <c r="I57" s="44">
        <v>5.011872336272705E-10</v>
      </c>
      <c r="J57" s="44">
        <v>2.0152149381185755E-5</v>
      </c>
      <c r="K57" s="41">
        <v>2.7766423108263058E-3</v>
      </c>
      <c r="L57" s="41">
        <v>0.9972233576891737</v>
      </c>
      <c r="M57" s="41">
        <v>0.99746507530167972</v>
      </c>
      <c r="N57" s="38">
        <v>4.9873253765083989</v>
      </c>
      <c r="O57" s="41">
        <v>5.4</v>
      </c>
      <c r="P57" s="44">
        <f t="shared" si="21"/>
        <v>3.9810717055349657E-6</v>
      </c>
      <c r="Q57" s="44">
        <f t="shared" si="22"/>
        <v>2.53700529582468E-9</v>
      </c>
      <c r="R57" s="41">
        <f t="shared" si="23"/>
        <v>0.99964776226849517</v>
      </c>
      <c r="S57" s="41">
        <f t="shared" si="24"/>
        <v>3.5223773150478652E-4</v>
      </c>
      <c r="T57" s="41">
        <f t="shared" si="25"/>
        <v>0.99969550226198844</v>
      </c>
      <c r="U57" s="18">
        <f t="shared" si="26"/>
        <v>4.9984775113099431</v>
      </c>
      <c r="V57" s="41">
        <v>6.6</v>
      </c>
      <c r="W57" s="44">
        <v>2.511886431509578E-7</v>
      </c>
      <c r="X57" s="44">
        <v>4.0208824225903253E-8</v>
      </c>
      <c r="Y57" s="41">
        <v>0.99444645517801034</v>
      </c>
      <c r="Z57" s="41">
        <v>5.5535448219896097E-3</v>
      </c>
      <c r="AA57" s="41">
        <v>0.99444898459353304</v>
      </c>
      <c r="AB57" s="38">
        <v>4.9722449229676657</v>
      </c>
      <c r="AC57" s="41">
        <v>5.4</v>
      </c>
      <c r="AD57" s="44">
        <f t="shared" si="27"/>
        <v>3.9810717055349657E-6</v>
      </c>
      <c r="AE57" s="44">
        <f t="shared" si="28"/>
        <v>2.53700529582468E-9</v>
      </c>
      <c r="AF57" s="41">
        <f t="shared" si="29"/>
        <v>0.79923999108689803</v>
      </c>
      <c r="AG57" s="41">
        <f t="shared" si="30"/>
        <v>0.20076000891310203</v>
      </c>
      <c r="AH57" s="41">
        <f t="shared" si="31"/>
        <v>0.20071886878742207</v>
      </c>
      <c r="AI57" s="18">
        <f t="shared" si="32"/>
        <v>24.086264254490647</v>
      </c>
      <c r="AJ57" s="41">
        <v>8.9</v>
      </c>
      <c r="AK57" s="44">
        <v>1.2589254117941623E-9</v>
      </c>
      <c r="AL57" s="44">
        <v>8.0227151707152736E-6</v>
      </c>
      <c r="AM57" s="41">
        <v>1.257342511355288E-3</v>
      </c>
      <c r="AN57" s="41">
        <v>0.99874265748864466</v>
      </c>
      <c r="AO57" s="41">
        <v>0.99888962845184059</v>
      </c>
      <c r="AP57" s="38">
        <v>119.86675541422088</v>
      </c>
    </row>
    <row r="58" spans="1:42" ht="15" customHeight="1" x14ac:dyDescent="0.3">
      <c r="A58" s="41">
        <v>5.5</v>
      </c>
      <c r="B58" s="44">
        <f t="shared" si="16"/>
        <v>3.1622776601683767E-6</v>
      </c>
      <c r="C58" s="44">
        <f t="shared" si="17"/>
        <v>3.1939004367700655E-9</v>
      </c>
      <c r="D58" s="41">
        <f t="shared" si="18"/>
        <v>0.94614451033043978</v>
      </c>
      <c r="E58" s="41">
        <f t="shared" si="19"/>
        <v>5.3855489669560247E-2</v>
      </c>
      <c r="F58" s="41">
        <f t="shared" si="20"/>
        <v>5.3823558765702162E-2</v>
      </c>
      <c r="G58" s="18">
        <f t="shared" si="33"/>
        <v>0.26911779382851081</v>
      </c>
      <c r="H58" s="41">
        <v>9.4</v>
      </c>
      <c r="I58" s="44">
        <v>3.9810717055349621E-10</v>
      </c>
      <c r="J58" s="44">
        <v>2.5370052958246823E-5</v>
      </c>
      <c r="K58" s="41">
        <v>2.2068256524283504E-3</v>
      </c>
      <c r="L58" s="41">
        <v>0.99779317434757164</v>
      </c>
      <c r="M58" s="41">
        <v>0.99809751367494171</v>
      </c>
      <c r="N58" s="38">
        <v>4.990487568374709</v>
      </c>
      <c r="O58" s="41">
        <v>5.5</v>
      </c>
      <c r="P58" s="44">
        <f t="shared" si="21"/>
        <v>3.1622776601683767E-6</v>
      </c>
      <c r="Q58" s="44">
        <f t="shared" si="22"/>
        <v>3.1939004367700655E-9</v>
      </c>
      <c r="R58" s="41">
        <f t="shared" si="23"/>
        <v>0.9995565994084129</v>
      </c>
      <c r="S58" s="41">
        <f t="shared" si="24"/>
        <v>4.4340059158707381E-4</v>
      </c>
      <c r="T58" s="41">
        <f t="shared" si="25"/>
        <v>0.99959450585154974</v>
      </c>
      <c r="U58" s="18">
        <f t="shared" si="26"/>
        <v>4.9979725292577495</v>
      </c>
      <c r="V58" s="41">
        <v>6.7</v>
      </c>
      <c r="W58" s="44">
        <v>1.9952623149688761E-7</v>
      </c>
      <c r="X58" s="44">
        <v>5.0619910596354589E-8</v>
      </c>
      <c r="Y58" s="41">
        <v>0.99301854031510095</v>
      </c>
      <c r="Z58" s="41">
        <v>6.9814596848990201E-3</v>
      </c>
      <c r="AA58" s="41">
        <v>0.9930203251123163</v>
      </c>
      <c r="AB58" s="38">
        <v>4.9651016255615819</v>
      </c>
      <c r="AC58" s="41">
        <v>5.5</v>
      </c>
      <c r="AD58" s="44">
        <f t="shared" si="27"/>
        <v>3.1622776601683767E-6</v>
      </c>
      <c r="AE58" s="44">
        <f t="shared" si="28"/>
        <v>3.1939004367700655E-9</v>
      </c>
      <c r="AF58" s="41">
        <f t="shared" si="29"/>
        <v>0.75974692664795773</v>
      </c>
      <c r="AG58" s="41">
        <f t="shared" si="30"/>
        <v>0.2402530733520423</v>
      </c>
      <c r="AH58" s="41">
        <f t="shared" si="31"/>
        <v>0.24021915892960699</v>
      </c>
      <c r="AI58" s="18">
        <f t="shared" si="32"/>
        <v>28.826299071552839</v>
      </c>
      <c r="AJ58" s="41">
        <v>9</v>
      </c>
      <c r="AK58" s="44">
        <v>1.0000000000000001E-9</v>
      </c>
      <c r="AL58" s="44">
        <v>1.0099999999999998E-5</v>
      </c>
      <c r="AM58" s="41">
        <v>9.99000999000999E-4</v>
      </c>
      <c r="AN58" s="41">
        <v>0.99900099900099892</v>
      </c>
      <c r="AO58" s="41">
        <v>0.99918606513505015</v>
      </c>
      <c r="AP58" s="38">
        <v>119.90232781620601</v>
      </c>
    </row>
    <row r="59" spans="1:42" ht="15" customHeight="1" x14ac:dyDescent="0.3">
      <c r="A59" s="41">
        <v>5.6</v>
      </c>
      <c r="B59" s="44">
        <f t="shared" si="16"/>
        <v>2.5118864315095806E-6</v>
      </c>
      <c r="C59" s="44">
        <f t="shared" si="17"/>
        <v>4.0208824225903214E-9</v>
      </c>
      <c r="D59" s="41">
        <f t="shared" si="18"/>
        <v>0.93313239448253471</v>
      </c>
      <c r="E59" s="41">
        <f t="shared" si="19"/>
        <v>6.6867605517465303E-2</v>
      </c>
      <c r="F59" s="41">
        <f t="shared" si="20"/>
        <v>6.6842191599515349E-2</v>
      </c>
      <c r="G59" s="18">
        <f t="shared" si="33"/>
        <v>0.33421095799757672</v>
      </c>
      <c r="H59" s="41">
        <v>9.5</v>
      </c>
      <c r="I59" s="44">
        <v>3.1622776601683744E-10</v>
      </c>
      <c r="J59" s="44">
        <v>3.193900436770068E-5</v>
      </c>
      <c r="K59" s="41">
        <v>1.7537399153401937E-3</v>
      </c>
      <c r="L59" s="41">
        <v>0.99824626008465989</v>
      </c>
      <c r="M59" s="41">
        <v>0.99862943679435745</v>
      </c>
      <c r="N59" s="38">
        <v>4.9931471839717876</v>
      </c>
      <c r="O59" s="41">
        <v>5.6</v>
      </c>
      <c r="P59" s="44">
        <f t="shared" si="21"/>
        <v>2.5118864315095806E-6</v>
      </c>
      <c r="Q59" s="44">
        <f t="shared" si="22"/>
        <v>4.0208824225903214E-9</v>
      </c>
      <c r="R59" s="41">
        <f t="shared" si="23"/>
        <v>0.99944185580688683</v>
      </c>
      <c r="S59" s="41">
        <f t="shared" si="24"/>
        <v>5.5814419311318907E-4</v>
      </c>
      <c r="T59" s="41">
        <f t="shared" si="25"/>
        <v>0.99947194754490665</v>
      </c>
      <c r="U59" s="18">
        <f t="shared" si="26"/>
        <v>4.9973597377245333</v>
      </c>
      <c r="V59" s="41">
        <v>6.8</v>
      </c>
      <c r="W59" s="44">
        <v>1.5848931924611122E-7</v>
      </c>
      <c r="X59" s="44">
        <v>6.3726691792499566E-8</v>
      </c>
      <c r="Y59" s="41">
        <v>0.99122672224651487</v>
      </c>
      <c r="Z59" s="41">
        <v>8.7732777534851696E-3</v>
      </c>
      <c r="AA59" s="41">
        <v>0.99122785773550182</v>
      </c>
      <c r="AB59" s="38">
        <v>4.9561392886775097</v>
      </c>
      <c r="AC59" s="41">
        <v>5.6</v>
      </c>
      <c r="AD59" s="44">
        <f t="shared" si="27"/>
        <v>2.5118864315095806E-6</v>
      </c>
      <c r="AE59" s="44">
        <f t="shared" si="28"/>
        <v>4.0208824225903214E-9</v>
      </c>
      <c r="AF59" s="41">
        <f t="shared" si="29"/>
        <v>0.71525275104919861</v>
      </c>
      <c r="AG59" s="41">
        <f t="shared" si="30"/>
        <v>0.28474724895080133</v>
      </c>
      <c r="AH59" s="41">
        <f t="shared" si="31"/>
        <v>0.28471920969625397</v>
      </c>
      <c r="AI59" s="18">
        <f t="shared" si="32"/>
        <v>34.166305163550476</v>
      </c>
      <c r="AJ59" s="41">
        <v>9.1</v>
      </c>
      <c r="AK59" s="44">
        <v>7.9432823472428E-10</v>
      </c>
      <c r="AL59" s="44">
        <v>1.2715146659121113E-5</v>
      </c>
      <c r="AM59" s="41">
        <v>7.9369777816924226E-4</v>
      </c>
      <c r="AN59" s="41">
        <v>0.99920630222183071</v>
      </c>
      <c r="AO59" s="41">
        <v>0.99943932739533992</v>
      </c>
      <c r="AP59" s="38">
        <v>119.93271928744079</v>
      </c>
    </row>
    <row r="60" spans="1:42" ht="15" customHeight="1" x14ac:dyDescent="0.3">
      <c r="A60" s="41">
        <v>5.7</v>
      </c>
      <c r="B60" s="44">
        <f t="shared" si="16"/>
        <v>1.9952623149688749E-6</v>
      </c>
      <c r="C60" s="44">
        <f t="shared" si="17"/>
        <v>5.0619910596354619E-9</v>
      </c>
      <c r="D60" s="41">
        <f t="shared" si="18"/>
        <v>0.91725135917569756</v>
      </c>
      <c r="E60" s="41">
        <f t="shared" si="19"/>
        <v>8.2748640824302402E-2</v>
      </c>
      <c r="F60" s="41">
        <f t="shared" si="20"/>
        <v>8.272840952884844E-2</v>
      </c>
      <c r="G60" s="18">
        <f t="shared" si="33"/>
        <v>0.41364204764424217</v>
      </c>
      <c r="H60" s="41">
        <v>9.6</v>
      </c>
      <c r="I60" s="44">
        <v>2.5118864315095784E-10</v>
      </c>
      <c r="J60" s="44">
        <v>4.0208824225903246E-5</v>
      </c>
      <c r="K60" s="41">
        <v>1.3935477765322482E-3</v>
      </c>
      <c r="L60" s="41">
        <v>0.99860645222346767</v>
      </c>
      <c r="M60" s="41">
        <v>0.99908888183039191</v>
      </c>
      <c r="N60" s="38">
        <v>4.9954444091519594</v>
      </c>
      <c r="O60" s="41">
        <v>5.7</v>
      </c>
      <c r="P60" s="44">
        <f t="shared" si="21"/>
        <v>1.9952623149688749E-6</v>
      </c>
      <c r="Q60" s="44">
        <f t="shared" si="22"/>
        <v>5.0619910596354619E-9</v>
      </c>
      <c r="R60" s="41">
        <f t="shared" si="23"/>
        <v>0.99929743962426465</v>
      </c>
      <c r="S60" s="41">
        <f t="shared" si="24"/>
        <v>7.0256037573536597E-4</v>
      </c>
      <c r="T60" s="41">
        <f t="shared" si="25"/>
        <v>0.99932131932673063</v>
      </c>
      <c r="U60" s="18">
        <f t="shared" si="26"/>
        <v>4.9966065966336535</v>
      </c>
      <c r="V60" s="41">
        <v>6.9</v>
      </c>
      <c r="W60" s="44">
        <v>1.2589254117941651E-7</v>
      </c>
      <c r="X60" s="44">
        <v>8.0227151707152563E-8</v>
      </c>
      <c r="Y60" s="41">
        <v>0.98898013069711155</v>
      </c>
      <c r="Z60" s="41">
        <v>1.1019869302888436E-2</v>
      </c>
      <c r="AA60" s="41">
        <v>0.98898067767538189</v>
      </c>
      <c r="AB60" s="38">
        <v>4.9449033883769093</v>
      </c>
      <c r="AC60" s="41">
        <v>5.7</v>
      </c>
      <c r="AD60" s="44">
        <f t="shared" si="27"/>
        <v>1.9952623149688749E-6</v>
      </c>
      <c r="AE60" s="44">
        <f t="shared" si="28"/>
        <v>5.0619910596354619E-9</v>
      </c>
      <c r="AF60" s="41">
        <f t="shared" si="29"/>
        <v>0.66613942458312159</v>
      </c>
      <c r="AG60" s="41">
        <f t="shared" si="30"/>
        <v>0.33386057541687847</v>
      </c>
      <c r="AH60" s="41">
        <f t="shared" si="31"/>
        <v>0.33383734638223017</v>
      </c>
      <c r="AI60" s="18">
        <f t="shared" si="32"/>
        <v>40.060481565867619</v>
      </c>
      <c r="AJ60" s="41">
        <v>9.1999999999999993</v>
      </c>
      <c r="AK60" s="44">
        <v>6.309573444801927E-10</v>
      </c>
      <c r="AL60" s="44">
        <v>1.6007421243857258E-5</v>
      </c>
      <c r="AM60" s="41">
        <v>6.3055948833989298E-4</v>
      </c>
      <c r="AN60" s="41">
        <v>0.99936944051165999</v>
      </c>
      <c r="AO60" s="41">
        <v>0.99966284436578412</v>
      </c>
      <c r="AP60" s="38">
        <v>119.95954132389409</v>
      </c>
    </row>
    <row r="61" spans="1:42" ht="15" customHeight="1" x14ac:dyDescent="0.3">
      <c r="A61" s="41">
        <v>5.8</v>
      </c>
      <c r="B61" s="44">
        <f t="shared" si="16"/>
        <v>1.5848931924611111E-6</v>
      </c>
      <c r="C61" s="44">
        <f t="shared" si="17"/>
        <v>6.3726691792499607E-9</v>
      </c>
      <c r="D61" s="41">
        <f t="shared" si="18"/>
        <v>0.89801082537522103</v>
      </c>
      <c r="E61" s="41">
        <f t="shared" si="19"/>
        <v>0.10198917462477902</v>
      </c>
      <c r="F61" s="41">
        <f t="shared" si="20"/>
        <v>0.1019730674863865</v>
      </c>
      <c r="G61" s="18">
        <f t="shared" si="33"/>
        <v>0.50986533743193252</v>
      </c>
      <c r="H61" s="41">
        <v>9.6999999999999993</v>
      </c>
      <c r="I61" s="44">
        <v>1.9952623149688802E-10</v>
      </c>
      <c r="J61" s="44">
        <v>5.0619910596354482E-5</v>
      </c>
      <c r="K61" s="41">
        <v>1.1072516985453263E-3</v>
      </c>
      <c r="L61" s="41">
        <v>0.99889274830145458</v>
      </c>
      <c r="M61" s="41">
        <v>0.99950013422817419</v>
      </c>
      <c r="N61" s="38">
        <v>4.9975006711408714</v>
      </c>
      <c r="O61" s="41">
        <v>5.8</v>
      </c>
      <c r="P61" s="44">
        <f t="shared" si="21"/>
        <v>1.5848931924611111E-6</v>
      </c>
      <c r="Q61" s="44">
        <f t="shared" si="22"/>
        <v>6.3726691792499607E-9</v>
      </c>
      <c r="R61" s="41">
        <f t="shared" si="23"/>
        <v>0.99911568975519338</v>
      </c>
      <c r="S61" s="41">
        <f t="shared" si="24"/>
        <v>8.8431024480666476E-4</v>
      </c>
      <c r="T61" s="41">
        <f t="shared" si="25"/>
        <v>0.99913462926946184</v>
      </c>
      <c r="U61" s="18">
        <f t="shared" si="26"/>
        <v>4.9956731463473094</v>
      </c>
      <c r="V61" s="41">
        <v>7</v>
      </c>
      <c r="W61" s="44">
        <v>9.9999999999999995E-8</v>
      </c>
      <c r="X61" s="44">
        <v>1.0099999999999999E-7</v>
      </c>
      <c r="Y61" s="41">
        <v>0.9861662785919737</v>
      </c>
      <c r="Z61" s="41">
        <v>1.3833721408026297E-2</v>
      </c>
      <c r="AA61" s="41">
        <v>0.98616626661964113</v>
      </c>
      <c r="AB61" s="38">
        <v>4.9308313330982063</v>
      </c>
      <c r="AC61" s="41">
        <v>5.8</v>
      </c>
      <c r="AD61" s="44">
        <f t="shared" si="27"/>
        <v>1.5848931924611111E-6</v>
      </c>
      <c r="AE61" s="44">
        <f t="shared" si="28"/>
        <v>6.3726691792499607E-9</v>
      </c>
      <c r="AF61" s="41">
        <f t="shared" si="29"/>
        <v>0.61313682015314264</v>
      </c>
      <c r="AG61" s="41">
        <f t="shared" si="30"/>
        <v>0.38686317984685731</v>
      </c>
      <c r="AH61" s="41">
        <f t="shared" si="31"/>
        <v>0.38684391909850729</v>
      </c>
      <c r="AI61" s="18">
        <f t="shared" si="32"/>
        <v>46.421270291820868</v>
      </c>
      <c r="AJ61" s="41">
        <v>9.3000000000000007</v>
      </c>
      <c r="AK61" s="44">
        <v>5.011872336272705E-10</v>
      </c>
      <c r="AL61" s="44">
        <v>2.0152149381185755E-5</v>
      </c>
      <c r="AM61" s="41">
        <v>5.0093617081359656E-4</v>
      </c>
      <c r="AN61" s="41">
        <v>0.9994990638291863</v>
      </c>
      <c r="AO61" s="41">
        <v>0.99986848421014274</v>
      </c>
      <c r="AP61" s="38">
        <v>119.98421810521712</v>
      </c>
    </row>
    <row r="62" spans="1:42" ht="15" customHeight="1" x14ac:dyDescent="0.3">
      <c r="A62" s="41">
        <v>5.9</v>
      </c>
      <c r="B62" s="44">
        <f t="shared" si="16"/>
        <v>1.2589254117941642E-6</v>
      </c>
      <c r="C62" s="44">
        <f t="shared" si="17"/>
        <v>8.0227151707152622E-9</v>
      </c>
      <c r="D62" s="41">
        <f t="shared" si="18"/>
        <v>0.8749066501122098</v>
      </c>
      <c r="E62" s="41">
        <f t="shared" si="19"/>
        <v>0.12509334988779022</v>
      </c>
      <c r="F62" s="41">
        <f t="shared" si="20"/>
        <v>0.12508052793368463</v>
      </c>
      <c r="G62" s="18">
        <f t="shared" si="33"/>
        <v>0.62540263966842313</v>
      </c>
      <c r="H62" s="41">
        <v>9.8000000000000007</v>
      </c>
      <c r="I62" s="44">
        <v>1.5848931924611098E-10</v>
      </c>
      <c r="J62" s="44">
        <v>6.3726691792499661E-5</v>
      </c>
      <c r="K62" s="41">
        <v>8.7972162646892142E-4</v>
      </c>
      <c r="L62" s="41">
        <v>0.99912027837353112</v>
      </c>
      <c r="M62" s="41">
        <v>0.99988498211378696</v>
      </c>
      <c r="N62" s="38">
        <v>4.9994249105689352</v>
      </c>
      <c r="O62" s="41">
        <v>5.9</v>
      </c>
      <c r="P62" s="44">
        <f t="shared" si="21"/>
        <v>1.2589254117941642E-6</v>
      </c>
      <c r="Q62" s="44">
        <f t="shared" si="22"/>
        <v>8.0227151707152622E-9</v>
      </c>
      <c r="R62" s="41">
        <f t="shared" si="23"/>
        <v>0.99888697421085682</v>
      </c>
      <c r="S62" s="41">
        <f t="shared" si="24"/>
        <v>1.1130257891432368E-3</v>
      </c>
      <c r="T62" s="41">
        <f t="shared" si="25"/>
        <v>0.99890198229618976</v>
      </c>
      <c r="U62" s="18">
        <f t="shared" si="26"/>
        <v>4.9945099114809484</v>
      </c>
      <c r="V62" s="41">
        <v>7.1</v>
      </c>
      <c r="W62" s="44">
        <v>7.943282347242818E-8</v>
      </c>
      <c r="X62" s="44">
        <v>1.2715146659121083E-7</v>
      </c>
      <c r="Y62" s="41">
        <v>0.98264653499098953</v>
      </c>
      <c r="Z62" s="41">
        <v>1.7353465009010541E-2</v>
      </c>
      <c r="AA62" s="41">
        <v>0.98264596402349413</v>
      </c>
      <c r="AB62" s="38">
        <v>4.9132298201174702</v>
      </c>
      <c r="AC62" s="41">
        <v>5.9</v>
      </c>
      <c r="AD62" s="44">
        <f t="shared" si="27"/>
        <v>1.2589254117941642E-6</v>
      </c>
      <c r="AE62" s="44">
        <f t="shared" si="28"/>
        <v>8.0227151707152622E-9</v>
      </c>
      <c r="AF62" s="41">
        <f t="shared" si="29"/>
        <v>0.5573116337622922</v>
      </c>
      <c r="AG62" s="41">
        <f t="shared" si="30"/>
        <v>0.44268836623770785</v>
      </c>
      <c r="AH62" s="41">
        <f t="shared" si="31"/>
        <v>0.44267240464752233</v>
      </c>
      <c r="AI62" s="18">
        <f t="shared" si="32"/>
        <v>53.120688557702678</v>
      </c>
      <c r="AJ62" s="41">
        <v>9.4</v>
      </c>
      <c r="AK62" s="44">
        <v>3.9810717055349621E-10</v>
      </c>
      <c r="AL62" s="44">
        <v>2.5370052958246823E-5</v>
      </c>
      <c r="AM62" s="41">
        <v>3.9794874430487567E-4</v>
      </c>
      <c r="AN62" s="41">
        <v>0.99960205125569512</v>
      </c>
      <c r="AO62" s="41">
        <v>1.0000671786376201</v>
      </c>
      <c r="AP62" s="38">
        <v>120.00806143651441</v>
      </c>
    </row>
    <row r="63" spans="1:42" ht="15" customHeight="1" x14ac:dyDescent="0.3">
      <c r="A63" s="41">
        <v>6</v>
      </c>
      <c r="B63" s="44">
        <f t="shared" si="16"/>
        <v>9.9999999999999995E-7</v>
      </c>
      <c r="C63" s="44">
        <f t="shared" si="17"/>
        <v>1.0099999999999999E-8</v>
      </c>
      <c r="D63" s="41">
        <f t="shared" si="18"/>
        <v>0.84745762711864403</v>
      </c>
      <c r="E63" s="41">
        <f t="shared" si="19"/>
        <v>0.15254237288135594</v>
      </c>
      <c r="F63" s="41">
        <f t="shared" si="20"/>
        <v>0.15253217189816201</v>
      </c>
      <c r="G63" s="18">
        <f t="shared" si="33"/>
        <v>0.76266085949081008</v>
      </c>
      <c r="H63" s="41">
        <v>9.9</v>
      </c>
      <c r="I63" s="44">
        <v>1.2589254117941656E-10</v>
      </c>
      <c r="J63" s="44">
        <v>8.0227151707152526E-5</v>
      </c>
      <c r="K63" s="41">
        <v>6.9891418387079296E-4</v>
      </c>
      <c r="L63" s="41">
        <v>0.9993010858161292</v>
      </c>
      <c r="M63" s="41">
        <v>1.0002638524621013</v>
      </c>
      <c r="N63" s="38">
        <v>5.0013192623105063</v>
      </c>
      <c r="O63" s="41">
        <v>6</v>
      </c>
      <c r="P63" s="44">
        <f t="shared" si="21"/>
        <v>9.9999999999999995E-7</v>
      </c>
      <c r="Q63" s="44">
        <f t="shared" si="22"/>
        <v>1.0099999999999999E-8</v>
      </c>
      <c r="R63" s="41">
        <f t="shared" si="23"/>
        <v>0.9985991872512171</v>
      </c>
      <c r="S63" s="41">
        <f t="shared" si="24"/>
        <v>1.4008127487829573E-3</v>
      </c>
      <c r="T63" s="41">
        <f t="shared" si="25"/>
        <v>0.99861106330140026</v>
      </c>
      <c r="U63" s="18">
        <f t="shared" si="26"/>
        <v>4.993055316507002</v>
      </c>
      <c r="V63" s="41">
        <v>7.2</v>
      </c>
      <c r="W63" s="44">
        <v>6.3095734448019177E-8</v>
      </c>
      <c r="X63" s="44">
        <v>1.6007421243857284E-7</v>
      </c>
      <c r="Y63" s="41">
        <v>0.97825100565317047</v>
      </c>
      <c r="Z63" s="41">
        <v>2.1748994346829597E-2</v>
      </c>
      <c r="AA63" s="41">
        <v>0.97824984613002808</v>
      </c>
      <c r="AB63" s="38">
        <v>4.8912492306501409</v>
      </c>
      <c r="AC63" s="41">
        <v>6</v>
      </c>
      <c r="AD63" s="44">
        <f t="shared" si="27"/>
        <v>9.9999999999999995E-7</v>
      </c>
      <c r="AE63" s="44">
        <f t="shared" si="28"/>
        <v>1.0099999999999999E-8</v>
      </c>
      <c r="AF63" s="41">
        <f t="shared" si="29"/>
        <v>0.5</v>
      </c>
      <c r="AG63" s="41">
        <f t="shared" si="30"/>
        <v>0.5</v>
      </c>
      <c r="AH63" s="41">
        <f t="shared" si="31"/>
        <v>0.49998680146398572</v>
      </c>
      <c r="AI63" s="18">
        <f t="shared" si="32"/>
        <v>59.998416175678287</v>
      </c>
      <c r="AJ63" s="41">
        <v>9.5</v>
      </c>
      <c r="AK63" s="44">
        <v>3.1622776601683744E-10</v>
      </c>
      <c r="AL63" s="44">
        <v>3.193900436770068E-5</v>
      </c>
      <c r="AM63" s="41">
        <v>3.1612779762961717E-4</v>
      </c>
      <c r="AN63" s="41">
        <v>0.99968387220237032</v>
      </c>
      <c r="AO63" s="41">
        <v>1.0002695008933189</v>
      </c>
      <c r="AP63" s="38">
        <v>120.03234010719825</v>
      </c>
    </row>
    <row r="64" spans="1:42" ht="15" customHeight="1" x14ac:dyDescent="0.3">
      <c r="A64" s="41">
        <v>6.1</v>
      </c>
      <c r="B64" s="44">
        <f t="shared" si="16"/>
        <v>7.9432823472428114E-7</v>
      </c>
      <c r="C64" s="44">
        <f t="shared" si="17"/>
        <v>1.2715146659121094E-8</v>
      </c>
      <c r="D64" s="41">
        <f t="shared" si="18"/>
        <v>0.81525732952721308</v>
      </c>
      <c r="E64" s="41">
        <f t="shared" si="19"/>
        <v>0.18474267047278684</v>
      </c>
      <c r="F64" s="41">
        <f t="shared" si="20"/>
        <v>0.18473456555999768</v>
      </c>
      <c r="G64" s="18">
        <f t="shared" si="33"/>
        <v>0.92367282779998838</v>
      </c>
      <c r="H64" s="41">
        <v>10</v>
      </c>
      <c r="I64" s="44">
        <v>1E-10</v>
      </c>
      <c r="J64" s="44">
        <v>1.0099999999999999E-4</v>
      </c>
      <c r="K64" s="41">
        <v>5.5524708495280405E-4</v>
      </c>
      <c r="L64" s="41">
        <v>0.9994447529150472</v>
      </c>
      <c r="M64" s="41">
        <v>1.0006568844055659</v>
      </c>
      <c r="N64" s="38">
        <v>5.0032844220278294</v>
      </c>
      <c r="O64" s="41">
        <v>6.1</v>
      </c>
      <c r="P64" s="44">
        <f t="shared" si="21"/>
        <v>7.9432823472428114E-7</v>
      </c>
      <c r="Q64" s="44">
        <f t="shared" si="22"/>
        <v>1.2715146659121094E-8</v>
      </c>
      <c r="R64" s="41">
        <f t="shared" si="23"/>
        <v>0.99823712064034442</v>
      </c>
      <c r="S64" s="41">
        <f t="shared" si="24"/>
        <v>1.7628793596556577E-3</v>
      </c>
      <c r="T64" s="41">
        <f t="shared" si="25"/>
        <v>0.99824649725627979</v>
      </c>
      <c r="U64" s="18">
        <f t="shared" si="26"/>
        <v>4.9912324862813993</v>
      </c>
      <c r="V64" s="41">
        <v>7.3</v>
      </c>
      <c r="W64" s="44">
        <v>5.0118723362727164E-8</v>
      </c>
      <c r="X64" s="44">
        <v>2.0152149381185708E-7</v>
      </c>
      <c r="Y64" s="41">
        <v>0.97277296377773914</v>
      </c>
      <c r="Z64" s="41">
        <v>2.7227036222260768E-2</v>
      </c>
      <c r="AA64" s="41">
        <v>0.97277115518953883</v>
      </c>
      <c r="AB64" s="38">
        <v>4.8638557759476946</v>
      </c>
      <c r="AC64" s="41">
        <v>6.1</v>
      </c>
      <c r="AD64" s="44">
        <f t="shared" si="27"/>
        <v>7.9432823472428114E-7</v>
      </c>
      <c r="AE64" s="44">
        <f t="shared" si="28"/>
        <v>1.2715146659121094E-8</v>
      </c>
      <c r="AF64" s="41">
        <f t="shared" si="29"/>
        <v>0.44268836623770719</v>
      </c>
      <c r="AG64" s="41">
        <f t="shared" si="30"/>
        <v>0.55731163376229287</v>
      </c>
      <c r="AH64" s="41">
        <f t="shared" si="31"/>
        <v>0.55730076438417797</v>
      </c>
      <c r="AI64" s="18">
        <f t="shared" si="32"/>
        <v>66.87609172610135</v>
      </c>
      <c r="AJ64" s="41">
        <v>9.6</v>
      </c>
      <c r="AK64" s="44">
        <v>2.5118864315095784E-10</v>
      </c>
      <c r="AL64" s="44">
        <v>4.0208824225903246E-5</v>
      </c>
      <c r="AM64" s="41">
        <v>2.5112556326146166E-4</v>
      </c>
      <c r="AN64" s="41">
        <v>0.99974887443673843</v>
      </c>
      <c r="AO64" s="41">
        <v>1.0004862271140724</v>
      </c>
      <c r="AP64" s="38">
        <v>120.05834725368868</v>
      </c>
    </row>
    <row r="65" spans="1:42" ht="15" customHeight="1" x14ac:dyDescent="0.3">
      <c r="A65" s="41">
        <v>6.2</v>
      </c>
      <c r="B65" s="44">
        <f t="shared" si="16"/>
        <v>6.3095734448019254E-7</v>
      </c>
      <c r="C65" s="44">
        <f t="shared" si="17"/>
        <v>1.6007421243857263E-8</v>
      </c>
      <c r="D65" s="41">
        <f t="shared" si="18"/>
        <v>0.7780401136691395</v>
      </c>
      <c r="E65" s="41">
        <f t="shared" si="19"/>
        <v>0.22195988633086047</v>
      </c>
      <c r="F65" s="41">
        <f t="shared" si="20"/>
        <v>0.22195346385109702</v>
      </c>
      <c r="G65" s="18">
        <f t="shared" si="33"/>
        <v>1.1097673192554851</v>
      </c>
      <c r="H65" s="41">
        <v>10.1</v>
      </c>
      <c r="I65" s="44">
        <v>7.943282347242792E-11</v>
      </c>
      <c r="J65" s="44">
        <v>1.2715146659121124E-4</v>
      </c>
      <c r="K65" s="41">
        <v>4.4109880971412226E-4</v>
      </c>
      <c r="L65" s="41">
        <v>0.9995589011902859</v>
      </c>
      <c r="M65" s="41">
        <v>1.0010849937531081</v>
      </c>
      <c r="N65" s="38">
        <v>5.0054249687655403</v>
      </c>
      <c r="O65" s="41">
        <v>6.2</v>
      </c>
      <c r="P65" s="44">
        <f t="shared" si="21"/>
        <v>6.3095734448019254E-7</v>
      </c>
      <c r="Q65" s="44">
        <f t="shared" si="22"/>
        <v>1.6007421243857263E-8</v>
      </c>
      <c r="R65" s="41">
        <f t="shared" si="23"/>
        <v>0.99778167893830993</v>
      </c>
      <c r="S65" s="41">
        <f t="shared" si="24"/>
        <v>2.2183210616900928E-3</v>
      </c>
      <c r="T65" s="41">
        <f t="shared" si="25"/>
        <v>0.99778905561814868</v>
      </c>
      <c r="U65" s="18">
        <f t="shared" si="26"/>
        <v>4.9889452780907435</v>
      </c>
      <c r="V65" s="41">
        <v>7.4</v>
      </c>
      <c r="W65" s="44">
        <v>3.981071705534957E-8</v>
      </c>
      <c r="X65" s="44">
        <v>2.5370052958246857E-7</v>
      </c>
      <c r="Y65" s="41">
        <v>0.965963144269672</v>
      </c>
      <c r="Z65" s="41">
        <v>3.4036855730328094E-2</v>
      </c>
      <c r="AA65" s="41">
        <v>0.96596059215328678</v>
      </c>
      <c r="AB65" s="38">
        <v>4.8298029607664343</v>
      </c>
      <c r="AC65" s="41">
        <v>6.2</v>
      </c>
      <c r="AD65" s="44">
        <f t="shared" si="27"/>
        <v>6.3095734448019254E-7</v>
      </c>
      <c r="AE65" s="44">
        <f t="shared" si="28"/>
        <v>1.6007421243857263E-8</v>
      </c>
      <c r="AF65" s="41">
        <f t="shared" si="29"/>
        <v>0.3868631798468567</v>
      </c>
      <c r="AG65" s="41">
        <f t="shared" si="30"/>
        <v>0.6131368201531433</v>
      </c>
      <c r="AH65" s="41">
        <f t="shared" si="31"/>
        <v>0.61312792514074477</v>
      </c>
      <c r="AI65" s="18">
        <f t="shared" si="32"/>
        <v>73.575351016889357</v>
      </c>
      <c r="AJ65" s="41">
        <v>9.6999999999999993</v>
      </c>
      <c r="AK65" s="44">
        <v>1.9952623149688802E-10</v>
      </c>
      <c r="AL65" s="44">
        <v>5.0619910596354482E-5</v>
      </c>
      <c r="AM65" s="41">
        <v>1.9948642872153047E-4</v>
      </c>
      <c r="AN65" s="41">
        <v>0.99980051357127853</v>
      </c>
      <c r="AO65" s="41">
        <v>1.0007289105799937</v>
      </c>
      <c r="AP65" s="38">
        <v>120.08746926959924</v>
      </c>
    </row>
    <row r="66" spans="1:42" ht="15" customHeight="1" x14ac:dyDescent="0.3">
      <c r="A66" s="41">
        <v>6.3</v>
      </c>
      <c r="B66" s="44">
        <f t="shared" si="16"/>
        <v>5.0118723362727218E-7</v>
      </c>
      <c r="C66" s="44">
        <f t="shared" si="17"/>
        <v>2.0152149381185686E-8</v>
      </c>
      <c r="D66" s="41">
        <f t="shared" si="18"/>
        <v>0.73575547057522916</v>
      </c>
      <c r="E66" s="41">
        <f t="shared" si="19"/>
        <v>0.26424452942477089</v>
      </c>
      <c r="F66" s="41">
        <f t="shared" si="20"/>
        <v>0.26423946485702193</v>
      </c>
      <c r="G66" s="18">
        <f t="shared" si="33"/>
        <v>1.3211973242851096</v>
      </c>
      <c r="H66" s="41">
        <v>10.199999999999999</v>
      </c>
      <c r="I66" s="44">
        <v>6.3095734448019192E-11</v>
      </c>
      <c r="J66" s="44">
        <v>1.600742124385728E-4</v>
      </c>
      <c r="K66" s="41">
        <v>3.5040902851670954E-4</v>
      </c>
      <c r="L66" s="41">
        <v>0.99964959097148332</v>
      </c>
      <c r="M66" s="41">
        <v>1.00157098371136</v>
      </c>
      <c r="N66" s="38">
        <v>5.0078549185568004</v>
      </c>
      <c r="O66" s="41">
        <v>6.3</v>
      </c>
      <c r="P66" s="44">
        <f t="shared" si="21"/>
        <v>5.0118723362727218E-7</v>
      </c>
      <c r="Q66" s="44">
        <f t="shared" si="22"/>
        <v>2.0152149381185686E-8</v>
      </c>
      <c r="R66" s="41">
        <f t="shared" si="23"/>
        <v>0.99720890239371029</v>
      </c>
      <c r="S66" s="41">
        <f t="shared" si="24"/>
        <v>2.791097606289759E-3</v>
      </c>
      <c r="T66" s="41">
        <f t="shared" si="25"/>
        <v>0.99721467213504045</v>
      </c>
      <c r="U66" s="18">
        <f t="shared" si="26"/>
        <v>4.9860733606752028</v>
      </c>
      <c r="V66" s="41">
        <v>7.5</v>
      </c>
      <c r="W66" s="44">
        <v>3.1622776601683699E-8</v>
      </c>
      <c r="X66" s="44">
        <v>3.1939004367700723E-7</v>
      </c>
      <c r="Y66" s="41">
        <v>0.95752447448239786</v>
      </c>
      <c r="Z66" s="41">
        <v>4.2475525517602281E-2</v>
      </c>
      <c r="AA66" s="41">
        <v>0.9575210457232981</v>
      </c>
      <c r="AB66" s="38">
        <v>4.7876052286164903</v>
      </c>
      <c r="AC66" s="41">
        <v>6.3</v>
      </c>
      <c r="AD66" s="44">
        <f t="shared" si="27"/>
        <v>5.0118723362727218E-7</v>
      </c>
      <c r="AE66" s="44">
        <f t="shared" si="28"/>
        <v>2.0152149381185686E-8</v>
      </c>
      <c r="AF66" s="41">
        <f t="shared" si="29"/>
        <v>0.33386057541687786</v>
      </c>
      <c r="AG66" s="41">
        <f t="shared" si="30"/>
        <v>0.66613942458312203</v>
      </c>
      <c r="AH66" s="41">
        <f t="shared" si="31"/>
        <v>0.66613221162777458</v>
      </c>
      <c r="AI66" s="18">
        <f t="shared" si="32"/>
        <v>79.935865395332939</v>
      </c>
      <c r="AJ66" s="41">
        <v>9.8000000000000007</v>
      </c>
      <c r="AK66" s="44">
        <v>1.5848931924611098E-10</v>
      </c>
      <c r="AL66" s="44">
        <v>6.3726691792499661E-5</v>
      </c>
      <c r="AM66" s="41">
        <v>1.5846420436223672E-4</v>
      </c>
      <c r="AN66" s="41">
        <v>0.99984153579563773</v>
      </c>
      <c r="AO66" s="41">
        <v>1.0010104995291815</v>
      </c>
      <c r="AP66" s="38">
        <v>120.12125994350178</v>
      </c>
    </row>
    <row r="67" spans="1:42" ht="15" customHeight="1" x14ac:dyDescent="0.3">
      <c r="A67" s="41">
        <v>6.4</v>
      </c>
      <c r="B67" s="44">
        <f t="shared" si="16"/>
        <v>3.9810717055349618E-7</v>
      </c>
      <c r="C67" s="44">
        <f t="shared" si="17"/>
        <v>2.5370052958246826E-8</v>
      </c>
      <c r="D67" s="41">
        <f t="shared" si="18"/>
        <v>0.68863904623832473</v>
      </c>
      <c r="E67" s="41">
        <f t="shared" si="19"/>
        <v>0.31136095376167516</v>
      </c>
      <c r="F67" s="41">
        <f t="shared" si="20"/>
        <v>0.31135699428188202</v>
      </c>
      <c r="G67" s="18">
        <f t="shared" si="33"/>
        <v>1.5567849714094102</v>
      </c>
      <c r="H67" s="41">
        <v>10.3</v>
      </c>
      <c r="I67" s="44">
        <v>5.0118723362726993E-11</v>
      </c>
      <c r="J67" s="44">
        <v>2.0152149381185778E-4</v>
      </c>
      <c r="K67" s="41">
        <v>2.7835984623665648E-4</v>
      </c>
      <c r="L67" s="41">
        <v>0.9997216401537633</v>
      </c>
      <c r="M67" s="41">
        <v>1.002140760296292</v>
      </c>
      <c r="N67" s="38">
        <v>5.0107038014814602</v>
      </c>
      <c r="O67" s="41">
        <v>6.4</v>
      </c>
      <c r="P67" s="44">
        <f t="shared" si="21"/>
        <v>3.9810717055349618E-7</v>
      </c>
      <c r="Q67" s="44">
        <f t="shared" si="22"/>
        <v>2.5370052958246826E-8</v>
      </c>
      <c r="R67" s="41">
        <f t="shared" si="23"/>
        <v>0.99648875382543767</v>
      </c>
      <c r="S67" s="41">
        <f t="shared" si="24"/>
        <v>3.5112461745623242E-3</v>
      </c>
      <c r="T67" s="41">
        <f t="shared" si="25"/>
        <v>0.99649322405663776</v>
      </c>
      <c r="U67" s="18">
        <f t="shared" si="26"/>
        <v>4.9824661202831892</v>
      </c>
      <c r="V67" s="41">
        <v>7.6</v>
      </c>
      <c r="W67" s="44">
        <v>2.5118864315095751E-8</v>
      </c>
      <c r="X67" s="44">
        <v>4.02088242259033E-7</v>
      </c>
      <c r="Y67" s="41">
        <v>0.94710818535045727</v>
      </c>
      <c r="Z67" s="41">
        <v>5.2891814649542748E-2</v>
      </c>
      <c r="AA67" s="41">
        <v>0.94710370159849133</v>
      </c>
      <c r="AB67" s="38">
        <v>4.7355185079924569</v>
      </c>
      <c r="AC67" s="41">
        <v>6.4</v>
      </c>
      <c r="AD67" s="44">
        <f t="shared" si="27"/>
        <v>3.9810717055349618E-7</v>
      </c>
      <c r="AE67" s="44">
        <f t="shared" si="28"/>
        <v>2.5370052958246826E-8</v>
      </c>
      <c r="AF67" s="41">
        <f t="shared" si="29"/>
        <v>0.28474724895080089</v>
      </c>
      <c r="AG67" s="41">
        <f t="shared" si="30"/>
        <v>0.71525275104919905</v>
      </c>
      <c r="AH67" s="41">
        <f t="shared" si="31"/>
        <v>0.71524697891557953</v>
      </c>
      <c r="AI67" s="18">
        <f t="shared" si="32"/>
        <v>85.829637469869553</v>
      </c>
      <c r="AJ67" s="41">
        <v>9.9</v>
      </c>
      <c r="AK67" s="44">
        <v>1.2589254117941656E-10</v>
      </c>
      <c r="AL67" s="44">
        <v>8.0227151707152526E-5</v>
      </c>
      <c r="AM67" s="41">
        <v>1.2587669424250311E-4</v>
      </c>
      <c r="AN67" s="41">
        <v>0.99987412330575753</v>
      </c>
      <c r="AO67" s="41">
        <v>1.0013460319937939</v>
      </c>
      <c r="AP67" s="38">
        <v>120.16152383925525</v>
      </c>
    </row>
    <row r="68" spans="1:42" ht="15" customHeight="1" x14ac:dyDescent="0.3">
      <c r="A68" s="41">
        <v>6.5</v>
      </c>
      <c r="B68" s="44">
        <f t="shared" si="16"/>
        <v>3.1622776601683734E-7</v>
      </c>
      <c r="C68" s="44">
        <f t="shared" si="17"/>
        <v>3.1939004367700689E-8</v>
      </c>
      <c r="D68" s="41">
        <f t="shared" si="18"/>
        <v>0.63726334492557901</v>
      </c>
      <c r="E68" s="41">
        <f t="shared" si="19"/>
        <v>0.36273665507442093</v>
      </c>
      <c r="F68" s="41">
        <f t="shared" si="20"/>
        <v>0.36273360594462917</v>
      </c>
      <c r="G68" s="18">
        <f t="shared" si="33"/>
        <v>1.8136680297231458</v>
      </c>
      <c r="H68" s="41">
        <v>10.4</v>
      </c>
      <c r="I68" s="44">
        <v>3.9810717055349579E-11</v>
      </c>
      <c r="J68" s="44">
        <v>2.5370052958246852E-4</v>
      </c>
      <c r="K68" s="41">
        <v>2.2112174466743241E-4</v>
      </c>
      <c r="L68" s="41">
        <v>0.99977887825533251</v>
      </c>
      <c r="M68" s="41">
        <v>1.0028247173969678</v>
      </c>
      <c r="N68" s="38">
        <v>5.0141235869848391</v>
      </c>
      <c r="O68" s="41">
        <v>6.5</v>
      </c>
      <c r="P68" s="44">
        <f t="shared" si="21"/>
        <v>3.1622776601683734E-7</v>
      </c>
      <c r="Q68" s="44">
        <f t="shared" si="22"/>
        <v>3.1939004367700689E-8</v>
      </c>
      <c r="R68" s="41">
        <f t="shared" si="23"/>
        <v>0.99558361812116891</v>
      </c>
      <c r="S68" s="41">
        <f t="shared" si="24"/>
        <v>4.4163818788310093E-3</v>
      </c>
      <c r="T68" s="41">
        <f t="shared" si="25"/>
        <v>0.99558702707719149</v>
      </c>
      <c r="U68" s="18">
        <f t="shared" si="26"/>
        <v>4.977935135385958</v>
      </c>
      <c r="V68" s="41">
        <v>7.7</v>
      </c>
      <c r="W68" s="44">
        <v>1.9952623149688773E-8</v>
      </c>
      <c r="X68" s="44">
        <v>5.0619910596354556E-7</v>
      </c>
      <c r="Y68" s="41">
        <v>0.93431273978220775</v>
      </c>
      <c r="Z68" s="41">
        <v>6.5687260217792268E-2</v>
      </c>
      <c r="AA68" s="41">
        <v>0.93430696871042473</v>
      </c>
      <c r="AB68" s="38">
        <v>4.6715348435521244</v>
      </c>
      <c r="AC68" s="41">
        <v>6.5</v>
      </c>
      <c r="AD68" s="44">
        <f t="shared" si="27"/>
        <v>3.1622776601683734E-7</v>
      </c>
      <c r="AE68" s="44">
        <f t="shared" si="28"/>
        <v>3.1939004367700689E-8</v>
      </c>
      <c r="AF68" s="41">
        <f t="shared" si="29"/>
        <v>0.24025307335204182</v>
      </c>
      <c r="AG68" s="41">
        <f t="shared" si="30"/>
        <v>0.75974692664795818</v>
      </c>
      <c r="AH68" s="41">
        <f t="shared" si="31"/>
        <v>0.75974239771269025</v>
      </c>
      <c r="AI68" s="18">
        <f t="shared" si="32"/>
        <v>91.169087725522814</v>
      </c>
      <c r="AJ68" s="41">
        <v>10</v>
      </c>
      <c r="AK68" s="44">
        <v>1E-10</v>
      </c>
      <c r="AL68" s="44">
        <v>1.0099999999999999E-4</v>
      </c>
      <c r="AM68" s="41">
        <v>9.9990000999900015E-5</v>
      </c>
      <c r="AN68" s="41">
        <v>0.99990000999900008</v>
      </c>
      <c r="AO68" s="41">
        <v>1.0017534458108488</v>
      </c>
      <c r="AP68" s="38">
        <v>120.21041349730186</v>
      </c>
    </row>
    <row r="69" spans="1:42" ht="15" customHeight="1" x14ac:dyDescent="0.3">
      <c r="A69" s="41">
        <v>6.6</v>
      </c>
      <c r="B69" s="44">
        <f t="shared" ref="B69:B132" si="34">10^(-A69)</f>
        <v>2.511886431509578E-7</v>
      </c>
      <c r="C69" s="44">
        <f t="shared" ref="C69:C132" si="35">Kw/B69</f>
        <v>4.0208824225903253E-8</v>
      </c>
      <c r="D69" s="41">
        <f t="shared" ref="D69:D132" si="36">B69/(B69+WASB_Ka)</f>
        <v>0.58254930212300948</v>
      </c>
      <c r="E69" s="41">
        <f t="shared" ref="E69:E132" si="37">WASB_Ka/(B69+WASB_Ka)</f>
        <v>0.41745069787699063</v>
      </c>
      <c r="F69" s="41">
        <f t="shared" ref="F69:F132" si="38">(E69-((B69-C69)/WASB_Ca)) / (1 + ((B69-C69)/WASB_Cb))</f>
        <v>0.4174484119324206</v>
      </c>
      <c r="G69" s="18">
        <f t="shared" si="33"/>
        <v>2.0872420596621031</v>
      </c>
      <c r="H69" s="41">
        <v>10.5</v>
      </c>
      <c r="I69" s="44">
        <v>3.162277660168371E-11</v>
      </c>
      <c r="J69" s="44">
        <v>3.1939004367700712E-4</v>
      </c>
      <c r="K69" s="41">
        <v>1.7565123345537965E-4</v>
      </c>
      <c r="L69" s="41">
        <v>0.99982434876654458</v>
      </c>
      <c r="M69" s="41">
        <v>1.0036593664413791</v>
      </c>
      <c r="N69" s="38">
        <v>5.0182968322068957</v>
      </c>
      <c r="O69" s="41">
        <v>6.6</v>
      </c>
      <c r="P69" s="44">
        <f t="shared" ref="P69:P132" si="39">10^-O69</f>
        <v>2.511886431509578E-7</v>
      </c>
      <c r="Q69" s="44">
        <f t="shared" ref="Q69:Q132" si="40">Kw/P69</f>
        <v>4.0208824225903253E-8</v>
      </c>
      <c r="R69" s="41">
        <f t="shared" ref="R69:R132" si="41">P69/(P69+(Kw/SAWB_Kb))</f>
        <v>0.99444645517801034</v>
      </c>
      <c r="S69" s="41">
        <f t="shared" ref="S69:S132" si="42">(Kw/SAWB_Kb)/(P69+(Kw/SAWB_Kb))</f>
        <v>5.5535448219896097E-3</v>
      </c>
      <c r="T69" s="41">
        <f t="shared" ref="T69:T132" si="43">(R69+((P69-Q69)/SAWB_Cb))/(1-((P69-Q69)/SAWB_Ca))</f>
        <v>0.99444898459353304</v>
      </c>
      <c r="U69" s="18">
        <f t="shared" ref="U69:U132" si="44">(T69*SAWB_Cb*SAWB_Vb)/SAWB_Ca</f>
        <v>4.9722449229676657</v>
      </c>
      <c r="V69" s="41">
        <v>7.8</v>
      </c>
      <c r="W69" s="44">
        <v>1.5848931924611133E-8</v>
      </c>
      <c r="X69" s="44">
        <v>6.3726691792499521E-7</v>
      </c>
      <c r="Y69" s="41">
        <v>0.91868760824421192</v>
      </c>
      <c r="Z69" s="41">
        <v>8.1312391755788097E-2</v>
      </c>
      <c r="AA69" s="41">
        <v>0.91868025229548766</v>
      </c>
      <c r="AB69" s="38">
        <v>4.5934012614774389</v>
      </c>
      <c r="AC69" s="41">
        <v>6.6</v>
      </c>
      <c r="AD69" s="44">
        <f t="shared" ref="AD69:AD132" si="45">10^(-AC69)</f>
        <v>2.511886431509578E-7</v>
      </c>
      <c r="AE69" s="44">
        <f t="shared" ref="AE69:AE132" si="46">Kw/AD69</f>
        <v>4.0208824225903253E-8</v>
      </c>
      <c r="AF69" s="41">
        <f t="shared" ref="AF69:AF132" si="47">AD69/(AD69+DEMO_Ka)</f>
        <v>0.20076000891310161</v>
      </c>
      <c r="AG69" s="41">
        <f t="shared" ref="AG69:AG132" si="48">DEMO_Ka/(AD69+DEMO_Ka)</f>
        <v>0.79923999108689836</v>
      </c>
      <c r="AH69" s="41">
        <f t="shared" ref="AH69:AH132" si="49">(AG69-((AD69-AE69)/DEMO_Ca)) / (1 + ((AD69-AE69)/DEMO_Cb))</f>
        <v>0.79923654669392163</v>
      </c>
      <c r="AI69" s="18">
        <f t="shared" ref="AI69:AI132" si="50">AH69*(DEMO_Va * DEMO_Ca)/DEMO_Cb</f>
        <v>95.908385603270588</v>
      </c>
      <c r="AJ69" s="41">
        <v>10.1</v>
      </c>
      <c r="AK69" s="44">
        <v>7.943282347242792E-11</v>
      </c>
      <c r="AL69" s="44">
        <v>1.2715146659121124E-4</v>
      </c>
      <c r="AM69" s="41">
        <v>7.9426514400130545E-5</v>
      </c>
      <c r="AN69" s="41">
        <v>0.99992057348559982</v>
      </c>
      <c r="AO69" s="41">
        <v>1.0022545489404222</v>
      </c>
      <c r="AP69" s="38">
        <v>120.27054587285066</v>
      </c>
    </row>
    <row r="70" spans="1:42" ht="15" customHeight="1" x14ac:dyDescent="0.3">
      <c r="A70" s="41">
        <v>6.7</v>
      </c>
      <c r="B70" s="44">
        <f t="shared" si="34"/>
        <v>1.9952623149688761E-7</v>
      </c>
      <c r="C70" s="44">
        <f t="shared" si="35"/>
        <v>5.0619910596354589E-8</v>
      </c>
      <c r="D70" s="41">
        <f t="shared" si="36"/>
        <v>0.52572448209953004</v>
      </c>
      <c r="E70" s="41">
        <f t="shared" si="37"/>
        <v>0.47427551790046985</v>
      </c>
      <c r="F70" s="41">
        <f t="shared" si="38"/>
        <v>0.47427388759250139</v>
      </c>
      <c r="G70" s="18">
        <f t="shared" ref="G70:G133" si="51">F70*(WASB_Va * WASB_Ca)/WASB_Cb</f>
        <v>2.3713694379625068</v>
      </c>
      <c r="H70" s="41">
        <v>10.6</v>
      </c>
      <c r="I70" s="44">
        <v>2.5118864315095759E-11</v>
      </c>
      <c r="J70" s="44">
        <v>4.0208824225903287E-4</v>
      </c>
      <c r="K70" s="41">
        <v>1.3952977492006458E-4</v>
      </c>
      <c r="L70" s="41">
        <v>0.99986047022507996</v>
      </c>
      <c r="M70" s="41">
        <v>1.0046892998551986</v>
      </c>
      <c r="N70" s="38">
        <v>5.0234464992759928</v>
      </c>
      <c r="O70" s="41">
        <v>6.7</v>
      </c>
      <c r="P70" s="44">
        <f t="shared" si="39"/>
        <v>1.9952623149688761E-7</v>
      </c>
      <c r="Q70" s="44">
        <f t="shared" si="40"/>
        <v>5.0619910596354589E-8</v>
      </c>
      <c r="R70" s="41">
        <f t="shared" si="41"/>
        <v>0.99301854031510095</v>
      </c>
      <c r="S70" s="41">
        <f t="shared" si="42"/>
        <v>6.9814596848990201E-3</v>
      </c>
      <c r="T70" s="41">
        <f t="shared" si="43"/>
        <v>0.9930203251123163</v>
      </c>
      <c r="U70" s="18">
        <f t="shared" si="44"/>
        <v>4.9651016255615819</v>
      </c>
      <c r="V70" s="41">
        <v>7.9</v>
      </c>
      <c r="W70" s="44">
        <v>1.2589254117941638E-8</v>
      </c>
      <c r="X70" s="44">
        <v>8.0227151707152647E-7</v>
      </c>
      <c r="Y70" s="41">
        <v>0.89974452686840078</v>
      </c>
      <c r="Z70" s="41">
        <v>0.10025547313159926</v>
      </c>
      <c r="AA70" s="41">
        <v>0.89973520903589943</v>
      </c>
      <c r="AB70" s="38">
        <v>4.498676045179498</v>
      </c>
      <c r="AC70" s="41">
        <v>6.7</v>
      </c>
      <c r="AD70" s="44">
        <f t="shared" si="45"/>
        <v>1.9952623149688761E-7</v>
      </c>
      <c r="AE70" s="44">
        <f t="shared" si="46"/>
        <v>5.0619910596354589E-8</v>
      </c>
      <c r="AF70" s="41">
        <f t="shared" si="47"/>
        <v>0.16633753081656166</v>
      </c>
      <c r="AG70" s="41">
        <f t="shared" si="48"/>
        <v>0.83366246918343834</v>
      </c>
      <c r="AH70" s="41">
        <f t="shared" si="49"/>
        <v>0.83365998692501553</v>
      </c>
      <c r="AI70" s="18">
        <f t="shared" si="50"/>
        <v>100.03919843100186</v>
      </c>
      <c r="AJ70" s="41">
        <v>10.199999999999999</v>
      </c>
      <c r="AK70" s="44">
        <v>6.3095734448019192E-11</v>
      </c>
      <c r="AL70" s="44">
        <v>1.600742124385728E-4</v>
      </c>
      <c r="AM70" s="41">
        <v>6.3091753627486462E-5</v>
      </c>
      <c r="AN70" s="41">
        <v>0.9999369082463726</v>
      </c>
      <c r="AO70" s="41">
        <v>1.0028762050450839</v>
      </c>
      <c r="AP70" s="38">
        <v>120.34514460541007</v>
      </c>
    </row>
    <row r="71" spans="1:42" ht="15" customHeight="1" x14ac:dyDescent="0.3">
      <c r="A71" s="41">
        <v>6.8</v>
      </c>
      <c r="B71" s="44">
        <f t="shared" si="34"/>
        <v>1.5848931924611122E-7</v>
      </c>
      <c r="C71" s="44">
        <f t="shared" si="35"/>
        <v>6.3726691792499566E-8</v>
      </c>
      <c r="D71" s="41">
        <f t="shared" si="36"/>
        <v>0.46822546601795634</v>
      </c>
      <c r="E71" s="41">
        <f t="shared" si="37"/>
        <v>0.53177453398204366</v>
      </c>
      <c r="F71" s="41">
        <f t="shared" si="38"/>
        <v>0.53177348557126369</v>
      </c>
      <c r="G71" s="18">
        <f t="shared" si="51"/>
        <v>2.6588674278563182</v>
      </c>
      <c r="H71" s="41">
        <v>10.7</v>
      </c>
      <c r="I71" s="44">
        <v>1.995262314968878E-11</v>
      </c>
      <c r="J71" s="44">
        <v>5.0619910596354538E-4</v>
      </c>
      <c r="K71" s="41">
        <v>1.1083562049067538E-4</v>
      </c>
      <c r="L71" s="41">
        <v>0.99988916437950937</v>
      </c>
      <c r="M71" s="41">
        <v>1.0059695970207521</v>
      </c>
      <c r="N71" s="38">
        <v>5.0298479851037605</v>
      </c>
      <c r="O71" s="41">
        <v>6.8</v>
      </c>
      <c r="P71" s="44">
        <f t="shared" si="39"/>
        <v>1.5848931924611122E-7</v>
      </c>
      <c r="Q71" s="44">
        <f t="shared" si="40"/>
        <v>6.3726691792499566E-8</v>
      </c>
      <c r="R71" s="41">
        <f t="shared" si="41"/>
        <v>0.99122672224651487</v>
      </c>
      <c r="S71" s="41">
        <f t="shared" si="42"/>
        <v>8.7732777534851696E-3</v>
      </c>
      <c r="T71" s="41">
        <f t="shared" si="43"/>
        <v>0.99122785773550182</v>
      </c>
      <c r="U71" s="18">
        <f t="shared" si="44"/>
        <v>4.9561392886775097</v>
      </c>
      <c r="V71" s="41">
        <v>8</v>
      </c>
      <c r="W71" s="44">
        <v>1E-8</v>
      </c>
      <c r="X71" s="44">
        <v>1.0099999999999999E-6</v>
      </c>
      <c r="Y71" s="41">
        <v>0.87697929354445803</v>
      </c>
      <c r="Z71" s="41">
        <v>0.12302070645554201</v>
      </c>
      <c r="AA71" s="41">
        <v>0.87696753960937879</v>
      </c>
      <c r="AB71" s="38">
        <v>4.3848376980468942</v>
      </c>
      <c r="AC71" s="41">
        <v>6.8</v>
      </c>
      <c r="AD71" s="44">
        <f t="shared" si="45"/>
        <v>1.5848931924611122E-7</v>
      </c>
      <c r="AE71" s="44">
        <f t="shared" si="46"/>
        <v>6.3726691792499566E-8</v>
      </c>
      <c r="AF71" s="41">
        <f t="shared" si="47"/>
        <v>0.13680688860320991</v>
      </c>
      <c r="AG71" s="41">
        <f t="shared" si="48"/>
        <v>0.86319311139679</v>
      </c>
      <c r="AH71" s="41">
        <f t="shared" si="49"/>
        <v>0.86319150372527897</v>
      </c>
      <c r="AI71" s="18">
        <f t="shared" si="50"/>
        <v>103.58298044703348</v>
      </c>
      <c r="AJ71" s="41">
        <v>10.3</v>
      </c>
      <c r="AK71" s="44">
        <v>5.0118723362726993E-11</v>
      </c>
      <c r="AL71" s="44">
        <v>2.0152149381185778E-4</v>
      </c>
      <c r="AM71" s="41">
        <v>5.0116211602181719E-5</v>
      </c>
      <c r="AN71" s="41">
        <v>0.99994988378839789</v>
      </c>
      <c r="AO71" s="41">
        <v>1.0036518027550714</v>
      </c>
      <c r="AP71" s="38">
        <v>120.43821633060855</v>
      </c>
    </row>
    <row r="72" spans="1:42" ht="15" customHeight="1" x14ac:dyDescent="0.3">
      <c r="A72" s="41">
        <v>6.9</v>
      </c>
      <c r="B72" s="44">
        <f t="shared" si="34"/>
        <v>1.2589254117941651E-7</v>
      </c>
      <c r="C72" s="44">
        <f t="shared" si="35"/>
        <v>8.0227151707152563E-8</v>
      </c>
      <c r="D72" s="41">
        <f t="shared" si="36"/>
        <v>0.4115580611871677</v>
      </c>
      <c r="E72" s="41">
        <f t="shared" si="37"/>
        <v>0.58844193881283235</v>
      </c>
      <c r="F72" s="41">
        <f t="shared" si="38"/>
        <v>0.58844142841612368</v>
      </c>
      <c r="G72" s="18">
        <f t="shared" si="51"/>
        <v>2.9422071420806182</v>
      </c>
      <c r="H72" s="41">
        <v>10.8</v>
      </c>
      <c r="I72" s="44">
        <v>1.5848931924611082E-11</v>
      </c>
      <c r="J72" s="44">
        <v>6.3726691792499724E-4</v>
      </c>
      <c r="K72" s="41">
        <v>8.804186975006054E-5</v>
      </c>
      <c r="L72" s="41">
        <v>0.99991195813024991</v>
      </c>
      <c r="M72" s="41">
        <v>1.007568807656378</v>
      </c>
      <c r="N72" s="38">
        <v>5.0378440382818903</v>
      </c>
      <c r="O72" s="41">
        <v>6.9</v>
      </c>
      <c r="P72" s="44">
        <f t="shared" si="39"/>
        <v>1.2589254117941651E-7</v>
      </c>
      <c r="Q72" s="44">
        <f t="shared" si="40"/>
        <v>8.0227151707152563E-8</v>
      </c>
      <c r="R72" s="41">
        <f t="shared" si="41"/>
        <v>0.98898013069711155</v>
      </c>
      <c r="S72" s="41">
        <f t="shared" si="42"/>
        <v>1.1019869302888436E-2</v>
      </c>
      <c r="T72" s="41">
        <f t="shared" si="43"/>
        <v>0.98898067767538189</v>
      </c>
      <c r="U72" s="18">
        <f t="shared" si="44"/>
        <v>4.9449033883769093</v>
      </c>
      <c r="V72" s="41">
        <v>8.1</v>
      </c>
      <c r="W72" s="44">
        <v>7.9432823472428087E-9</v>
      </c>
      <c r="X72" s="44">
        <v>1.2715146659121098E-6</v>
      </c>
      <c r="Y72" s="41">
        <v>0.84990704542737061</v>
      </c>
      <c r="Z72" s="41">
        <v>0.15009295457262936</v>
      </c>
      <c r="AA72" s="41">
        <v>0.84989226191445244</v>
      </c>
      <c r="AB72" s="38">
        <v>4.2494613095722622</v>
      </c>
      <c r="AC72" s="41">
        <v>6.9</v>
      </c>
      <c r="AD72" s="44">
        <f t="shared" si="45"/>
        <v>1.2589254117941651E-7</v>
      </c>
      <c r="AE72" s="44">
        <f t="shared" si="46"/>
        <v>8.0227151707152563E-8</v>
      </c>
      <c r="AF72" s="41">
        <f t="shared" si="47"/>
        <v>0.11181576977811679</v>
      </c>
      <c r="AG72" s="41">
        <f t="shared" si="48"/>
        <v>0.8881842302218832</v>
      </c>
      <c r="AH72" s="41">
        <f t="shared" si="49"/>
        <v>0.88818344408454197</v>
      </c>
      <c r="AI72" s="18">
        <f t="shared" si="50"/>
        <v>106.58201329014503</v>
      </c>
      <c r="AJ72" s="41">
        <v>10.4</v>
      </c>
      <c r="AK72" s="44">
        <v>3.9810717055349579E-11</v>
      </c>
      <c r="AL72" s="44">
        <v>2.5370052958246852E-4</v>
      </c>
      <c r="AM72" s="41">
        <v>3.9809132225250346E-5</v>
      </c>
      <c r="AN72" s="41">
        <v>0.99996019086777477</v>
      </c>
      <c r="AO72" s="41">
        <v>1.0046230953290827</v>
      </c>
      <c r="AP72" s="38">
        <v>120.55477143948991</v>
      </c>
    </row>
    <row r="73" spans="1:42" ht="15" customHeight="1" x14ac:dyDescent="0.3">
      <c r="A73" s="41">
        <v>7</v>
      </c>
      <c r="B73" s="44">
        <f t="shared" si="34"/>
        <v>9.9999999999999995E-8</v>
      </c>
      <c r="C73" s="44">
        <f t="shared" si="35"/>
        <v>1.0099999999999999E-7</v>
      </c>
      <c r="D73" s="41">
        <f t="shared" si="36"/>
        <v>0.35714285714285715</v>
      </c>
      <c r="E73" s="41">
        <f t="shared" si="37"/>
        <v>0.6428571428571429</v>
      </c>
      <c r="F73" s="41">
        <f t="shared" si="38"/>
        <v>0.64285715414285727</v>
      </c>
      <c r="G73" s="18">
        <f t="shared" si="51"/>
        <v>3.2142857707142864</v>
      </c>
      <c r="H73" s="41">
        <v>10.9</v>
      </c>
      <c r="I73" s="44">
        <v>1.2589254117941641E-11</v>
      </c>
      <c r="J73" s="44">
        <v>8.0227151707152624E-4</v>
      </c>
      <c r="K73" s="41">
        <v>6.9935409351674831E-5</v>
      </c>
      <c r="L73" s="41">
        <v>0.99993006459064837</v>
      </c>
      <c r="M73" s="41">
        <v>1.0095726824250977</v>
      </c>
      <c r="N73" s="38">
        <v>5.0478634121254888</v>
      </c>
      <c r="O73" s="41">
        <v>7</v>
      </c>
      <c r="P73" s="44">
        <f t="shared" si="39"/>
        <v>9.9999999999999995E-8</v>
      </c>
      <c r="Q73" s="44">
        <f t="shared" si="40"/>
        <v>1.0099999999999999E-7</v>
      </c>
      <c r="R73" s="41">
        <f t="shared" si="41"/>
        <v>0.9861662785919737</v>
      </c>
      <c r="S73" s="41">
        <f t="shared" si="42"/>
        <v>1.3833721408026297E-2</v>
      </c>
      <c r="T73" s="41">
        <f t="shared" si="43"/>
        <v>0.98616626661964113</v>
      </c>
      <c r="U73" s="18">
        <f t="shared" si="44"/>
        <v>4.9308313330982063</v>
      </c>
      <c r="V73" s="41">
        <v>8.1999999999999993</v>
      </c>
      <c r="W73" s="44">
        <v>6.3095734448019329E-9</v>
      </c>
      <c r="X73" s="44">
        <v>1.6007421243857243E-6</v>
      </c>
      <c r="Y73" s="41">
        <v>0.81811282483209302</v>
      </c>
      <c r="Z73" s="41">
        <v>0.18188717516790701</v>
      </c>
      <c r="AA73" s="41">
        <v>0.81809427171431037</v>
      </c>
      <c r="AB73" s="38">
        <v>4.090471358571552</v>
      </c>
      <c r="AC73" s="41">
        <v>7</v>
      </c>
      <c r="AD73" s="44">
        <f t="shared" si="45"/>
        <v>9.9999999999999995E-8</v>
      </c>
      <c r="AE73" s="44">
        <f t="shared" si="46"/>
        <v>1.0099999999999999E-7</v>
      </c>
      <c r="AF73" s="41">
        <f t="shared" si="47"/>
        <v>9.0909090909090898E-2</v>
      </c>
      <c r="AG73" s="41">
        <f t="shared" si="48"/>
        <v>0.90909090909090895</v>
      </c>
      <c r="AH73" s="41">
        <f t="shared" si="49"/>
        <v>0.90909092651515166</v>
      </c>
      <c r="AI73" s="18">
        <f t="shared" si="50"/>
        <v>109.0909111818182</v>
      </c>
      <c r="AJ73" s="41">
        <v>10.5</v>
      </c>
      <c r="AK73" s="44">
        <v>3.162277660168371E-11</v>
      </c>
      <c r="AL73" s="44">
        <v>3.1939004367700712E-4</v>
      </c>
      <c r="AM73" s="41">
        <v>3.1621776633305491E-5</v>
      </c>
      <c r="AN73" s="41">
        <v>0.99996837822336671</v>
      </c>
      <c r="AO73" s="41">
        <v>1.0058425222100853</v>
      </c>
      <c r="AP73" s="38">
        <v>120.70110266521023</v>
      </c>
    </row>
    <row r="74" spans="1:42" ht="15" customHeight="1" x14ac:dyDescent="0.3">
      <c r="A74" s="41">
        <v>7.1</v>
      </c>
      <c r="B74" s="44">
        <f t="shared" si="34"/>
        <v>7.943282347242818E-8</v>
      </c>
      <c r="C74" s="44">
        <f t="shared" si="35"/>
        <v>1.2715146659121083E-7</v>
      </c>
      <c r="D74" s="41">
        <f t="shared" si="36"/>
        <v>0.30617877263657073</v>
      </c>
      <c r="E74" s="41">
        <f t="shared" si="37"/>
        <v>0.69382122736342922</v>
      </c>
      <c r="F74" s="41">
        <f t="shared" si="38"/>
        <v>0.69382177076632723</v>
      </c>
      <c r="G74" s="18">
        <f t="shared" si="51"/>
        <v>3.4691088538316359</v>
      </c>
      <c r="H74" s="41">
        <v>11</v>
      </c>
      <c r="I74" s="44">
        <v>9.9999999999999994E-12</v>
      </c>
      <c r="J74" s="44">
        <v>1.01E-3</v>
      </c>
      <c r="K74" s="41">
        <v>5.5552469307260703E-5</v>
      </c>
      <c r="L74" s="41">
        <v>0.99994444753069267</v>
      </c>
      <c r="M74" s="41">
        <v>1.0120888669216326</v>
      </c>
      <c r="N74" s="38">
        <v>5.0604443346081629</v>
      </c>
      <c r="O74" s="41">
        <v>7.1</v>
      </c>
      <c r="P74" s="44">
        <f t="shared" si="39"/>
        <v>7.943282347242818E-8</v>
      </c>
      <c r="Q74" s="44">
        <f t="shared" si="40"/>
        <v>1.2715146659121083E-7</v>
      </c>
      <c r="R74" s="41">
        <f t="shared" si="41"/>
        <v>0.98264653499098953</v>
      </c>
      <c r="S74" s="41">
        <f t="shared" si="42"/>
        <v>1.7353465009010541E-2</v>
      </c>
      <c r="T74" s="41">
        <f t="shared" si="43"/>
        <v>0.98264596402349413</v>
      </c>
      <c r="U74" s="18">
        <f t="shared" si="44"/>
        <v>4.9132298201174702</v>
      </c>
      <c r="V74" s="41">
        <v>8.3000000000000007</v>
      </c>
      <c r="W74" s="44">
        <v>5.0118723362727114E-9</v>
      </c>
      <c r="X74" s="44">
        <v>2.0152149381185727E-6</v>
      </c>
      <c r="Y74" s="41">
        <v>0.78131655618984297</v>
      </c>
      <c r="Z74" s="41">
        <v>0.21868344381015706</v>
      </c>
      <c r="AA74" s="41">
        <v>0.78129331304275884</v>
      </c>
      <c r="AB74" s="38">
        <v>3.9064665652137944</v>
      </c>
      <c r="AC74" s="41">
        <v>7.1</v>
      </c>
      <c r="AD74" s="44">
        <f t="shared" si="45"/>
        <v>7.943282347242818E-8</v>
      </c>
      <c r="AE74" s="44">
        <f t="shared" si="46"/>
        <v>1.2715146659121083E-7</v>
      </c>
      <c r="AF74" s="41">
        <f t="shared" si="47"/>
        <v>7.358755611757356E-2</v>
      </c>
      <c r="AG74" s="41">
        <f t="shared" si="48"/>
        <v>0.9264124438824265</v>
      </c>
      <c r="AH74" s="41">
        <f t="shared" si="49"/>
        <v>0.92641328360963437</v>
      </c>
      <c r="AI74" s="18">
        <f t="shared" si="50"/>
        <v>111.16959403315612</v>
      </c>
      <c r="AJ74" s="41">
        <v>10.6</v>
      </c>
      <c r="AK74" s="44">
        <v>2.5118864315095759E-11</v>
      </c>
      <c r="AL74" s="44">
        <v>4.0208824225903287E-4</v>
      </c>
      <c r="AM74" s="41">
        <v>2.5118233373599816E-5</v>
      </c>
      <c r="AN74" s="41">
        <v>0.99997488176662652</v>
      </c>
      <c r="AO74" s="41">
        <v>1.0073761577420215</v>
      </c>
      <c r="AP74" s="38">
        <v>120.88513892904257</v>
      </c>
    </row>
    <row r="75" spans="1:42" ht="15" customHeight="1" x14ac:dyDescent="0.3">
      <c r="A75" s="41">
        <v>7.2</v>
      </c>
      <c r="B75" s="44">
        <f t="shared" si="34"/>
        <v>6.3095734448019177E-8</v>
      </c>
      <c r="C75" s="44">
        <f t="shared" si="35"/>
        <v>1.6007421243857284E-7</v>
      </c>
      <c r="D75" s="41">
        <f t="shared" si="36"/>
        <v>0.25955097316407605</v>
      </c>
      <c r="E75" s="41">
        <f t="shared" si="37"/>
        <v>0.74044902683592406</v>
      </c>
      <c r="F75" s="41">
        <f t="shared" si="38"/>
        <v>0.74045014023615918</v>
      </c>
      <c r="G75" s="18">
        <f t="shared" si="51"/>
        <v>3.7022507011807959</v>
      </c>
      <c r="H75" s="41">
        <v>11.1</v>
      </c>
      <c r="I75" s="44">
        <v>7.9432823472428101E-12</v>
      </c>
      <c r="J75" s="44">
        <v>1.2715146659121096E-3</v>
      </c>
      <c r="K75" s="41">
        <v>4.412739906029347E-5</v>
      </c>
      <c r="L75" s="41">
        <v>0.99995587260093965</v>
      </c>
      <c r="M75" s="41">
        <v>1.0152528369079736</v>
      </c>
      <c r="N75" s="38">
        <v>5.0762641845398679</v>
      </c>
      <c r="O75" s="41">
        <v>7.2</v>
      </c>
      <c r="P75" s="44">
        <f t="shared" si="39"/>
        <v>6.3095734448019177E-8</v>
      </c>
      <c r="Q75" s="44">
        <f t="shared" si="40"/>
        <v>1.6007421243857284E-7</v>
      </c>
      <c r="R75" s="41">
        <f t="shared" si="41"/>
        <v>0.97825100565317047</v>
      </c>
      <c r="S75" s="41">
        <f t="shared" si="42"/>
        <v>2.1748994346829597E-2</v>
      </c>
      <c r="T75" s="41">
        <f t="shared" si="43"/>
        <v>0.97824984613002808</v>
      </c>
      <c r="U75" s="18">
        <f t="shared" si="44"/>
        <v>4.8912492306501409</v>
      </c>
      <c r="V75" s="41">
        <v>8.4</v>
      </c>
      <c r="W75" s="44">
        <v>3.9810717055349665E-9</v>
      </c>
      <c r="X75" s="44">
        <v>2.5370052958246796E-6</v>
      </c>
      <c r="Y75" s="41">
        <v>0.73944706624401535</v>
      </c>
      <c r="Z75" s="41">
        <v>0.26055293375598465</v>
      </c>
      <c r="AA75" s="41">
        <v>0.73941799007441289</v>
      </c>
      <c r="AB75" s="38">
        <v>3.6970899503720642</v>
      </c>
      <c r="AC75" s="41">
        <v>7.2</v>
      </c>
      <c r="AD75" s="44">
        <f t="shared" si="45"/>
        <v>6.3095734448019177E-8</v>
      </c>
      <c r="AE75" s="44">
        <f t="shared" si="46"/>
        <v>1.6007421243857284E-7</v>
      </c>
      <c r="AF75" s="41">
        <f t="shared" si="47"/>
        <v>5.9350943102767471E-2</v>
      </c>
      <c r="AG75" s="41">
        <f t="shared" si="48"/>
        <v>0.94064905689723266</v>
      </c>
      <c r="AH75" s="41">
        <f t="shared" si="49"/>
        <v>0.940650777280023</v>
      </c>
      <c r="AI75" s="18">
        <f t="shared" si="50"/>
        <v>112.87809327360274</v>
      </c>
      <c r="AJ75" s="41">
        <v>10.7</v>
      </c>
      <c r="AK75" s="44">
        <v>1.995262314968878E-11</v>
      </c>
      <c r="AL75" s="44">
        <v>5.0619910596354538E-4</v>
      </c>
      <c r="AM75" s="41">
        <v>1.9952225050461354E-5</v>
      </c>
      <c r="AN75" s="41">
        <v>0.99998004777494964</v>
      </c>
      <c r="AO75" s="41">
        <v>1.0093074787240484</v>
      </c>
      <c r="AP75" s="38">
        <v>121.11689744688579</v>
      </c>
    </row>
    <row r="76" spans="1:42" ht="15" customHeight="1" x14ac:dyDescent="0.3">
      <c r="A76" s="41">
        <v>7.3</v>
      </c>
      <c r="B76" s="44">
        <f t="shared" si="34"/>
        <v>5.0118723362727164E-8</v>
      </c>
      <c r="C76" s="44">
        <f t="shared" si="35"/>
        <v>2.0152149381185708E-7</v>
      </c>
      <c r="D76" s="41">
        <f t="shared" si="36"/>
        <v>0.21779506956383976</v>
      </c>
      <c r="E76" s="41">
        <f t="shared" si="37"/>
        <v>0.78220493043616024</v>
      </c>
      <c r="F76" s="41">
        <f t="shared" si="38"/>
        <v>0.78220668132038196</v>
      </c>
      <c r="G76" s="18">
        <f t="shared" si="51"/>
        <v>3.9110334066019097</v>
      </c>
      <c r="H76" s="41">
        <v>11.2</v>
      </c>
      <c r="I76" s="44">
        <v>6.3095734448019345E-12</v>
      </c>
      <c r="J76" s="44">
        <v>1.600742124385724E-3</v>
      </c>
      <c r="K76" s="41">
        <v>3.50519571216894E-5</v>
      </c>
      <c r="L76" s="41">
        <v>0.99996494804287839</v>
      </c>
      <c r="M76" s="41">
        <v>1.0192354354030106</v>
      </c>
      <c r="N76" s="38">
        <v>5.0961771770150532</v>
      </c>
      <c r="O76" s="41">
        <v>7.3</v>
      </c>
      <c r="P76" s="44">
        <f t="shared" si="39"/>
        <v>5.0118723362727164E-8</v>
      </c>
      <c r="Q76" s="44">
        <f t="shared" si="40"/>
        <v>2.0152149381185708E-7</v>
      </c>
      <c r="R76" s="41">
        <f t="shared" si="41"/>
        <v>0.97277296377773914</v>
      </c>
      <c r="S76" s="41">
        <f t="shared" si="42"/>
        <v>2.7227036222260768E-2</v>
      </c>
      <c r="T76" s="41">
        <f t="shared" si="43"/>
        <v>0.97277115518953883</v>
      </c>
      <c r="U76" s="18">
        <f t="shared" si="44"/>
        <v>4.8638557759476946</v>
      </c>
      <c r="V76" s="41">
        <v>8.5</v>
      </c>
      <c r="W76" s="44">
        <v>3.1622776601683779E-9</v>
      </c>
      <c r="X76" s="44">
        <v>3.1939004367700643E-6</v>
      </c>
      <c r="Y76" s="41">
        <v>0.69271396659995543</v>
      </c>
      <c r="Z76" s="41">
        <v>0.30728603340004462</v>
      </c>
      <c r="AA76" s="41">
        <v>0.69267763891241541</v>
      </c>
      <c r="AB76" s="38">
        <v>3.4633881945620772</v>
      </c>
      <c r="AC76" s="41">
        <v>7.3</v>
      </c>
      <c r="AD76" s="44">
        <f t="shared" si="45"/>
        <v>5.0118723362727164E-8</v>
      </c>
      <c r="AE76" s="44">
        <f t="shared" si="46"/>
        <v>2.0152149381185708E-7</v>
      </c>
      <c r="AF76" s="41">
        <f t="shared" si="47"/>
        <v>4.7726721034203848E-2</v>
      </c>
      <c r="AG76" s="41">
        <f t="shared" si="48"/>
        <v>0.95227327896579606</v>
      </c>
      <c r="AH76" s="41">
        <f t="shared" si="49"/>
        <v>0.95227598242776956</v>
      </c>
      <c r="AI76" s="18">
        <f t="shared" si="50"/>
        <v>114.27311789133235</v>
      </c>
      <c r="AJ76" s="41">
        <v>10.8</v>
      </c>
      <c r="AK76" s="44">
        <v>1.5848931924611082E-11</v>
      </c>
      <c r="AL76" s="44">
        <v>6.3726691792499724E-4</v>
      </c>
      <c r="AM76" s="41">
        <v>1.584868073994894E-5</v>
      </c>
      <c r="AN76" s="41">
        <v>0.99998415131926011</v>
      </c>
      <c r="AO76" s="41">
        <v>1.0117422070564654</v>
      </c>
      <c r="AP76" s="38">
        <v>121.40906484677586</v>
      </c>
    </row>
    <row r="77" spans="1:42" ht="15" customHeight="1" x14ac:dyDescent="0.3">
      <c r="A77" s="41">
        <v>7.4</v>
      </c>
      <c r="B77" s="44">
        <f t="shared" si="34"/>
        <v>3.981071705534957E-8</v>
      </c>
      <c r="C77" s="44">
        <f t="shared" si="35"/>
        <v>2.5370052958246857E-7</v>
      </c>
      <c r="D77" s="41">
        <f t="shared" si="36"/>
        <v>0.1811136308032015</v>
      </c>
      <c r="E77" s="41">
        <f t="shared" si="37"/>
        <v>0.81888636919679847</v>
      </c>
      <c r="F77" s="41">
        <f t="shared" si="38"/>
        <v>0.81888885839889258</v>
      </c>
      <c r="G77" s="18">
        <f t="shared" si="51"/>
        <v>4.0944442919944626</v>
      </c>
      <c r="H77" s="41">
        <v>11.3</v>
      </c>
      <c r="I77" s="44">
        <v>5.0118723362726945E-12</v>
      </c>
      <c r="J77" s="44">
        <v>2.0152149381185798E-3</v>
      </c>
      <c r="K77" s="41">
        <v>2.7842959949510909E-5</v>
      </c>
      <c r="L77" s="41">
        <v>0.99997215704005049</v>
      </c>
      <c r="M77" s="41">
        <v>1.0242524841738752</v>
      </c>
      <c r="N77" s="38">
        <v>5.1212624208693756</v>
      </c>
      <c r="O77" s="41">
        <v>7.4</v>
      </c>
      <c r="P77" s="44">
        <f t="shared" si="39"/>
        <v>3.981071705534957E-8</v>
      </c>
      <c r="Q77" s="44">
        <f t="shared" si="40"/>
        <v>2.5370052958246857E-7</v>
      </c>
      <c r="R77" s="41">
        <f t="shared" si="41"/>
        <v>0.965963144269672</v>
      </c>
      <c r="S77" s="41">
        <f t="shared" si="42"/>
        <v>3.4036855730328094E-2</v>
      </c>
      <c r="T77" s="41">
        <f t="shared" si="43"/>
        <v>0.96596059215328678</v>
      </c>
      <c r="U77" s="18">
        <f t="shared" si="44"/>
        <v>4.8298029607664343</v>
      </c>
      <c r="V77" s="41">
        <v>8.6</v>
      </c>
      <c r="W77" s="44">
        <v>2.5118864315095812E-9</v>
      </c>
      <c r="X77" s="44">
        <v>4.02088242259032E-6</v>
      </c>
      <c r="Y77" s="41">
        <v>0.64166076506645131</v>
      </c>
      <c r="Z77" s="41">
        <v>0.35833923493354874</v>
      </c>
      <c r="AA77" s="41">
        <v>0.64161542486405199</v>
      </c>
      <c r="AB77" s="38">
        <v>3.2080771243202597</v>
      </c>
      <c r="AC77" s="41">
        <v>7.4</v>
      </c>
      <c r="AD77" s="44">
        <f t="shared" si="45"/>
        <v>3.981071705534957E-8</v>
      </c>
      <c r="AE77" s="44">
        <f t="shared" si="46"/>
        <v>2.5370052958246857E-7</v>
      </c>
      <c r="AF77" s="41">
        <f t="shared" si="47"/>
        <v>3.8286503882254588E-2</v>
      </c>
      <c r="AG77" s="41">
        <f t="shared" si="48"/>
        <v>0.96171349611774537</v>
      </c>
      <c r="AH77" s="41">
        <f t="shared" si="49"/>
        <v>0.96171733554825578</v>
      </c>
      <c r="AI77" s="18">
        <f t="shared" si="50"/>
        <v>115.40608026579068</v>
      </c>
      <c r="AJ77" s="41">
        <v>10.9</v>
      </c>
      <c r="AK77" s="44">
        <v>1.2589254117941641E-11</v>
      </c>
      <c r="AL77" s="44">
        <v>8.0227151707152624E-4</v>
      </c>
      <c r="AM77" s="41">
        <v>1.2589095630617633E-5</v>
      </c>
      <c r="AN77" s="41">
        <v>0.99998741090436938</v>
      </c>
      <c r="AO77" s="41">
        <v>1.0148145749330759</v>
      </c>
      <c r="AP77" s="38">
        <v>121.77774899196912</v>
      </c>
    </row>
    <row r="78" spans="1:42" ht="15" customHeight="1" x14ac:dyDescent="0.3">
      <c r="A78" s="41">
        <v>7.5</v>
      </c>
      <c r="B78" s="44">
        <f t="shared" si="34"/>
        <v>3.1622776601683699E-8</v>
      </c>
      <c r="C78" s="44">
        <f t="shared" si="35"/>
        <v>3.1939004367700723E-7</v>
      </c>
      <c r="D78" s="41">
        <f t="shared" si="36"/>
        <v>0.14942992956379206</v>
      </c>
      <c r="E78" s="41">
        <f t="shared" si="37"/>
        <v>0.85057007043620791</v>
      </c>
      <c r="F78" s="41">
        <f t="shared" si="38"/>
        <v>0.85057343764326576</v>
      </c>
      <c r="G78" s="18">
        <f t="shared" si="51"/>
        <v>4.2528671882163289</v>
      </c>
      <c r="H78" s="41">
        <v>11.4</v>
      </c>
      <c r="I78" s="44">
        <v>3.9810717055349533E-12</v>
      </c>
      <c r="J78" s="44">
        <v>2.5370052958246878E-3</v>
      </c>
      <c r="K78" s="41">
        <v>2.2116575877002812E-5</v>
      </c>
      <c r="L78" s="41">
        <v>0.99997788342412297</v>
      </c>
      <c r="M78" s="41">
        <v>1.0305770954320872</v>
      </c>
      <c r="N78" s="38">
        <v>5.152885477160436</v>
      </c>
      <c r="O78" s="41">
        <v>7.5</v>
      </c>
      <c r="P78" s="44">
        <f t="shared" si="39"/>
        <v>3.1622776601683699E-8</v>
      </c>
      <c r="Q78" s="44">
        <f t="shared" si="40"/>
        <v>3.1939004367700723E-7</v>
      </c>
      <c r="R78" s="41">
        <f t="shared" si="41"/>
        <v>0.95752447448239786</v>
      </c>
      <c r="S78" s="41">
        <f t="shared" si="42"/>
        <v>4.2475525517602281E-2</v>
      </c>
      <c r="T78" s="41">
        <f t="shared" si="43"/>
        <v>0.9575210457232981</v>
      </c>
      <c r="U78" s="18">
        <f t="shared" si="44"/>
        <v>4.7876052286164903</v>
      </c>
      <c r="V78" s="41">
        <v>8.6999999999999993</v>
      </c>
      <c r="W78" s="44">
        <v>1.9952623149688824E-9</v>
      </c>
      <c r="X78" s="44">
        <v>5.0619910596354431E-6</v>
      </c>
      <c r="Y78" s="41">
        <v>0.58718033351869536</v>
      </c>
      <c r="Z78" s="41">
        <v>0.41281966648130464</v>
      </c>
      <c r="AA78" s="41">
        <v>0.58712379187288333</v>
      </c>
      <c r="AB78" s="38">
        <v>2.9356189593644166</v>
      </c>
      <c r="AC78" s="41">
        <v>7.5</v>
      </c>
      <c r="AD78" s="44">
        <f t="shared" si="45"/>
        <v>3.1622776601683699E-8</v>
      </c>
      <c r="AE78" s="44">
        <f t="shared" si="46"/>
        <v>3.1939004367700723E-7</v>
      </c>
      <c r="AF78" s="41">
        <f t="shared" si="47"/>
        <v>3.0653430031715417E-2</v>
      </c>
      <c r="AG78" s="41">
        <f t="shared" si="48"/>
        <v>0.9693465699682845</v>
      </c>
      <c r="AH78" s="41">
        <f t="shared" si="49"/>
        <v>0.9693517575059043</v>
      </c>
      <c r="AI78" s="18">
        <f t="shared" si="50"/>
        <v>116.32221090070851</v>
      </c>
      <c r="AJ78" s="41">
        <v>11</v>
      </c>
      <c r="AK78" s="44">
        <v>9.9999999999999994E-12</v>
      </c>
      <c r="AL78" s="44">
        <v>1.01E-3</v>
      </c>
      <c r="AM78" s="41">
        <v>9.9999000009999891E-6</v>
      </c>
      <c r="AN78" s="41">
        <v>0.99999000009999894</v>
      </c>
      <c r="AO78" s="41">
        <v>1.0186954910409765</v>
      </c>
      <c r="AP78" s="38">
        <v>122.24345892491716</v>
      </c>
    </row>
    <row r="79" spans="1:42" ht="15" customHeight="1" x14ac:dyDescent="0.3">
      <c r="A79" s="41">
        <v>7.6</v>
      </c>
      <c r="B79" s="44">
        <f t="shared" si="34"/>
        <v>2.5118864315095751E-8</v>
      </c>
      <c r="C79" s="44">
        <f t="shared" si="35"/>
        <v>4.02088242259033E-7</v>
      </c>
      <c r="D79" s="41">
        <f t="shared" si="36"/>
        <v>0.1224600399332804</v>
      </c>
      <c r="E79" s="41">
        <f t="shared" si="37"/>
        <v>0.87753996006671953</v>
      </c>
      <c r="F79" s="41">
        <f t="shared" si="38"/>
        <v>0.87754439137522566</v>
      </c>
      <c r="G79" s="18">
        <f t="shared" si="51"/>
        <v>4.3877219568761285</v>
      </c>
      <c r="H79" s="41">
        <v>11.5</v>
      </c>
      <c r="I79" s="44">
        <v>3.1622776601683669E-12</v>
      </c>
      <c r="J79" s="44">
        <v>3.1939004367700754E-3</v>
      </c>
      <c r="K79" s="41">
        <v>1.7567900586604477E-5</v>
      </c>
      <c r="L79" s="41">
        <v>0.9999824320994134</v>
      </c>
      <c r="M79" s="41">
        <v>1.0385555223015004</v>
      </c>
      <c r="N79" s="38">
        <v>5.1927776115075019</v>
      </c>
      <c r="O79" s="41">
        <v>7.6</v>
      </c>
      <c r="P79" s="44">
        <f t="shared" si="39"/>
        <v>2.5118864315095751E-8</v>
      </c>
      <c r="Q79" s="44">
        <f t="shared" si="40"/>
        <v>4.02088242259033E-7</v>
      </c>
      <c r="R79" s="41">
        <f t="shared" si="41"/>
        <v>0.94710818535045727</v>
      </c>
      <c r="S79" s="41">
        <f t="shared" si="42"/>
        <v>5.2891814649542748E-2</v>
      </c>
      <c r="T79" s="41">
        <f t="shared" si="43"/>
        <v>0.94710370159849133</v>
      </c>
      <c r="U79" s="18">
        <f t="shared" si="44"/>
        <v>4.7355185079924569</v>
      </c>
      <c r="V79" s="41">
        <v>8.8000000000000007</v>
      </c>
      <c r="W79" s="44">
        <v>1.584893192461106E-9</v>
      </c>
      <c r="X79" s="44">
        <v>6.3726691792499815E-6</v>
      </c>
      <c r="Y79" s="41">
        <v>0.53047782310994684</v>
      </c>
      <c r="Z79" s="41">
        <v>0.46952217689005304</v>
      </c>
      <c r="AA79" s="41">
        <v>0.53040735372717318</v>
      </c>
      <c r="AB79" s="38">
        <v>2.6520367686358659</v>
      </c>
      <c r="AC79" s="41">
        <v>7.6</v>
      </c>
      <c r="AD79" s="44">
        <f t="shared" si="45"/>
        <v>2.5118864315095751E-8</v>
      </c>
      <c r="AE79" s="44">
        <f t="shared" si="46"/>
        <v>4.02088242259033E-7</v>
      </c>
      <c r="AF79" s="41">
        <f t="shared" si="47"/>
        <v>2.4503367550335942E-2</v>
      </c>
      <c r="AG79" s="41">
        <f t="shared" si="48"/>
        <v>0.975496632449664</v>
      </c>
      <c r="AH79" s="41">
        <f t="shared" si="49"/>
        <v>0.97550345121043869</v>
      </c>
      <c r="AI79" s="18">
        <f t="shared" si="50"/>
        <v>117.06041414525264</v>
      </c>
      <c r="AJ79" s="41">
        <v>11.1</v>
      </c>
      <c r="AK79" s="44">
        <v>7.9432823472428101E-12</v>
      </c>
      <c r="AL79" s="44">
        <v>1.2715146659121096E-3</v>
      </c>
      <c r="AM79" s="41">
        <v>7.9432192520095448E-6</v>
      </c>
      <c r="AN79" s="41">
        <v>0.99999205678074787</v>
      </c>
      <c r="AO79" s="41">
        <v>1.0236032779828224</v>
      </c>
      <c r="AP79" s="38">
        <v>122.83239335793868</v>
      </c>
    </row>
    <row r="80" spans="1:42" ht="15" customHeight="1" x14ac:dyDescent="0.3">
      <c r="A80" s="41">
        <v>7.7</v>
      </c>
      <c r="B80" s="44">
        <f t="shared" si="34"/>
        <v>1.9952623149688773E-8</v>
      </c>
      <c r="C80" s="44">
        <f t="shared" si="35"/>
        <v>5.0619910596354556E-7</v>
      </c>
      <c r="D80" s="41">
        <f t="shared" si="36"/>
        <v>9.9786753658899566E-2</v>
      </c>
      <c r="E80" s="41">
        <f t="shared" si="37"/>
        <v>0.90021324634110045</v>
      </c>
      <c r="F80" s="41">
        <f t="shared" si="38"/>
        <v>0.90021898426255831</v>
      </c>
      <c r="G80" s="18">
        <f t="shared" si="51"/>
        <v>4.5010949213127915</v>
      </c>
      <c r="H80" s="41">
        <v>11.6</v>
      </c>
      <c r="I80" s="44">
        <v>2.5118864315095726E-12</v>
      </c>
      <c r="J80" s="44">
        <v>4.0208824225903342E-3</v>
      </c>
      <c r="K80" s="41">
        <v>1.3954729882294034E-5</v>
      </c>
      <c r="L80" s="41">
        <v>0.99998604527011781</v>
      </c>
      <c r="M80" s="41">
        <v>1.0486276867324826</v>
      </c>
      <c r="N80" s="38">
        <v>5.2431384336624127</v>
      </c>
      <c r="O80" s="41">
        <v>7.7</v>
      </c>
      <c r="P80" s="44">
        <f t="shared" si="39"/>
        <v>1.9952623149688773E-8</v>
      </c>
      <c r="Q80" s="44">
        <f t="shared" si="40"/>
        <v>5.0619910596354556E-7</v>
      </c>
      <c r="R80" s="41">
        <f t="shared" si="41"/>
        <v>0.93431273978220775</v>
      </c>
      <c r="S80" s="41">
        <f t="shared" si="42"/>
        <v>6.5687260217792268E-2</v>
      </c>
      <c r="T80" s="41">
        <f t="shared" si="43"/>
        <v>0.93430696871042473</v>
      </c>
      <c r="U80" s="18">
        <f t="shared" si="44"/>
        <v>4.6715348435521244</v>
      </c>
      <c r="V80" s="41">
        <v>8.9</v>
      </c>
      <c r="W80" s="44">
        <v>1.2589254117941623E-9</v>
      </c>
      <c r="X80" s="44">
        <v>8.0227151707152736E-6</v>
      </c>
      <c r="Y80" s="41">
        <v>0.47297738407738282</v>
      </c>
      <c r="Z80" s="41">
        <v>0.52702261592261723</v>
      </c>
      <c r="AA80" s="41">
        <v>0.47288958298873213</v>
      </c>
      <c r="AB80" s="38">
        <v>2.364447914943661</v>
      </c>
      <c r="AC80" s="41">
        <v>7.7</v>
      </c>
      <c r="AD80" s="44">
        <f t="shared" si="45"/>
        <v>1.9952623149688773E-8</v>
      </c>
      <c r="AE80" s="44">
        <f t="shared" si="46"/>
        <v>5.0619910596354556E-7</v>
      </c>
      <c r="AF80" s="41">
        <f t="shared" si="47"/>
        <v>1.9562303872579498E-2</v>
      </c>
      <c r="AG80" s="41">
        <f t="shared" si="48"/>
        <v>0.9804376961274206</v>
      </c>
      <c r="AH80" s="41">
        <f t="shared" si="49"/>
        <v>0.98044651556814177</v>
      </c>
      <c r="AI80" s="18">
        <f t="shared" si="50"/>
        <v>117.65358186817701</v>
      </c>
      <c r="AJ80" s="41">
        <v>11.2</v>
      </c>
      <c r="AK80" s="44">
        <v>6.3095734448019345E-12</v>
      </c>
      <c r="AL80" s="44">
        <v>1.600742124385724E-3</v>
      </c>
      <c r="AM80" s="41">
        <v>6.3095336343360664E-6</v>
      </c>
      <c r="AN80" s="41">
        <v>0.99999369046636566</v>
      </c>
      <c r="AO80" s="41">
        <v>1.0298179375834009</v>
      </c>
      <c r="AP80" s="38">
        <v>123.57815251000811</v>
      </c>
    </row>
    <row r="81" spans="1:42" ht="15" customHeight="1" x14ac:dyDescent="0.3">
      <c r="A81" s="41">
        <v>7.8</v>
      </c>
      <c r="B81" s="44">
        <f t="shared" si="34"/>
        <v>1.5848931924611133E-8</v>
      </c>
      <c r="C81" s="44">
        <f t="shared" si="35"/>
        <v>6.3726691792499521E-7</v>
      </c>
      <c r="D81" s="41">
        <f t="shared" si="36"/>
        <v>8.0924270399962764E-2</v>
      </c>
      <c r="E81" s="41">
        <f t="shared" si="37"/>
        <v>0.91907572960003714</v>
      </c>
      <c r="F81" s="41">
        <f t="shared" si="38"/>
        <v>0.9190830860494178</v>
      </c>
      <c r="G81" s="18">
        <f t="shared" si="51"/>
        <v>4.5954154302470887</v>
      </c>
      <c r="H81" s="41">
        <v>11.7</v>
      </c>
      <c r="I81" s="44">
        <v>1.9952623149688759E-12</v>
      </c>
      <c r="J81" s="44">
        <v>5.061991059635459E-3</v>
      </c>
      <c r="K81" s="41">
        <v>1.1084667767494475E-5</v>
      </c>
      <c r="L81" s="41">
        <v>0.99998891533223244</v>
      </c>
      <c r="M81" s="41">
        <v>1.0613539543605628</v>
      </c>
      <c r="N81" s="38">
        <v>5.3067697718028137</v>
      </c>
      <c r="O81" s="41">
        <v>7.8</v>
      </c>
      <c r="P81" s="44">
        <f t="shared" si="39"/>
        <v>1.5848931924611133E-8</v>
      </c>
      <c r="Q81" s="44">
        <f t="shared" si="40"/>
        <v>6.3726691792499521E-7</v>
      </c>
      <c r="R81" s="41">
        <f t="shared" si="41"/>
        <v>0.91868760824421192</v>
      </c>
      <c r="S81" s="41">
        <f t="shared" si="42"/>
        <v>8.1312391755788097E-2</v>
      </c>
      <c r="T81" s="41">
        <f t="shared" si="43"/>
        <v>0.91868025229548766</v>
      </c>
      <c r="U81" s="18">
        <f t="shared" si="44"/>
        <v>4.5934012614774389</v>
      </c>
      <c r="V81" s="41">
        <v>9</v>
      </c>
      <c r="W81" s="44">
        <v>1.0000000000000001E-9</v>
      </c>
      <c r="X81" s="44">
        <v>1.0099999999999998E-5</v>
      </c>
      <c r="Y81" s="41">
        <v>0.41618497109826597</v>
      </c>
      <c r="Z81" s="41">
        <v>0.58381502890173409</v>
      </c>
      <c r="AA81" s="41">
        <v>0.41607557720375754</v>
      </c>
      <c r="AB81" s="38">
        <v>2.0803778860187876</v>
      </c>
      <c r="AC81" s="41">
        <v>7.8</v>
      </c>
      <c r="AD81" s="44">
        <f t="shared" si="45"/>
        <v>1.5848931924611133E-8</v>
      </c>
      <c r="AE81" s="44">
        <f t="shared" si="46"/>
        <v>6.3726691792499521E-7</v>
      </c>
      <c r="AF81" s="41">
        <f t="shared" si="47"/>
        <v>1.5601662241829602E-2</v>
      </c>
      <c r="AG81" s="41">
        <f t="shared" si="48"/>
        <v>0.98439833775817043</v>
      </c>
      <c r="AH81" s="41">
        <f t="shared" si="49"/>
        <v>0.98440963353990585</v>
      </c>
      <c r="AI81" s="18">
        <f t="shared" si="50"/>
        <v>118.1291560247887</v>
      </c>
      <c r="AJ81" s="41">
        <v>11.3</v>
      </c>
      <c r="AK81" s="44">
        <v>5.0118723362726945E-12</v>
      </c>
      <c r="AL81" s="44">
        <v>2.0152149381185798E-3</v>
      </c>
      <c r="AM81" s="41">
        <v>5.0118472175342716E-6</v>
      </c>
      <c r="AN81" s="41">
        <v>0.99999498815278254</v>
      </c>
      <c r="AO81" s="41">
        <v>1.0377003381030225</v>
      </c>
      <c r="AP81" s="38">
        <v>124.52404057236269</v>
      </c>
    </row>
    <row r="82" spans="1:42" ht="15" customHeight="1" x14ac:dyDescent="0.3">
      <c r="A82" s="41">
        <v>7.9</v>
      </c>
      <c r="B82" s="44">
        <f t="shared" si="34"/>
        <v>1.2589254117941638E-8</v>
      </c>
      <c r="C82" s="44">
        <f t="shared" si="35"/>
        <v>8.0227151707152647E-7</v>
      </c>
      <c r="D82" s="41">
        <f t="shared" si="36"/>
        <v>6.5368414118432486E-2</v>
      </c>
      <c r="E82" s="41">
        <f t="shared" si="37"/>
        <v>0.93463158588156747</v>
      </c>
      <c r="F82" s="41">
        <f t="shared" si="38"/>
        <v>0.93464095884297194</v>
      </c>
      <c r="G82" s="18">
        <f t="shared" si="51"/>
        <v>4.6732047942148593</v>
      </c>
      <c r="H82" s="41">
        <v>11.8</v>
      </c>
      <c r="I82" s="44">
        <v>1.5848931924611065E-12</v>
      </c>
      <c r="J82" s="44">
        <v>6.3726691792499795E-3</v>
      </c>
      <c r="K82" s="41">
        <v>8.8048846536631034E-6</v>
      </c>
      <c r="L82" s="41">
        <v>0.9999911951153464</v>
      </c>
      <c r="M82" s="41">
        <v>1.0774503562433904</v>
      </c>
      <c r="N82" s="38">
        <v>5.3872517812169516</v>
      </c>
      <c r="O82" s="41">
        <v>7.9</v>
      </c>
      <c r="P82" s="44">
        <f t="shared" si="39"/>
        <v>1.2589254117941638E-8</v>
      </c>
      <c r="Q82" s="44">
        <f t="shared" si="40"/>
        <v>8.0227151707152647E-7</v>
      </c>
      <c r="R82" s="41">
        <f t="shared" si="41"/>
        <v>0.89974452686840078</v>
      </c>
      <c r="S82" s="41">
        <f t="shared" si="42"/>
        <v>0.10025547313159926</v>
      </c>
      <c r="T82" s="41">
        <f t="shared" si="43"/>
        <v>0.89973520903589943</v>
      </c>
      <c r="U82" s="18">
        <f t="shared" si="44"/>
        <v>4.498676045179498</v>
      </c>
      <c r="V82" s="41">
        <v>9.1</v>
      </c>
      <c r="W82" s="44">
        <v>7.9432823472428E-10</v>
      </c>
      <c r="X82" s="44">
        <v>1.2715146659121113E-5</v>
      </c>
      <c r="Y82" s="41">
        <v>0.36153386782629637</v>
      </c>
      <c r="Z82" s="41">
        <v>0.63846613217370352</v>
      </c>
      <c r="AA82" s="41">
        <v>0.36139753443181899</v>
      </c>
      <c r="AB82" s="38">
        <v>1.8069876721590949</v>
      </c>
      <c r="AC82" s="41">
        <v>7.9</v>
      </c>
      <c r="AD82" s="44">
        <f t="shared" si="45"/>
        <v>1.2589254117941638E-8</v>
      </c>
      <c r="AE82" s="44">
        <f t="shared" si="46"/>
        <v>8.0227151707152647E-7</v>
      </c>
      <c r="AF82" s="41">
        <f t="shared" si="47"/>
        <v>1.2432735254442372E-2</v>
      </c>
      <c r="AG82" s="41">
        <f t="shared" si="48"/>
        <v>0.98756726474555767</v>
      </c>
      <c r="AH82" s="41">
        <f t="shared" si="49"/>
        <v>0.98758164418815864</v>
      </c>
      <c r="AI82" s="18">
        <f t="shared" si="50"/>
        <v>118.50979730257905</v>
      </c>
      <c r="AJ82" s="41">
        <v>11.4</v>
      </c>
      <c r="AK82" s="44">
        <v>3.9810717055349533E-12</v>
      </c>
      <c r="AL82" s="44">
        <v>2.5370052958246878E-3</v>
      </c>
      <c r="AM82" s="41">
        <v>3.9810558566661243E-6</v>
      </c>
      <c r="AN82" s="41">
        <v>0.99999601894414336</v>
      </c>
      <c r="AO82" s="41">
        <v>1.0477184009861447</v>
      </c>
      <c r="AP82" s="38">
        <v>125.72620811833737</v>
      </c>
    </row>
    <row r="83" spans="1:42" ht="15" customHeight="1" x14ac:dyDescent="0.3">
      <c r="A83" s="41">
        <v>8</v>
      </c>
      <c r="B83" s="44">
        <f t="shared" si="34"/>
        <v>1E-8</v>
      </c>
      <c r="C83" s="44">
        <f t="shared" si="35"/>
        <v>1.0099999999999999E-6</v>
      </c>
      <c r="D83" s="41">
        <f t="shared" si="36"/>
        <v>5.2631578947368418E-2</v>
      </c>
      <c r="E83" s="41">
        <f t="shared" si="37"/>
        <v>0.94736842105263153</v>
      </c>
      <c r="F83" s="41">
        <f t="shared" si="38"/>
        <v>0.9473803158132631</v>
      </c>
      <c r="G83" s="18">
        <f t="shared" si="51"/>
        <v>4.7369015790663154</v>
      </c>
      <c r="H83" s="41">
        <v>11.9</v>
      </c>
      <c r="I83" s="44">
        <v>1.2589254117941629E-12</v>
      </c>
      <c r="J83" s="44">
        <v>8.0227151707152698E-3</v>
      </c>
      <c r="K83" s="41">
        <v>6.9939811494086904E-6</v>
      </c>
      <c r="L83" s="41">
        <v>0.99999300601885055</v>
      </c>
      <c r="M83" s="41">
        <v>1.0978353991338079</v>
      </c>
      <c r="N83" s="38">
        <v>5.4891769956690393</v>
      </c>
      <c r="O83" s="41">
        <v>8</v>
      </c>
      <c r="P83" s="44">
        <f t="shared" si="39"/>
        <v>1E-8</v>
      </c>
      <c r="Q83" s="44">
        <f t="shared" si="40"/>
        <v>1.0099999999999999E-6</v>
      </c>
      <c r="R83" s="41">
        <f t="shared" si="41"/>
        <v>0.87697929354445803</v>
      </c>
      <c r="S83" s="41">
        <f t="shared" si="42"/>
        <v>0.12302070645554201</v>
      </c>
      <c r="T83" s="41">
        <f t="shared" si="43"/>
        <v>0.87696753960937879</v>
      </c>
      <c r="U83" s="18">
        <f t="shared" si="44"/>
        <v>4.3848376980468942</v>
      </c>
      <c r="V83" s="41">
        <v>9.1999999999999993</v>
      </c>
      <c r="W83" s="44">
        <v>6.309573444801927E-10</v>
      </c>
      <c r="X83" s="44">
        <v>1.6007421243857258E-5</v>
      </c>
      <c r="Y83" s="41">
        <v>0.31024558585567785</v>
      </c>
      <c r="Z83" s="41">
        <v>0.68975441414432204</v>
      </c>
      <c r="AA83" s="41">
        <v>0.31007559132288626</v>
      </c>
      <c r="AB83" s="38">
        <v>1.5503779566144313</v>
      </c>
      <c r="AC83" s="41">
        <v>8</v>
      </c>
      <c r="AD83" s="44">
        <f t="shared" si="45"/>
        <v>1E-8</v>
      </c>
      <c r="AE83" s="44">
        <f t="shared" si="46"/>
        <v>1.0099999999999999E-6</v>
      </c>
      <c r="AF83" s="41">
        <f t="shared" si="47"/>
        <v>9.9009900990099028E-3</v>
      </c>
      <c r="AG83" s="41">
        <f t="shared" si="48"/>
        <v>0.9900990099009902</v>
      </c>
      <c r="AH83" s="41">
        <f t="shared" si="49"/>
        <v>0.99011724440676763</v>
      </c>
      <c r="AI83" s="18">
        <f t="shared" si="50"/>
        <v>118.81406932881212</v>
      </c>
      <c r="AJ83" s="41">
        <v>11.5</v>
      </c>
      <c r="AK83" s="44">
        <v>3.1622776601683669E-12</v>
      </c>
      <c r="AL83" s="44">
        <v>3.1939004367700754E-3</v>
      </c>
      <c r="AM83" s="41">
        <v>3.1622676601999898E-6</v>
      </c>
      <c r="AN83" s="41">
        <v>0.99999683773233983</v>
      </c>
      <c r="AO83" s="41">
        <v>1.0604834605230564</v>
      </c>
      <c r="AP83" s="38">
        <v>127.25801526276676</v>
      </c>
    </row>
    <row r="84" spans="1:42" ht="15" customHeight="1" x14ac:dyDescent="0.3">
      <c r="A84" s="41">
        <v>8.1</v>
      </c>
      <c r="B84" s="44">
        <f t="shared" si="34"/>
        <v>7.9432823472428087E-9</v>
      </c>
      <c r="C84" s="44">
        <f t="shared" si="35"/>
        <v>1.2715146659121098E-6</v>
      </c>
      <c r="D84" s="41">
        <f t="shared" si="36"/>
        <v>4.2264252534266432E-2</v>
      </c>
      <c r="E84" s="41">
        <f t="shared" si="37"/>
        <v>0.95773574746573353</v>
      </c>
      <c r="F84" s="41">
        <f t="shared" si="38"/>
        <v>0.95775080355258513</v>
      </c>
      <c r="G84" s="18">
        <f t="shared" si="51"/>
        <v>4.7887540177629253</v>
      </c>
      <c r="H84" s="41">
        <v>12</v>
      </c>
      <c r="I84" s="44">
        <v>9.9999999999999998E-13</v>
      </c>
      <c r="J84" s="44">
        <v>1.01E-2</v>
      </c>
      <c r="K84" s="41">
        <v>5.5555246915294916E-6</v>
      </c>
      <c r="L84" s="41">
        <v>0.9999944444753085</v>
      </c>
      <c r="M84" s="41">
        <v>1.1236930439508688</v>
      </c>
      <c r="N84" s="38">
        <v>5.6184652197543441</v>
      </c>
      <c r="O84" s="41">
        <v>8.1</v>
      </c>
      <c r="P84" s="44">
        <f t="shared" si="39"/>
        <v>7.9432823472428087E-9</v>
      </c>
      <c r="Q84" s="44">
        <f t="shared" si="40"/>
        <v>1.2715146659121098E-6</v>
      </c>
      <c r="R84" s="41">
        <f t="shared" si="41"/>
        <v>0.84990704542737061</v>
      </c>
      <c r="S84" s="41">
        <f t="shared" si="42"/>
        <v>0.15009295457262936</v>
      </c>
      <c r="T84" s="41">
        <f t="shared" si="43"/>
        <v>0.84989226191445244</v>
      </c>
      <c r="U84" s="18">
        <f t="shared" si="44"/>
        <v>4.2494613095722622</v>
      </c>
      <c r="V84" s="41">
        <v>9.3000000000000007</v>
      </c>
      <c r="W84" s="44">
        <v>5.011872336272705E-10</v>
      </c>
      <c r="X84" s="44">
        <v>2.0152149381185755E-5</v>
      </c>
      <c r="Y84" s="41">
        <v>0.26323342636292191</v>
      </c>
      <c r="Z84" s="41">
        <v>0.73676657363707809</v>
      </c>
      <c r="AA84" s="41">
        <v>0.26302130925519918</v>
      </c>
      <c r="AB84" s="38">
        <v>1.3151065462759959</v>
      </c>
      <c r="AC84" s="41">
        <v>8.1</v>
      </c>
      <c r="AD84" s="44">
        <f t="shared" si="45"/>
        <v>7.9432823472428087E-9</v>
      </c>
      <c r="AE84" s="44">
        <f t="shared" si="46"/>
        <v>1.2715146659121098E-6</v>
      </c>
      <c r="AF84" s="41">
        <f t="shared" si="47"/>
        <v>7.8806838503302779E-3</v>
      </c>
      <c r="AG84" s="41">
        <f t="shared" si="48"/>
        <v>0.99211931614966964</v>
      </c>
      <c r="AH84" s="41">
        <f t="shared" si="49"/>
        <v>0.99214238233842689</v>
      </c>
      <c r="AI84" s="18">
        <f t="shared" si="50"/>
        <v>119.05708588061121</v>
      </c>
      <c r="AJ84" s="41">
        <v>11.6</v>
      </c>
      <c r="AK84" s="44">
        <v>2.5118864315095726E-12</v>
      </c>
      <c r="AL84" s="44">
        <v>4.0208824225903342E-3</v>
      </c>
      <c r="AM84" s="41">
        <v>2.5118801219519768E-6</v>
      </c>
      <c r="AN84" s="41">
        <v>0.99999748811987799</v>
      </c>
      <c r="AO84" s="41">
        <v>1.0768017748860164</v>
      </c>
      <c r="AP84" s="38">
        <v>129.21621298632195</v>
      </c>
    </row>
    <row r="85" spans="1:42" ht="15" customHeight="1" x14ac:dyDescent="0.3">
      <c r="A85" s="41">
        <v>8.1999999999999993</v>
      </c>
      <c r="B85" s="44">
        <f t="shared" si="34"/>
        <v>6.3095734448019329E-9</v>
      </c>
      <c r="C85" s="44">
        <f t="shared" si="35"/>
        <v>1.6007421243857243E-6</v>
      </c>
      <c r="D85" s="41">
        <f t="shared" si="36"/>
        <v>3.3866072087118351E-2</v>
      </c>
      <c r="E85" s="41">
        <f t="shared" si="37"/>
        <v>0.96613392791288166</v>
      </c>
      <c r="F85" s="41">
        <f t="shared" si="38"/>
        <v>0.96615295316982652</v>
      </c>
      <c r="G85" s="18">
        <f t="shared" si="51"/>
        <v>4.8307647658491328</v>
      </c>
      <c r="H85" s="41">
        <v>12.1</v>
      </c>
      <c r="I85" s="44">
        <v>7.9432823472428024E-13</v>
      </c>
      <c r="J85" s="44">
        <v>1.2715146659121108E-2</v>
      </c>
      <c r="K85" s="41">
        <v>4.4129151634509364E-6</v>
      </c>
      <c r="L85" s="41">
        <v>0.9999955870848366</v>
      </c>
      <c r="M85" s="41">
        <v>1.156558680142038</v>
      </c>
      <c r="N85" s="38">
        <v>5.7827934007101902</v>
      </c>
      <c r="O85" s="41">
        <v>8.1999999999999993</v>
      </c>
      <c r="P85" s="44">
        <f t="shared" si="39"/>
        <v>6.3095734448019329E-9</v>
      </c>
      <c r="Q85" s="44">
        <f t="shared" si="40"/>
        <v>1.6007421243857243E-6</v>
      </c>
      <c r="R85" s="41">
        <f t="shared" si="41"/>
        <v>0.81811282483209302</v>
      </c>
      <c r="S85" s="41">
        <f t="shared" si="42"/>
        <v>0.18188717516790701</v>
      </c>
      <c r="T85" s="41">
        <f t="shared" si="43"/>
        <v>0.81809427171431037</v>
      </c>
      <c r="U85" s="18">
        <f t="shared" si="44"/>
        <v>4.090471358571552</v>
      </c>
      <c r="V85" s="41">
        <v>9.4</v>
      </c>
      <c r="W85" s="44">
        <v>3.9810717055349621E-10</v>
      </c>
      <c r="X85" s="44">
        <v>2.5370052958246823E-5</v>
      </c>
      <c r="Y85" s="41">
        <v>0.22106196785218737</v>
      </c>
      <c r="Z85" s="41">
        <v>0.77893803214781254</v>
      </c>
      <c r="AA85" s="41">
        <v>0.22079706821285122</v>
      </c>
      <c r="AB85" s="38">
        <v>1.1039853410642562</v>
      </c>
      <c r="AC85" s="41">
        <v>8.1999999999999993</v>
      </c>
      <c r="AD85" s="44">
        <f t="shared" si="45"/>
        <v>6.3095734448019329E-9</v>
      </c>
      <c r="AE85" s="44">
        <f t="shared" si="46"/>
        <v>1.6007421243857243E-6</v>
      </c>
      <c r="AF85" s="41">
        <f t="shared" si="47"/>
        <v>6.2700123414338423E-3</v>
      </c>
      <c r="AG85" s="41">
        <f t="shared" si="48"/>
        <v>0.99372998765856613</v>
      </c>
      <c r="AH85" s="41">
        <f t="shared" si="49"/>
        <v>0.99375911941536854</v>
      </c>
      <c r="AI85" s="18">
        <f t="shared" si="50"/>
        <v>119.25109432984422</v>
      </c>
      <c r="AJ85" s="41">
        <v>11.7</v>
      </c>
      <c r="AK85" s="44">
        <v>1.9952623149688759E-12</v>
      </c>
      <c r="AL85" s="44">
        <v>5.061991059635459E-3</v>
      </c>
      <c r="AM85" s="41">
        <v>1.9952583339051137E-6</v>
      </c>
      <c r="AN85" s="41">
        <v>0.999998004741666</v>
      </c>
      <c r="AO85" s="41">
        <v>1.0977492314886013</v>
      </c>
      <c r="AP85" s="38">
        <v>131.72990777863214</v>
      </c>
    </row>
    <row r="86" spans="1:42" ht="15" customHeight="1" x14ac:dyDescent="0.3">
      <c r="A86" s="41">
        <v>8.3000000000000007</v>
      </c>
      <c r="B86" s="44">
        <f t="shared" si="34"/>
        <v>5.0118723362727114E-9</v>
      </c>
      <c r="C86" s="44">
        <f t="shared" si="35"/>
        <v>2.0152149381185727E-6</v>
      </c>
      <c r="D86" s="41">
        <f t="shared" si="36"/>
        <v>2.708946335705021E-2</v>
      </c>
      <c r="E86" s="41">
        <f t="shared" si="37"/>
        <v>0.9729105366429498</v>
      </c>
      <c r="F86" s="41">
        <f t="shared" si="38"/>
        <v>0.97293455026563913</v>
      </c>
      <c r="G86" s="18">
        <f t="shared" si="51"/>
        <v>4.8646727513281958</v>
      </c>
      <c r="H86" s="41">
        <v>12.2</v>
      </c>
      <c r="I86" s="44">
        <v>6.3095734448019283E-13</v>
      </c>
      <c r="J86" s="44">
        <v>1.6007421243857255E-2</v>
      </c>
      <c r="K86" s="41">
        <v>3.5053062932302358E-6</v>
      </c>
      <c r="L86" s="41">
        <v>0.99999649469370666</v>
      </c>
      <c r="M86" s="41">
        <v>1.1984385278239496</v>
      </c>
      <c r="N86" s="38">
        <v>5.9921926391197475</v>
      </c>
      <c r="O86" s="41">
        <v>8.3000000000000007</v>
      </c>
      <c r="P86" s="44">
        <f t="shared" si="39"/>
        <v>5.0118723362727114E-9</v>
      </c>
      <c r="Q86" s="44">
        <f t="shared" si="40"/>
        <v>2.0152149381185727E-6</v>
      </c>
      <c r="R86" s="41">
        <f t="shared" si="41"/>
        <v>0.78131655618984297</v>
      </c>
      <c r="S86" s="41">
        <f t="shared" si="42"/>
        <v>0.21868344381015706</v>
      </c>
      <c r="T86" s="41">
        <f t="shared" si="43"/>
        <v>0.78129331304275884</v>
      </c>
      <c r="U86" s="18">
        <f t="shared" si="44"/>
        <v>3.9064665652137944</v>
      </c>
      <c r="V86" s="41">
        <v>9.5</v>
      </c>
      <c r="W86" s="44">
        <v>3.1622776601683744E-10</v>
      </c>
      <c r="X86" s="44">
        <v>3.193900436770068E-5</v>
      </c>
      <c r="Y86" s="41">
        <v>0.18395971272947795</v>
      </c>
      <c r="Z86" s="41">
        <v>0.81604028727052202</v>
      </c>
      <c r="AA86" s="41">
        <v>0.18362859613514754</v>
      </c>
      <c r="AB86" s="38">
        <v>0.91814298067573774</v>
      </c>
      <c r="AC86" s="41">
        <v>8.3000000000000007</v>
      </c>
      <c r="AD86" s="44">
        <f t="shared" si="45"/>
        <v>5.0118723362727114E-9</v>
      </c>
      <c r="AE86" s="44">
        <f t="shared" si="46"/>
        <v>2.0152149381185727E-6</v>
      </c>
      <c r="AF86" s="41">
        <f t="shared" si="47"/>
        <v>4.9868787366879582E-3</v>
      </c>
      <c r="AG86" s="41">
        <f t="shared" si="48"/>
        <v>0.99501312126331198</v>
      </c>
      <c r="AH86" s="41">
        <f t="shared" si="49"/>
        <v>0.99504987547862978</v>
      </c>
      <c r="AI86" s="18">
        <f t="shared" si="50"/>
        <v>119.40598505743556</v>
      </c>
      <c r="AJ86" s="41">
        <v>11.8</v>
      </c>
      <c r="AK86" s="44">
        <v>1.5848931924611065E-12</v>
      </c>
      <c r="AL86" s="44">
        <v>6.3726691792499795E-3</v>
      </c>
      <c r="AM86" s="41">
        <v>1.5848906805786562E-6</v>
      </c>
      <c r="AN86" s="41">
        <v>0.99999841510931942</v>
      </c>
      <c r="AO86" s="41">
        <v>1.1247826701246113</v>
      </c>
      <c r="AP86" s="38">
        <v>134.97392041495334</v>
      </c>
    </row>
    <row r="87" spans="1:42" ht="15" customHeight="1" x14ac:dyDescent="0.3">
      <c r="A87" s="41">
        <v>8.4</v>
      </c>
      <c r="B87" s="44">
        <f t="shared" si="34"/>
        <v>3.9810717055349665E-9</v>
      </c>
      <c r="C87" s="44">
        <f t="shared" si="35"/>
        <v>2.5370052958246796E-6</v>
      </c>
      <c r="D87" s="41">
        <f t="shared" si="36"/>
        <v>2.1638485245410156E-2</v>
      </c>
      <c r="E87" s="41">
        <f t="shared" si="37"/>
        <v>0.97836151475458988</v>
      </c>
      <c r="F87" s="41">
        <f t="shared" si="38"/>
        <v>0.97839180157709915</v>
      </c>
      <c r="G87" s="18">
        <f t="shared" si="51"/>
        <v>4.8919590078854958</v>
      </c>
      <c r="H87" s="41">
        <v>12.3</v>
      </c>
      <c r="I87" s="44">
        <v>5.0118723362727066E-13</v>
      </c>
      <c r="J87" s="44">
        <v>2.0152149381185747E-2</v>
      </c>
      <c r="K87" s="41">
        <v>2.7843657674371905E-6</v>
      </c>
      <c r="L87" s="41">
        <v>0.99999721563423249</v>
      </c>
      <c r="M87" s="41">
        <v>1.2519788385947113</v>
      </c>
      <c r="N87" s="38">
        <v>6.2598941929735563</v>
      </c>
      <c r="O87" s="41">
        <v>8.4</v>
      </c>
      <c r="P87" s="44">
        <f t="shared" si="39"/>
        <v>3.9810717055349665E-9</v>
      </c>
      <c r="Q87" s="44">
        <f t="shared" si="40"/>
        <v>2.5370052958246796E-6</v>
      </c>
      <c r="R87" s="41">
        <f t="shared" si="41"/>
        <v>0.73944706624401535</v>
      </c>
      <c r="S87" s="41">
        <f t="shared" si="42"/>
        <v>0.26055293375598465</v>
      </c>
      <c r="T87" s="41">
        <f t="shared" si="43"/>
        <v>0.73941799007441289</v>
      </c>
      <c r="U87" s="18">
        <f t="shared" si="44"/>
        <v>3.6970899503720642</v>
      </c>
      <c r="V87" s="41">
        <v>9.6</v>
      </c>
      <c r="W87" s="44">
        <v>2.5118864315095784E-10</v>
      </c>
      <c r="X87" s="44">
        <v>4.0208824225903246E-5</v>
      </c>
      <c r="Y87" s="41">
        <v>0.15187046119709635</v>
      </c>
      <c r="Z87" s="41">
        <v>0.84812953880290365</v>
      </c>
      <c r="AA87" s="41">
        <v>0.15145619579170291</v>
      </c>
      <c r="AB87" s="38">
        <v>0.75728097895851465</v>
      </c>
      <c r="AC87" s="41">
        <v>8.4</v>
      </c>
      <c r="AD87" s="44">
        <f t="shared" si="45"/>
        <v>3.9810717055349665E-9</v>
      </c>
      <c r="AE87" s="44">
        <f t="shared" si="46"/>
        <v>2.5370052958246796E-6</v>
      </c>
      <c r="AF87" s="41">
        <f t="shared" si="47"/>
        <v>3.9652856191521955E-3</v>
      </c>
      <c r="AG87" s="41">
        <f t="shared" si="48"/>
        <v>0.99603471438084779</v>
      </c>
      <c r="AH87" s="41">
        <f t="shared" si="49"/>
        <v>0.99608105389043566</v>
      </c>
      <c r="AI87" s="18">
        <f t="shared" si="50"/>
        <v>119.52972646685228</v>
      </c>
      <c r="AJ87" s="41">
        <v>11.9</v>
      </c>
      <c r="AK87" s="44">
        <v>1.2589254117941629E-12</v>
      </c>
      <c r="AL87" s="44">
        <v>8.0227151707152698E-3</v>
      </c>
      <c r="AM87" s="41">
        <v>1.2589238269029657E-6</v>
      </c>
      <c r="AN87" s="41">
        <v>0.99999874107617315</v>
      </c>
      <c r="AO87" s="41">
        <v>1.1599110615052244</v>
      </c>
      <c r="AP87" s="38">
        <v>139.18932738062693</v>
      </c>
    </row>
    <row r="88" spans="1:42" ht="15" customHeight="1" x14ac:dyDescent="0.3">
      <c r="A88" s="41">
        <v>8.5</v>
      </c>
      <c r="B88" s="44">
        <f t="shared" si="34"/>
        <v>3.1622776601683779E-9</v>
      </c>
      <c r="C88" s="44">
        <f t="shared" si="35"/>
        <v>3.1939004367700643E-6</v>
      </c>
      <c r="D88" s="41">
        <f t="shared" si="36"/>
        <v>1.7264895919429084E-2</v>
      </c>
      <c r="E88" s="41">
        <f t="shared" si="37"/>
        <v>0.98273510408057085</v>
      </c>
      <c r="F88" s="41">
        <f t="shared" si="38"/>
        <v>0.98277328300659372</v>
      </c>
      <c r="G88" s="18">
        <f t="shared" si="51"/>
        <v>4.9138664150329685</v>
      </c>
      <c r="H88" s="41">
        <v>12.4</v>
      </c>
      <c r="I88" s="44">
        <v>3.9810717055349631E-13</v>
      </c>
      <c r="J88" s="44">
        <v>2.5370052958246816E-2</v>
      </c>
      <c r="K88" s="41">
        <v>2.2117016114401428E-6</v>
      </c>
      <c r="L88" s="41">
        <v>0.99999778829838859</v>
      </c>
      <c r="M88" s="41">
        <v>1.3207113517486671</v>
      </c>
      <c r="N88" s="38">
        <v>6.603556758743335</v>
      </c>
      <c r="O88" s="41">
        <v>8.5</v>
      </c>
      <c r="P88" s="44">
        <f t="shared" si="39"/>
        <v>3.1622776601683779E-9</v>
      </c>
      <c r="Q88" s="44">
        <f t="shared" si="40"/>
        <v>3.1939004367700643E-6</v>
      </c>
      <c r="R88" s="41">
        <f t="shared" si="41"/>
        <v>0.69271396659995543</v>
      </c>
      <c r="S88" s="41">
        <f t="shared" si="42"/>
        <v>0.30728603340004462</v>
      </c>
      <c r="T88" s="41">
        <f t="shared" si="43"/>
        <v>0.69267763891241541</v>
      </c>
      <c r="U88" s="18">
        <f t="shared" si="44"/>
        <v>3.4633881945620772</v>
      </c>
      <c r="V88" s="41">
        <v>9.6999999999999993</v>
      </c>
      <c r="W88" s="44">
        <v>1.9952623149688802E-10</v>
      </c>
      <c r="X88" s="44">
        <v>5.0619910596354482E-5</v>
      </c>
      <c r="Y88" s="41">
        <v>0.12452457857058598</v>
      </c>
      <c r="Z88" s="41">
        <v>0.87547542142941404</v>
      </c>
      <c r="AA88" s="41">
        <v>0.12400582718159886</v>
      </c>
      <c r="AB88" s="38">
        <v>0.62002913590799436</v>
      </c>
      <c r="AC88" s="41">
        <v>8.5</v>
      </c>
      <c r="AD88" s="44">
        <f t="shared" si="45"/>
        <v>3.1622776601683779E-9</v>
      </c>
      <c r="AE88" s="44">
        <f t="shared" si="46"/>
        <v>3.1939004367700643E-6</v>
      </c>
      <c r="AF88" s="41">
        <f t="shared" si="47"/>
        <v>3.1523091832602102E-3</v>
      </c>
      <c r="AG88" s="41">
        <f t="shared" si="48"/>
        <v>0.99684769081673974</v>
      </c>
      <c r="AH88" s="41">
        <f t="shared" si="49"/>
        <v>0.99690608896439004</v>
      </c>
      <c r="AI88" s="18">
        <f t="shared" si="50"/>
        <v>119.6287306757268</v>
      </c>
      <c r="AJ88" s="41">
        <v>12</v>
      </c>
      <c r="AK88" s="44">
        <v>9.9999999999999998E-13</v>
      </c>
      <c r="AL88" s="44">
        <v>1.01E-2</v>
      </c>
      <c r="AM88" s="41">
        <v>9.9999900000100006E-7</v>
      </c>
      <c r="AN88" s="41">
        <v>0.99999900000099995</v>
      </c>
      <c r="AO88" s="41">
        <v>1.2059684834786135</v>
      </c>
      <c r="AP88" s="38">
        <v>144.71621801743362</v>
      </c>
    </row>
    <row r="89" spans="1:42" ht="15" customHeight="1" x14ac:dyDescent="0.3">
      <c r="A89" s="41">
        <v>8.6</v>
      </c>
      <c r="B89" s="44">
        <f t="shared" si="34"/>
        <v>2.5118864315095812E-9</v>
      </c>
      <c r="C89" s="44">
        <f t="shared" si="35"/>
        <v>4.02088242259032E-6</v>
      </c>
      <c r="D89" s="41">
        <f t="shared" si="36"/>
        <v>1.3762864877582675E-2</v>
      </c>
      <c r="E89" s="41">
        <f t="shared" si="37"/>
        <v>0.98623713512241729</v>
      </c>
      <c r="F89" s="41">
        <f t="shared" si="38"/>
        <v>0.98628524534691919</v>
      </c>
      <c r="G89" s="18">
        <f t="shared" si="51"/>
        <v>4.9314262267345956</v>
      </c>
      <c r="H89" s="41">
        <v>12.5</v>
      </c>
      <c r="I89" s="44">
        <v>3.1622776601683746E-13</v>
      </c>
      <c r="J89" s="44">
        <v>3.1939004367700675E-2</v>
      </c>
      <c r="K89" s="41">
        <v>1.7568178359014329E-6</v>
      </c>
      <c r="L89" s="41">
        <v>0.99999824318216401</v>
      </c>
      <c r="M89" s="41">
        <v>1.4094191773796143</v>
      </c>
      <c r="N89" s="38">
        <v>7.047095886898072</v>
      </c>
      <c r="O89" s="41">
        <v>8.6</v>
      </c>
      <c r="P89" s="44">
        <f t="shared" si="39"/>
        <v>2.5118864315095812E-9</v>
      </c>
      <c r="Q89" s="44">
        <f t="shared" si="40"/>
        <v>4.02088242259032E-6</v>
      </c>
      <c r="R89" s="41">
        <f t="shared" si="41"/>
        <v>0.64166076506645131</v>
      </c>
      <c r="S89" s="41">
        <f t="shared" si="42"/>
        <v>0.35833923493354874</v>
      </c>
      <c r="T89" s="41">
        <f t="shared" si="43"/>
        <v>0.64161542486405199</v>
      </c>
      <c r="U89" s="18">
        <f t="shared" si="44"/>
        <v>3.2080771243202597</v>
      </c>
      <c r="V89" s="41">
        <v>9.8000000000000007</v>
      </c>
      <c r="W89" s="44">
        <v>1.5848931924611098E-10</v>
      </c>
      <c r="X89" s="44">
        <v>6.3726691792499661E-5</v>
      </c>
      <c r="Y89" s="41">
        <v>0.10151326416103033</v>
      </c>
      <c r="Z89" s="41">
        <v>0.89848673583896976</v>
      </c>
      <c r="AA89" s="41">
        <v>0.10086314351105048</v>
      </c>
      <c r="AB89" s="38">
        <v>0.5043157175552524</v>
      </c>
      <c r="AC89" s="41">
        <v>8.6</v>
      </c>
      <c r="AD89" s="44">
        <f t="shared" si="45"/>
        <v>2.5118864315095812E-9</v>
      </c>
      <c r="AE89" s="44">
        <f t="shared" si="46"/>
        <v>4.02088242259032E-6</v>
      </c>
      <c r="AF89" s="41">
        <f t="shared" si="47"/>
        <v>2.5055926672857363E-3</v>
      </c>
      <c r="AG89" s="41">
        <f t="shared" si="48"/>
        <v>0.99749440733271422</v>
      </c>
      <c r="AH89" s="41">
        <f t="shared" si="49"/>
        <v>0.99756797973162459</v>
      </c>
      <c r="AI89" s="18">
        <f t="shared" si="50"/>
        <v>119.70815756779494</v>
      </c>
      <c r="AJ89" s="41">
        <v>12.1</v>
      </c>
      <c r="AK89" s="44">
        <v>7.9432823472428024E-13</v>
      </c>
      <c r="AL89" s="44">
        <v>1.2715146659121108E-2</v>
      </c>
      <c r="AM89" s="41">
        <v>7.9432760376743698E-7</v>
      </c>
      <c r="AN89" s="41">
        <v>0.9999992056723962</v>
      </c>
      <c r="AO89" s="41">
        <v>1.267068361596736</v>
      </c>
      <c r="AP89" s="38">
        <v>152.04820339160833</v>
      </c>
    </row>
    <row r="90" spans="1:42" ht="15" customHeight="1" x14ac:dyDescent="0.3">
      <c r="A90" s="41">
        <v>8.6999999999999993</v>
      </c>
      <c r="B90" s="44">
        <f t="shared" si="34"/>
        <v>1.9952623149688824E-9</v>
      </c>
      <c r="C90" s="44">
        <f t="shared" si="35"/>
        <v>5.0619910596354431E-6</v>
      </c>
      <c r="D90" s="41">
        <f t="shared" si="36"/>
        <v>1.0963265139923231E-2</v>
      </c>
      <c r="E90" s="41">
        <f t="shared" si="37"/>
        <v>0.98903673486007671</v>
      </c>
      <c r="F90" s="41">
        <f t="shared" si="38"/>
        <v>0.98909734447486219</v>
      </c>
      <c r="G90" s="18">
        <f t="shared" si="51"/>
        <v>4.9454867223743113</v>
      </c>
      <c r="H90" s="41">
        <v>12.6</v>
      </c>
      <c r="I90" s="44">
        <v>2.511886431509579E-13</v>
      </c>
      <c r="J90" s="44">
        <v>4.0208824225903238E-2</v>
      </c>
      <c r="K90" s="41">
        <v>1.3954905145532723E-6</v>
      </c>
      <c r="L90" s="41">
        <v>0.99999860450948552</v>
      </c>
      <c r="M90" s="41">
        <v>1.5246996034718476</v>
      </c>
      <c r="N90" s="38">
        <v>7.6234980173592382</v>
      </c>
      <c r="O90" s="41">
        <v>8.6999999999999993</v>
      </c>
      <c r="P90" s="44">
        <f t="shared" si="39"/>
        <v>1.9952623149688824E-9</v>
      </c>
      <c r="Q90" s="44">
        <f t="shared" si="40"/>
        <v>5.0619910596354431E-6</v>
      </c>
      <c r="R90" s="41">
        <f t="shared" si="41"/>
        <v>0.58718033351869536</v>
      </c>
      <c r="S90" s="41">
        <f t="shared" si="42"/>
        <v>0.41281966648130464</v>
      </c>
      <c r="T90" s="41">
        <f t="shared" si="43"/>
        <v>0.58712379187288333</v>
      </c>
      <c r="U90" s="18">
        <f t="shared" si="44"/>
        <v>2.9356189593644166</v>
      </c>
      <c r="V90" s="41">
        <v>9.9</v>
      </c>
      <c r="W90" s="44">
        <v>1.2589254117941656E-10</v>
      </c>
      <c r="X90" s="44">
        <v>8.0227151707152526E-5</v>
      </c>
      <c r="Y90" s="41">
        <v>8.2354278498254677E-2</v>
      </c>
      <c r="Z90" s="41">
        <v>0.91764572150174539</v>
      </c>
      <c r="AA90" s="41">
        <v>8.1538924989228559E-2</v>
      </c>
      <c r="AB90" s="38">
        <v>0.40769462494614278</v>
      </c>
      <c r="AC90" s="41">
        <v>8.6999999999999993</v>
      </c>
      <c r="AD90" s="44">
        <f t="shared" si="45"/>
        <v>1.9952623149688824E-9</v>
      </c>
      <c r="AE90" s="44">
        <f t="shared" si="46"/>
        <v>5.0619910596354431E-6</v>
      </c>
      <c r="AF90" s="41">
        <f t="shared" si="47"/>
        <v>1.9912891707283224E-3</v>
      </c>
      <c r="AG90" s="41">
        <f t="shared" si="48"/>
        <v>0.99800871082927167</v>
      </c>
      <c r="AH90" s="41">
        <f t="shared" si="49"/>
        <v>0.99810138134886528</v>
      </c>
      <c r="AI90" s="18">
        <f t="shared" si="50"/>
        <v>119.77216576186382</v>
      </c>
      <c r="AJ90" s="41">
        <v>12.2</v>
      </c>
      <c r="AK90" s="44">
        <v>6.3095734448019283E-13</v>
      </c>
      <c r="AL90" s="44">
        <v>1.6007421243857255E-2</v>
      </c>
      <c r="AM90" s="41">
        <v>6.3095694637327341E-7</v>
      </c>
      <c r="AN90" s="41">
        <v>0.99999936904305353</v>
      </c>
      <c r="AO90" s="41">
        <v>1.3493984383454056</v>
      </c>
      <c r="AP90" s="38">
        <v>161.92781260144869</v>
      </c>
    </row>
    <row r="91" spans="1:42" ht="15" customHeight="1" x14ac:dyDescent="0.3">
      <c r="A91" s="41">
        <v>8.8000000000000007</v>
      </c>
      <c r="B91" s="44">
        <f t="shared" si="34"/>
        <v>1.584893192461106E-9</v>
      </c>
      <c r="C91" s="44">
        <f t="shared" si="35"/>
        <v>6.3726691792499815E-6</v>
      </c>
      <c r="D91" s="41">
        <f t="shared" si="36"/>
        <v>8.7281114887750276E-3</v>
      </c>
      <c r="E91" s="41">
        <f t="shared" si="37"/>
        <v>0.99127188851122494</v>
      </c>
      <c r="F91" s="41">
        <f t="shared" si="38"/>
        <v>0.9913482312803622</v>
      </c>
      <c r="G91" s="18">
        <f t="shared" si="51"/>
        <v>4.9567411564018107</v>
      </c>
      <c r="H91" s="41">
        <v>12.7</v>
      </c>
      <c r="I91" s="44">
        <v>1.9952623149688807E-13</v>
      </c>
      <c r="J91" s="44">
        <v>5.061991059635447E-2</v>
      </c>
      <c r="K91" s="41">
        <v>1.1084778351471273E-6</v>
      </c>
      <c r="L91" s="41">
        <v>0.99999889152216481</v>
      </c>
      <c r="M91" s="41">
        <v>1.6758619629564151</v>
      </c>
      <c r="N91" s="38">
        <v>8.3793098147820757</v>
      </c>
      <c r="O91" s="41">
        <v>8.8000000000000007</v>
      </c>
      <c r="P91" s="44">
        <f t="shared" si="39"/>
        <v>1.584893192461106E-9</v>
      </c>
      <c r="Q91" s="44">
        <f t="shared" si="40"/>
        <v>6.3726691792499815E-6</v>
      </c>
      <c r="R91" s="41">
        <f t="shared" si="41"/>
        <v>0.53047782310994684</v>
      </c>
      <c r="S91" s="41">
        <f t="shared" si="42"/>
        <v>0.46952217689005304</v>
      </c>
      <c r="T91" s="41">
        <f t="shared" si="43"/>
        <v>0.53040735372717318</v>
      </c>
      <c r="U91" s="18">
        <f t="shared" si="44"/>
        <v>2.6520367686358659</v>
      </c>
      <c r="V91" s="41">
        <v>10</v>
      </c>
      <c r="W91" s="44">
        <v>1E-10</v>
      </c>
      <c r="X91" s="44">
        <v>1.0099999999999999E-4</v>
      </c>
      <c r="Y91" s="41">
        <v>6.6543438077634021E-2</v>
      </c>
      <c r="Z91" s="41">
        <v>0.93345656192236592</v>
      </c>
      <c r="AA91" s="41">
        <v>6.5520204009528141E-2</v>
      </c>
      <c r="AB91" s="38">
        <v>0.32760102004764075</v>
      </c>
      <c r="AC91" s="41">
        <v>8.8000000000000007</v>
      </c>
      <c r="AD91" s="44">
        <f t="shared" si="45"/>
        <v>1.584893192461106E-9</v>
      </c>
      <c r="AE91" s="44">
        <f t="shared" si="46"/>
        <v>6.3726691792499815E-6</v>
      </c>
      <c r="AF91" s="41">
        <f t="shared" si="47"/>
        <v>1.5823852808017126E-3</v>
      </c>
      <c r="AG91" s="41">
        <f t="shared" si="48"/>
        <v>0.99841761471919821</v>
      </c>
      <c r="AH91" s="41">
        <f t="shared" si="49"/>
        <v>0.99853432455169111</v>
      </c>
      <c r="AI91" s="18">
        <f t="shared" si="50"/>
        <v>119.82411894620293</v>
      </c>
      <c r="AJ91" s="41">
        <v>12.3</v>
      </c>
      <c r="AK91" s="44">
        <v>5.0118723362727066E-13</v>
      </c>
      <c r="AL91" s="44">
        <v>2.0152149381185747E-2</v>
      </c>
      <c r="AM91" s="41">
        <v>5.0118698243875339E-7</v>
      </c>
      <c r="AN91" s="41">
        <v>0.99999949881301753</v>
      </c>
      <c r="AO91" s="41">
        <v>1.462699456437043</v>
      </c>
      <c r="AP91" s="38">
        <v>175.52393477244513</v>
      </c>
    </row>
    <row r="92" spans="1:42" ht="15" customHeight="1" x14ac:dyDescent="0.3">
      <c r="A92" s="41">
        <v>8.9</v>
      </c>
      <c r="B92" s="44">
        <f t="shared" si="34"/>
        <v>1.2589254117941623E-9</v>
      </c>
      <c r="C92" s="44">
        <f t="shared" si="35"/>
        <v>8.0227151707152736E-6</v>
      </c>
      <c r="D92" s="41">
        <f t="shared" si="36"/>
        <v>6.9454533559330399E-3</v>
      </c>
      <c r="E92" s="41">
        <f t="shared" si="37"/>
        <v>0.993054546644067</v>
      </c>
      <c r="F92" s="41">
        <f t="shared" si="38"/>
        <v>0.99315069423619762</v>
      </c>
      <c r="G92" s="18">
        <f t="shared" si="51"/>
        <v>4.9657534711809879</v>
      </c>
      <c r="H92" s="41">
        <v>12.8</v>
      </c>
      <c r="I92" s="44">
        <v>1.5848931924611046E-13</v>
      </c>
      <c r="J92" s="44">
        <v>6.3726691792499873E-2</v>
      </c>
      <c r="K92" s="41">
        <v>8.8049544276103958E-7</v>
      </c>
      <c r="L92" s="41">
        <v>0.99999911950455722</v>
      </c>
      <c r="M92" s="41">
        <v>1.8764224244595091</v>
      </c>
      <c r="N92" s="38">
        <v>9.3821121222975457</v>
      </c>
      <c r="O92" s="41">
        <v>8.9</v>
      </c>
      <c r="P92" s="44">
        <f t="shared" si="39"/>
        <v>1.2589254117941623E-9</v>
      </c>
      <c r="Q92" s="44">
        <f t="shared" si="40"/>
        <v>8.0227151707152736E-6</v>
      </c>
      <c r="R92" s="41">
        <f t="shared" si="41"/>
        <v>0.47297738407738282</v>
      </c>
      <c r="S92" s="41">
        <f t="shared" si="42"/>
        <v>0.52702261592261723</v>
      </c>
      <c r="T92" s="41">
        <f t="shared" si="43"/>
        <v>0.47288958298873213</v>
      </c>
      <c r="U92" s="18">
        <f t="shared" si="44"/>
        <v>2.364447914943661</v>
      </c>
      <c r="V92" s="41">
        <v>10.1</v>
      </c>
      <c r="W92" s="44">
        <v>7.943282347242792E-11</v>
      </c>
      <c r="X92" s="44">
        <v>1.2715146659121124E-4</v>
      </c>
      <c r="Y92" s="41">
        <v>5.3590780827925823E-2</v>
      </c>
      <c r="Z92" s="41">
        <v>0.94640921917207421</v>
      </c>
      <c r="AA92" s="41">
        <v>5.2305965404226336E-2</v>
      </c>
      <c r="AB92" s="38">
        <v>0.2615298270211317</v>
      </c>
      <c r="AC92" s="41">
        <v>8.9</v>
      </c>
      <c r="AD92" s="44">
        <f t="shared" si="45"/>
        <v>1.2589254117941623E-9</v>
      </c>
      <c r="AE92" s="44">
        <f t="shared" si="46"/>
        <v>8.0227151707152736E-6</v>
      </c>
      <c r="AF92" s="41">
        <f t="shared" si="47"/>
        <v>1.257342511355288E-3</v>
      </c>
      <c r="AG92" s="41">
        <f t="shared" si="48"/>
        <v>0.99874265748864466</v>
      </c>
      <c r="AH92" s="41">
        <f t="shared" si="49"/>
        <v>0.99888962845184059</v>
      </c>
      <c r="AI92" s="18">
        <f t="shared" si="50"/>
        <v>119.86675541422088</v>
      </c>
      <c r="AJ92" s="41">
        <v>12.4</v>
      </c>
      <c r="AK92" s="44">
        <v>3.9810717055349631E-13</v>
      </c>
      <c r="AL92" s="44">
        <v>2.5370052958246816E-2</v>
      </c>
      <c r="AM92" s="41">
        <v>3.9810701206424017E-7</v>
      </c>
      <c r="AN92" s="41">
        <v>0.99999960189298787</v>
      </c>
      <c r="AO92" s="41">
        <v>1.6232313674172212</v>
      </c>
      <c r="AP92" s="38">
        <v>194.78776409006656</v>
      </c>
    </row>
    <row r="93" spans="1:42" ht="15" customHeight="1" x14ac:dyDescent="0.3">
      <c r="A93" s="41">
        <v>9</v>
      </c>
      <c r="B93" s="44">
        <f t="shared" si="34"/>
        <v>1.0000000000000001E-9</v>
      </c>
      <c r="C93" s="44">
        <f t="shared" si="35"/>
        <v>1.0099999999999998E-5</v>
      </c>
      <c r="D93" s="41">
        <f t="shared" si="36"/>
        <v>5.5248618784530393E-3</v>
      </c>
      <c r="E93" s="41">
        <f t="shared" si="37"/>
        <v>0.99447513812154698</v>
      </c>
      <c r="F93" s="41">
        <f t="shared" si="38"/>
        <v>0.99459621697593736</v>
      </c>
      <c r="G93" s="18">
        <f t="shared" si="51"/>
        <v>4.9729810848796872</v>
      </c>
      <c r="O93" s="41">
        <v>9</v>
      </c>
      <c r="P93" s="44">
        <f t="shared" si="39"/>
        <v>1.0000000000000001E-9</v>
      </c>
      <c r="Q93" s="44">
        <f t="shared" si="40"/>
        <v>1.0099999999999998E-5</v>
      </c>
      <c r="R93" s="41">
        <f t="shared" si="41"/>
        <v>0.41618497109826597</v>
      </c>
      <c r="S93" s="41">
        <f t="shared" si="42"/>
        <v>0.58381502890173409</v>
      </c>
      <c r="T93" s="41">
        <f t="shared" si="43"/>
        <v>0.41607557720375754</v>
      </c>
      <c r="U93" s="18">
        <f t="shared" si="44"/>
        <v>2.0803778860187876</v>
      </c>
      <c r="V93" s="41">
        <v>10.199999999999999</v>
      </c>
      <c r="W93" s="44">
        <v>6.3095734448019192E-11</v>
      </c>
      <c r="X93" s="44">
        <v>1.600742124385728E-4</v>
      </c>
      <c r="Y93" s="41">
        <v>4.3043096093750961E-2</v>
      </c>
      <c r="Z93" s="41">
        <v>0.9569569039062491</v>
      </c>
      <c r="AA93" s="41">
        <v>4.1429091147275686E-2</v>
      </c>
      <c r="AB93" s="38">
        <v>0.20714545573637844</v>
      </c>
      <c r="AC93" s="41">
        <v>9</v>
      </c>
      <c r="AD93" s="44">
        <f t="shared" si="45"/>
        <v>1.0000000000000001E-9</v>
      </c>
      <c r="AE93" s="44">
        <f t="shared" si="46"/>
        <v>1.0099999999999998E-5</v>
      </c>
      <c r="AF93" s="41">
        <f t="shared" si="47"/>
        <v>9.99000999000999E-4</v>
      </c>
      <c r="AG93" s="41">
        <f t="shared" si="48"/>
        <v>0.99900099900099892</v>
      </c>
      <c r="AH93" s="41">
        <f t="shared" si="49"/>
        <v>0.99918606513505015</v>
      </c>
      <c r="AI93" s="18">
        <f t="shared" si="50"/>
        <v>119.90232781620601</v>
      </c>
      <c r="AJ93" s="41">
        <v>12.5</v>
      </c>
      <c r="AK93" s="44">
        <v>3.1622776601683746E-13</v>
      </c>
      <c r="AL93" s="44">
        <v>3.1939004367700675E-2</v>
      </c>
      <c r="AM93" s="41">
        <v>3.1622766601686911E-7</v>
      </c>
      <c r="AN93" s="41">
        <v>0.99999968377233406</v>
      </c>
      <c r="AO93" s="41">
        <v>1.8603284329472569</v>
      </c>
      <c r="AP93" s="38">
        <v>223.23941195367084</v>
      </c>
    </row>
    <row r="94" spans="1:42" ht="15" customHeight="1" x14ac:dyDescent="0.3">
      <c r="A94" s="41">
        <v>9.1</v>
      </c>
      <c r="B94" s="44">
        <f t="shared" si="34"/>
        <v>7.9432823472428E-10</v>
      </c>
      <c r="C94" s="44">
        <f t="shared" si="35"/>
        <v>1.2715146659121113E-5</v>
      </c>
      <c r="D94" s="41">
        <f t="shared" si="36"/>
        <v>4.3935462051276743E-3</v>
      </c>
      <c r="E94" s="41">
        <f t="shared" si="37"/>
        <v>0.99560645379487223</v>
      </c>
      <c r="F94" s="41">
        <f t="shared" si="38"/>
        <v>0.99575891817762585</v>
      </c>
      <c r="G94" s="18">
        <f t="shared" si="51"/>
        <v>4.9787945908881293</v>
      </c>
      <c r="O94" s="41">
        <v>9.1</v>
      </c>
      <c r="P94" s="44">
        <f t="shared" si="39"/>
        <v>7.9432823472428E-10</v>
      </c>
      <c r="Q94" s="44">
        <f t="shared" si="40"/>
        <v>1.2715146659121113E-5</v>
      </c>
      <c r="R94" s="41">
        <f t="shared" si="41"/>
        <v>0.36153386782629637</v>
      </c>
      <c r="S94" s="41">
        <f t="shared" si="42"/>
        <v>0.63846613217370352</v>
      </c>
      <c r="T94" s="41">
        <f t="shared" si="43"/>
        <v>0.36139753443181899</v>
      </c>
      <c r="U94" s="18">
        <f t="shared" si="44"/>
        <v>1.8069876721590949</v>
      </c>
      <c r="V94" s="41">
        <v>10.3</v>
      </c>
      <c r="W94" s="44">
        <v>5.0118723362726993E-11</v>
      </c>
      <c r="X94" s="44">
        <v>2.0152149381185778E-4</v>
      </c>
      <c r="Y94" s="41">
        <v>3.4495728583133385E-2</v>
      </c>
      <c r="Z94" s="41">
        <v>0.96550427141686668</v>
      </c>
      <c r="AA94" s="41">
        <v>3.2467428380121711E-2</v>
      </c>
      <c r="AB94" s="38">
        <v>0.16233714190060858</v>
      </c>
      <c r="AC94" s="41">
        <v>9.1</v>
      </c>
      <c r="AD94" s="44">
        <f t="shared" si="45"/>
        <v>7.9432823472428E-10</v>
      </c>
      <c r="AE94" s="44">
        <f t="shared" si="46"/>
        <v>1.2715146659121113E-5</v>
      </c>
      <c r="AF94" s="41">
        <f t="shared" si="47"/>
        <v>7.9369777816924226E-4</v>
      </c>
      <c r="AG94" s="41">
        <f t="shared" si="48"/>
        <v>0.99920630222183071</v>
      </c>
      <c r="AH94" s="41">
        <f t="shared" si="49"/>
        <v>0.99943932739533992</v>
      </c>
      <c r="AI94" s="18">
        <f t="shared" si="50"/>
        <v>119.93271928744079</v>
      </c>
    </row>
    <row r="95" spans="1:42" ht="15" customHeight="1" x14ac:dyDescent="0.3">
      <c r="A95" s="41">
        <v>9.1999999999999993</v>
      </c>
      <c r="B95" s="44">
        <f t="shared" si="34"/>
        <v>6.309573444801927E-10</v>
      </c>
      <c r="C95" s="44">
        <f t="shared" si="35"/>
        <v>1.6007421243857258E-5</v>
      </c>
      <c r="D95" s="41">
        <f t="shared" si="36"/>
        <v>3.4930742424007519E-3</v>
      </c>
      <c r="E95" s="41">
        <f t="shared" si="37"/>
        <v>0.99650692575759914</v>
      </c>
      <c r="F95" s="41">
        <f t="shared" si="38"/>
        <v>0.99669890156105645</v>
      </c>
      <c r="G95" s="18">
        <f t="shared" si="51"/>
        <v>4.9834945078052826</v>
      </c>
      <c r="O95" s="41">
        <v>9.1999999999999993</v>
      </c>
      <c r="P95" s="44">
        <f t="shared" si="39"/>
        <v>6.309573444801927E-10</v>
      </c>
      <c r="Q95" s="44">
        <f t="shared" si="40"/>
        <v>1.6007421243857258E-5</v>
      </c>
      <c r="R95" s="41">
        <f t="shared" si="41"/>
        <v>0.31024558585567785</v>
      </c>
      <c r="S95" s="41">
        <f t="shared" si="42"/>
        <v>0.68975441414432204</v>
      </c>
      <c r="T95" s="41">
        <f t="shared" si="43"/>
        <v>0.31007559132288626</v>
      </c>
      <c r="U95" s="18">
        <f t="shared" si="44"/>
        <v>1.5503779566144313</v>
      </c>
      <c r="V95" s="41">
        <v>10.4</v>
      </c>
      <c r="W95" s="44">
        <v>3.9810717055349579E-11</v>
      </c>
      <c r="X95" s="44">
        <v>2.5370052958246852E-4</v>
      </c>
      <c r="Y95" s="41">
        <v>2.7596724358982722E-2</v>
      </c>
      <c r="Z95" s="41">
        <v>0.97240327564101736</v>
      </c>
      <c r="AA95" s="41">
        <v>2.5047010583560469E-2</v>
      </c>
      <c r="AB95" s="38">
        <v>0.12523505291780235</v>
      </c>
      <c r="AC95" s="41">
        <v>9.1999999999999993</v>
      </c>
      <c r="AD95" s="44">
        <f t="shared" si="45"/>
        <v>6.309573444801927E-10</v>
      </c>
      <c r="AE95" s="44">
        <f t="shared" si="46"/>
        <v>1.6007421243857258E-5</v>
      </c>
      <c r="AF95" s="41">
        <f t="shared" si="47"/>
        <v>6.3055948833989298E-4</v>
      </c>
      <c r="AG95" s="41">
        <f t="shared" si="48"/>
        <v>0.99936944051165999</v>
      </c>
      <c r="AH95" s="41">
        <f t="shared" si="49"/>
        <v>0.99966284436578412</v>
      </c>
      <c r="AI95" s="18">
        <f t="shared" si="50"/>
        <v>119.95954132389409</v>
      </c>
    </row>
    <row r="96" spans="1:42" ht="15" customHeight="1" x14ac:dyDescent="0.3">
      <c r="A96" s="41">
        <v>9.3000000000000007</v>
      </c>
      <c r="B96" s="44">
        <f t="shared" si="34"/>
        <v>5.011872336272705E-10</v>
      </c>
      <c r="C96" s="44">
        <f t="shared" si="35"/>
        <v>2.0152149381185755E-5</v>
      </c>
      <c r="D96" s="41">
        <f t="shared" si="36"/>
        <v>2.7766423108263058E-3</v>
      </c>
      <c r="E96" s="41">
        <f t="shared" si="37"/>
        <v>0.9972233576891737</v>
      </c>
      <c r="F96" s="41">
        <f t="shared" si="38"/>
        <v>0.99746507530167972</v>
      </c>
      <c r="G96" s="18">
        <f t="shared" si="51"/>
        <v>4.9873253765083989</v>
      </c>
      <c r="O96" s="41">
        <v>9.3000000000000007</v>
      </c>
      <c r="P96" s="44">
        <f t="shared" si="39"/>
        <v>5.011872336272705E-10</v>
      </c>
      <c r="Q96" s="44">
        <f t="shared" si="40"/>
        <v>2.0152149381185755E-5</v>
      </c>
      <c r="R96" s="41">
        <f t="shared" si="41"/>
        <v>0.26323342636292191</v>
      </c>
      <c r="S96" s="41">
        <f t="shared" si="42"/>
        <v>0.73676657363707809</v>
      </c>
      <c r="T96" s="41">
        <f t="shared" si="43"/>
        <v>0.26302130925519918</v>
      </c>
      <c r="U96" s="18">
        <f t="shared" si="44"/>
        <v>1.3151065462759959</v>
      </c>
      <c r="V96" s="41">
        <v>10.5</v>
      </c>
      <c r="W96" s="44">
        <v>3.162277660168371E-11</v>
      </c>
      <c r="X96" s="44">
        <v>3.1939004367700712E-4</v>
      </c>
      <c r="Y96" s="41">
        <v>2.2045987437145198E-2</v>
      </c>
      <c r="Z96" s="41">
        <v>0.97795401256285486</v>
      </c>
      <c r="AA96" s="41">
        <v>1.8840052667305866E-2</v>
      </c>
      <c r="AB96" s="38">
        <v>9.4200263336529338E-2</v>
      </c>
      <c r="AC96" s="41">
        <v>9.3000000000000007</v>
      </c>
      <c r="AD96" s="44">
        <f t="shared" si="45"/>
        <v>5.011872336272705E-10</v>
      </c>
      <c r="AE96" s="44">
        <f t="shared" si="46"/>
        <v>2.0152149381185755E-5</v>
      </c>
      <c r="AF96" s="41">
        <f t="shared" si="47"/>
        <v>5.0093617081359656E-4</v>
      </c>
      <c r="AG96" s="41">
        <f t="shared" si="48"/>
        <v>0.9994990638291863</v>
      </c>
      <c r="AH96" s="41">
        <f t="shared" si="49"/>
        <v>0.99986848421014274</v>
      </c>
      <c r="AI96" s="18">
        <f t="shared" si="50"/>
        <v>119.98421810521712</v>
      </c>
    </row>
    <row r="97" spans="1:35" ht="15" customHeight="1" x14ac:dyDescent="0.3">
      <c r="A97" s="41">
        <v>9.4</v>
      </c>
      <c r="B97" s="44">
        <f t="shared" si="34"/>
        <v>3.9810717055349621E-10</v>
      </c>
      <c r="C97" s="44">
        <f t="shared" si="35"/>
        <v>2.5370052958246823E-5</v>
      </c>
      <c r="D97" s="41">
        <f t="shared" si="36"/>
        <v>2.2068256524283504E-3</v>
      </c>
      <c r="E97" s="41">
        <f t="shared" si="37"/>
        <v>0.99779317434757164</v>
      </c>
      <c r="F97" s="41">
        <f t="shared" si="38"/>
        <v>0.99809751367494171</v>
      </c>
      <c r="G97" s="18">
        <f t="shared" si="51"/>
        <v>4.990487568374709</v>
      </c>
      <c r="O97" s="41">
        <v>9.4</v>
      </c>
      <c r="P97" s="44">
        <f t="shared" si="39"/>
        <v>3.9810717055349621E-10</v>
      </c>
      <c r="Q97" s="44">
        <f t="shared" si="40"/>
        <v>2.5370052958246823E-5</v>
      </c>
      <c r="R97" s="41">
        <f t="shared" si="41"/>
        <v>0.22106196785218737</v>
      </c>
      <c r="S97" s="41">
        <f t="shared" si="42"/>
        <v>0.77893803214781254</v>
      </c>
      <c r="T97" s="41">
        <f t="shared" si="43"/>
        <v>0.22079706821285122</v>
      </c>
      <c r="U97" s="18">
        <f t="shared" si="44"/>
        <v>1.1039853410642562</v>
      </c>
      <c r="V97" s="41">
        <v>10.6</v>
      </c>
      <c r="W97" s="44">
        <v>2.5118864315095759E-11</v>
      </c>
      <c r="X97" s="44">
        <v>4.0208824225903287E-4</v>
      </c>
      <c r="Y97" s="41">
        <v>1.7591514381796534E-2</v>
      </c>
      <c r="Z97" s="41">
        <v>0.98240848561820349</v>
      </c>
      <c r="AA97" s="41">
        <v>1.3559727796845372E-2</v>
      </c>
      <c r="AB97" s="38">
        <v>6.7798638984226861E-2</v>
      </c>
      <c r="AC97" s="41">
        <v>9.4</v>
      </c>
      <c r="AD97" s="44">
        <f t="shared" si="45"/>
        <v>3.9810717055349621E-10</v>
      </c>
      <c r="AE97" s="44">
        <f t="shared" si="46"/>
        <v>2.5370052958246823E-5</v>
      </c>
      <c r="AF97" s="41">
        <f t="shared" si="47"/>
        <v>3.9794874430487567E-4</v>
      </c>
      <c r="AG97" s="41">
        <f t="shared" si="48"/>
        <v>0.99960205125569512</v>
      </c>
      <c r="AH97" s="41">
        <f t="shared" si="49"/>
        <v>1.0000671786376201</v>
      </c>
      <c r="AI97" s="18">
        <f t="shared" si="50"/>
        <v>120.00806143651441</v>
      </c>
    </row>
    <row r="98" spans="1:35" ht="15" customHeight="1" x14ac:dyDescent="0.3">
      <c r="A98" s="41">
        <v>9.5</v>
      </c>
      <c r="B98" s="44">
        <f t="shared" si="34"/>
        <v>3.1622776601683744E-10</v>
      </c>
      <c r="C98" s="44">
        <f t="shared" si="35"/>
        <v>3.193900436770068E-5</v>
      </c>
      <c r="D98" s="41">
        <f t="shared" si="36"/>
        <v>1.7537399153401937E-3</v>
      </c>
      <c r="E98" s="41">
        <f t="shared" si="37"/>
        <v>0.99824626008465989</v>
      </c>
      <c r="F98" s="41">
        <f t="shared" si="38"/>
        <v>0.99862943679435745</v>
      </c>
      <c r="G98" s="18">
        <f t="shared" si="51"/>
        <v>4.9931471839717876</v>
      </c>
      <c r="O98" s="41">
        <v>9.5</v>
      </c>
      <c r="P98" s="44">
        <f t="shared" si="39"/>
        <v>3.1622776601683744E-10</v>
      </c>
      <c r="Q98" s="44">
        <f t="shared" si="40"/>
        <v>3.193900436770068E-5</v>
      </c>
      <c r="R98" s="41">
        <f t="shared" si="41"/>
        <v>0.18395971272947795</v>
      </c>
      <c r="S98" s="41">
        <f t="shared" si="42"/>
        <v>0.81604028727052202</v>
      </c>
      <c r="T98" s="41">
        <f t="shared" si="43"/>
        <v>0.18362859613514754</v>
      </c>
      <c r="U98" s="18">
        <f t="shared" si="44"/>
        <v>0.91814298067573774</v>
      </c>
      <c r="V98" s="41">
        <v>10.7</v>
      </c>
      <c r="W98" s="44">
        <v>1.995262314968878E-11</v>
      </c>
      <c r="X98" s="44">
        <v>5.0619910596354538E-4</v>
      </c>
      <c r="Y98" s="41">
        <v>1.4024177129188936E-2</v>
      </c>
      <c r="Z98" s="41">
        <v>0.98597582287081109</v>
      </c>
      <c r="AA98" s="41">
        <v>8.9531221445866456E-3</v>
      </c>
      <c r="AB98" s="38">
        <v>4.4765610722933231E-2</v>
      </c>
      <c r="AC98" s="41">
        <v>9.5</v>
      </c>
      <c r="AD98" s="44">
        <f t="shared" si="45"/>
        <v>3.1622776601683744E-10</v>
      </c>
      <c r="AE98" s="44">
        <f t="shared" si="46"/>
        <v>3.193900436770068E-5</v>
      </c>
      <c r="AF98" s="41">
        <f t="shared" si="47"/>
        <v>3.1612779762961717E-4</v>
      </c>
      <c r="AG98" s="41">
        <f t="shared" si="48"/>
        <v>0.99968387220237032</v>
      </c>
      <c r="AH98" s="41">
        <f t="shared" si="49"/>
        <v>1.0002695008933189</v>
      </c>
      <c r="AI98" s="18">
        <f t="shared" si="50"/>
        <v>120.03234010719825</v>
      </c>
    </row>
    <row r="99" spans="1:35" ht="15" customHeight="1" x14ac:dyDescent="0.3">
      <c r="A99" s="41">
        <v>9.6</v>
      </c>
      <c r="B99" s="44">
        <f t="shared" si="34"/>
        <v>2.5118864315095784E-10</v>
      </c>
      <c r="C99" s="44">
        <f t="shared" si="35"/>
        <v>4.0208824225903246E-5</v>
      </c>
      <c r="D99" s="41">
        <f t="shared" si="36"/>
        <v>1.3935477765322482E-3</v>
      </c>
      <c r="E99" s="41">
        <f t="shared" si="37"/>
        <v>0.99860645222346767</v>
      </c>
      <c r="F99" s="41">
        <f t="shared" si="38"/>
        <v>0.99908888183039191</v>
      </c>
      <c r="G99" s="18">
        <f t="shared" si="51"/>
        <v>4.9954444091519594</v>
      </c>
      <c r="O99" s="41">
        <v>9.6</v>
      </c>
      <c r="P99" s="44">
        <f t="shared" si="39"/>
        <v>2.5118864315095784E-10</v>
      </c>
      <c r="Q99" s="44">
        <f t="shared" si="40"/>
        <v>4.0208824225903246E-5</v>
      </c>
      <c r="R99" s="41">
        <f t="shared" si="41"/>
        <v>0.15187046119709635</v>
      </c>
      <c r="S99" s="41">
        <f t="shared" si="42"/>
        <v>0.84812953880290365</v>
      </c>
      <c r="T99" s="41">
        <f t="shared" si="43"/>
        <v>0.15145619579170291</v>
      </c>
      <c r="U99" s="18">
        <f t="shared" si="44"/>
        <v>0.75728097895851465</v>
      </c>
      <c r="V99" s="41">
        <v>10.8</v>
      </c>
      <c r="W99" s="44">
        <v>1.5848931924611082E-11</v>
      </c>
      <c r="X99" s="44">
        <v>6.3726691792499724E-4</v>
      </c>
      <c r="Y99" s="41">
        <v>1.1172024195100628E-2</v>
      </c>
      <c r="Z99" s="41">
        <v>0.98882797580489934</v>
      </c>
      <c r="AA99" s="41">
        <v>4.7932460202555422E-3</v>
      </c>
      <c r="AB99" s="38">
        <v>2.3966230101277713E-2</v>
      </c>
      <c r="AC99" s="41">
        <v>9.6</v>
      </c>
      <c r="AD99" s="44">
        <f t="shared" si="45"/>
        <v>2.5118864315095784E-10</v>
      </c>
      <c r="AE99" s="44">
        <f t="shared" si="46"/>
        <v>4.0208824225903246E-5</v>
      </c>
      <c r="AF99" s="41">
        <f t="shared" si="47"/>
        <v>2.5112556326146166E-4</v>
      </c>
      <c r="AG99" s="41">
        <f t="shared" si="48"/>
        <v>0.99974887443673843</v>
      </c>
      <c r="AH99" s="41">
        <f t="shared" si="49"/>
        <v>1.0004862271140724</v>
      </c>
      <c r="AI99" s="18">
        <f t="shared" si="50"/>
        <v>120.05834725368868</v>
      </c>
    </row>
    <row r="100" spans="1:35" ht="15" customHeight="1" x14ac:dyDescent="0.3">
      <c r="A100" s="41">
        <v>9.6999999999999993</v>
      </c>
      <c r="B100" s="44">
        <f t="shared" si="34"/>
        <v>1.9952623149688802E-10</v>
      </c>
      <c r="C100" s="44">
        <f t="shared" si="35"/>
        <v>5.0619910596354482E-5</v>
      </c>
      <c r="D100" s="41">
        <f t="shared" si="36"/>
        <v>1.1072516985453263E-3</v>
      </c>
      <c r="E100" s="41">
        <f t="shared" si="37"/>
        <v>0.99889274830145458</v>
      </c>
      <c r="F100" s="41">
        <f t="shared" si="38"/>
        <v>0.99950013422817419</v>
      </c>
      <c r="G100" s="18">
        <f t="shared" si="51"/>
        <v>4.9975006711408714</v>
      </c>
      <c r="O100" s="41">
        <v>9.6999999999999993</v>
      </c>
      <c r="P100" s="44">
        <f t="shared" si="39"/>
        <v>1.9952623149688802E-10</v>
      </c>
      <c r="Q100" s="44">
        <f t="shared" si="40"/>
        <v>5.0619910596354482E-5</v>
      </c>
      <c r="R100" s="41">
        <f t="shared" si="41"/>
        <v>0.12452457857058598</v>
      </c>
      <c r="S100" s="41">
        <f t="shared" si="42"/>
        <v>0.87547542142941404</v>
      </c>
      <c r="T100" s="41">
        <f t="shared" si="43"/>
        <v>0.12400582718159886</v>
      </c>
      <c r="U100" s="18">
        <f t="shared" si="44"/>
        <v>0.62002913590799436</v>
      </c>
      <c r="V100" s="41">
        <v>10.9</v>
      </c>
      <c r="W100" s="44">
        <v>1.2589254117941641E-11</v>
      </c>
      <c r="X100" s="44">
        <v>8.0227151707152624E-4</v>
      </c>
      <c r="Y100" s="41">
        <v>8.8946922135665404E-3</v>
      </c>
      <c r="Z100" s="41">
        <v>0.99110530778643346</v>
      </c>
      <c r="AA100" s="41">
        <v>8.7058028523340507E-4</v>
      </c>
      <c r="AB100" s="38">
        <v>4.3529014261670254E-3</v>
      </c>
      <c r="AC100" s="41">
        <v>9.6999999999999993</v>
      </c>
      <c r="AD100" s="44">
        <f t="shared" si="45"/>
        <v>1.9952623149688802E-10</v>
      </c>
      <c r="AE100" s="44">
        <f t="shared" si="46"/>
        <v>5.0619910596354482E-5</v>
      </c>
      <c r="AF100" s="41">
        <f t="shared" si="47"/>
        <v>1.9948642872153047E-4</v>
      </c>
      <c r="AG100" s="41">
        <f t="shared" si="48"/>
        <v>0.99980051357127853</v>
      </c>
      <c r="AH100" s="41">
        <f t="shared" si="49"/>
        <v>1.0007289105799937</v>
      </c>
      <c r="AI100" s="18">
        <f t="shared" si="50"/>
        <v>120.08746926959924</v>
      </c>
    </row>
    <row r="101" spans="1:35" ht="15" customHeight="1" x14ac:dyDescent="0.3">
      <c r="A101" s="41">
        <v>9.8000000000000007</v>
      </c>
      <c r="B101" s="44">
        <f t="shared" si="34"/>
        <v>1.5848931924611098E-10</v>
      </c>
      <c r="C101" s="44">
        <f t="shared" si="35"/>
        <v>6.3726691792499661E-5</v>
      </c>
      <c r="D101" s="41">
        <f t="shared" si="36"/>
        <v>8.7972162646892142E-4</v>
      </c>
      <c r="E101" s="41">
        <f t="shared" si="37"/>
        <v>0.99912027837353112</v>
      </c>
      <c r="F101" s="41">
        <f t="shared" si="38"/>
        <v>0.99988498211378696</v>
      </c>
      <c r="G101" s="18">
        <f t="shared" si="51"/>
        <v>4.9994249105689352</v>
      </c>
      <c r="O101" s="41">
        <v>9.8000000000000007</v>
      </c>
      <c r="P101" s="44">
        <f t="shared" si="39"/>
        <v>1.5848931924611098E-10</v>
      </c>
      <c r="Q101" s="44">
        <f t="shared" si="40"/>
        <v>6.3726691792499661E-5</v>
      </c>
      <c r="R101" s="41">
        <f t="shared" si="41"/>
        <v>0.10151326416103033</v>
      </c>
      <c r="S101" s="41">
        <f t="shared" si="42"/>
        <v>0.89848673583896976</v>
      </c>
      <c r="T101" s="41">
        <f t="shared" si="43"/>
        <v>0.10086314351105048</v>
      </c>
      <c r="U101" s="18">
        <f t="shared" si="44"/>
        <v>0.5043157175552524</v>
      </c>
      <c r="AC101" s="41">
        <v>9.8000000000000007</v>
      </c>
      <c r="AD101" s="44">
        <f t="shared" si="45"/>
        <v>1.5848931924611098E-10</v>
      </c>
      <c r="AE101" s="44">
        <f t="shared" si="46"/>
        <v>6.3726691792499661E-5</v>
      </c>
      <c r="AF101" s="41">
        <f t="shared" si="47"/>
        <v>1.5846420436223672E-4</v>
      </c>
      <c r="AG101" s="41">
        <f t="shared" si="48"/>
        <v>0.99984153579563773</v>
      </c>
      <c r="AH101" s="41">
        <f t="shared" si="49"/>
        <v>1.0010104995291815</v>
      </c>
      <c r="AI101" s="18">
        <f t="shared" si="50"/>
        <v>120.12125994350178</v>
      </c>
    </row>
    <row r="102" spans="1:35" ht="15" customHeight="1" x14ac:dyDescent="0.3">
      <c r="A102" s="41">
        <v>9.9</v>
      </c>
      <c r="B102" s="44">
        <f t="shared" si="34"/>
        <v>1.2589254117941656E-10</v>
      </c>
      <c r="C102" s="44">
        <f t="shared" si="35"/>
        <v>8.0227151707152526E-5</v>
      </c>
      <c r="D102" s="41">
        <f t="shared" si="36"/>
        <v>6.9891418387079296E-4</v>
      </c>
      <c r="E102" s="41">
        <f t="shared" si="37"/>
        <v>0.9993010858161292</v>
      </c>
      <c r="F102" s="41">
        <f t="shared" si="38"/>
        <v>1.0002638524621013</v>
      </c>
      <c r="G102" s="18">
        <f t="shared" si="51"/>
        <v>5.0013192623105063</v>
      </c>
      <c r="O102" s="41">
        <v>9.9</v>
      </c>
      <c r="P102" s="44">
        <f t="shared" si="39"/>
        <v>1.2589254117941656E-10</v>
      </c>
      <c r="Q102" s="44">
        <f t="shared" si="40"/>
        <v>8.0227151707152526E-5</v>
      </c>
      <c r="R102" s="41">
        <f t="shared" si="41"/>
        <v>8.2354278498254677E-2</v>
      </c>
      <c r="S102" s="41">
        <f t="shared" si="42"/>
        <v>0.91764572150174539</v>
      </c>
      <c r="T102" s="41">
        <f t="shared" si="43"/>
        <v>8.1538924989228559E-2</v>
      </c>
      <c r="U102" s="18">
        <f t="shared" si="44"/>
        <v>0.40769462494614278</v>
      </c>
      <c r="AC102" s="41">
        <v>9.9</v>
      </c>
      <c r="AD102" s="44">
        <f t="shared" si="45"/>
        <v>1.2589254117941656E-10</v>
      </c>
      <c r="AE102" s="44">
        <f t="shared" si="46"/>
        <v>8.0227151707152526E-5</v>
      </c>
      <c r="AF102" s="41">
        <f t="shared" si="47"/>
        <v>1.2587669424250311E-4</v>
      </c>
      <c r="AG102" s="41">
        <f t="shared" si="48"/>
        <v>0.99987412330575753</v>
      </c>
      <c r="AH102" s="41">
        <f t="shared" si="49"/>
        <v>1.0013460319937939</v>
      </c>
      <c r="AI102" s="18">
        <f t="shared" si="50"/>
        <v>120.16152383925525</v>
      </c>
    </row>
    <row r="103" spans="1:35" ht="15" customHeight="1" x14ac:dyDescent="0.3">
      <c r="A103" s="41">
        <v>10</v>
      </c>
      <c r="B103" s="44">
        <f t="shared" si="34"/>
        <v>1E-10</v>
      </c>
      <c r="C103" s="44">
        <f t="shared" si="35"/>
        <v>1.0099999999999999E-4</v>
      </c>
      <c r="D103" s="41">
        <f t="shared" si="36"/>
        <v>5.5524708495280405E-4</v>
      </c>
      <c r="E103" s="41">
        <f t="shared" si="37"/>
        <v>0.9994447529150472</v>
      </c>
      <c r="F103" s="41">
        <f t="shared" si="38"/>
        <v>1.0006568844055659</v>
      </c>
      <c r="G103" s="18">
        <f t="shared" si="51"/>
        <v>5.0032844220278294</v>
      </c>
      <c r="O103" s="41">
        <v>10</v>
      </c>
      <c r="P103" s="44">
        <f t="shared" si="39"/>
        <v>1E-10</v>
      </c>
      <c r="Q103" s="44">
        <f t="shared" si="40"/>
        <v>1.0099999999999999E-4</v>
      </c>
      <c r="R103" s="41">
        <f t="shared" si="41"/>
        <v>6.6543438077634021E-2</v>
      </c>
      <c r="S103" s="41">
        <f t="shared" si="42"/>
        <v>0.93345656192236592</v>
      </c>
      <c r="T103" s="41">
        <f t="shared" si="43"/>
        <v>6.5520204009528141E-2</v>
      </c>
      <c r="U103" s="18">
        <f t="shared" si="44"/>
        <v>0.32760102004764075</v>
      </c>
      <c r="AC103" s="41">
        <v>10</v>
      </c>
      <c r="AD103" s="44">
        <f t="shared" si="45"/>
        <v>1E-10</v>
      </c>
      <c r="AE103" s="44">
        <f t="shared" si="46"/>
        <v>1.0099999999999999E-4</v>
      </c>
      <c r="AF103" s="41">
        <f t="shared" si="47"/>
        <v>9.9990000999900015E-5</v>
      </c>
      <c r="AG103" s="41">
        <f t="shared" si="48"/>
        <v>0.99990000999900008</v>
      </c>
      <c r="AH103" s="41">
        <f t="shared" si="49"/>
        <v>1.0017534458108488</v>
      </c>
      <c r="AI103" s="18">
        <f t="shared" si="50"/>
        <v>120.21041349730186</v>
      </c>
    </row>
    <row r="104" spans="1:35" ht="15" customHeight="1" x14ac:dyDescent="0.3">
      <c r="A104" s="41">
        <v>10.1</v>
      </c>
      <c r="B104" s="44">
        <f t="shared" si="34"/>
        <v>7.943282347242792E-11</v>
      </c>
      <c r="C104" s="44">
        <f t="shared" si="35"/>
        <v>1.2715146659121124E-4</v>
      </c>
      <c r="D104" s="41">
        <f t="shared" si="36"/>
        <v>4.4109880971412226E-4</v>
      </c>
      <c r="E104" s="41">
        <f t="shared" si="37"/>
        <v>0.9995589011902859</v>
      </c>
      <c r="F104" s="41">
        <f t="shared" si="38"/>
        <v>1.0010849937531081</v>
      </c>
      <c r="G104" s="18">
        <f t="shared" si="51"/>
        <v>5.0054249687655403</v>
      </c>
      <c r="O104" s="41">
        <v>10.1</v>
      </c>
      <c r="P104" s="44">
        <f t="shared" si="39"/>
        <v>7.943282347242792E-11</v>
      </c>
      <c r="Q104" s="44">
        <f t="shared" si="40"/>
        <v>1.2715146659121124E-4</v>
      </c>
      <c r="R104" s="41">
        <f t="shared" si="41"/>
        <v>5.3590780827925823E-2</v>
      </c>
      <c r="S104" s="41">
        <f t="shared" si="42"/>
        <v>0.94640921917207421</v>
      </c>
      <c r="T104" s="41">
        <f t="shared" si="43"/>
        <v>5.2305965404226336E-2</v>
      </c>
      <c r="U104" s="18">
        <f t="shared" si="44"/>
        <v>0.2615298270211317</v>
      </c>
      <c r="AC104" s="41">
        <v>10.1</v>
      </c>
      <c r="AD104" s="44">
        <f t="shared" si="45"/>
        <v>7.943282347242792E-11</v>
      </c>
      <c r="AE104" s="44">
        <f t="shared" si="46"/>
        <v>1.2715146659121124E-4</v>
      </c>
      <c r="AF104" s="41">
        <f t="shared" si="47"/>
        <v>7.9426514400130545E-5</v>
      </c>
      <c r="AG104" s="41">
        <f t="shared" si="48"/>
        <v>0.99992057348559982</v>
      </c>
      <c r="AH104" s="41">
        <f t="shared" si="49"/>
        <v>1.0022545489404222</v>
      </c>
      <c r="AI104" s="18">
        <f t="shared" si="50"/>
        <v>120.27054587285066</v>
      </c>
    </row>
    <row r="105" spans="1:35" ht="15" customHeight="1" x14ac:dyDescent="0.3">
      <c r="A105" s="41">
        <v>10.199999999999999</v>
      </c>
      <c r="B105" s="44">
        <f t="shared" si="34"/>
        <v>6.3095734448019192E-11</v>
      </c>
      <c r="C105" s="44">
        <f t="shared" si="35"/>
        <v>1.600742124385728E-4</v>
      </c>
      <c r="D105" s="41">
        <f t="shared" si="36"/>
        <v>3.5040902851670954E-4</v>
      </c>
      <c r="E105" s="41">
        <f t="shared" si="37"/>
        <v>0.99964959097148332</v>
      </c>
      <c r="F105" s="41">
        <f t="shared" si="38"/>
        <v>1.00157098371136</v>
      </c>
      <c r="G105" s="18">
        <f t="shared" si="51"/>
        <v>5.0078549185568004</v>
      </c>
      <c r="O105" s="41">
        <v>10.199999999999999</v>
      </c>
      <c r="P105" s="44">
        <f t="shared" si="39"/>
        <v>6.3095734448019192E-11</v>
      </c>
      <c r="Q105" s="44">
        <f t="shared" si="40"/>
        <v>1.600742124385728E-4</v>
      </c>
      <c r="R105" s="41">
        <f t="shared" si="41"/>
        <v>4.3043096093750961E-2</v>
      </c>
      <c r="S105" s="41">
        <f t="shared" si="42"/>
        <v>0.9569569039062491</v>
      </c>
      <c r="T105" s="41">
        <f t="shared" si="43"/>
        <v>4.1429091147275686E-2</v>
      </c>
      <c r="U105" s="18">
        <f t="shared" si="44"/>
        <v>0.20714545573637844</v>
      </c>
      <c r="AC105" s="41">
        <v>10.199999999999999</v>
      </c>
      <c r="AD105" s="44">
        <f t="shared" si="45"/>
        <v>6.3095734448019192E-11</v>
      </c>
      <c r="AE105" s="44">
        <f t="shared" si="46"/>
        <v>1.600742124385728E-4</v>
      </c>
      <c r="AF105" s="41">
        <f t="shared" si="47"/>
        <v>6.3091753627486462E-5</v>
      </c>
      <c r="AG105" s="41">
        <f t="shared" si="48"/>
        <v>0.9999369082463726</v>
      </c>
      <c r="AH105" s="41">
        <f t="shared" si="49"/>
        <v>1.0028762050450839</v>
      </c>
      <c r="AI105" s="18">
        <f t="shared" si="50"/>
        <v>120.34514460541007</v>
      </c>
    </row>
    <row r="106" spans="1:35" ht="15" customHeight="1" x14ac:dyDescent="0.3">
      <c r="A106" s="41">
        <v>10.3</v>
      </c>
      <c r="B106" s="44">
        <f t="shared" si="34"/>
        <v>5.0118723362726993E-11</v>
      </c>
      <c r="C106" s="44">
        <f t="shared" si="35"/>
        <v>2.0152149381185778E-4</v>
      </c>
      <c r="D106" s="41">
        <f t="shared" si="36"/>
        <v>2.7835984623665648E-4</v>
      </c>
      <c r="E106" s="41">
        <f t="shared" si="37"/>
        <v>0.9997216401537633</v>
      </c>
      <c r="F106" s="41">
        <f t="shared" si="38"/>
        <v>1.002140760296292</v>
      </c>
      <c r="G106" s="18">
        <f t="shared" si="51"/>
        <v>5.0107038014814602</v>
      </c>
      <c r="O106" s="41">
        <v>10.3</v>
      </c>
      <c r="P106" s="44">
        <f t="shared" si="39"/>
        <v>5.0118723362726993E-11</v>
      </c>
      <c r="Q106" s="44">
        <f t="shared" si="40"/>
        <v>2.0152149381185778E-4</v>
      </c>
      <c r="R106" s="41">
        <f t="shared" si="41"/>
        <v>3.4495728583133385E-2</v>
      </c>
      <c r="S106" s="41">
        <f t="shared" si="42"/>
        <v>0.96550427141686668</v>
      </c>
      <c r="T106" s="41">
        <f t="shared" si="43"/>
        <v>3.2467428380121711E-2</v>
      </c>
      <c r="U106" s="18">
        <f t="shared" si="44"/>
        <v>0.16233714190060858</v>
      </c>
      <c r="AC106" s="41">
        <v>10.3</v>
      </c>
      <c r="AD106" s="44">
        <f t="shared" si="45"/>
        <v>5.0118723362726993E-11</v>
      </c>
      <c r="AE106" s="44">
        <f t="shared" si="46"/>
        <v>2.0152149381185778E-4</v>
      </c>
      <c r="AF106" s="41">
        <f t="shared" si="47"/>
        <v>5.0116211602181719E-5</v>
      </c>
      <c r="AG106" s="41">
        <f t="shared" si="48"/>
        <v>0.99994988378839789</v>
      </c>
      <c r="AH106" s="41">
        <f t="shared" si="49"/>
        <v>1.0036518027550714</v>
      </c>
      <c r="AI106" s="18">
        <f t="shared" si="50"/>
        <v>120.43821633060855</v>
      </c>
    </row>
    <row r="107" spans="1:35" ht="15" customHeight="1" x14ac:dyDescent="0.3">
      <c r="A107" s="41">
        <v>10.4</v>
      </c>
      <c r="B107" s="44">
        <f t="shared" si="34"/>
        <v>3.9810717055349579E-11</v>
      </c>
      <c r="C107" s="44">
        <f t="shared" si="35"/>
        <v>2.5370052958246852E-4</v>
      </c>
      <c r="D107" s="41">
        <f t="shared" si="36"/>
        <v>2.2112174466743241E-4</v>
      </c>
      <c r="E107" s="41">
        <f t="shared" si="37"/>
        <v>0.99977887825533251</v>
      </c>
      <c r="F107" s="41">
        <f t="shared" si="38"/>
        <v>1.0028247173969678</v>
      </c>
      <c r="G107" s="18">
        <f t="shared" si="51"/>
        <v>5.0141235869848391</v>
      </c>
      <c r="O107" s="41">
        <v>10.4</v>
      </c>
      <c r="P107" s="44">
        <f t="shared" si="39"/>
        <v>3.9810717055349579E-11</v>
      </c>
      <c r="Q107" s="44">
        <f t="shared" si="40"/>
        <v>2.5370052958246852E-4</v>
      </c>
      <c r="R107" s="41">
        <f t="shared" si="41"/>
        <v>2.7596724358982722E-2</v>
      </c>
      <c r="S107" s="41">
        <f t="shared" si="42"/>
        <v>0.97240327564101736</v>
      </c>
      <c r="T107" s="41">
        <f t="shared" si="43"/>
        <v>2.5047010583560469E-2</v>
      </c>
      <c r="U107" s="18">
        <f t="shared" si="44"/>
        <v>0.12523505291780235</v>
      </c>
      <c r="AC107" s="41">
        <v>10.4</v>
      </c>
      <c r="AD107" s="44">
        <f t="shared" si="45"/>
        <v>3.9810717055349579E-11</v>
      </c>
      <c r="AE107" s="44">
        <f t="shared" si="46"/>
        <v>2.5370052958246852E-4</v>
      </c>
      <c r="AF107" s="41">
        <f t="shared" si="47"/>
        <v>3.9809132225250346E-5</v>
      </c>
      <c r="AG107" s="41">
        <f t="shared" si="48"/>
        <v>0.99996019086777477</v>
      </c>
      <c r="AH107" s="41">
        <f t="shared" si="49"/>
        <v>1.0046230953290827</v>
      </c>
      <c r="AI107" s="18">
        <f t="shared" si="50"/>
        <v>120.55477143948991</v>
      </c>
    </row>
    <row r="108" spans="1:35" ht="15" customHeight="1" x14ac:dyDescent="0.3">
      <c r="A108" s="41">
        <v>10.5</v>
      </c>
      <c r="B108" s="44">
        <f t="shared" si="34"/>
        <v>3.162277660168371E-11</v>
      </c>
      <c r="C108" s="44">
        <f t="shared" si="35"/>
        <v>3.1939004367700712E-4</v>
      </c>
      <c r="D108" s="41">
        <f t="shared" si="36"/>
        <v>1.7565123345537965E-4</v>
      </c>
      <c r="E108" s="41">
        <f t="shared" si="37"/>
        <v>0.99982434876654458</v>
      </c>
      <c r="F108" s="41">
        <f t="shared" si="38"/>
        <v>1.0036593664413791</v>
      </c>
      <c r="G108" s="18">
        <f t="shared" si="51"/>
        <v>5.0182968322068957</v>
      </c>
      <c r="O108" s="41">
        <v>10.5</v>
      </c>
      <c r="P108" s="44">
        <f t="shared" si="39"/>
        <v>3.162277660168371E-11</v>
      </c>
      <c r="Q108" s="44">
        <f t="shared" si="40"/>
        <v>3.1939004367700712E-4</v>
      </c>
      <c r="R108" s="41">
        <f t="shared" si="41"/>
        <v>2.2045987437145198E-2</v>
      </c>
      <c r="S108" s="41">
        <f t="shared" si="42"/>
        <v>0.97795401256285486</v>
      </c>
      <c r="T108" s="41">
        <f t="shared" si="43"/>
        <v>1.8840052667305866E-2</v>
      </c>
      <c r="U108" s="18">
        <f t="shared" si="44"/>
        <v>9.4200263336529338E-2</v>
      </c>
      <c r="AC108" s="41">
        <v>10.5</v>
      </c>
      <c r="AD108" s="44">
        <f t="shared" si="45"/>
        <v>3.162277660168371E-11</v>
      </c>
      <c r="AE108" s="44">
        <f t="shared" si="46"/>
        <v>3.1939004367700712E-4</v>
      </c>
      <c r="AF108" s="41">
        <f t="shared" si="47"/>
        <v>3.1621776633305491E-5</v>
      </c>
      <c r="AG108" s="41">
        <f t="shared" si="48"/>
        <v>0.99996837822336671</v>
      </c>
      <c r="AH108" s="41">
        <f t="shared" si="49"/>
        <v>1.0058425222100853</v>
      </c>
      <c r="AI108" s="18">
        <f t="shared" si="50"/>
        <v>120.70110266521023</v>
      </c>
    </row>
    <row r="109" spans="1:35" ht="15" customHeight="1" x14ac:dyDescent="0.3">
      <c r="A109" s="41">
        <v>10.6</v>
      </c>
      <c r="B109" s="44">
        <f t="shared" si="34"/>
        <v>2.5118864315095759E-11</v>
      </c>
      <c r="C109" s="44">
        <f t="shared" si="35"/>
        <v>4.0208824225903287E-4</v>
      </c>
      <c r="D109" s="41">
        <f t="shared" si="36"/>
        <v>1.3952977492006458E-4</v>
      </c>
      <c r="E109" s="41">
        <f t="shared" si="37"/>
        <v>0.99986047022507996</v>
      </c>
      <c r="F109" s="41">
        <f t="shared" si="38"/>
        <v>1.0046892998551986</v>
      </c>
      <c r="G109" s="18">
        <f t="shared" si="51"/>
        <v>5.0234464992759928</v>
      </c>
      <c r="O109" s="41">
        <v>10.6</v>
      </c>
      <c r="P109" s="44">
        <f t="shared" si="39"/>
        <v>2.5118864315095759E-11</v>
      </c>
      <c r="Q109" s="44">
        <f t="shared" si="40"/>
        <v>4.0208824225903287E-4</v>
      </c>
      <c r="R109" s="41">
        <f t="shared" si="41"/>
        <v>1.7591514381796534E-2</v>
      </c>
      <c r="S109" s="41">
        <f t="shared" si="42"/>
        <v>0.98240848561820349</v>
      </c>
      <c r="T109" s="41">
        <f t="shared" si="43"/>
        <v>1.3559727796845372E-2</v>
      </c>
      <c r="U109" s="18">
        <f t="shared" si="44"/>
        <v>6.7798638984226861E-2</v>
      </c>
      <c r="AC109" s="41">
        <v>10.6</v>
      </c>
      <c r="AD109" s="44">
        <f t="shared" si="45"/>
        <v>2.5118864315095759E-11</v>
      </c>
      <c r="AE109" s="44">
        <f t="shared" si="46"/>
        <v>4.0208824225903287E-4</v>
      </c>
      <c r="AF109" s="41">
        <f t="shared" si="47"/>
        <v>2.5118233373599816E-5</v>
      </c>
      <c r="AG109" s="41">
        <f t="shared" si="48"/>
        <v>0.99997488176662652</v>
      </c>
      <c r="AH109" s="41">
        <f t="shared" si="49"/>
        <v>1.0073761577420215</v>
      </c>
      <c r="AI109" s="18">
        <f t="shared" si="50"/>
        <v>120.88513892904257</v>
      </c>
    </row>
    <row r="110" spans="1:35" ht="15" customHeight="1" x14ac:dyDescent="0.3">
      <c r="A110" s="41">
        <v>10.7</v>
      </c>
      <c r="B110" s="44">
        <f t="shared" si="34"/>
        <v>1.995262314968878E-11</v>
      </c>
      <c r="C110" s="44">
        <f t="shared" si="35"/>
        <v>5.0619910596354538E-4</v>
      </c>
      <c r="D110" s="41">
        <f t="shared" si="36"/>
        <v>1.1083562049067538E-4</v>
      </c>
      <c r="E110" s="41">
        <f t="shared" si="37"/>
        <v>0.99988916437950937</v>
      </c>
      <c r="F110" s="41">
        <f t="shared" si="38"/>
        <v>1.0059695970207521</v>
      </c>
      <c r="G110" s="18">
        <f t="shared" si="51"/>
        <v>5.0298479851037605</v>
      </c>
      <c r="O110" s="41">
        <v>10.7</v>
      </c>
      <c r="P110" s="44">
        <f t="shared" si="39"/>
        <v>1.995262314968878E-11</v>
      </c>
      <c r="Q110" s="44">
        <f t="shared" si="40"/>
        <v>5.0619910596354538E-4</v>
      </c>
      <c r="R110" s="41">
        <f t="shared" si="41"/>
        <v>1.4024177129188936E-2</v>
      </c>
      <c r="S110" s="41">
        <f t="shared" si="42"/>
        <v>0.98597582287081109</v>
      </c>
      <c r="T110" s="41">
        <f t="shared" si="43"/>
        <v>8.9531221445866456E-3</v>
      </c>
      <c r="U110" s="18">
        <f t="shared" si="44"/>
        <v>4.4765610722933231E-2</v>
      </c>
      <c r="AC110" s="41">
        <v>10.7</v>
      </c>
      <c r="AD110" s="44">
        <f t="shared" si="45"/>
        <v>1.995262314968878E-11</v>
      </c>
      <c r="AE110" s="44">
        <f t="shared" si="46"/>
        <v>5.0619910596354538E-4</v>
      </c>
      <c r="AF110" s="41">
        <f t="shared" si="47"/>
        <v>1.9952225050461354E-5</v>
      </c>
      <c r="AG110" s="41">
        <f t="shared" si="48"/>
        <v>0.99998004777494964</v>
      </c>
      <c r="AH110" s="41">
        <f t="shared" si="49"/>
        <v>1.0093074787240484</v>
      </c>
      <c r="AI110" s="18">
        <f t="shared" si="50"/>
        <v>121.11689744688579</v>
      </c>
    </row>
    <row r="111" spans="1:35" ht="15" customHeight="1" x14ac:dyDescent="0.3">
      <c r="A111" s="41">
        <v>10.8</v>
      </c>
      <c r="B111" s="44">
        <f t="shared" si="34"/>
        <v>1.5848931924611082E-11</v>
      </c>
      <c r="C111" s="44">
        <f t="shared" si="35"/>
        <v>6.3726691792499724E-4</v>
      </c>
      <c r="D111" s="41">
        <f t="shared" si="36"/>
        <v>8.804186975006054E-5</v>
      </c>
      <c r="E111" s="41">
        <f t="shared" si="37"/>
        <v>0.99991195813024991</v>
      </c>
      <c r="F111" s="41">
        <f t="shared" si="38"/>
        <v>1.007568807656378</v>
      </c>
      <c r="G111" s="18">
        <f t="shared" si="51"/>
        <v>5.0378440382818903</v>
      </c>
      <c r="O111" s="41">
        <v>10.8</v>
      </c>
      <c r="P111" s="44">
        <f t="shared" si="39"/>
        <v>1.5848931924611082E-11</v>
      </c>
      <c r="Q111" s="44">
        <f t="shared" si="40"/>
        <v>6.3726691792499724E-4</v>
      </c>
      <c r="R111" s="41">
        <f t="shared" si="41"/>
        <v>1.1172024195100628E-2</v>
      </c>
      <c r="S111" s="41">
        <f t="shared" si="42"/>
        <v>0.98882797580489934</v>
      </c>
      <c r="T111" s="41">
        <f t="shared" si="43"/>
        <v>4.7932460202555422E-3</v>
      </c>
      <c r="U111" s="18">
        <f t="shared" si="44"/>
        <v>2.3966230101277713E-2</v>
      </c>
      <c r="AC111" s="41">
        <v>10.8</v>
      </c>
      <c r="AD111" s="44">
        <f t="shared" si="45"/>
        <v>1.5848931924611082E-11</v>
      </c>
      <c r="AE111" s="44">
        <f t="shared" si="46"/>
        <v>6.3726691792499724E-4</v>
      </c>
      <c r="AF111" s="41">
        <f t="shared" si="47"/>
        <v>1.584868073994894E-5</v>
      </c>
      <c r="AG111" s="41">
        <f t="shared" si="48"/>
        <v>0.99998415131926011</v>
      </c>
      <c r="AH111" s="41">
        <f t="shared" si="49"/>
        <v>1.0117422070564654</v>
      </c>
      <c r="AI111" s="18">
        <f t="shared" si="50"/>
        <v>121.40906484677586</v>
      </c>
    </row>
    <row r="112" spans="1:35" ht="15" customHeight="1" x14ac:dyDescent="0.3">
      <c r="A112" s="41">
        <v>10.9</v>
      </c>
      <c r="B112" s="44">
        <f t="shared" si="34"/>
        <v>1.2589254117941641E-11</v>
      </c>
      <c r="C112" s="44">
        <f t="shared" si="35"/>
        <v>8.0227151707152624E-4</v>
      </c>
      <c r="D112" s="41">
        <f t="shared" si="36"/>
        <v>6.9935409351674831E-5</v>
      </c>
      <c r="E112" s="41">
        <f t="shared" si="37"/>
        <v>0.99993006459064837</v>
      </c>
      <c r="F112" s="41">
        <f t="shared" si="38"/>
        <v>1.0095726824250977</v>
      </c>
      <c r="G112" s="18">
        <f t="shared" si="51"/>
        <v>5.0478634121254888</v>
      </c>
      <c r="O112" s="41">
        <v>10.9</v>
      </c>
      <c r="P112" s="44">
        <f t="shared" si="39"/>
        <v>1.2589254117941641E-11</v>
      </c>
      <c r="Q112" s="44">
        <f t="shared" si="40"/>
        <v>8.0227151707152624E-4</v>
      </c>
      <c r="R112" s="41">
        <f t="shared" si="41"/>
        <v>8.8946922135665404E-3</v>
      </c>
      <c r="S112" s="41">
        <f t="shared" si="42"/>
        <v>0.99110530778643346</v>
      </c>
      <c r="T112" s="41">
        <f t="shared" si="43"/>
        <v>8.7058028523340507E-4</v>
      </c>
      <c r="U112" s="18">
        <f t="shared" si="44"/>
        <v>4.3529014261670254E-3</v>
      </c>
      <c r="AC112" s="41">
        <v>10.9</v>
      </c>
      <c r="AD112" s="44">
        <f t="shared" si="45"/>
        <v>1.2589254117941641E-11</v>
      </c>
      <c r="AE112" s="44">
        <f t="shared" si="46"/>
        <v>8.0227151707152624E-4</v>
      </c>
      <c r="AF112" s="41">
        <f t="shared" si="47"/>
        <v>1.2589095630617633E-5</v>
      </c>
      <c r="AG112" s="41">
        <f t="shared" si="48"/>
        <v>0.99998741090436938</v>
      </c>
      <c r="AH112" s="41">
        <f t="shared" si="49"/>
        <v>1.0148145749330759</v>
      </c>
      <c r="AI112" s="18">
        <f t="shared" si="50"/>
        <v>121.77774899196912</v>
      </c>
    </row>
    <row r="113" spans="1:35" ht="15" customHeight="1" x14ac:dyDescent="0.3">
      <c r="A113" s="41">
        <v>11</v>
      </c>
      <c r="B113" s="44">
        <f t="shared" si="34"/>
        <v>9.9999999999999994E-12</v>
      </c>
      <c r="C113" s="44">
        <f t="shared" si="35"/>
        <v>1.01E-3</v>
      </c>
      <c r="D113" s="41">
        <f t="shared" si="36"/>
        <v>5.5552469307260703E-5</v>
      </c>
      <c r="E113" s="41">
        <f t="shared" si="37"/>
        <v>0.99994444753069267</v>
      </c>
      <c r="F113" s="41">
        <f t="shared" si="38"/>
        <v>1.0120888669216326</v>
      </c>
      <c r="G113" s="18">
        <f t="shared" si="51"/>
        <v>5.0604443346081629</v>
      </c>
      <c r="O113" s="41">
        <v>11</v>
      </c>
      <c r="P113" s="44">
        <f t="shared" si="39"/>
        <v>9.9999999999999994E-12</v>
      </c>
      <c r="Q113" s="44">
        <f t="shared" si="40"/>
        <v>1.01E-3</v>
      </c>
      <c r="R113" s="41">
        <f t="shared" si="41"/>
        <v>7.0782540306724342E-3</v>
      </c>
      <c r="S113" s="41">
        <f t="shared" si="42"/>
        <v>0.99292174596932758</v>
      </c>
      <c r="T113" s="41">
        <f t="shared" si="43"/>
        <v>-3.0156542478073085E-3</v>
      </c>
      <c r="U113" s="18">
        <f t="shared" si="44"/>
        <v>-1.5078271239036545E-2</v>
      </c>
      <c r="AC113" s="41">
        <v>11</v>
      </c>
      <c r="AD113" s="44">
        <f t="shared" si="45"/>
        <v>9.9999999999999994E-12</v>
      </c>
      <c r="AE113" s="44">
        <f t="shared" si="46"/>
        <v>1.01E-3</v>
      </c>
      <c r="AF113" s="41">
        <f t="shared" si="47"/>
        <v>9.9999000009999891E-6</v>
      </c>
      <c r="AG113" s="41">
        <f t="shared" si="48"/>
        <v>0.99999000009999894</v>
      </c>
      <c r="AH113" s="41">
        <f t="shared" si="49"/>
        <v>1.0186954910409765</v>
      </c>
      <c r="AI113" s="18">
        <f t="shared" si="50"/>
        <v>122.24345892491716</v>
      </c>
    </row>
    <row r="114" spans="1:35" ht="15" customHeight="1" x14ac:dyDescent="0.3">
      <c r="A114" s="41">
        <v>11.1</v>
      </c>
      <c r="B114" s="44">
        <f t="shared" si="34"/>
        <v>7.9432823472428101E-12</v>
      </c>
      <c r="C114" s="44">
        <f t="shared" si="35"/>
        <v>1.2715146659121096E-3</v>
      </c>
      <c r="D114" s="41">
        <f t="shared" si="36"/>
        <v>4.412739906029347E-5</v>
      </c>
      <c r="E114" s="41">
        <f t="shared" si="37"/>
        <v>0.99995587260093965</v>
      </c>
      <c r="F114" s="41">
        <f t="shared" si="38"/>
        <v>1.0152528369079736</v>
      </c>
      <c r="G114" s="18">
        <f t="shared" si="51"/>
        <v>5.0762641845398679</v>
      </c>
      <c r="O114" s="41">
        <v>11.1</v>
      </c>
      <c r="P114" s="44">
        <f t="shared" si="39"/>
        <v>7.9432823472428101E-12</v>
      </c>
      <c r="Q114" s="44">
        <f t="shared" si="40"/>
        <v>1.2715146659121096E-3</v>
      </c>
      <c r="R114" s="41">
        <f t="shared" si="41"/>
        <v>5.6306541184965812E-3</v>
      </c>
      <c r="S114" s="41">
        <f t="shared" si="42"/>
        <v>0.99436934588150339</v>
      </c>
      <c r="T114" s="41">
        <f t="shared" si="43"/>
        <v>-7.0665220883592717E-3</v>
      </c>
      <c r="U114" s="18">
        <f t="shared" si="44"/>
        <v>-3.5332610441796357E-2</v>
      </c>
      <c r="AC114" s="41">
        <v>11.1</v>
      </c>
      <c r="AD114" s="44">
        <f t="shared" si="45"/>
        <v>7.9432823472428101E-12</v>
      </c>
      <c r="AE114" s="44">
        <f t="shared" si="46"/>
        <v>1.2715146659121096E-3</v>
      </c>
      <c r="AF114" s="41">
        <f t="shared" si="47"/>
        <v>7.9432192520095448E-6</v>
      </c>
      <c r="AG114" s="41">
        <f t="shared" si="48"/>
        <v>0.99999205678074787</v>
      </c>
      <c r="AH114" s="41">
        <f t="shared" si="49"/>
        <v>1.0236032779828224</v>
      </c>
      <c r="AI114" s="18">
        <f t="shared" si="50"/>
        <v>122.83239335793868</v>
      </c>
    </row>
    <row r="115" spans="1:35" ht="15" customHeight="1" x14ac:dyDescent="0.3">
      <c r="A115" s="41">
        <v>11.2</v>
      </c>
      <c r="B115" s="44">
        <f t="shared" si="34"/>
        <v>6.3095734448019345E-12</v>
      </c>
      <c r="C115" s="44">
        <f t="shared" si="35"/>
        <v>1.600742124385724E-3</v>
      </c>
      <c r="D115" s="41">
        <f t="shared" si="36"/>
        <v>3.50519571216894E-5</v>
      </c>
      <c r="E115" s="41">
        <f t="shared" si="37"/>
        <v>0.99996494804287839</v>
      </c>
      <c r="F115" s="41">
        <f t="shared" si="38"/>
        <v>1.0192354354030106</v>
      </c>
      <c r="G115" s="18">
        <f t="shared" si="51"/>
        <v>5.0961771770150532</v>
      </c>
      <c r="O115" s="41">
        <v>11.2</v>
      </c>
      <c r="P115" s="44">
        <f t="shared" si="39"/>
        <v>6.3095734448019345E-12</v>
      </c>
      <c r="Q115" s="44">
        <f t="shared" si="40"/>
        <v>1.600742124385724E-3</v>
      </c>
      <c r="R115" s="41">
        <f t="shared" si="41"/>
        <v>4.4777731056399733E-3</v>
      </c>
      <c r="S115" s="41">
        <f t="shared" si="42"/>
        <v>0.99552222689435999</v>
      </c>
      <c r="T115" s="41">
        <f t="shared" si="43"/>
        <v>-1.1492853884581641E-2</v>
      </c>
      <c r="U115" s="18">
        <f t="shared" si="44"/>
        <v>-5.7464269422908207E-2</v>
      </c>
      <c r="AC115" s="41">
        <v>11.2</v>
      </c>
      <c r="AD115" s="44">
        <f t="shared" si="45"/>
        <v>6.3095734448019345E-12</v>
      </c>
      <c r="AE115" s="44">
        <f t="shared" si="46"/>
        <v>1.600742124385724E-3</v>
      </c>
      <c r="AF115" s="41">
        <f t="shared" si="47"/>
        <v>6.3095336343360664E-6</v>
      </c>
      <c r="AG115" s="41">
        <f t="shared" si="48"/>
        <v>0.99999369046636566</v>
      </c>
      <c r="AH115" s="41">
        <f t="shared" si="49"/>
        <v>1.0298179375834009</v>
      </c>
      <c r="AI115" s="18">
        <f t="shared" si="50"/>
        <v>123.57815251000811</v>
      </c>
    </row>
    <row r="116" spans="1:35" ht="15" customHeight="1" x14ac:dyDescent="0.3">
      <c r="A116" s="41">
        <v>11.3</v>
      </c>
      <c r="B116" s="44">
        <f t="shared" si="34"/>
        <v>5.0118723362726945E-12</v>
      </c>
      <c r="C116" s="44">
        <f t="shared" si="35"/>
        <v>2.0152149381185798E-3</v>
      </c>
      <c r="D116" s="41">
        <f t="shared" si="36"/>
        <v>2.7842959949510909E-5</v>
      </c>
      <c r="E116" s="41">
        <f t="shared" si="37"/>
        <v>0.99997215704005049</v>
      </c>
      <c r="F116" s="41">
        <f t="shared" si="38"/>
        <v>1.0242524841738752</v>
      </c>
      <c r="G116" s="18">
        <f t="shared" si="51"/>
        <v>5.1212624208693756</v>
      </c>
      <c r="O116" s="41">
        <v>11.3</v>
      </c>
      <c r="P116" s="44">
        <f t="shared" si="39"/>
        <v>5.0118723362726945E-12</v>
      </c>
      <c r="Q116" s="44">
        <f t="shared" si="40"/>
        <v>2.0152149381185798E-3</v>
      </c>
      <c r="R116" s="41">
        <f t="shared" si="41"/>
        <v>3.5601002861945065E-3</v>
      </c>
      <c r="S116" s="41">
        <f t="shared" si="42"/>
        <v>0.99643989971380553</v>
      </c>
      <c r="T116" s="41">
        <f t="shared" si="43"/>
        <v>-1.6525444400209512E-2</v>
      </c>
      <c r="U116" s="18">
        <f t="shared" si="44"/>
        <v>-8.2627222001047565E-2</v>
      </c>
      <c r="AC116" s="41">
        <v>11.3</v>
      </c>
      <c r="AD116" s="44">
        <f t="shared" si="45"/>
        <v>5.0118723362726945E-12</v>
      </c>
      <c r="AE116" s="44">
        <f t="shared" si="46"/>
        <v>2.0152149381185798E-3</v>
      </c>
      <c r="AF116" s="41">
        <f t="shared" si="47"/>
        <v>5.0118472175342716E-6</v>
      </c>
      <c r="AG116" s="41">
        <f t="shared" si="48"/>
        <v>0.99999498815278254</v>
      </c>
      <c r="AH116" s="41">
        <f t="shared" si="49"/>
        <v>1.0377003381030225</v>
      </c>
      <c r="AI116" s="18">
        <f t="shared" si="50"/>
        <v>124.52404057236269</v>
      </c>
    </row>
    <row r="117" spans="1:35" ht="15" customHeight="1" x14ac:dyDescent="0.3">
      <c r="A117" s="41">
        <v>11.4</v>
      </c>
      <c r="B117" s="44">
        <f t="shared" si="34"/>
        <v>3.9810717055349533E-12</v>
      </c>
      <c r="C117" s="44">
        <f t="shared" si="35"/>
        <v>2.5370052958246878E-3</v>
      </c>
      <c r="D117" s="41">
        <f t="shared" si="36"/>
        <v>2.2116575877002812E-5</v>
      </c>
      <c r="E117" s="41">
        <f t="shared" si="37"/>
        <v>0.99997788342412297</v>
      </c>
      <c r="F117" s="41">
        <f t="shared" si="38"/>
        <v>1.0305770954320872</v>
      </c>
      <c r="G117" s="18">
        <f t="shared" si="51"/>
        <v>5.152885477160436</v>
      </c>
      <c r="O117" s="41">
        <v>11.4</v>
      </c>
      <c r="P117" s="44">
        <f t="shared" si="39"/>
        <v>3.9810717055349533E-12</v>
      </c>
      <c r="Q117" s="44">
        <f t="shared" si="40"/>
        <v>2.5370052958246878E-3</v>
      </c>
      <c r="R117" s="41">
        <f t="shared" si="41"/>
        <v>2.8299603069830755E-3</v>
      </c>
      <c r="S117" s="41">
        <f t="shared" si="42"/>
        <v>0.99717003969301687</v>
      </c>
      <c r="T117" s="41">
        <f t="shared" si="43"/>
        <v>-2.2426301321196378E-2</v>
      </c>
      <c r="U117" s="18">
        <f t="shared" si="44"/>
        <v>-0.1121315066059819</v>
      </c>
      <c r="AC117" s="41">
        <v>11.4</v>
      </c>
      <c r="AD117" s="44">
        <f t="shared" si="45"/>
        <v>3.9810717055349533E-12</v>
      </c>
      <c r="AE117" s="44">
        <f t="shared" si="46"/>
        <v>2.5370052958246878E-3</v>
      </c>
      <c r="AF117" s="41">
        <f t="shared" si="47"/>
        <v>3.9810558566661243E-6</v>
      </c>
      <c r="AG117" s="41">
        <f t="shared" si="48"/>
        <v>0.99999601894414336</v>
      </c>
      <c r="AH117" s="41">
        <f t="shared" si="49"/>
        <v>1.0477184009861447</v>
      </c>
      <c r="AI117" s="18">
        <f t="shared" si="50"/>
        <v>125.72620811833737</v>
      </c>
    </row>
    <row r="118" spans="1:35" ht="15" customHeight="1" x14ac:dyDescent="0.3">
      <c r="A118" s="41">
        <v>11.5</v>
      </c>
      <c r="B118" s="44">
        <f t="shared" si="34"/>
        <v>3.1622776601683669E-12</v>
      </c>
      <c r="C118" s="44">
        <f t="shared" si="35"/>
        <v>3.1939004367700754E-3</v>
      </c>
      <c r="D118" s="41">
        <f t="shared" si="36"/>
        <v>1.7567900586604477E-5</v>
      </c>
      <c r="E118" s="41">
        <f t="shared" si="37"/>
        <v>0.9999824320994134</v>
      </c>
      <c r="F118" s="41">
        <f t="shared" si="38"/>
        <v>1.0385555223015004</v>
      </c>
      <c r="G118" s="18">
        <f t="shared" si="51"/>
        <v>5.1927776115075019</v>
      </c>
      <c r="O118" s="41">
        <v>11.5</v>
      </c>
      <c r="P118" s="44">
        <f t="shared" si="39"/>
        <v>3.1622776601683669E-12</v>
      </c>
      <c r="Q118" s="44">
        <f t="shared" si="40"/>
        <v>3.1939004367700754E-3</v>
      </c>
      <c r="R118" s="41">
        <f t="shared" si="41"/>
        <v>2.2492265213848875E-3</v>
      </c>
      <c r="S118" s="41">
        <f t="shared" si="42"/>
        <v>0.99775077347861518</v>
      </c>
      <c r="T118" s="41">
        <f t="shared" si="43"/>
        <v>-2.9501329198455179E-2</v>
      </c>
      <c r="U118" s="18">
        <f t="shared" si="44"/>
        <v>-0.14750664599227592</v>
      </c>
      <c r="AC118" s="41">
        <v>11.5</v>
      </c>
      <c r="AD118" s="44">
        <f t="shared" si="45"/>
        <v>3.1622776601683669E-12</v>
      </c>
      <c r="AE118" s="44">
        <f t="shared" si="46"/>
        <v>3.1939004367700754E-3</v>
      </c>
      <c r="AF118" s="41">
        <f t="shared" si="47"/>
        <v>3.1622676601999898E-6</v>
      </c>
      <c r="AG118" s="41">
        <f t="shared" si="48"/>
        <v>0.99999683773233983</v>
      </c>
      <c r="AH118" s="41">
        <f t="shared" si="49"/>
        <v>1.0604834605230564</v>
      </c>
      <c r="AI118" s="18">
        <f t="shared" si="50"/>
        <v>127.25801526276676</v>
      </c>
    </row>
    <row r="119" spans="1:35" ht="15" customHeight="1" x14ac:dyDescent="0.3">
      <c r="A119" s="41">
        <v>11.6</v>
      </c>
      <c r="B119" s="44">
        <f t="shared" si="34"/>
        <v>2.5118864315095726E-12</v>
      </c>
      <c r="C119" s="44">
        <f t="shared" si="35"/>
        <v>4.0208824225903342E-3</v>
      </c>
      <c r="D119" s="41">
        <f t="shared" si="36"/>
        <v>1.3954729882294034E-5</v>
      </c>
      <c r="E119" s="41">
        <f t="shared" si="37"/>
        <v>0.99998604527011781</v>
      </c>
      <c r="F119" s="41">
        <f t="shared" si="38"/>
        <v>1.0486276867324826</v>
      </c>
      <c r="G119" s="18">
        <f t="shared" si="51"/>
        <v>5.2431384336624127</v>
      </c>
      <c r="O119" s="41">
        <v>11.6</v>
      </c>
      <c r="P119" s="44">
        <f t="shared" si="39"/>
        <v>2.5118864315095726E-12</v>
      </c>
      <c r="Q119" s="44">
        <f t="shared" si="40"/>
        <v>4.0208824225903342E-3</v>
      </c>
      <c r="R119" s="41">
        <f t="shared" si="41"/>
        <v>1.7874510113350425E-3</v>
      </c>
      <c r="S119" s="41">
        <f t="shared" si="42"/>
        <v>0.99821254898866496</v>
      </c>
      <c r="T119" s="41">
        <f t="shared" si="43"/>
        <v>-3.8114862428881437E-2</v>
      </c>
      <c r="U119" s="18">
        <f t="shared" si="44"/>
        <v>-0.1905743121444072</v>
      </c>
      <c r="AC119" s="41">
        <v>11.6</v>
      </c>
      <c r="AD119" s="44">
        <f t="shared" si="45"/>
        <v>2.5118864315095726E-12</v>
      </c>
      <c r="AE119" s="44">
        <f t="shared" si="46"/>
        <v>4.0208824225903342E-3</v>
      </c>
      <c r="AF119" s="41">
        <f t="shared" si="47"/>
        <v>2.5118801219519768E-6</v>
      </c>
      <c r="AG119" s="41">
        <f t="shared" si="48"/>
        <v>0.99999748811987799</v>
      </c>
      <c r="AH119" s="41">
        <f t="shared" si="49"/>
        <v>1.0768017748860164</v>
      </c>
      <c r="AI119" s="18">
        <f t="shared" si="50"/>
        <v>129.21621298632195</v>
      </c>
    </row>
    <row r="120" spans="1:35" ht="15" customHeight="1" x14ac:dyDescent="0.3">
      <c r="A120" s="41">
        <v>11.7</v>
      </c>
      <c r="B120" s="44">
        <f t="shared" si="34"/>
        <v>1.9952623149688759E-12</v>
      </c>
      <c r="C120" s="44">
        <f t="shared" si="35"/>
        <v>5.061991059635459E-3</v>
      </c>
      <c r="D120" s="41">
        <f t="shared" si="36"/>
        <v>1.1084667767494475E-5</v>
      </c>
      <c r="E120" s="41">
        <f t="shared" si="37"/>
        <v>0.99998891533223244</v>
      </c>
      <c r="F120" s="41">
        <f t="shared" si="38"/>
        <v>1.0613539543605628</v>
      </c>
      <c r="G120" s="18">
        <f t="shared" si="51"/>
        <v>5.3067697718028137</v>
      </c>
      <c r="O120" s="41">
        <v>11.7</v>
      </c>
      <c r="P120" s="44">
        <f t="shared" si="39"/>
        <v>1.9952623149688759E-12</v>
      </c>
      <c r="Q120" s="44">
        <f t="shared" si="40"/>
        <v>5.061991059635459E-3</v>
      </c>
      <c r="R120" s="41">
        <f t="shared" si="41"/>
        <v>1.4203449653597735E-3</v>
      </c>
      <c r="S120" s="41">
        <f t="shared" si="42"/>
        <v>0.99857965503464019</v>
      </c>
      <c r="T120" s="41">
        <f t="shared" si="43"/>
        <v>-4.8706462258241177E-2</v>
      </c>
      <c r="U120" s="18">
        <f t="shared" si="44"/>
        <v>-0.24353231129120592</v>
      </c>
      <c r="AC120" s="41">
        <v>11.7</v>
      </c>
      <c r="AD120" s="44">
        <f t="shared" si="45"/>
        <v>1.9952623149688759E-12</v>
      </c>
      <c r="AE120" s="44">
        <f t="shared" si="46"/>
        <v>5.061991059635459E-3</v>
      </c>
      <c r="AF120" s="41">
        <f t="shared" si="47"/>
        <v>1.9952583339051137E-6</v>
      </c>
      <c r="AG120" s="41">
        <f t="shared" si="48"/>
        <v>0.999998004741666</v>
      </c>
      <c r="AH120" s="41">
        <f t="shared" si="49"/>
        <v>1.0977492314886013</v>
      </c>
      <c r="AI120" s="18">
        <f t="shared" si="50"/>
        <v>131.72990777863214</v>
      </c>
    </row>
    <row r="121" spans="1:35" ht="15" customHeight="1" x14ac:dyDescent="0.3">
      <c r="A121" s="41">
        <v>11.8</v>
      </c>
      <c r="B121" s="44">
        <f t="shared" si="34"/>
        <v>1.5848931924611065E-12</v>
      </c>
      <c r="C121" s="44">
        <f t="shared" si="35"/>
        <v>6.3726691792499795E-3</v>
      </c>
      <c r="D121" s="41">
        <f t="shared" si="36"/>
        <v>8.8048846536631034E-6</v>
      </c>
      <c r="E121" s="41">
        <f t="shared" si="37"/>
        <v>0.9999911951153464</v>
      </c>
      <c r="F121" s="41">
        <f t="shared" si="38"/>
        <v>1.0774503562433904</v>
      </c>
      <c r="G121" s="18">
        <f t="shared" si="51"/>
        <v>5.3872517812169516</v>
      </c>
      <c r="O121" s="41">
        <v>11.8</v>
      </c>
      <c r="P121" s="44">
        <f t="shared" si="39"/>
        <v>1.5848931924611065E-12</v>
      </c>
      <c r="Q121" s="44">
        <f t="shared" si="40"/>
        <v>6.3726691792499795E-3</v>
      </c>
      <c r="R121" s="41">
        <f t="shared" si="41"/>
        <v>1.1285497864779784E-3</v>
      </c>
      <c r="S121" s="41">
        <f t="shared" si="42"/>
        <v>0.99887145021352197</v>
      </c>
      <c r="T121" s="41">
        <f t="shared" si="43"/>
        <v>-6.18103481886478E-2</v>
      </c>
      <c r="U121" s="18">
        <f t="shared" si="44"/>
        <v>-0.30905174094323901</v>
      </c>
      <c r="AC121" s="41">
        <v>11.8</v>
      </c>
      <c r="AD121" s="44">
        <f t="shared" si="45"/>
        <v>1.5848931924611065E-12</v>
      </c>
      <c r="AE121" s="44">
        <f t="shared" si="46"/>
        <v>6.3726691792499795E-3</v>
      </c>
      <c r="AF121" s="41">
        <f t="shared" si="47"/>
        <v>1.5848906805786562E-6</v>
      </c>
      <c r="AG121" s="41">
        <f t="shared" si="48"/>
        <v>0.99999841510931942</v>
      </c>
      <c r="AH121" s="41">
        <f t="shared" si="49"/>
        <v>1.1247826701246113</v>
      </c>
      <c r="AI121" s="18">
        <f t="shared" si="50"/>
        <v>134.97392041495334</v>
      </c>
    </row>
    <row r="122" spans="1:35" ht="15" customHeight="1" x14ac:dyDescent="0.3">
      <c r="A122" s="41">
        <v>11.9</v>
      </c>
      <c r="B122" s="44">
        <f t="shared" si="34"/>
        <v>1.2589254117941629E-12</v>
      </c>
      <c r="C122" s="44">
        <f t="shared" si="35"/>
        <v>8.0227151707152698E-3</v>
      </c>
      <c r="D122" s="41">
        <f t="shared" si="36"/>
        <v>6.9939811494086904E-6</v>
      </c>
      <c r="E122" s="41">
        <f t="shared" si="37"/>
        <v>0.99999300601885055</v>
      </c>
      <c r="F122" s="41">
        <f t="shared" si="38"/>
        <v>1.0978353991338079</v>
      </c>
      <c r="G122" s="18">
        <f t="shared" si="51"/>
        <v>5.4891769956690393</v>
      </c>
      <c r="O122" s="41">
        <v>11.9</v>
      </c>
      <c r="P122" s="44">
        <f t="shared" si="39"/>
        <v>1.2589254117941629E-12</v>
      </c>
      <c r="Q122" s="44">
        <f t="shared" si="40"/>
        <v>8.0227151707152698E-3</v>
      </c>
      <c r="R122" s="41">
        <f t="shared" si="41"/>
        <v>8.9664708118686819E-4</v>
      </c>
      <c r="S122" s="41">
        <f t="shared" si="42"/>
        <v>0.99910335291881314</v>
      </c>
      <c r="T122" s="41">
        <f t="shared" si="43"/>
        <v>-7.8077714090909356E-2</v>
      </c>
      <c r="U122" s="18">
        <f t="shared" si="44"/>
        <v>-0.39038857045454683</v>
      </c>
      <c r="AC122" s="41">
        <v>11.9</v>
      </c>
      <c r="AD122" s="44">
        <f t="shared" si="45"/>
        <v>1.2589254117941629E-12</v>
      </c>
      <c r="AE122" s="44">
        <f t="shared" si="46"/>
        <v>8.0227151707152698E-3</v>
      </c>
      <c r="AF122" s="41">
        <f t="shared" si="47"/>
        <v>1.2589238269029657E-6</v>
      </c>
      <c r="AG122" s="41">
        <f t="shared" si="48"/>
        <v>0.99999874107617315</v>
      </c>
      <c r="AH122" s="41">
        <f t="shared" si="49"/>
        <v>1.1599110615052244</v>
      </c>
      <c r="AI122" s="18">
        <f t="shared" si="50"/>
        <v>139.18932738062693</v>
      </c>
    </row>
    <row r="123" spans="1:35" ht="15" customHeight="1" x14ac:dyDescent="0.3">
      <c r="A123" s="41">
        <v>12</v>
      </c>
      <c r="B123" s="44">
        <f t="shared" si="34"/>
        <v>9.9999999999999998E-13</v>
      </c>
      <c r="C123" s="44">
        <f t="shared" si="35"/>
        <v>1.01E-2</v>
      </c>
      <c r="D123" s="41">
        <f t="shared" si="36"/>
        <v>5.5555246915294916E-6</v>
      </c>
      <c r="E123" s="41">
        <f t="shared" si="37"/>
        <v>0.9999944444753085</v>
      </c>
      <c r="F123" s="41">
        <f t="shared" si="38"/>
        <v>1.1236930439508688</v>
      </c>
      <c r="G123" s="18">
        <f t="shared" si="51"/>
        <v>5.6184652197543441</v>
      </c>
      <c r="O123" s="41">
        <v>12</v>
      </c>
      <c r="P123" s="44">
        <f t="shared" si="39"/>
        <v>9.9999999999999998E-13</v>
      </c>
      <c r="Q123" s="44">
        <f t="shared" si="40"/>
        <v>1.01E-2</v>
      </c>
      <c r="R123" s="41">
        <f t="shared" si="41"/>
        <v>7.1236346366946332E-4</v>
      </c>
      <c r="S123" s="41">
        <f t="shared" si="42"/>
        <v>0.99928763653633046</v>
      </c>
      <c r="T123" s="41">
        <f t="shared" si="43"/>
        <v>-9.8301937391224406E-2</v>
      </c>
      <c r="U123" s="18">
        <f t="shared" si="44"/>
        <v>-0.49150968695612207</v>
      </c>
      <c r="AC123" s="41">
        <v>12</v>
      </c>
      <c r="AD123" s="44">
        <f t="shared" si="45"/>
        <v>9.9999999999999998E-13</v>
      </c>
      <c r="AE123" s="44">
        <f t="shared" si="46"/>
        <v>1.01E-2</v>
      </c>
      <c r="AF123" s="41">
        <f t="shared" si="47"/>
        <v>9.9999900000100006E-7</v>
      </c>
      <c r="AG123" s="41">
        <f t="shared" si="48"/>
        <v>0.99999900000099995</v>
      </c>
      <c r="AH123" s="41">
        <f t="shared" si="49"/>
        <v>1.2059684834786135</v>
      </c>
      <c r="AI123" s="18">
        <f t="shared" si="50"/>
        <v>144.71621801743362</v>
      </c>
    </row>
    <row r="124" spans="1:35" ht="15" customHeight="1" x14ac:dyDescent="0.3">
      <c r="A124" s="41">
        <v>12.1</v>
      </c>
      <c r="B124" s="44">
        <f t="shared" si="34"/>
        <v>7.9432823472428024E-13</v>
      </c>
      <c r="C124" s="44">
        <f t="shared" si="35"/>
        <v>1.2715146659121108E-2</v>
      </c>
      <c r="D124" s="41">
        <f t="shared" si="36"/>
        <v>4.4129151634509364E-6</v>
      </c>
      <c r="E124" s="41">
        <f t="shared" si="37"/>
        <v>0.9999955870848366</v>
      </c>
      <c r="F124" s="41">
        <f t="shared" si="38"/>
        <v>1.156558680142038</v>
      </c>
      <c r="G124" s="18">
        <f t="shared" si="51"/>
        <v>5.7827934007101902</v>
      </c>
      <c r="O124" s="41">
        <v>12.1</v>
      </c>
      <c r="P124" s="44">
        <f t="shared" si="39"/>
        <v>7.9432823472428024E-13</v>
      </c>
      <c r="Q124" s="44">
        <f t="shared" si="40"/>
        <v>1.2715146659121108E-2</v>
      </c>
      <c r="R124" s="41">
        <f t="shared" si="41"/>
        <v>5.659333291974136E-4</v>
      </c>
      <c r="S124" s="41">
        <f t="shared" si="42"/>
        <v>0.99943406667080259</v>
      </c>
      <c r="T124" s="41">
        <f t="shared" si="43"/>
        <v>-0.12344625868682103</v>
      </c>
      <c r="U124" s="18">
        <f t="shared" si="44"/>
        <v>-0.61723129343410521</v>
      </c>
      <c r="AC124" s="41">
        <v>12.1</v>
      </c>
      <c r="AD124" s="44">
        <f t="shared" si="45"/>
        <v>7.9432823472428024E-13</v>
      </c>
      <c r="AE124" s="44">
        <f t="shared" si="46"/>
        <v>1.2715146659121108E-2</v>
      </c>
      <c r="AF124" s="41">
        <f t="shared" si="47"/>
        <v>7.9432760376743698E-7</v>
      </c>
      <c r="AG124" s="41">
        <f t="shared" si="48"/>
        <v>0.9999992056723962</v>
      </c>
      <c r="AH124" s="41">
        <f t="shared" si="49"/>
        <v>1.267068361596736</v>
      </c>
      <c r="AI124" s="18">
        <f t="shared" si="50"/>
        <v>152.04820339160833</v>
      </c>
    </row>
    <row r="125" spans="1:35" ht="15" customHeight="1" x14ac:dyDescent="0.3">
      <c r="A125" s="41">
        <v>12.2</v>
      </c>
      <c r="B125" s="44">
        <f t="shared" si="34"/>
        <v>6.3095734448019283E-13</v>
      </c>
      <c r="C125" s="44">
        <f t="shared" si="35"/>
        <v>1.6007421243857255E-2</v>
      </c>
      <c r="D125" s="41">
        <f t="shared" si="36"/>
        <v>3.5053062932302358E-6</v>
      </c>
      <c r="E125" s="41">
        <f t="shared" si="37"/>
        <v>0.99999649469370666</v>
      </c>
      <c r="F125" s="41">
        <f t="shared" si="38"/>
        <v>1.1984385278239496</v>
      </c>
      <c r="G125" s="18">
        <f t="shared" si="51"/>
        <v>5.9921926391197475</v>
      </c>
      <c r="O125" s="41">
        <v>12.2</v>
      </c>
      <c r="P125" s="44">
        <f t="shared" si="39"/>
        <v>6.3095734448019283E-13</v>
      </c>
      <c r="Q125" s="44">
        <f t="shared" si="40"/>
        <v>1.6007421243857255E-2</v>
      </c>
      <c r="R125" s="41">
        <f t="shared" si="41"/>
        <v>4.4958915295993727E-4</v>
      </c>
      <c r="S125" s="41">
        <f t="shared" si="42"/>
        <v>0.99955041084704011</v>
      </c>
      <c r="T125" s="41">
        <f t="shared" si="43"/>
        <v>-0.15467279801394759</v>
      </c>
      <c r="U125" s="18">
        <f t="shared" si="44"/>
        <v>-0.77336399006973799</v>
      </c>
      <c r="AC125" s="41">
        <v>12.2</v>
      </c>
      <c r="AD125" s="44">
        <f t="shared" si="45"/>
        <v>6.3095734448019283E-13</v>
      </c>
      <c r="AE125" s="44">
        <f t="shared" si="46"/>
        <v>1.6007421243857255E-2</v>
      </c>
      <c r="AF125" s="41">
        <f t="shared" si="47"/>
        <v>6.3095694637327341E-7</v>
      </c>
      <c r="AG125" s="41">
        <f t="shared" si="48"/>
        <v>0.99999936904305353</v>
      </c>
      <c r="AH125" s="41">
        <f t="shared" si="49"/>
        <v>1.3493984383454056</v>
      </c>
      <c r="AI125" s="18">
        <f t="shared" si="50"/>
        <v>161.92781260144869</v>
      </c>
    </row>
    <row r="126" spans="1:35" ht="15" customHeight="1" x14ac:dyDescent="0.3">
      <c r="A126" s="41">
        <v>12.3</v>
      </c>
      <c r="B126" s="44">
        <f t="shared" si="34"/>
        <v>5.0118723362727066E-13</v>
      </c>
      <c r="C126" s="44">
        <f t="shared" si="35"/>
        <v>2.0152149381185747E-2</v>
      </c>
      <c r="D126" s="41">
        <f t="shared" si="36"/>
        <v>2.7843657674371905E-6</v>
      </c>
      <c r="E126" s="41">
        <f t="shared" si="37"/>
        <v>0.99999721563423249</v>
      </c>
      <c r="F126" s="41">
        <f t="shared" si="38"/>
        <v>1.2519788385947113</v>
      </c>
      <c r="G126" s="18">
        <f t="shared" si="51"/>
        <v>6.2598941929735563</v>
      </c>
      <c r="O126" s="41">
        <v>12.3</v>
      </c>
      <c r="P126" s="44">
        <f t="shared" si="39"/>
        <v>5.0118723362727066E-13</v>
      </c>
      <c r="Q126" s="44">
        <f t="shared" si="40"/>
        <v>2.0152149381185747E-2</v>
      </c>
      <c r="R126" s="41">
        <f t="shared" si="41"/>
        <v>3.571543835000743E-4</v>
      </c>
      <c r="S126" s="41">
        <f t="shared" si="42"/>
        <v>0.99964284561649996</v>
      </c>
      <c r="T126" s="41">
        <f t="shared" si="43"/>
        <v>-0.19337067016147144</v>
      </c>
      <c r="U126" s="18">
        <f t="shared" si="44"/>
        <v>-0.96685335080735724</v>
      </c>
      <c r="AC126" s="41">
        <v>12.3</v>
      </c>
      <c r="AD126" s="44">
        <f t="shared" si="45"/>
        <v>5.0118723362727066E-13</v>
      </c>
      <c r="AE126" s="44">
        <f t="shared" si="46"/>
        <v>2.0152149381185747E-2</v>
      </c>
      <c r="AF126" s="41">
        <f t="shared" si="47"/>
        <v>5.0118698243875339E-7</v>
      </c>
      <c r="AG126" s="41">
        <f t="shared" si="48"/>
        <v>0.99999949881301753</v>
      </c>
      <c r="AH126" s="41">
        <f t="shared" si="49"/>
        <v>1.462699456437043</v>
      </c>
      <c r="AI126" s="18">
        <f t="shared" si="50"/>
        <v>175.52393477244513</v>
      </c>
    </row>
    <row r="127" spans="1:35" ht="15" customHeight="1" x14ac:dyDescent="0.3">
      <c r="A127" s="41">
        <v>12.4</v>
      </c>
      <c r="B127" s="44">
        <f t="shared" si="34"/>
        <v>3.9810717055349631E-13</v>
      </c>
      <c r="C127" s="44">
        <f t="shared" si="35"/>
        <v>2.5370052958246816E-2</v>
      </c>
      <c r="D127" s="41">
        <f t="shared" si="36"/>
        <v>2.2117016114401428E-6</v>
      </c>
      <c r="E127" s="41">
        <f t="shared" si="37"/>
        <v>0.99999778829838859</v>
      </c>
      <c r="F127" s="41">
        <f t="shared" si="38"/>
        <v>1.3207113517486671</v>
      </c>
      <c r="G127" s="18">
        <f t="shared" si="51"/>
        <v>6.603556758743335</v>
      </c>
      <c r="O127" s="41">
        <v>12.4</v>
      </c>
      <c r="P127" s="44">
        <f t="shared" si="39"/>
        <v>3.9810717055349631E-13</v>
      </c>
      <c r="Q127" s="44">
        <f t="shared" si="40"/>
        <v>2.5370052958246816E-2</v>
      </c>
      <c r="R127" s="41">
        <f t="shared" si="41"/>
        <v>2.8371865196938996E-4</v>
      </c>
      <c r="S127" s="41">
        <f t="shared" si="42"/>
        <v>0.9997162813480307</v>
      </c>
      <c r="T127" s="41">
        <f t="shared" si="43"/>
        <v>-0.24117934539642449</v>
      </c>
      <c r="U127" s="18">
        <f t="shared" si="44"/>
        <v>-1.2058967269821226</v>
      </c>
      <c r="AC127" s="41">
        <v>12.4</v>
      </c>
      <c r="AD127" s="44">
        <f t="shared" si="45"/>
        <v>3.9810717055349631E-13</v>
      </c>
      <c r="AE127" s="44">
        <f t="shared" si="46"/>
        <v>2.5370052958246816E-2</v>
      </c>
      <c r="AF127" s="41">
        <f t="shared" si="47"/>
        <v>3.9810701206424017E-7</v>
      </c>
      <c r="AG127" s="41">
        <f t="shared" si="48"/>
        <v>0.99999960189298787</v>
      </c>
      <c r="AH127" s="41">
        <f t="shared" si="49"/>
        <v>1.6232313674172212</v>
      </c>
      <c r="AI127" s="18">
        <f t="shared" si="50"/>
        <v>194.78776409006656</v>
      </c>
    </row>
    <row r="128" spans="1:35" ht="15" customHeight="1" x14ac:dyDescent="0.3">
      <c r="A128" s="41">
        <v>12.5</v>
      </c>
      <c r="B128" s="44">
        <f t="shared" si="34"/>
        <v>3.1622776601683746E-13</v>
      </c>
      <c r="C128" s="44">
        <f t="shared" si="35"/>
        <v>3.1939004367700675E-2</v>
      </c>
      <c r="D128" s="41">
        <f t="shared" si="36"/>
        <v>1.7568178359014329E-6</v>
      </c>
      <c r="E128" s="41">
        <f t="shared" si="37"/>
        <v>0.99999824318216401</v>
      </c>
      <c r="F128" s="41">
        <f t="shared" si="38"/>
        <v>1.4094191773796143</v>
      </c>
      <c r="G128" s="18">
        <f t="shared" si="51"/>
        <v>7.047095886898072</v>
      </c>
      <c r="O128" s="41">
        <v>12.5</v>
      </c>
      <c r="P128" s="44">
        <f t="shared" si="39"/>
        <v>3.1622776601683746E-13</v>
      </c>
      <c r="Q128" s="44">
        <f t="shared" si="40"/>
        <v>3.1939004367700675E-2</v>
      </c>
      <c r="R128" s="41">
        <f t="shared" si="41"/>
        <v>2.2537888749248676E-4</v>
      </c>
      <c r="S128" s="41">
        <f t="shared" si="42"/>
        <v>0.99977462111250759</v>
      </c>
      <c r="T128" s="41">
        <f t="shared" si="43"/>
        <v>-0.30000118638218953</v>
      </c>
      <c r="U128" s="18">
        <f t="shared" si="44"/>
        <v>-1.5000059319109478</v>
      </c>
      <c r="AC128" s="41">
        <v>12.5</v>
      </c>
      <c r="AD128" s="44">
        <f t="shared" si="45"/>
        <v>3.1622776601683746E-13</v>
      </c>
      <c r="AE128" s="44">
        <f t="shared" si="46"/>
        <v>3.1939004367700675E-2</v>
      </c>
      <c r="AF128" s="41">
        <f t="shared" si="47"/>
        <v>3.1622766601686911E-7</v>
      </c>
      <c r="AG128" s="41">
        <f t="shared" si="48"/>
        <v>0.99999968377233406</v>
      </c>
      <c r="AH128" s="41">
        <f t="shared" si="49"/>
        <v>1.8603284329472569</v>
      </c>
      <c r="AI128" s="18">
        <f t="shared" si="50"/>
        <v>223.23941195367084</v>
      </c>
    </row>
    <row r="129" spans="1:35" ht="15" customHeight="1" x14ac:dyDescent="0.3">
      <c r="A129" s="41">
        <v>12.6</v>
      </c>
      <c r="B129" s="44">
        <f t="shared" si="34"/>
        <v>2.511886431509579E-13</v>
      </c>
      <c r="C129" s="44">
        <f t="shared" si="35"/>
        <v>4.0208824225903238E-2</v>
      </c>
      <c r="D129" s="41">
        <f t="shared" si="36"/>
        <v>1.3954905145532723E-6</v>
      </c>
      <c r="E129" s="41">
        <f t="shared" si="37"/>
        <v>0.99999860450948552</v>
      </c>
      <c r="F129" s="41">
        <f t="shared" si="38"/>
        <v>1.5246996034718476</v>
      </c>
      <c r="G129" s="18">
        <f t="shared" si="51"/>
        <v>7.6234980173592382</v>
      </c>
      <c r="O129" s="41">
        <v>12.6</v>
      </c>
      <c r="P129" s="44">
        <f t="shared" si="39"/>
        <v>2.511886431509579E-13</v>
      </c>
      <c r="Q129" s="44">
        <f t="shared" si="40"/>
        <v>4.0208824225903238E-2</v>
      </c>
      <c r="R129" s="41">
        <f t="shared" si="41"/>
        <v>1.7903311276012369E-4</v>
      </c>
      <c r="S129" s="41">
        <f t="shared" si="42"/>
        <v>0.99982096688723987</v>
      </c>
      <c r="T129" s="41">
        <f t="shared" si="43"/>
        <v>-0.37199430212924267</v>
      </c>
      <c r="U129" s="18">
        <f t="shared" si="44"/>
        <v>-1.8599715106462134</v>
      </c>
      <c r="AC129" s="41">
        <v>12.6</v>
      </c>
      <c r="AD129" s="44">
        <f t="shared" si="45"/>
        <v>2.511886431509579E-13</v>
      </c>
      <c r="AE129" s="44">
        <f t="shared" si="46"/>
        <v>4.0208824225903238E-2</v>
      </c>
      <c r="AF129" s="41">
        <f t="shared" si="47"/>
        <v>2.5118858005523931E-7</v>
      </c>
      <c r="AG129" s="41">
        <f t="shared" si="48"/>
        <v>0.99999974881141995</v>
      </c>
      <c r="AH129" s="41">
        <f t="shared" si="49"/>
        <v>2.2328935110153325</v>
      </c>
      <c r="AI129" s="18">
        <f t="shared" si="50"/>
        <v>267.94722132183989</v>
      </c>
    </row>
    <row r="130" spans="1:35" ht="15" customHeight="1" x14ac:dyDescent="0.3">
      <c r="A130" s="41">
        <v>12.7</v>
      </c>
      <c r="B130" s="44">
        <f t="shared" si="34"/>
        <v>1.9952623149688807E-13</v>
      </c>
      <c r="C130" s="44">
        <f t="shared" si="35"/>
        <v>5.061991059635447E-2</v>
      </c>
      <c r="D130" s="41">
        <f t="shared" si="36"/>
        <v>1.1084778351471273E-6</v>
      </c>
      <c r="E130" s="41">
        <f t="shared" si="37"/>
        <v>0.99999889152216481</v>
      </c>
      <c r="F130" s="41">
        <f t="shared" si="38"/>
        <v>1.6758619629564151</v>
      </c>
      <c r="G130" s="18">
        <f t="shared" si="51"/>
        <v>8.3793098147820757</v>
      </c>
      <c r="O130" s="41">
        <v>12.7</v>
      </c>
      <c r="P130" s="44">
        <f t="shared" si="39"/>
        <v>1.9952623149688807E-13</v>
      </c>
      <c r="Q130" s="44">
        <f t="shared" si="40"/>
        <v>5.061991059635447E-2</v>
      </c>
      <c r="R130" s="41">
        <f t="shared" si="41"/>
        <v>1.4221629311230046E-4</v>
      </c>
      <c r="S130" s="41">
        <f t="shared" si="42"/>
        <v>0.99985778370688771</v>
      </c>
      <c r="T130" s="41">
        <f t="shared" si="43"/>
        <v>-0.45953377268952234</v>
      </c>
      <c r="U130" s="18">
        <f t="shared" si="44"/>
        <v>-2.2976688634476119</v>
      </c>
      <c r="AC130" s="41">
        <v>12.7</v>
      </c>
      <c r="AD130" s="44">
        <f t="shared" si="45"/>
        <v>1.9952623149688807E-13</v>
      </c>
      <c r="AE130" s="44">
        <f t="shared" si="46"/>
        <v>5.061991059635447E-2</v>
      </c>
      <c r="AF130" s="41">
        <f t="shared" si="47"/>
        <v>1.9952619168617897E-7</v>
      </c>
      <c r="AG130" s="41">
        <f t="shared" si="48"/>
        <v>0.99999980047380832</v>
      </c>
      <c r="AH130" s="41">
        <f t="shared" si="49"/>
        <v>2.8793637393949028</v>
      </c>
      <c r="AI130" s="18">
        <f t="shared" si="50"/>
        <v>345.52364872738832</v>
      </c>
    </row>
    <row r="131" spans="1:35" ht="15" customHeight="1" x14ac:dyDescent="0.3">
      <c r="A131" s="41">
        <v>12.8</v>
      </c>
      <c r="B131" s="44">
        <f t="shared" si="34"/>
        <v>1.5848931924611046E-13</v>
      </c>
      <c r="C131" s="44">
        <f t="shared" si="35"/>
        <v>6.3726691792499873E-2</v>
      </c>
      <c r="D131" s="41">
        <f t="shared" si="36"/>
        <v>8.8049544276103958E-7</v>
      </c>
      <c r="E131" s="41">
        <f t="shared" si="37"/>
        <v>0.99999911950455722</v>
      </c>
      <c r="F131" s="41">
        <f t="shared" si="38"/>
        <v>1.8764224244595091</v>
      </c>
      <c r="G131" s="18">
        <f t="shared" si="51"/>
        <v>9.3821121222975457</v>
      </c>
      <c r="O131" s="41">
        <v>12.8</v>
      </c>
      <c r="P131" s="44">
        <f t="shared" si="39"/>
        <v>1.5848931924611046E-13</v>
      </c>
      <c r="Q131" s="44">
        <f t="shared" si="40"/>
        <v>6.3726691792499873E-2</v>
      </c>
      <c r="R131" s="41">
        <f t="shared" si="41"/>
        <v>1.1296972140727311E-4</v>
      </c>
      <c r="S131" s="41">
        <f t="shared" si="42"/>
        <v>0.99988703027859271</v>
      </c>
      <c r="T131" s="41">
        <f t="shared" si="43"/>
        <v>-0.56512664512674293</v>
      </c>
      <c r="U131" s="18">
        <f t="shared" si="44"/>
        <v>-2.8256332256337147</v>
      </c>
      <c r="AC131" s="41">
        <v>12.8</v>
      </c>
      <c r="AD131" s="44">
        <f t="shared" si="45"/>
        <v>1.5848931924611046E-13</v>
      </c>
      <c r="AE131" s="44">
        <f t="shared" si="46"/>
        <v>6.3726691792499873E-2</v>
      </c>
      <c r="AF131" s="41">
        <f t="shared" si="47"/>
        <v>1.5848929412725012E-7</v>
      </c>
      <c r="AG131" s="41">
        <f t="shared" si="48"/>
        <v>0.99999984151070587</v>
      </c>
      <c r="AH131" s="41">
        <f t="shared" si="49"/>
        <v>4.2208877053117053</v>
      </c>
      <c r="AI131" s="18">
        <f t="shared" si="50"/>
        <v>506.5065246374046</v>
      </c>
    </row>
    <row r="132" spans="1:35" ht="15" customHeight="1" x14ac:dyDescent="0.3">
      <c r="A132" s="41">
        <v>12.9</v>
      </c>
      <c r="B132" s="44">
        <f t="shared" si="34"/>
        <v>1.2589254117941612E-13</v>
      </c>
      <c r="C132" s="44">
        <f t="shared" si="35"/>
        <v>8.0227151707152805E-2</v>
      </c>
      <c r="D132" s="41">
        <f t="shared" si="36"/>
        <v>6.9940251738808842E-7</v>
      </c>
      <c r="E132" s="41">
        <f t="shared" si="37"/>
        <v>0.99999930059748265</v>
      </c>
      <c r="F132" s="41">
        <f t="shared" si="38"/>
        <v>2.1467215245063782</v>
      </c>
      <c r="G132" s="18">
        <f t="shared" si="51"/>
        <v>10.733607622531892</v>
      </c>
      <c r="O132" s="41">
        <v>12.9</v>
      </c>
      <c r="P132" s="44">
        <f t="shared" si="39"/>
        <v>1.2589254117941612E-13</v>
      </c>
      <c r="Q132" s="44">
        <f t="shared" si="40"/>
        <v>8.0227151707152805E-2</v>
      </c>
      <c r="R132" s="41">
        <f t="shared" si="41"/>
        <v>8.9737124396284341E-5</v>
      </c>
      <c r="S132" s="41">
        <f t="shared" si="42"/>
        <v>0.99991026287560369</v>
      </c>
      <c r="T132" s="41">
        <f t="shared" si="43"/>
        <v>-0.69126528945246346</v>
      </c>
      <c r="U132" s="18">
        <f t="shared" si="44"/>
        <v>-3.4563264472623172</v>
      </c>
      <c r="AC132" s="41">
        <v>12.9</v>
      </c>
      <c r="AD132" s="44">
        <f t="shared" si="45"/>
        <v>1.2589254117941612E-13</v>
      </c>
      <c r="AE132" s="44">
        <f t="shared" si="46"/>
        <v>8.0227151707152805E-2</v>
      </c>
      <c r="AF132" s="41">
        <f t="shared" si="47"/>
        <v>1.2589252533048621E-7</v>
      </c>
      <c r="AG132" s="41">
        <f t="shared" si="48"/>
        <v>0.9999998741074746</v>
      </c>
      <c r="AH132" s="41">
        <f t="shared" si="49"/>
        <v>8.4386399316026051</v>
      </c>
      <c r="AI132" s="18">
        <f t="shared" si="50"/>
        <v>1012.6367917923126</v>
      </c>
    </row>
    <row r="133" spans="1:35" ht="15" customHeight="1" x14ac:dyDescent="0.3">
      <c r="A133" s="41">
        <v>13</v>
      </c>
      <c r="B133" s="44">
        <f t="shared" ref="B133:B143" si="52">10^(-A133)</f>
        <v>1E-13</v>
      </c>
      <c r="C133" s="44">
        <f t="shared" ref="C133:C143" si="53">Kw/B133</f>
        <v>0.10099999999999999</v>
      </c>
      <c r="D133" s="41">
        <f t="shared" ref="D133:D143" si="54">B133/(B133+WASB_Ka)</f>
        <v>5.5555524691375171E-7</v>
      </c>
      <c r="E133" s="41">
        <f t="shared" ref="E133:E143" si="55">WASB_Ka/(B133+WASB_Ka)</f>
        <v>0.99999944444475308</v>
      </c>
      <c r="F133" s="41">
        <f t="shared" ref="F133:F143" si="56">(E133-((B133-C133)/WASB_Ca)) / (1 + ((B133-C133)/WASB_Cb))</f>
        <v>2.5187962962947985</v>
      </c>
      <c r="G133" s="18">
        <f t="shared" si="51"/>
        <v>12.593981481473993</v>
      </c>
      <c r="O133" s="41">
        <v>13</v>
      </c>
      <c r="P133" s="44">
        <f t="shared" ref="P133:P143" si="57">10^-O133</f>
        <v>1E-13</v>
      </c>
      <c r="Q133" s="44">
        <f t="shared" ref="Q133:Q143" si="58">Kw/P133</f>
        <v>0.10099999999999999</v>
      </c>
      <c r="R133" s="41">
        <f t="shared" ref="R133:R143" si="59">P133/(P133+(Kw/SAWB_Kb))</f>
        <v>7.1282047220396172E-5</v>
      </c>
      <c r="S133" s="41">
        <f t="shared" ref="S133:S143" si="60">(Kw/SAWB_Kb)/(P133+(Kw/SAWB_Kb))</f>
        <v>0.9999287179527796</v>
      </c>
      <c r="T133" s="41">
        <f t="shared" ref="T133:T143" si="61">(R133+((P133-Q133)/SAWB_Cb))/(1-((P133-Q133)/SAWB_Ca))</f>
        <v>-0.84020692009313447</v>
      </c>
      <c r="U133" s="18">
        <f t="shared" ref="U133:U143" si="62">(T133*SAWB_Cb*SAWB_Vb)/SAWB_Ca</f>
        <v>-4.2010346004656727</v>
      </c>
      <c r="AC133" s="41">
        <v>13</v>
      </c>
      <c r="AD133" s="44">
        <f t="shared" ref="AD133:AD143" si="63">10^(-AC133)</f>
        <v>1E-13</v>
      </c>
      <c r="AE133" s="44">
        <f t="shared" ref="AE133:AE143" si="64">Kw/AD133</f>
        <v>0.10099999999999999</v>
      </c>
      <c r="AF133" s="41">
        <f t="shared" ref="AF133:AF143" si="65">AD133/(AD133+DEMO_Ka)</f>
        <v>9.9999990000001018E-8</v>
      </c>
      <c r="AG133" s="41">
        <f t="shared" ref="AG133:AG143" si="66">DEMO_Ka/(AD133+DEMO_Ka)</f>
        <v>0.99999990000001004</v>
      </c>
      <c r="AH133" s="41">
        <f t="shared" ref="AH133:AH143" si="67">(AG133-((AD133-AE133)/DEMO_Ca)) / (1 + ((AD133-AE133)/DEMO_Cb))</f>
        <v>-184.16665668500247</v>
      </c>
      <c r="AI133" s="18">
        <f t="shared" ref="AI133:AI143" si="68">AH133*(DEMO_Va * DEMO_Ca)/DEMO_Cb</f>
        <v>-22099.998802200298</v>
      </c>
    </row>
    <row r="134" spans="1:35" ht="15" customHeight="1" x14ac:dyDescent="0.3">
      <c r="A134" s="41">
        <v>13.1</v>
      </c>
      <c r="B134" s="44">
        <f t="shared" si="52"/>
        <v>7.9432823472427931E-14</v>
      </c>
      <c r="C134" s="44">
        <f t="shared" si="53"/>
        <v>0.12715146659121124</v>
      </c>
      <c r="D134" s="41">
        <f t="shared" si="54"/>
        <v>4.4129326899587553E-7</v>
      </c>
      <c r="E134" s="41">
        <f t="shared" si="55"/>
        <v>0.99999955870673096</v>
      </c>
      <c r="F134" s="41">
        <f t="shared" si="56"/>
        <v>3.0461622094233789</v>
      </c>
      <c r="G134" s="18">
        <f t="shared" ref="G134:G143" si="69">F134*(WASB_Va * WASB_Ca)/WASB_Cb</f>
        <v>15.230811047116894</v>
      </c>
      <c r="O134" s="41">
        <v>13.1</v>
      </c>
      <c r="P134" s="44">
        <f t="shared" si="57"/>
        <v>7.9432823472427931E-14</v>
      </c>
      <c r="Q134" s="44">
        <f t="shared" si="58"/>
        <v>0.12715146659121124</v>
      </c>
      <c r="R134" s="41">
        <f t="shared" si="59"/>
        <v>5.6622172857053528E-5</v>
      </c>
      <c r="S134" s="41">
        <f t="shared" si="60"/>
        <v>0.99994337782714293</v>
      </c>
      <c r="T134" s="41">
        <f t="shared" si="61"/>
        <v>-1.0136770074456205</v>
      </c>
      <c r="U134" s="18">
        <f t="shared" si="62"/>
        <v>-5.0683850372281025</v>
      </c>
      <c r="AC134" s="41">
        <v>13.1</v>
      </c>
      <c r="AD134" s="44">
        <f t="shared" si="63"/>
        <v>7.9432823472427931E-14</v>
      </c>
      <c r="AE134" s="44">
        <f t="shared" si="64"/>
        <v>0.12715146659121124</v>
      </c>
      <c r="AF134" s="41">
        <f t="shared" si="65"/>
        <v>7.9432817162854993E-8</v>
      </c>
      <c r="AG134" s="41">
        <f t="shared" si="66"/>
        <v>0.9999999205671829</v>
      </c>
      <c r="AH134" s="41">
        <f t="shared" si="67"/>
        <v>-7.5855772599995994</v>
      </c>
      <c r="AI134" s="18">
        <f t="shared" si="68"/>
        <v>-910.26927119995185</v>
      </c>
    </row>
    <row r="135" spans="1:35" ht="15" customHeight="1" x14ac:dyDescent="0.3">
      <c r="A135" s="41">
        <v>13.2</v>
      </c>
      <c r="B135" s="44">
        <f t="shared" si="52"/>
        <v>6.3095734448019215E-14</v>
      </c>
      <c r="C135" s="44">
        <f t="shared" si="53"/>
        <v>0.16007421243857273</v>
      </c>
      <c r="D135" s="41">
        <f t="shared" si="54"/>
        <v>3.5053173517201074E-7</v>
      </c>
      <c r="E135" s="41">
        <f t="shared" si="55"/>
        <v>0.99999964946826481</v>
      </c>
      <c r="F135" s="41">
        <f t="shared" si="56"/>
        <v>3.8254552449671144</v>
      </c>
      <c r="G135" s="18">
        <f t="shared" si="69"/>
        <v>19.127276224835573</v>
      </c>
      <c r="O135" s="41">
        <v>13.2</v>
      </c>
      <c r="P135" s="44">
        <f t="shared" si="57"/>
        <v>6.3095734448019215E-14</v>
      </c>
      <c r="Q135" s="44">
        <f t="shared" si="58"/>
        <v>0.16007421243857273</v>
      </c>
      <c r="R135" s="41">
        <f t="shared" si="59"/>
        <v>4.4977114396481362E-5</v>
      </c>
      <c r="S135" s="41">
        <f t="shared" si="60"/>
        <v>0.99995502288560356</v>
      </c>
      <c r="T135" s="41">
        <f t="shared" si="61"/>
        <v>-1.2125130152844865</v>
      </c>
      <c r="U135" s="18">
        <f t="shared" si="62"/>
        <v>-6.0625650764224321</v>
      </c>
      <c r="AC135" s="41">
        <v>13.2</v>
      </c>
      <c r="AD135" s="44">
        <f t="shared" si="63"/>
        <v>6.3095734448019215E-14</v>
      </c>
      <c r="AE135" s="44">
        <f t="shared" si="64"/>
        <v>0.16007421243857273</v>
      </c>
      <c r="AF135" s="41">
        <f t="shared" si="65"/>
        <v>6.3095730466947755E-8</v>
      </c>
      <c r="AG135" s="41">
        <f t="shared" si="66"/>
        <v>0.99999993690426947</v>
      </c>
      <c r="AH135" s="41">
        <f t="shared" si="67"/>
        <v>-3.8851141155019788</v>
      </c>
      <c r="AI135" s="18">
        <f t="shared" si="68"/>
        <v>-466.21369386023741</v>
      </c>
    </row>
    <row r="136" spans="1:35" ht="15" customHeight="1" x14ac:dyDescent="0.3">
      <c r="A136" s="41">
        <v>13.3</v>
      </c>
      <c r="B136" s="44">
        <f t="shared" si="52"/>
        <v>5.0118723362727011E-14</v>
      </c>
      <c r="C136" s="44">
        <f t="shared" si="53"/>
        <v>0.20152149381185769</v>
      </c>
      <c r="D136" s="41">
        <f t="shared" si="54"/>
        <v>2.7843727448781264E-7</v>
      </c>
      <c r="E136" s="41">
        <f t="shared" si="55"/>
        <v>0.99999972156272554</v>
      </c>
      <c r="F136" s="41">
        <f t="shared" si="56"/>
        <v>5.0509745210592998</v>
      </c>
      <c r="G136" s="18">
        <f t="shared" si="69"/>
        <v>25.254872605296498</v>
      </c>
      <c r="O136" s="41">
        <v>13.3</v>
      </c>
      <c r="P136" s="44">
        <f t="shared" si="57"/>
        <v>5.0118723362727011E-14</v>
      </c>
      <c r="Q136" s="44">
        <f t="shared" si="58"/>
        <v>0.20152149381185769</v>
      </c>
      <c r="R136" s="41">
        <f t="shared" si="59"/>
        <v>3.5726922374248828E-5</v>
      </c>
      <c r="S136" s="41">
        <f t="shared" si="60"/>
        <v>0.99996427307762581</v>
      </c>
      <c r="T136" s="41">
        <f t="shared" si="61"/>
        <v>-1.436291852047159</v>
      </c>
      <c r="U136" s="18">
        <f t="shared" si="62"/>
        <v>-7.181459260235795</v>
      </c>
      <c r="AC136" s="41">
        <v>13.3</v>
      </c>
      <c r="AD136" s="44">
        <f t="shared" si="63"/>
        <v>5.0118723362727011E-14</v>
      </c>
      <c r="AE136" s="44">
        <f t="shared" si="64"/>
        <v>0.20152149381185769</v>
      </c>
      <c r="AF136" s="41">
        <f t="shared" si="65"/>
        <v>5.0118720850840715E-8</v>
      </c>
      <c r="AG136" s="41">
        <f t="shared" si="66"/>
        <v>0.99999994988127927</v>
      </c>
      <c r="AH136" s="41">
        <f t="shared" si="67"/>
        <v>-2.6391906098358833</v>
      </c>
      <c r="AI136" s="18">
        <f t="shared" si="68"/>
        <v>-316.70287318030597</v>
      </c>
    </row>
    <row r="137" spans="1:35" ht="15" customHeight="1" x14ac:dyDescent="0.3">
      <c r="A137" s="41">
        <v>13.4</v>
      </c>
      <c r="B137" s="44">
        <f t="shared" si="52"/>
        <v>3.9810717055349592E-14</v>
      </c>
      <c r="C137" s="44">
        <f t="shared" si="53"/>
        <v>0.25370052958246841</v>
      </c>
      <c r="D137" s="41">
        <f t="shared" si="54"/>
        <v>2.21170601391052E-7</v>
      </c>
      <c r="E137" s="41">
        <f t="shared" si="55"/>
        <v>0.99999977882939861</v>
      </c>
      <c r="F137" s="41">
        <f t="shared" si="56"/>
        <v>7.1802937063914802</v>
      </c>
      <c r="G137" s="18">
        <f t="shared" si="69"/>
        <v>35.901468531957399</v>
      </c>
      <c r="O137" s="41">
        <v>13.4</v>
      </c>
      <c r="P137" s="44">
        <f t="shared" si="57"/>
        <v>3.9810717055349592E-14</v>
      </c>
      <c r="Q137" s="44">
        <f t="shared" si="58"/>
        <v>0.25370052958246841</v>
      </c>
      <c r="R137" s="41">
        <f t="shared" si="59"/>
        <v>2.8379111711926063E-5</v>
      </c>
      <c r="S137" s="41">
        <f t="shared" si="60"/>
        <v>0.99997162088828817</v>
      </c>
      <c r="T137" s="41">
        <f t="shared" si="61"/>
        <v>-1.6830138875702603</v>
      </c>
      <c r="U137" s="18">
        <f t="shared" si="62"/>
        <v>-8.4150694378513027</v>
      </c>
      <c r="AC137" s="41">
        <v>13.4</v>
      </c>
      <c r="AD137" s="44">
        <f t="shared" si="63"/>
        <v>3.9810717055349592E-14</v>
      </c>
      <c r="AE137" s="44">
        <f t="shared" si="64"/>
        <v>0.25370052958246841</v>
      </c>
      <c r="AF137" s="41">
        <f t="shared" si="65"/>
        <v>3.9810715470456462E-8</v>
      </c>
      <c r="AG137" s="41">
        <f t="shared" si="66"/>
        <v>0.9999999601892845</v>
      </c>
      <c r="AH137" s="41">
        <f t="shared" si="67"/>
        <v>-2.0261290240855976</v>
      </c>
      <c r="AI137" s="18">
        <f t="shared" si="68"/>
        <v>-243.1354828902717</v>
      </c>
    </row>
    <row r="138" spans="1:35" ht="15" customHeight="1" x14ac:dyDescent="0.3">
      <c r="A138" s="41">
        <v>13.5</v>
      </c>
      <c r="B138" s="44">
        <f t="shared" si="52"/>
        <v>3.1622776601683714E-14</v>
      </c>
      <c r="C138" s="44">
        <f t="shared" si="53"/>
        <v>0.31939004367700707</v>
      </c>
      <c r="D138" s="41">
        <f t="shared" si="54"/>
        <v>1.7568206136738406E-7</v>
      </c>
      <c r="E138" s="41">
        <f t="shared" si="55"/>
        <v>0.99999982431793855</v>
      </c>
      <c r="F138" s="41">
        <f t="shared" si="56"/>
        <v>11.61037947871162</v>
      </c>
      <c r="G138" s="18">
        <f t="shared" si="69"/>
        <v>58.0518973935581</v>
      </c>
      <c r="O138" s="41">
        <v>13.5</v>
      </c>
      <c r="P138" s="44">
        <f t="shared" si="57"/>
        <v>3.1622776601683714E-14</v>
      </c>
      <c r="Q138" s="44">
        <f t="shared" si="58"/>
        <v>0.31939004367700707</v>
      </c>
      <c r="R138" s="41">
        <f t="shared" si="59"/>
        <v>2.2542461284609755E-5</v>
      </c>
      <c r="S138" s="41">
        <f t="shared" si="60"/>
        <v>0.99997745753871536</v>
      </c>
      <c r="T138" s="41">
        <f t="shared" si="61"/>
        <v>-1.9489362355295949</v>
      </c>
      <c r="U138" s="18">
        <f t="shared" si="62"/>
        <v>-9.7446811776479745</v>
      </c>
      <c r="AC138" s="41">
        <v>13.5</v>
      </c>
      <c r="AD138" s="44">
        <f t="shared" si="63"/>
        <v>3.1622776601683714E-14</v>
      </c>
      <c r="AE138" s="44">
        <f t="shared" si="64"/>
        <v>0.31939004367700707</v>
      </c>
      <c r="AF138" s="41">
        <f t="shared" si="65"/>
        <v>3.1622775601683749E-8</v>
      </c>
      <c r="AG138" s="41">
        <f t="shared" si="66"/>
        <v>0.99999996837722449</v>
      </c>
      <c r="AH138" s="41">
        <f t="shared" si="67"/>
        <v>-1.6689835164427882</v>
      </c>
      <c r="AI138" s="18">
        <f t="shared" si="68"/>
        <v>-200.27802197313457</v>
      </c>
    </row>
    <row r="139" spans="1:35" ht="15" customHeight="1" x14ac:dyDescent="0.3">
      <c r="A139" s="41">
        <v>13.6</v>
      </c>
      <c r="B139" s="44">
        <f t="shared" si="52"/>
        <v>2.511886431509576E-14</v>
      </c>
      <c r="C139" s="44">
        <f t="shared" si="53"/>
        <v>0.40208824225903284</v>
      </c>
      <c r="D139" s="41">
        <f t="shared" si="54"/>
        <v>1.3954922672098706E-7</v>
      </c>
      <c r="E139" s="41">
        <f t="shared" si="55"/>
        <v>0.99999986045077338</v>
      </c>
      <c r="F139" s="41">
        <f t="shared" si="56"/>
        <v>25.639833248232957</v>
      </c>
      <c r="G139" s="18">
        <f t="shared" si="69"/>
        <v>128.19916624116479</v>
      </c>
      <c r="O139" s="41">
        <v>13.6</v>
      </c>
      <c r="P139" s="44">
        <f t="shared" si="57"/>
        <v>2.511886431509576E-14</v>
      </c>
      <c r="Q139" s="44">
        <f t="shared" si="58"/>
        <v>0.40208824225903284</v>
      </c>
      <c r="R139" s="41">
        <f t="shared" si="59"/>
        <v>1.7906196497899387E-5</v>
      </c>
      <c r="S139" s="41">
        <f t="shared" si="60"/>
        <v>0.999982093803502</v>
      </c>
      <c r="T139" s="41">
        <f t="shared" si="61"/>
        <v>-2.2286425695586818</v>
      </c>
      <c r="U139" s="18">
        <f t="shared" si="62"/>
        <v>-11.143212847793411</v>
      </c>
      <c r="AC139" s="41">
        <v>13.6</v>
      </c>
      <c r="AD139" s="44">
        <f t="shared" si="63"/>
        <v>2.511886431509576E-14</v>
      </c>
      <c r="AE139" s="44">
        <f t="shared" si="64"/>
        <v>0.40208824225903284</v>
      </c>
      <c r="AF139" s="41">
        <f t="shared" si="65"/>
        <v>2.5118863684138431E-8</v>
      </c>
      <c r="AG139" s="41">
        <f t="shared" si="66"/>
        <v>0.99999997488113634</v>
      </c>
      <c r="AH139" s="41">
        <f t="shared" si="67"/>
        <v>-1.4402200146900297</v>
      </c>
      <c r="AI139" s="18">
        <f t="shared" si="68"/>
        <v>-172.82640176280356</v>
      </c>
    </row>
    <row r="140" spans="1:35" ht="15" customHeight="1" x14ac:dyDescent="0.3">
      <c r="A140" s="41">
        <v>13.7</v>
      </c>
      <c r="B140" s="44">
        <f t="shared" si="52"/>
        <v>1.9952623149688784E-14</v>
      </c>
      <c r="C140" s="44">
        <f t="shared" si="53"/>
        <v>0.50619910596354523</v>
      </c>
      <c r="D140" s="41">
        <f t="shared" si="54"/>
        <v>1.1084789409990293E-7</v>
      </c>
      <c r="E140" s="41">
        <f t="shared" si="55"/>
        <v>0.99999988915210591</v>
      </c>
      <c r="F140" s="41">
        <f t="shared" si="56"/>
        <v>-488.94074278253578</v>
      </c>
      <c r="G140" s="18">
        <f t="shared" si="69"/>
        <v>-2444.7037139126787</v>
      </c>
      <c r="O140" s="41">
        <v>13.7</v>
      </c>
      <c r="P140" s="44">
        <f t="shared" si="57"/>
        <v>1.9952623149688784E-14</v>
      </c>
      <c r="Q140" s="44">
        <f t="shared" si="58"/>
        <v>0.50619910596354523</v>
      </c>
      <c r="R140" s="41">
        <f t="shared" si="59"/>
        <v>1.4223449836909996E-5</v>
      </c>
      <c r="S140" s="41">
        <f t="shared" si="60"/>
        <v>0.99998577655016307</v>
      </c>
      <c r="T140" s="41">
        <f t="shared" si="61"/>
        <v>-2.5153952166048303</v>
      </c>
      <c r="U140" s="18">
        <f t="shared" si="62"/>
        <v>-12.576976083024153</v>
      </c>
      <c r="AC140" s="41">
        <v>13.7</v>
      </c>
      <c r="AD140" s="44">
        <f t="shared" si="63"/>
        <v>1.9952623149688784E-14</v>
      </c>
      <c r="AE140" s="44">
        <f t="shared" si="64"/>
        <v>0.50619910596354523</v>
      </c>
      <c r="AF140" s="41">
        <f t="shared" si="65"/>
        <v>1.995262275158162E-8</v>
      </c>
      <c r="AG140" s="41">
        <f t="shared" si="66"/>
        <v>0.99999998004737722</v>
      </c>
      <c r="AH140" s="41">
        <f t="shared" si="67"/>
        <v>-1.2846719223319352</v>
      </c>
      <c r="AI140" s="18">
        <f t="shared" si="68"/>
        <v>-154.16063067983222</v>
      </c>
    </row>
    <row r="141" spans="1:35" ht="15" customHeight="1" x14ac:dyDescent="0.3">
      <c r="A141" s="41">
        <v>13.8</v>
      </c>
      <c r="B141" s="44">
        <f t="shared" si="52"/>
        <v>1.5848931924611084E-14</v>
      </c>
      <c r="C141" s="44">
        <f t="shared" si="53"/>
        <v>0.63726691792499712</v>
      </c>
      <c r="D141" s="41">
        <f t="shared" si="54"/>
        <v>8.8049614050659704E-8</v>
      </c>
      <c r="E141" s="41">
        <f t="shared" si="55"/>
        <v>0.99999991195038596</v>
      </c>
      <c r="F141" s="41">
        <f t="shared" si="56"/>
        <v>-26.855229222927154</v>
      </c>
      <c r="G141" s="18">
        <f t="shared" si="69"/>
        <v>-134.27614611463576</v>
      </c>
      <c r="O141" s="41">
        <v>13.8</v>
      </c>
      <c r="P141" s="44">
        <f t="shared" si="57"/>
        <v>1.5848931924611084E-14</v>
      </c>
      <c r="Q141" s="44">
        <f t="shared" si="58"/>
        <v>0.63726691792499712</v>
      </c>
      <c r="R141" s="41">
        <f t="shared" si="59"/>
        <v>1.1298120851735878E-5</v>
      </c>
      <c r="S141" s="41">
        <f t="shared" si="60"/>
        <v>0.99998870187914823</v>
      </c>
      <c r="T141" s="41">
        <f t="shared" si="61"/>
        <v>-2.8017423969195803</v>
      </c>
      <c r="U141" s="18">
        <f t="shared" si="62"/>
        <v>-14.008711984597902</v>
      </c>
      <c r="AC141" s="41">
        <v>13.8</v>
      </c>
      <c r="AD141" s="44">
        <f t="shared" si="63"/>
        <v>1.5848931924611084E-14</v>
      </c>
      <c r="AE141" s="44">
        <f t="shared" si="64"/>
        <v>0.63726691792499712</v>
      </c>
      <c r="AF141" s="41">
        <f t="shared" si="65"/>
        <v>1.5848931673422447E-8</v>
      </c>
      <c r="AG141" s="41">
        <f t="shared" si="66"/>
        <v>0.99999998415106828</v>
      </c>
      <c r="AH141" s="41">
        <f t="shared" si="67"/>
        <v>-1.1745665744502545</v>
      </c>
      <c r="AI141" s="18">
        <f t="shared" si="68"/>
        <v>-140.94798893403052</v>
      </c>
    </row>
    <row r="142" spans="1:35" ht="15" customHeight="1" x14ac:dyDescent="0.3">
      <c r="A142" s="41">
        <v>13.9</v>
      </c>
      <c r="B142" s="44">
        <f t="shared" si="52"/>
        <v>1.2589254117941644E-14</v>
      </c>
      <c r="C142" s="44">
        <f t="shared" si="53"/>
        <v>0.802271517071526</v>
      </c>
      <c r="D142" s="41">
        <f t="shared" si="54"/>
        <v>6.9940295763586042E-8</v>
      </c>
      <c r="E142" s="41">
        <f t="shared" si="55"/>
        <v>0.99999993005970411</v>
      </c>
      <c r="F142" s="41">
        <f t="shared" si="56"/>
        <v>-14.924851650246927</v>
      </c>
      <c r="G142" s="18">
        <f t="shared" si="69"/>
        <v>-74.624258251234636</v>
      </c>
      <c r="O142" s="41">
        <v>13.9</v>
      </c>
      <c r="P142" s="44">
        <f t="shared" si="57"/>
        <v>1.2589254117941644E-14</v>
      </c>
      <c r="Q142" s="44">
        <f t="shared" si="58"/>
        <v>0.802271517071526</v>
      </c>
      <c r="R142" s="41">
        <f t="shared" si="59"/>
        <v>8.9744372458008192E-6</v>
      </c>
      <c r="S142" s="41">
        <f t="shared" si="60"/>
        <v>0.99999102556275432</v>
      </c>
      <c r="T142" s="41">
        <f t="shared" si="61"/>
        <v>-3.0802740024288369</v>
      </c>
      <c r="U142" s="18">
        <f t="shared" si="62"/>
        <v>-15.401370012144186</v>
      </c>
      <c r="AC142" s="41">
        <v>13.9</v>
      </c>
      <c r="AD142" s="44">
        <f t="shared" si="63"/>
        <v>1.2589254117941644E-14</v>
      </c>
      <c r="AE142" s="44">
        <f t="shared" si="64"/>
        <v>0.802271517071526</v>
      </c>
      <c r="AF142" s="41">
        <f t="shared" si="65"/>
        <v>1.2589253959452327E-8</v>
      </c>
      <c r="AG142" s="41">
        <f t="shared" si="66"/>
        <v>0.99999998741074603</v>
      </c>
      <c r="AH142" s="41">
        <f t="shared" si="67"/>
        <v>-1.0943909550903879</v>
      </c>
      <c r="AI142" s="18">
        <f t="shared" si="68"/>
        <v>-131.32691461084653</v>
      </c>
    </row>
    <row r="143" spans="1:35" ht="15" customHeight="1" x14ac:dyDescent="0.3">
      <c r="A143" s="41">
        <v>14</v>
      </c>
      <c r="B143" s="44">
        <f t="shared" si="52"/>
        <v>1E-14</v>
      </c>
      <c r="C143" s="44">
        <f t="shared" si="53"/>
        <v>1.01</v>
      </c>
      <c r="D143" s="41">
        <f t="shared" si="54"/>
        <v>5.5555552469135975E-8</v>
      </c>
      <c r="E143" s="41">
        <f t="shared" si="55"/>
        <v>0.99999994444444751</v>
      </c>
      <c r="F143" s="41">
        <f t="shared" si="56"/>
        <v>-10.882352886710358</v>
      </c>
      <c r="G143" s="18">
        <f t="shared" si="69"/>
        <v>-54.411764433551788</v>
      </c>
      <c r="O143" s="41">
        <v>14</v>
      </c>
      <c r="P143" s="44">
        <f t="shared" si="57"/>
        <v>1E-14</v>
      </c>
      <c r="Q143" s="44">
        <f t="shared" si="58"/>
        <v>1.01</v>
      </c>
      <c r="R143" s="41">
        <f t="shared" si="59"/>
        <v>7.1286620531021957E-6</v>
      </c>
      <c r="S143" s="41">
        <f t="shared" si="60"/>
        <v>0.99999287133794679</v>
      </c>
      <c r="T143" s="41">
        <f t="shared" si="61"/>
        <v>-3.3443685004430175</v>
      </c>
      <c r="U143" s="18">
        <f t="shared" si="62"/>
        <v>-16.72184250221509</v>
      </c>
      <c r="AC143" s="41">
        <v>14</v>
      </c>
      <c r="AD143" s="44">
        <f t="shared" si="63"/>
        <v>1E-14</v>
      </c>
      <c r="AE143" s="44">
        <f t="shared" si="64"/>
        <v>1.01</v>
      </c>
      <c r="AF143" s="41">
        <f t="shared" si="65"/>
        <v>9.9999999000000018E-9</v>
      </c>
      <c r="AG143" s="41">
        <f t="shared" si="66"/>
        <v>0.99999999000000006</v>
      </c>
      <c r="AH143" s="41">
        <f t="shared" si="67"/>
        <v>-1.0347985336996361</v>
      </c>
      <c r="AI143" s="18">
        <f t="shared" si="68"/>
        <v>-124.17582404395634</v>
      </c>
    </row>
  </sheetData>
  <mergeCells count="6">
    <mergeCell ref="AJ1:AP1"/>
    <mergeCell ref="A1:G1"/>
    <mergeCell ref="O1:U1"/>
    <mergeCell ref="AC1:AI1"/>
    <mergeCell ref="H1:N1"/>
    <mergeCell ref="V1:A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Monoprotic</vt:lpstr>
      <vt:lpstr>Demonstration</vt:lpstr>
      <vt:lpstr>CalcSheet</vt:lpstr>
      <vt:lpstr>DEMO_2Ve</vt:lpstr>
      <vt:lpstr>DEMO_Ca</vt:lpstr>
      <vt:lpstr>DEMO_Cb</vt:lpstr>
      <vt:lpstr>DEMO_Ka</vt:lpstr>
      <vt:lpstr>DEMO_Va</vt:lpstr>
      <vt:lpstr>Kw</vt:lpstr>
      <vt:lpstr>SAWB_Ca</vt:lpstr>
      <vt:lpstr>SAWB_Cb</vt:lpstr>
      <vt:lpstr>SAWB_DVe</vt:lpstr>
      <vt:lpstr>SAWB_Kb</vt:lpstr>
      <vt:lpstr>SAWB_Vb</vt:lpstr>
      <vt:lpstr>WASB_Ca</vt:lpstr>
      <vt:lpstr>WASB_Cb</vt:lpstr>
      <vt:lpstr>WASB_DVe</vt:lpstr>
      <vt:lpstr>WASB_Ka</vt:lpstr>
      <vt:lpstr>WASB_Va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Jackson</cp:lastModifiedBy>
  <dcterms:created xsi:type="dcterms:W3CDTF">2020-02-08T23:53:25Z</dcterms:created>
  <dcterms:modified xsi:type="dcterms:W3CDTF">2020-02-26T21:19:36Z</dcterms:modified>
</cp:coreProperties>
</file>