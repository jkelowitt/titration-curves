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on\Resilio Sync\School File\Github\titration-curves\"/>
    </mc:Choice>
  </mc:AlternateContent>
  <xr:revisionPtr revIDLastSave="0" documentId="13_ncr:1_{E2A53804-49DC-4F08-838A-5BAFADF5986F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Monoprotic" sheetId="11" r:id="rId1"/>
    <sheet name="Demonstration" sheetId="14" r:id="rId2"/>
    <sheet name="CalcSheet" sheetId="13" r:id="rId3"/>
  </sheets>
  <definedNames>
    <definedName name="_xlnm._FilterDatabase" localSheetId="2" hidden="1">CalcSheet!#REF!</definedName>
    <definedName name="DEMO_Ca">Demonstration!$T$7</definedName>
    <definedName name="DEMO_Cb">Demonstration!$T$10</definedName>
    <definedName name="DEMO_Ka">Demonstration!$T$6</definedName>
    <definedName name="DEMO_Va">Demonstration!$T$8</definedName>
    <definedName name="Kw">Monoprotic!$O$27</definedName>
    <definedName name="SAWB_Ca">Monoprotic!$I$23</definedName>
    <definedName name="SAWB_Cb">Monoprotic!$I$20</definedName>
    <definedName name="SAWB_DVe">Monoprotic!$I$26</definedName>
    <definedName name="SAWB_Kb">Monoprotic!$I$19</definedName>
    <definedName name="SAWB_Vb">Monoprotic!$I$21</definedName>
    <definedName name="WASB_Ca">Monoprotic!$I$6</definedName>
    <definedName name="WASB_Cb">Monoprotic!$I$9</definedName>
    <definedName name="WASB_DVe">Monoprotic!$I$12</definedName>
    <definedName name="WASB_Ka">Monoprotic!$I$5</definedName>
    <definedName name="WASB_Va">Monoprotic!$I$7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11" l="1"/>
  <c r="B5" i="11"/>
  <c r="T6" i="14"/>
  <c r="T7" i="14"/>
  <c r="B3" i="13"/>
  <c r="C3" i="13"/>
  <c r="D3" i="13"/>
  <c r="E3" i="13"/>
  <c r="F3" i="13"/>
  <c r="N3" i="13"/>
  <c r="O3" i="13"/>
  <c r="I19" i="11"/>
  <c r="P3" i="13"/>
  <c r="Q3" i="13"/>
  <c r="R3" i="13"/>
  <c r="Z3" i="13"/>
  <c r="AA3" i="13"/>
  <c r="AB3" i="13"/>
  <c r="AC3" i="13"/>
  <c r="AD3" i="13"/>
  <c r="B4" i="13"/>
  <c r="C4" i="13"/>
  <c r="D4" i="13"/>
  <c r="E4" i="13"/>
  <c r="F4" i="13"/>
  <c r="N4" i="13"/>
  <c r="O4" i="13"/>
  <c r="P4" i="13"/>
  <c r="Q4" i="13"/>
  <c r="R4" i="13"/>
  <c r="Z4" i="13"/>
  <c r="AA4" i="13"/>
  <c r="AB4" i="13"/>
  <c r="AC4" i="13"/>
  <c r="AD4" i="13"/>
  <c r="B5" i="13"/>
  <c r="C5" i="13"/>
  <c r="D5" i="13"/>
  <c r="E5" i="13"/>
  <c r="F5" i="13"/>
  <c r="N5" i="13"/>
  <c r="O5" i="13"/>
  <c r="P5" i="13"/>
  <c r="Q5" i="13"/>
  <c r="R5" i="13"/>
  <c r="Z5" i="13"/>
  <c r="AA5" i="13"/>
  <c r="AB5" i="13"/>
  <c r="AC5" i="13"/>
  <c r="AD5" i="13"/>
  <c r="B6" i="13"/>
  <c r="C6" i="13"/>
  <c r="D6" i="13"/>
  <c r="E6" i="13"/>
  <c r="F6" i="13"/>
  <c r="N6" i="13"/>
  <c r="O6" i="13"/>
  <c r="P6" i="13"/>
  <c r="Q6" i="13"/>
  <c r="R6" i="13"/>
  <c r="Z6" i="13"/>
  <c r="AA6" i="13"/>
  <c r="AB6" i="13"/>
  <c r="AC6" i="13"/>
  <c r="AD6" i="13"/>
  <c r="B7" i="13"/>
  <c r="C7" i="13"/>
  <c r="D7" i="13"/>
  <c r="E7" i="13"/>
  <c r="F7" i="13"/>
  <c r="N7" i="13"/>
  <c r="O7" i="13"/>
  <c r="P7" i="13"/>
  <c r="Q7" i="13"/>
  <c r="R7" i="13"/>
  <c r="Z7" i="13"/>
  <c r="AA7" i="13"/>
  <c r="AB7" i="13"/>
  <c r="AC7" i="13"/>
  <c r="AD7" i="13"/>
  <c r="B8" i="13"/>
  <c r="C8" i="13"/>
  <c r="D8" i="13"/>
  <c r="E8" i="13"/>
  <c r="F8" i="13"/>
  <c r="N8" i="13"/>
  <c r="O8" i="13"/>
  <c r="P8" i="13"/>
  <c r="Q8" i="13"/>
  <c r="R8" i="13"/>
  <c r="Z8" i="13"/>
  <c r="AA8" i="13"/>
  <c r="AB8" i="13"/>
  <c r="AC8" i="13"/>
  <c r="AD8" i="13"/>
  <c r="B9" i="13"/>
  <c r="C9" i="13"/>
  <c r="D9" i="13"/>
  <c r="E9" i="13"/>
  <c r="F9" i="13"/>
  <c r="N9" i="13"/>
  <c r="O9" i="13"/>
  <c r="P9" i="13"/>
  <c r="Q9" i="13"/>
  <c r="R9" i="13"/>
  <c r="Z9" i="13"/>
  <c r="AA9" i="13"/>
  <c r="AB9" i="13"/>
  <c r="AC9" i="13"/>
  <c r="AD9" i="13"/>
  <c r="B10" i="13"/>
  <c r="C10" i="13"/>
  <c r="D10" i="13"/>
  <c r="E10" i="13"/>
  <c r="F10" i="13"/>
  <c r="N10" i="13"/>
  <c r="O10" i="13"/>
  <c r="P10" i="13"/>
  <c r="Q10" i="13"/>
  <c r="R10" i="13"/>
  <c r="Z10" i="13"/>
  <c r="AA10" i="13"/>
  <c r="AB10" i="13"/>
  <c r="AC10" i="13"/>
  <c r="AD10" i="13"/>
  <c r="B11" i="13"/>
  <c r="C11" i="13"/>
  <c r="D11" i="13"/>
  <c r="E11" i="13"/>
  <c r="F11" i="13"/>
  <c r="N11" i="13"/>
  <c r="O11" i="13"/>
  <c r="P11" i="13"/>
  <c r="Q11" i="13"/>
  <c r="R11" i="13"/>
  <c r="Z11" i="13"/>
  <c r="AA11" i="13"/>
  <c r="AB11" i="13"/>
  <c r="AC11" i="13"/>
  <c r="AD11" i="13"/>
  <c r="B12" i="13"/>
  <c r="C12" i="13"/>
  <c r="D12" i="13"/>
  <c r="E12" i="13"/>
  <c r="F12" i="13"/>
  <c r="N12" i="13"/>
  <c r="O12" i="13"/>
  <c r="P12" i="13"/>
  <c r="Q12" i="13"/>
  <c r="R12" i="13"/>
  <c r="Z12" i="13"/>
  <c r="AA12" i="13"/>
  <c r="AB12" i="13"/>
  <c r="AC12" i="13"/>
  <c r="AD12" i="13"/>
  <c r="B13" i="13"/>
  <c r="C13" i="13"/>
  <c r="D13" i="13"/>
  <c r="E13" i="13"/>
  <c r="F13" i="13"/>
  <c r="N13" i="13"/>
  <c r="O13" i="13"/>
  <c r="P13" i="13"/>
  <c r="Q13" i="13"/>
  <c r="R13" i="13"/>
  <c r="Z13" i="13"/>
  <c r="AA13" i="13"/>
  <c r="AB13" i="13"/>
  <c r="AC13" i="13"/>
  <c r="AD13" i="13"/>
  <c r="B14" i="13"/>
  <c r="C14" i="13"/>
  <c r="D14" i="13"/>
  <c r="E14" i="13"/>
  <c r="F14" i="13"/>
  <c r="N14" i="13"/>
  <c r="O14" i="13"/>
  <c r="P14" i="13"/>
  <c r="Q14" i="13"/>
  <c r="R14" i="13"/>
  <c r="Z14" i="13"/>
  <c r="AA14" i="13"/>
  <c r="AB14" i="13"/>
  <c r="AC14" i="13"/>
  <c r="AD14" i="13"/>
  <c r="B15" i="13"/>
  <c r="C15" i="13"/>
  <c r="D15" i="13"/>
  <c r="E15" i="13"/>
  <c r="F15" i="13"/>
  <c r="N15" i="13"/>
  <c r="O15" i="13"/>
  <c r="P15" i="13"/>
  <c r="Q15" i="13"/>
  <c r="R15" i="13"/>
  <c r="Z15" i="13"/>
  <c r="AA15" i="13"/>
  <c r="AB15" i="13"/>
  <c r="AC15" i="13"/>
  <c r="AD15" i="13"/>
  <c r="B16" i="13"/>
  <c r="C16" i="13"/>
  <c r="D16" i="13"/>
  <c r="E16" i="13"/>
  <c r="F16" i="13"/>
  <c r="N16" i="13"/>
  <c r="O16" i="13"/>
  <c r="P16" i="13"/>
  <c r="Q16" i="13"/>
  <c r="R16" i="13"/>
  <c r="Z16" i="13"/>
  <c r="AA16" i="13"/>
  <c r="AB16" i="13"/>
  <c r="AC16" i="13"/>
  <c r="AD16" i="13"/>
  <c r="B17" i="13"/>
  <c r="C17" i="13"/>
  <c r="D17" i="13"/>
  <c r="E17" i="13"/>
  <c r="F17" i="13"/>
  <c r="N17" i="13"/>
  <c r="O17" i="13"/>
  <c r="P17" i="13"/>
  <c r="Q17" i="13"/>
  <c r="R17" i="13"/>
  <c r="Z17" i="13"/>
  <c r="AA17" i="13"/>
  <c r="AB17" i="13"/>
  <c r="AC17" i="13"/>
  <c r="AD17" i="13"/>
  <c r="B18" i="13"/>
  <c r="C18" i="13"/>
  <c r="D18" i="13"/>
  <c r="E18" i="13"/>
  <c r="F18" i="13"/>
  <c r="N18" i="13"/>
  <c r="O18" i="13"/>
  <c r="P18" i="13"/>
  <c r="Q18" i="13"/>
  <c r="R18" i="13"/>
  <c r="Z18" i="13"/>
  <c r="AA18" i="13"/>
  <c r="AB18" i="13"/>
  <c r="AC18" i="13"/>
  <c r="AD18" i="13"/>
  <c r="B19" i="13"/>
  <c r="C19" i="13"/>
  <c r="D19" i="13"/>
  <c r="E19" i="13"/>
  <c r="F19" i="13"/>
  <c r="N19" i="13"/>
  <c r="O19" i="13"/>
  <c r="P19" i="13"/>
  <c r="Q19" i="13"/>
  <c r="R19" i="13"/>
  <c r="Z19" i="13"/>
  <c r="AA19" i="13"/>
  <c r="AB19" i="13"/>
  <c r="AC19" i="13"/>
  <c r="AD19" i="13"/>
  <c r="B20" i="13"/>
  <c r="C20" i="13"/>
  <c r="D20" i="13"/>
  <c r="E20" i="13"/>
  <c r="F20" i="13"/>
  <c r="N20" i="13"/>
  <c r="O20" i="13"/>
  <c r="P20" i="13"/>
  <c r="Q20" i="13"/>
  <c r="R20" i="13"/>
  <c r="Z20" i="13"/>
  <c r="AA20" i="13"/>
  <c r="AB20" i="13"/>
  <c r="AC20" i="13"/>
  <c r="AD20" i="13"/>
  <c r="B21" i="13"/>
  <c r="C21" i="13"/>
  <c r="D21" i="13"/>
  <c r="E21" i="13"/>
  <c r="F21" i="13"/>
  <c r="N21" i="13"/>
  <c r="O21" i="13"/>
  <c r="P21" i="13"/>
  <c r="Q21" i="13"/>
  <c r="R21" i="13"/>
  <c r="Z21" i="13"/>
  <c r="AA21" i="13"/>
  <c r="AB21" i="13"/>
  <c r="AC21" i="13"/>
  <c r="AD21" i="13"/>
  <c r="B22" i="13"/>
  <c r="C22" i="13"/>
  <c r="D22" i="13"/>
  <c r="E22" i="13"/>
  <c r="F22" i="13"/>
  <c r="N22" i="13"/>
  <c r="O22" i="13"/>
  <c r="P22" i="13"/>
  <c r="Q22" i="13"/>
  <c r="R22" i="13"/>
  <c r="Z22" i="13"/>
  <c r="AA22" i="13"/>
  <c r="AB22" i="13"/>
  <c r="AC22" i="13"/>
  <c r="AD22" i="13"/>
  <c r="B23" i="13"/>
  <c r="C23" i="13"/>
  <c r="D23" i="13"/>
  <c r="E23" i="13"/>
  <c r="F23" i="13"/>
  <c r="N23" i="13"/>
  <c r="O23" i="13"/>
  <c r="P23" i="13"/>
  <c r="Q23" i="13"/>
  <c r="R23" i="13"/>
  <c r="Z23" i="13"/>
  <c r="AA23" i="13"/>
  <c r="AB23" i="13"/>
  <c r="AC23" i="13"/>
  <c r="AD23" i="13"/>
  <c r="B24" i="13"/>
  <c r="C24" i="13"/>
  <c r="D24" i="13"/>
  <c r="E24" i="13"/>
  <c r="F24" i="13"/>
  <c r="N24" i="13"/>
  <c r="O24" i="13"/>
  <c r="P24" i="13"/>
  <c r="Q24" i="13"/>
  <c r="R24" i="13"/>
  <c r="Z24" i="13"/>
  <c r="AA24" i="13"/>
  <c r="AB24" i="13"/>
  <c r="AC24" i="13"/>
  <c r="AD24" i="13"/>
  <c r="B25" i="13"/>
  <c r="C25" i="13"/>
  <c r="D25" i="13"/>
  <c r="E25" i="13"/>
  <c r="F25" i="13"/>
  <c r="N25" i="13"/>
  <c r="O25" i="13"/>
  <c r="P25" i="13"/>
  <c r="Q25" i="13"/>
  <c r="R25" i="13"/>
  <c r="Z25" i="13"/>
  <c r="AA25" i="13"/>
  <c r="AB25" i="13"/>
  <c r="AC25" i="13"/>
  <c r="AD25" i="13"/>
  <c r="B26" i="13"/>
  <c r="C26" i="13"/>
  <c r="D26" i="13"/>
  <c r="E26" i="13"/>
  <c r="F26" i="13"/>
  <c r="N26" i="13"/>
  <c r="O26" i="13"/>
  <c r="P26" i="13"/>
  <c r="Q26" i="13"/>
  <c r="R26" i="13"/>
  <c r="Z26" i="13"/>
  <c r="AA26" i="13"/>
  <c r="AB26" i="13"/>
  <c r="AC26" i="13"/>
  <c r="AD26" i="13"/>
  <c r="B27" i="13"/>
  <c r="C27" i="13"/>
  <c r="D27" i="13"/>
  <c r="E27" i="13"/>
  <c r="F27" i="13"/>
  <c r="N27" i="13"/>
  <c r="O27" i="13"/>
  <c r="P27" i="13"/>
  <c r="Q27" i="13"/>
  <c r="R27" i="13"/>
  <c r="Z27" i="13"/>
  <c r="AA27" i="13"/>
  <c r="AB27" i="13"/>
  <c r="AC27" i="13"/>
  <c r="AD27" i="13"/>
  <c r="B28" i="13"/>
  <c r="C28" i="13"/>
  <c r="D28" i="13"/>
  <c r="E28" i="13"/>
  <c r="F28" i="13"/>
  <c r="N28" i="13"/>
  <c r="O28" i="13"/>
  <c r="P28" i="13"/>
  <c r="Q28" i="13"/>
  <c r="R28" i="13"/>
  <c r="Z28" i="13"/>
  <c r="AA28" i="13"/>
  <c r="AB28" i="13"/>
  <c r="AC28" i="13"/>
  <c r="AD28" i="13"/>
  <c r="B29" i="13"/>
  <c r="C29" i="13"/>
  <c r="D29" i="13"/>
  <c r="E29" i="13"/>
  <c r="F29" i="13"/>
  <c r="N29" i="13"/>
  <c r="O29" i="13"/>
  <c r="P29" i="13"/>
  <c r="Q29" i="13"/>
  <c r="R29" i="13"/>
  <c r="Z29" i="13"/>
  <c r="AA29" i="13"/>
  <c r="AB29" i="13"/>
  <c r="AC29" i="13"/>
  <c r="AD29" i="13"/>
  <c r="B30" i="13"/>
  <c r="C30" i="13"/>
  <c r="D30" i="13"/>
  <c r="E30" i="13"/>
  <c r="F30" i="13"/>
  <c r="N30" i="13"/>
  <c r="O30" i="13"/>
  <c r="P30" i="13"/>
  <c r="Q30" i="13"/>
  <c r="R30" i="13"/>
  <c r="Z30" i="13"/>
  <c r="AA30" i="13"/>
  <c r="AB30" i="13"/>
  <c r="AC30" i="13"/>
  <c r="AD30" i="13"/>
  <c r="B31" i="13"/>
  <c r="C31" i="13"/>
  <c r="D31" i="13"/>
  <c r="E31" i="13"/>
  <c r="F31" i="13"/>
  <c r="N31" i="13"/>
  <c r="O31" i="13"/>
  <c r="P31" i="13"/>
  <c r="Q31" i="13"/>
  <c r="R31" i="13"/>
  <c r="Z31" i="13"/>
  <c r="AA31" i="13"/>
  <c r="AB31" i="13"/>
  <c r="AC31" i="13"/>
  <c r="AD31" i="13"/>
  <c r="B32" i="13"/>
  <c r="C32" i="13"/>
  <c r="D32" i="13"/>
  <c r="E32" i="13"/>
  <c r="F32" i="13"/>
  <c r="N32" i="13"/>
  <c r="O32" i="13"/>
  <c r="P32" i="13"/>
  <c r="Q32" i="13"/>
  <c r="R32" i="13"/>
  <c r="Z32" i="13"/>
  <c r="AA32" i="13"/>
  <c r="AB32" i="13"/>
  <c r="AC32" i="13"/>
  <c r="AD32" i="13"/>
  <c r="B33" i="13"/>
  <c r="C33" i="13"/>
  <c r="D33" i="13"/>
  <c r="E33" i="13"/>
  <c r="F33" i="13"/>
  <c r="N33" i="13"/>
  <c r="O33" i="13"/>
  <c r="P33" i="13"/>
  <c r="Q33" i="13"/>
  <c r="R33" i="13"/>
  <c r="Z33" i="13"/>
  <c r="AA33" i="13"/>
  <c r="AB33" i="13"/>
  <c r="AC33" i="13"/>
  <c r="AD33" i="13"/>
  <c r="B34" i="13"/>
  <c r="C34" i="13"/>
  <c r="D34" i="13"/>
  <c r="E34" i="13"/>
  <c r="F34" i="13"/>
  <c r="N34" i="13"/>
  <c r="O34" i="13"/>
  <c r="P34" i="13"/>
  <c r="Q34" i="13"/>
  <c r="R34" i="13"/>
  <c r="Z34" i="13"/>
  <c r="AA34" i="13"/>
  <c r="AB34" i="13"/>
  <c r="AC34" i="13"/>
  <c r="AD34" i="13"/>
  <c r="B35" i="13"/>
  <c r="C35" i="13"/>
  <c r="D35" i="13"/>
  <c r="E35" i="13"/>
  <c r="F35" i="13"/>
  <c r="N35" i="13"/>
  <c r="O35" i="13"/>
  <c r="P35" i="13"/>
  <c r="Q35" i="13"/>
  <c r="R35" i="13"/>
  <c r="Z35" i="13"/>
  <c r="AA35" i="13"/>
  <c r="AB35" i="13"/>
  <c r="AC35" i="13"/>
  <c r="AD35" i="13"/>
  <c r="B36" i="13"/>
  <c r="C36" i="13"/>
  <c r="D36" i="13"/>
  <c r="E36" i="13"/>
  <c r="F36" i="13"/>
  <c r="N36" i="13"/>
  <c r="O36" i="13"/>
  <c r="P36" i="13"/>
  <c r="Q36" i="13"/>
  <c r="R36" i="13"/>
  <c r="Z36" i="13"/>
  <c r="AA36" i="13"/>
  <c r="AB36" i="13"/>
  <c r="AC36" i="13"/>
  <c r="AD36" i="13"/>
  <c r="B37" i="13"/>
  <c r="C37" i="13"/>
  <c r="D37" i="13"/>
  <c r="E37" i="13"/>
  <c r="F37" i="13"/>
  <c r="N37" i="13"/>
  <c r="O37" i="13"/>
  <c r="P37" i="13"/>
  <c r="Q37" i="13"/>
  <c r="R37" i="13"/>
  <c r="Z37" i="13"/>
  <c r="AA37" i="13"/>
  <c r="AB37" i="13"/>
  <c r="AC37" i="13"/>
  <c r="AD37" i="13"/>
  <c r="B38" i="13"/>
  <c r="C38" i="13"/>
  <c r="D38" i="13"/>
  <c r="E38" i="13"/>
  <c r="F38" i="13"/>
  <c r="N38" i="13"/>
  <c r="O38" i="13"/>
  <c r="P38" i="13"/>
  <c r="Q38" i="13"/>
  <c r="R38" i="13"/>
  <c r="Z38" i="13"/>
  <c r="AA38" i="13"/>
  <c r="AB38" i="13"/>
  <c r="AC38" i="13"/>
  <c r="AD38" i="13"/>
  <c r="B39" i="13"/>
  <c r="C39" i="13"/>
  <c r="D39" i="13"/>
  <c r="E39" i="13"/>
  <c r="F39" i="13"/>
  <c r="N39" i="13"/>
  <c r="O39" i="13"/>
  <c r="P39" i="13"/>
  <c r="Q39" i="13"/>
  <c r="R39" i="13"/>
  <c r="Z39" i="13"/>
  <c r="AA39" i="13"/>
  <c r="AB39" i="13"/>
  <c r="AC39" i="13"/>
  <c r="AD39" i="13"/>
  <c r="B40" i="13"/>
  <c r="C40" i="13"/>
  <c r="D40" i="13"/>
  <c r="E40" i="13"/>
  <c r="F40" i="13"/>
  <c r="N40" i="13"/>
  <c r="O40" i="13"/>
  <c r="P40" i="13"/>
  <c r="Q40" i="13"/>
  <c r="R40" i="13"/>
  <c r="Z40" i="13"/>
  <c r="AA40" i="13"/>
  <c r="AB40" i="13"/>
  <c r="AC40" i="13"/>
  <c r="AD40" i="13"/>
  <c r="B41" i="13"/>
  <c r="C41" i="13"/>
  <c r="D41" i="13"/>
  <c r="E41" i="13"/>
  <c r="F41" i="13"/>
  <c r="N41" i="13"/>
  <c r="O41" i="13"/>
  <c r="P41" i="13"/>
  <c r="Q41" i="13"/>
  <c r="R41" i="13"/>
  <c r="Z41" i="13"/>
  <c r="AA41" i="13"/>
  <c r="AB41" i="13"/>
  <c r="AC41" i="13"/>
  <c r="AD41" i="13"/>
  <c r="B42" i="13"/>
  <c r="C42" i="13"/>
  <c r="D42" i="13"/>
  <c r="E42" i="13"/>
  <c r="F42" i="13"/>
  <c r="N42" i="13"/>
  <c r="O42" i="13"/>
  <c r="P42" i="13"/>
  <c r="Q42" i="13"/>
  <c r="R42" i="13"/>
  <c r="Z42" i="13"/>
  <c r="AA42" i="13"/>
  <c r="AB42" i="13"/>
  <c r="AC42" i="13"/>
  <c r="AD42" i="13"/>
  <c r="B43" i="13"/>
  <c r="C43" i="13"/>
  <c r="D43" i="13"/>
  <c r="E43" i="13"/>
  <c r="F43" i="13"/>
  <c r="N43" i="13"/>
  <c r="O43" i="13"/>
  <c r="P43" i="13"/>
  <c r="Q43" i="13"/>
  <c r="R43" i="13"/>
  <c r="Z43" i="13"/>
  <c r="AA43" i="13"/>
  <c r="AB43" i="13"/>
  <c r="AC43" i="13"/>
  <c r="AD43" i="13"/>
  <c r="B44" i="13"/>
  <c r="C44" i="13"/>
  <c r="D44" i="13"/>
  <c r="E44" i="13"/>
  <c r="F44" i="13"/>
  <c r="N44" i="13"/>
  <c r="O44" i="13"/>
  <c r="P44" i="13"/>
  <c r="Q44" i="13"/>
  <c r="R44" i="13"/>
  <c r="Z44" i="13"/>
  <c r="AA44" i="13"/>
  <c r="AB44" i="13"/>
  <c r="AC44" i="13"/>
  <c r="AD44" i="13"/>
  <c r="B45" i="13"/>
  <c r="C45" i="13"/>
  <c r="D45" i="13"/>
  <c r="E45" i="13"/>
  <c r="F45" i="13"/>
  <c r="N45" i="13"/>
  <c r="O45" i="13"/>
  <c r="P45" i="13"/>
  <c r="Q45" i="13"/>
  <c r="R45" i="13"/>
  <c r="Z45" i="13"/>
  <c r="AA45" i="13"/>
  <c r="AB45" i="13"/>
  <c r="AC45" i="13"/>
  <c r="AD45" i="13"/>
  <c r="B46" i="13"/>
  <c r="C46" i="13"/>
  <c r="D46" i="13"/>
  <c r="E46" i="13"/>
  <c r="F46" i="13"/>
  <c r="N46" i="13"/>
  <c r="O46" i="13"/>
  <c r="P46" i="13"/>
  <c r="Q46" i="13"/>
  <c r="R46" i="13"/>
  <c r="Z46" i="13"/>
  <c r="AA46" i="13"/>
  <c r="AB46" i="13"/>
  <c r="AC46" i="13"/>
  <c r="AD46" i="13"/>
  <c r="B47" i="13"/>
  <c r="C47" i="13"/>
  <c r="D47" i="13"/>
  <c r="E47" i="13"/>
  <c r="F47" i="13"/>
  <c r="N47" i="13"/>
  <c r="O47" i="13"/>
  <c r="P47" i="13"/>
  <c r="Q47" i="13"/>
  <c r="R47" i="13"/>
  <c r="Z47" i="13"/>
  <c r="AA47" i="13"/>
  <c r="AB47" i="13"/>
  <c r="AC47" i="13"/>
  <c r="AD47" i="13"/>
  <c r="B48" i="13"/>
  <c r="C48" i="13"/>
  <c r="D48" i="13"/>
  <c r="E48" i="13"/>
  <c r="F48" i="13"/>
  <c r="N48" i="13"/>
  <c r="O48" i="13"/>
  <c r="P48" i="13"/>
  <c r="Q48" i="13"/>
  <c r="R48" i="13"/>
  <c r="Z48" i="13"/>
  <c r="AA48" i="13"/>
  <c r="AB48" i="13"/>
  <c r="AC48" i="13"/>
  <c r="AD48" i="13"/>
  <c r="B49" i="13"/>
  <c r="C49" i="13"/>
  <c r="D49" i="13"/>
  <c r="E49" i="13"/>
  <c r="F49" i="13"/>
  <c r="N49" i="13"/>
  <c r="O49" i="13"/>
  <c r="P49" i="13"/>
  <c r="Q49" i="13"/>
  <c r="R49" i="13"/>
  <c r="Z49" i="13"/>
  <c r="AA49" i="13"/>
  <c r="AB49" i="13"/>
  <c r="AC49" i="13"/>
  <c r="AD49" i="13"/>
  <c r="B50" i="13"/>
  <c r="C50" i="13"/>
  <c r="D50" i="13"/>
  <c r="E50" i="13"/>
  <c r="F50" i="13"/>
  <c r="N50" i="13"/>
  <c r="O50" i="13"/>
  <c r="P50" i="13"/>
  <c r="Q50" i="13"/>
  <c r="R50" i="13"/>
  <c r="Z50" i="13"/>
  <c r="AA50" i="13"/>
  <c r="AB50" i="13"/>
  <c r="AC50" i="13"/>
  <c r="AD50" i="13"/>
  <c r="B51" i="13"/>
  <c r="C51" i="13"/>
  <c r="D51" i="13"/>
  <c r="E51" i="13"/>
  <c r="F51" i="13"/>
  <c r="N51" i="13"/>
  <c r="O51" i="13"/>
  <c r="P51" i="13"/>
  <c r="Q51" i="13"/>
  <c r="R51" i="13"/>
  <c r="Z51" i="13"/>
  <c r="AA51" i="13"/>
  <c r="AB51" i="13"/>
  <c r="AC51" i="13"/>
  <c r="AD51" i="13"/>
  <c r="B52" i="13"/>
  <c r="C52" i="13"/>
  <c r="D52" i="13"/>
  <c r="E52" i="13"/>
  <c r="F52" i="13"/>
  <c r="N52" i="13"/>
  <c r="O52" i="13"/>
  <c r="P52" i="13"/>
  <c r="Q52" i="13"/>
  <c r="R52" i="13"/>
  <c r="Z52" i="13"/>
  <c r="AA52" i="13"/>
  <c r="AB52" i="13"/>
  <c r="AC52" i="13"/>
  <c r="AD52" i="13"/>
  <c r="B53" i="13"/>
  <c r="C53" i="13"/>
  <c r="D53" i="13"/>
  <c r="E53" i="13"/>
  <c r="F53" i="13"/>
  <c r="N53" i="13"/>
  <c r="O53" i="13"/>
  <c r="P53" i="13"/>
  <c r="Q53" i="13"/>
  <c r="R53" i="13"/>
  <c r="Z53" i="13"/>
  <c r="AA53" i="13"/>
  <c r="AB53" i="13"/>
  <c r="AC53" i="13"/>
  <c r="AD53" i="13"/>
  <c r="B54" i="13"/>
  <c r="C54" i="13"/>
  <c r="D54" i="13"/>
  <c r="E54" i="13"/>
  <c r="F54" i="13"/>
  <c r="N54" i="13"/>
  <c r="O54" i="13"/>
  <c r="P54" i="13"/>
  <c r="Q54" i="13"/>
  <c r="R54" i="13"/>
  <c r="Z54" i="13"/>
  <c r="AA54" i="13"/>
  <c r="AB54" i="13"/>
  <c r="AC54" i="13"/>
  <c r="AD54" i="13"/>
  <c r="B55" i="13"/>
  <c r="C55" i="13"/>
  <c r="D55" i="13"/>
  <c r="E55" i="13"/>
  <c r="F55" i="13"/>
  <c r="N55" i="13"/>
  <c r="O55" i="13"/>
  <c r="P55" i="13"/>
  <c r="Q55" i="13"/>
  <c r="R55" i="13"/>
  <c r="Z55" i="13"/>
  <c r="AA55" i="13"/>
  <c r="AB55" i="13"/>
  <c r="AC55" i="13"/>
  <c r="AD55" i="13"/>
  <c r="B56" i="13"/>
  <c r="C56" i="13"/>
  <c r="D56" i="13"/>
  <c r="E56" i="13"/>
  <c r="F56" i="13"/>
  <c r="N56" i="13"/>
  <c r="O56" i="13"/>
  <c r="P56" i="13"/>
  <c r="Q56" i="13"/>
  <c r="R56" i="13"/>
  <c r="Z56" i="13"/>
  <c r="AA56" i="13"/>
  <c r="AB56" i="13"/>
  <c r="AC56" i="13"/>
  <c r="AD56" i="13"/>
  <c r="B57" i="13"/>
  <c r="C57" i="13"/>
  <c r="D57" i="13"/>
  <c r="E57" i="13"/>
  <c r="F57" i="13"/>
  <c r="N57" i="13"/>
  <c r="O57" i="13"/>
  <c r="P57" i="13"/>
  <c r="Q57" i="13"/>
  <c r="R57" i="13"/>
  <c r="Z57" i="13"/>
  <c r="AA57" i="13"/>
  <c r="AB57" i="13"/>
  <c r="AC57" i="13"/>
  <c r="AD57" i="13"/>
  <c r="B58" i="13"/>
  <c r="C58" i="13"/>
  <c r="D58" i="13"/>
  <c r="E58" i="13"/>
  <c r="F58" i="13"/>
  <c r="N58" i="13"/>
  <c r="O58" i="13"/>
  <c r="P58" i="13"/>
  <c r="Q58" i="13"/>
  <c r="R58" i="13"/>
  <c r="Z58" i="13"/>
  <c r="AA58" i="13"/>
  <c r="AB58" i="13"/>
  <c r="AC58" i="13"/>
  <c r="AD58" i="13"/>
  <c r="B59" i="13"/>
  <c r="C59" i="13"/>
  <c r="D59" i="13"/>
  <c r="E59" i="13"/>
  <c r="F59" i="13"/>
  <c r="N59" i="13"/>
  <c r="O59" i="13"/>
  <c r="P59" i="13"/>
  <c r="Q59" i="13"/>
  <c r="R59" i="13"/>
  <c r="Z59" i="13"/>
  <c r="AA59" i="13"/>
  <c r="AB59" i="13"/>
  <c r="AC59" i="13"/>
  <c r="AD59" i="13"/>
  <c r="B60" i="13"/>
  <c r="C60" i="13"/>
  <c r="D60" i="13"/>
  <c r="E60" i="13"/>
  <c r="F60" i="13"/>
  <c r="N60" i="13"/>
  <c r="O60" i="13"/>
  <c r="P60" i="13"/>
  <c r="Q60" i="13"/>
  <c r="R60" i="13"/>
  <c r="Z60" i="13"/>
  <c r="AA60" i="13"/>
  <c r="AB60" i="13"/>
  <c r="AC60" i="13"/>
  <c r="AD60" i="13"/>
  <c r="B61" i="13"/>
  <c r="C61" i="13"/>
  <c r="D61" i="13"/>
  <c r="E61" i="13"/>
  <c r="F61" i="13"/>
  <c r="N61" i="13"/>
  <c r="O61" i="13"/>
  <c r="P61" i="13"/>
  <c r="Q61" i="13"/>
  <c r="R61" i="13"/>
  <c r="Z61" i="13"/>
  <c r="AA61" i="13"/>
  <c r="AB61" i="13"/>
  <c r="AC61" i="13"/>
  <c r="AD61" i="13"/>
  <c r="B62" i="13"/>
  <c r="C62" i="13"/>
  <c r="D62" i="13"/>
  <c r="E62" i="13"/>
  <c r="F62" i="13"/>
  <c r="N62" i="13"/>
  <c r="O62" i="13"/>
  <c r="P62" i="13"/>
  <c r="Q62" i="13"/>
  <c r="R62" i="13"/>
  <c r="Z62" i="13"/>
  <c r="AA62" i="13"/>
  <c r="AB62" i="13"/>
  <c r="AC62" i="13"/>
  <c r="AD62" i="13"/>
  <c r="B63" i="13"/>
  <c r="C63" i="13"/>
  <c r="D63" i="13"/>
  <c r="E63" i="13"/>
  <c r="F63" i="13"/>
  <c r="N63" i="13"/>
  <c r="O63" i="13"/>
  <c r="P63" i="13"/>
  <c r="Q63" i="13"/>
  <c r="R63" i="13"/>
  <c r="Z63" i="13"/>
  <c r="AA63" i="13"/>
  <c r="AB63" i="13"/>
  <c r="AC63" i="13"/>
  <c r="AD63" i="13"/>
  <c r="B64" i="13"/>
  <c r="C64" i="13"/>
  <c r="D64" i="13"/>
  <c r="E64" i="13"/>
  <c r="F64" i="13"/>
  <c r="N64" i="13"/>
  <c r="O64" i="13"/>
  <c r="P64" i="13"/>
  <c r="Q64" i="13"/>
  <c r="R64" i="13"/>
  <c r="Z64" i="13"/>
  <c r="AA64" i="13"/>
  <c r="AB64" i="13"/>
  <c r="AC64" i="13"/>
  <c r="AD64" i="13"/>
  <c r="B65" i="13"/>
  <c r="C65" i="13"/>
  <c r="D65" i="13"/>
  <c r="E65" i="13"/>
  <c r="F65" i="13"/>
  <c r="N65" i="13"/>
  <c r="O65" i="13"/>
  <c r="P65" i="13"/>
  <c r="Q65" i="13"/>
  <c r="R65" i="13"/>
  <c r="Z65" i="13"/>
  <c r="AA65" i="13"/>
  <c r="AB65" i="13"/>
  <c r="AC65" i="13"/>
  <c r="AD65" i="13"/>
  <c r="B66" i="13"/>
  <c r="C66" i="13"/>
  <c r="D66" i="13"/>
  <c r="E66" i="13"/>
  <c r="F66" i="13"/>
  <c r="N66" i="13"/>
  <c r="O66" i="13"/>
  <c r="P66" i="13"/>
  <c r="Q66" i="13"/>
  <c r="R66" i="13"/>
  <c r="Z66" i="13"/>
  <c r="AA66" i="13"/>
  <c r="AB66" i="13"/>
  <c r="AC66" i="13"/>
  <c r="AD66" i="13"/>
  <c r="B67" i="13"/>
  <c r="C67" i="13"/>
  <c r="D67" i="13"/>
  <c r="E67" i="13"/>
  <c r="F67" i="13"/>
  <c r="N67" i="13"/>
  <c r="O67" i="13"/>
  <c r="P67" i="13"/>
  <c r="Q67" i="13"/>
  <c r="R67" i="13"/>
  <c r="Z67" i="13"/>
  <c r="AA67" i="13"/>
  <c r="AB67" i="13"/>
  <c r="AC67" i="13"/>
  <c r="AD67" i="13"/>
  <c r="B68" i="13"/>
  <c r="C68" i="13"/>
  <c r="D68" i="13"/>
  <c r="E68" i="13"/>
  <c r="F68" i="13"/>
  <c r="N68" i="13"/>
  <c r="O68" i="13"/>
  <c r="P68" i="13"/>
  <c r="Q68" i="13"/>
  <c r="R68" i="13"/>
  <c r="Z68" i="13"/>
  <c r="AA68" i="13"/>
  <c r="AB68" i="13"/>
  <c r="AC68" i="13"/>
  <c r="AD68" i="13"/>
  <c r="B69" i="13"/>
  <c r="C69" i="13"/>
  <c r="D69" i="13"/>
  <c r="E69" i="13"/>
  <c r="F69" i="13"/>
  <c r="N69" i="13"/>
  <c r="O69" i="13"/>
  <c r="P69" i="13"/>
  <c r="Q69" i="13"/>
  <c r="R69" i="13"/>
  <c r="Z69" i="13"/>
  <c r="AA69" i="13"/>
  <c r="AB69" i="13"/>
  <c r="AC69" i="13"/>
  <c r="AD69" i="13"/>
  <c r="B70" i="13"/>
  <c r="C70" i="13"/>
  <c r="D70" i="13"/>
  <c r="E70" i="13"/>
  <c r="F70" i="13"/>
  <c r="N70" i="13"/>
  <c r="O70" i="13"/>
  <c r="P70" i="13"/>
  <c r="Q70" i="13"/>
  <c r="R70" i="13"/>
  <c r="Z70" i="13"/>
  <c r="AA70" i="13"/>
  <c r="AB70" i="13"/>
  <c r="AC70" i="13"/>
  <c r="AD70" i="13"/>
  <c r="B71" i="13"/>
  <c r="C71" i="13"/>
  <c r="D71" i="13"/>
  <c r="E71" i="13"/>
  <c r="F71" i="13"/>
  <c r="N71" i="13"/>
  <c r="O71" i="13"/>
  <c r="P71" i="13"/>
  <c r="Q71" i="13"/>
  <c r="R71" i="13"/>
  <c r="Z71" i="13"/>
  <c r="AA71" i="13"/>
  <c r="AB71" i="13"/>
  <c r="AC71" i="13"/>
  <c r="AD71" i="13"/>
  <c r="B72" i="13"/>
  <c r="C72" i="13"/>
  <c r="D72" i="13"/>
  <c r="E72" i="13"/>
  <c r="F72" i="13"/>
  <c r="N72" i="13"/>
  <c r="O72" i="13"/>
  <c r="P72" i="13"/>
  <c r="Q72" i="13"/>
  <c r="R72" i="13"/>
  <c r="Z72" i="13"/>
  <c r="AA72" i="13"/>
  <c r="AB72" i="13"/>
  <c r="AC72" i="13"/>
  <c r="AD72" i="13"/>
  <c r="B73" i="13"/>
  <c r="C73" i="13"/>
  <c r="D73" i="13"/>
  <c r="E73" i="13"/>
  <c r="F73" i="13"/>
  <c r="N73" i="13"/>
  <c r="O73" i="13"/>
  <c r="P73" i="13"/>
  <c r="Q73" i="13"/>
  <c r="R73" i="13"/>
  <c r="Z73" i="13"/>
  <c r="AA73" i="13"/>
  <c r="AB73" i="13"/>
  <c r="AC73" i="13"/>
  <c r="AD73" i="13"/>
  <c r="B74" i="13"/>
  <c r="C74" i="13"/>
  <c r="D74" i="13"/>
  <c r="E74" i="13"/>
  <c r="F74" i="13"/>
  <c r="N74" i="13"/>
  <c r="O74" i="13"/>
  <c r="P74" i="13"/>
  <c r="Q74" i="13"/>
  <c r="R74" i="13"/>
  <c r="Z74" i="13"/>
  <c r="AA74" i="13"/>
  <c r="AB74" i="13"/>
  <c r="AC74" i="13"/>
  <c r="AD74" i="13"/>
  <c r="B75" i="13"/>
  <c r="C75" i="13"/>
  <c r="D75" i="13"/>
  <c r="E75" i="13"/>
  <c r="F75" i="13"/>
  <c r="N75" i="13"/>
  <c r="O75" i="13"/>
  <c r="P75" i="13"/>
  <c r="Q75" i="13"/>
  <c r="R75" i="13"/>
  <c r="Z75" i="13"/>
  <c r="AA75" i="13"/>
  <c r="AB75" i="13"/>
  <c r="AC75" i="13"/>
  <c r="AD75" i="13"/>
  <c r="B76" i="13"/>
  <c r="C76" i="13"/>
  <c r="D76" i="13"/>
  <c r="E76" i="13"/>
  <c r="F76" i="13"/>
  <c r="N76" i="13"/>
  <c r="O76" i="13"/>
  <c r="P76" i="13"/>
  <c r="Q76" i="13"/>
  <c r="R76" i="13"/>
  <c r="Z76" i="13"/>
  <c r="AA76" i="13"/>
  <c r="AB76" i="13"/>
  <c r="AC76" i="13"/>
  <c r="AD76" i="13"/>
  <c r="B77" i="13"/>
  <c r="C77" i="13"/>
  <c r="D77" i="13"/>
  <c r="E77" i="13"/>
  <c r="F77" i="13"/>
  <c r="N77" i="13"/>
  <c r="O77" i="13"/>
  <c r="P77" i="13"/>
  <c r="Q77" i="13"/>
  <c r="R77" i="13"/>
  <c r="Z77" i="13"/>
  <c r="AA77" i="13"/>
  <c r="AB77" i="13"/>
  <c r="AC77" i="13"/>
  <c r="AD77" i="13"/>
  <c r="B78" i="13"/>
  <c r="C78" i="13"/>
  <c r="D78" i="13"/>
  <c r="E78" i="13"/>
  <c r="F78" i="13"/>
  <c r="N78" i="13"/>
  <c r="O78" i="13"/>
  <c r="P78" i="13"/>
  <c r="Q78" i="13"/>
  <c r="R78" i="13"/>
  <c r="Z78" i="13"/>
  <c r="AA78" i="13"/>
  <c r="AB78" i="13"/>
  <c r="AC78" i="13"/>
  <c r="AD78" i="13"/>
  <c r="B79" i="13"/>
  <c r="C79" i="13"/>
  <c r="D79" i="13"/>
  <c r="E79" i="13"/>
  <c r="F79" i="13"/>
  <c r="N79" i="13"/>
  <c r="O79" i="13"/>
  <c r="P79" i="13"/>
  <c r="Q79" i="13"/>
  <c r="R79" i="13"/>
  <c r="Z79" i="13"/>
  <c r="AA79" i="13"/>
  <c r="AB79" i="13"/>
  <c r="AC79" i="13"/>
  <c r="AD79" i="13"/>
  <c r="B80" i="13"/>
  <c r="C80" i="13"/>
  <c r="D80" i="13"/>
  <c r="E80" i="13"/>
  <c r="F80" i="13"/>
  <c r="N80" i="13"/>
  <c r="O80" i="13"/>
  <c r="P80" i="13"/>
  <c r="Q80" i="13"/>
  <c r="R80" i="13"/>
  <c r="Z80" i="13"/>
  <c r="AA80" i="13"/>
  <c r="AB80" i="13"/>
  <c r="AC80" i="13"/>
  <c r="AD80" i="13"/>
  <c r="B81" i="13"/>
  <c r="C81" i="13"/>
  <c r="D81" i="13"/>
  <c r="E81" i="13"/>
  <c r="F81" i="13"/>
  <c r="N81" i="13"/>
  <c r="O81" i="13"/>
  <c r="P81" i="13"/>
  <c r="Q81" i="13"/>
  <c r="R81" i="13"/>
  <c r="Z81" i="13"/>
  <c r="AA81" i="13"/>
  <c r="AB81" i="13"/>
  <c r="AC81" i="13"/>
  <c r="AD81" i="13"/>
  <c r="B82" i="13"/>
  <c r="C82" i="13"/>
  <c r="D82" i="13"/>
  <c r="E82" i="13"/>
  <c r="F82" i="13"/>
  <c r="N82" i="13"/>
  <c r="O82" i="13"/>
  <c r="P82" i="13"/>
  <c r="Q82" i="13"/>
  <c r="R82" i="13"/>
  <c r="Z82" i="13"/>
  <c r="AA82" i="13"/>
  <c r="AB82" i="13"/>
  <c r="AC82" i="13"/>
  <c r="AD82" i="13"/>
  <c r="B83" i="13"/>
  <c r="C83" i="13"/>
  <c r="D83" i="13"/>
  <c r="E83" i="13"/>
  <c r="F83" i="13"/>
  <c r="N83" i="13"/>
  <c r="O83" i="13"/>
  <c r="P83" i="13"/>
  <c r="Q83" i="13"/>
  <c r="R83" i="13"/>
  <c r="Z83" i="13"/>
  <c r="AA83" i="13"/>
  <c r="AB83" i="13"/>
  <c r="AC83" i="13"/>
  <c r="AD83" i="13"/>
  <c r="B84" i="13"/>
  <c r="C84" i="13"/>
  <c r="D84" i="13"/>
  <c r="E84" i="13"/>
  <c r="F84" i="13"/>
  <c r="N84" i="13"/>
  <c r="O84" i="13"/>
  <c r="P84" i="13"/>
  <c r="Q84" i="13"/>
  <c r="R84" i="13"/>
  <c r="Z84" i="13"/>
  <c r="AA84" i="13"/>
  <c r="AB84" i="13"/>
  <c r="AC84" i="13"/>
  <c r="AD84" i="13"/>
  <c r="B85" i="13"/>
  <c r="C85" i="13"/>
  <c r="D85" i="13"/>
  <c r="E85" i="13"/>
  <c r="F85" i="13"/>
  <c r="N85" i="13"/>
  <c r="O85" i="13"/>
  <c r="P85" i="13"/>
  <c r="Q85" i="13"/>
  <c r="R85" i="13"/>
  <c r="Z85" i="13"/>
  <c r="AA85" i="13"/>
  <c r="AB85" i="13"/>
  <c r="AC85" i="13"/>
  <c r="AD85" i="13"/>
  <c r="B86" i="13"/>
  <c r="C86" i="13"/>
  <c r="D86" i="13"/>
  <c r="E86" i="13"/>
  <c r="F86" i="13"/>
  <c r="N86" i="13"/>
  <c r="O86" i="13"/>
  <c r="P86" i="13"/>
  <c r="Q86" i="13"/>
  <c r="R86" i="13"/>
  <c r="Z86" i="13"/>
  <c r="AA86" i="13"/>
  <c r="AB86" i="13"/>
  <c r="AC86" i="13"/>
  <c r="AD86" i="13"/>
  <c r="B87" i="13"/>
  <c r="C87" i="13"/>
  <c r="D87" i="13"/>
  <c r="E87" i="13"/>
  <c r="F87" i="13"/>
  <c r="N87" i="13"/>
  <c r="O87" i="13"/>
  <c r="P87" i="13"/>
  <c r="Q87" i="13"/>
  <c r="R87" i="13"/>
  <c r="Z87" i="13"/>
  <c r="AA87" i="13"/>
  <c r="AB87" i="13"/>
  <c r="AC87" i="13"/>
  <c r="AD87" i="13"/>
  <c r="B88" i="13"/>
  <c r="C88" i="13"/>
  <c r="D88" i="13"/>
  <c r="E88" i="13"/>
  <c r="F88" i="13"/>
  <c r="N88" i="13"/>
  <c r="O88" i="13"/>
  <c r="P88" i="13"/>
  <c r="Q88" i="13"/>
  <c r="R88" i="13"/>
  <c r="Z88" i="13"/>
  <c r="AA88" i="13"/>
  <c r="AB88" i="13"/>
  <c r="AC88" i="13"/>
  <c r="AD88" i="13"/>
  <c r="B89" i="13"/>
  <c r="C89" i="13"/>
  <c r="D89" i="13"/>
  <c r="E89" i="13"/>
  <c r="F89" i="13"/>
  <c r="N89" i="13"/>
  <c r="O89" i="13"/>
  <c r="P89" i="13"/>
  <c r="Q89" i="13"/>
  <c r="R89" i="13"/>
  <c r="Z89" i="13"/>
  <c r="AA89" i="13"/>
  <c r="AB89" i="13"/>
  <c r="AC89" i="13"/>
  <c r="AD89" i="13"/>
  <c r="B90" i="13"/>
  <c r="C90" i="13"/>
  <c r="D90" i="13"/>
  <c r="E90" i="13"/>
  <c r="F90" i="13"/>
  <c r="N90" i="13"/>
  <c r="O90" i="13"/>
  <c r="P90" i="13"/>
  <c r="Q90" i="13"/>
  <c r="R90" i="13"/>
  <c r="Z90" i="13"/>
  <c r="AA90" i="13"/>
  <c r="AB90" i="13"/>
  <c r="AC90" i="13"/>
  <c r="AD90" i="13"/>
  <c r="B91" i="13"/>
  <c r="C91" i="13"/>
  <c r="D91" i="13"/>
  <c r="E91" i="13"/>
  <c r="F91" i="13"/>
  <c r="N91" i="13"/>
  <c r="O91" i="13"/>
  <c r="P91" i="13"/>
  <c r="Q91" i="13"/>
  <c r="R91" i="13"/>
  <c r="Z91" i="13"/>
  <c r="AA91" i="13"/>
  <c r="AB91" i="13"/>
  <c r="AC91" i="13"/>
  <c r="AD91" i="13"/>
  <c r="B92" i="13"/>
  <c r="C92" i="13"/>
  <c r="D92" i="13"/>
  <c r="E92" i="13"/>
  <c r="F92" i="13"/>
  <c r="N92" i="13"/>
  <c r="O92" i="13"/>
  <c r="P92" i="13"/>
  <c r="Q92" i="13"/>
  <c r="R92" i="13"/>
  <c r="Z92" i="13"/>
  <c r="AA92" i="13"/>
  <c r="AB92" i="13"/>
  <c r="AC92" i="13"/>
  <c r="AD92" i="13"/>
  <c r="B93" i="13"/>
  <c r="C93" i="13"/>
  <c r="D93" i="13"/>
  <c r="E93" i="13"/>
  <c r="F93" i="13"/>
  <c r="N93" i="13"/>
  <c r="O93" i="13"/>
  <c r="P93" i="13"/>
  <c r="Q93" i="13"/>
  <c r="R93" i="13"/>
  <c r="Z93" i="13"/>
  <c r="AA93" i="13"/>
  <c r="AB93" i="13"/>
  <c r="AC93" i="13"/>
  <c r="AD93" i="13"/>
  <c r="B94" i="13"/>
  <c r="C94" i="13"/>
  <c r="D94" i="13"/>
  <c r="E94" i="13"/>
  <c r="F94" i="13"/>
  <c r="N94" i="13"/>
  <c r="O94" i="13"/>
  <c r="P94" i="13"/>
  <c r="Q94" i="13"/>
  <c r="R94" i="13"/>
  <c r="Z94" i="13"/>
  <c r="AA94" i="13"/>
  <c r="AB94" i="13"/>
  <c r="AC94" i="13"/>
  <c r="AD94" i="13"/>
  <c r="B95" i="13"/>
  <c r="C95" i="13"/>
  <c r="D95" i="13"/>
  <c r="E95" i="13"/>
  <c r="F95" i="13"/>
  <c r="N95" i="13"/>
  <c r="O95" i="13"/>
  <c r="P95" i="13"/>
  <c r="Q95" i="13"/>
  <c r="R95" i="13"/>
  <c r="Z95" i="13"/>
  <c r="AA95" i="13"/>
  <c r="AB95" i="13"/>
  <c r="AC95" i="13"/>
  <c r="AD95" i="13"/>
  <c r="B96" i="13"/>
  <c r="C96" i="13"/>
  <c r="D96" i="13"/>
  <c r="E96" i="13"/>
  <c r="F96" i="13"/>
  <c r="N96" i="13"/>
  <c r="O96" i="13"/>
  <c r="P96" i="13"/>
  <c r="Q96" i="13"/>
  <c r="R96" i="13"/>
  <c r="Z96" i="13"/>
  <c r="AA96" i="13"/>
  <c r="AB96" i="13"/>
  <c r="AC96" i="13"/>
  <c r="AD96" i="13"/>
  <c r="B97" i="13"/>
  <c r="C97" i="13"/>
  <c r="D97" i="13"/>
  <c r="E97" i="13"/>
  <c r="F97" i="13"/>
  <c r="N97" i="13"/>
  <c r="O97" i="13"/>
  <c r="P97" i="13"/>
  <c r="Q97" i="13"/>
  <c r="R97" i="13"/>
  <c r="Z97" i="13"/>
  <c r="AA97" i="13"/>
  <c r="AB97" i="13"/>
  <c r="AC97" i="13"/>
  <c r="AD97" i="13"/>
  <c r="B98" i="13"/>
  <c r="C98" i="13"/>
  <c r="D98" i="13"/>
  <c r="E98" i="13"/>
  <c r="F98" i="13"/>
  <c r="N98" i="13"/>
  <c r="O98" i="13"/>
  <c r="P98" i="13"/>
  <c r="Q98" i="13"/>
  <c r="R98" i="13"/>
  <c r="Z98" i="13"/>
  <c r="AA98" i="13"/>
  <c r="AB98" i="13"/>
  <c r="AC98" i="13"/>
  <c r="AD98" i="13"/>
  <c r="B99" i="13"/>
  <c r="C99" i="13"/>
  <c r="D99" i="13"/>
  <c r="E99" i="13"/>
  <c r="F99" i="13"/>
  <c r="N99" i="13"/>
  <c r="O99" i="13"/>
  <c r="P99" i="13"/>
  <c r="Q99" i="13"/>
  <c r="R99" i="13"/>
  <c r="Z99" i="13"/>
  <c r="AA99" i="13"/>
  <c r="AB99" i="13"/>
  <c r="AC99" i="13"/>
  <c r="AD99" i="13"/>
  <c r="B100" i="13"/>
  <c r="C100" i="13"/>
  <c r="D100" i="13"/>
  <c r="E100" i="13"/>
  <c r="F100" i="13"/>
  <c r="N100" i="13"/>
  <c r="O100" i="13"/>
  <c r="P100" i="13"/>
  <c r="Q100" i="13"/>
  <c r="R100" i="13"/>
  <c r="Z100" i="13"/>
  <c r="AA100" i="13"/>
  <c r="AB100" i="13"/>
  <c r="AC100" i="13"/>
  <c r="AD100" i="13"/>
  <c r="B101" i="13"/>
  <c r="C101" i="13"/>
  <c r="D101" i="13"/>
  <c r="E101" i="13"/>
  <c r="F101" i="13"/>
  <c r="N101" i="13"/>
  <c r="O101" i="13"/>
  <c r="P101" i="13"/>
  <c r="Q101" i="13"/>
  <c r="R101" i="13"/>
  <c r="Z101" i="13"/>
  <c r="AA101" i="13"/>
  <c r="AB101" i="13"/>
  <c r="AC101" i="13"/>
  <c r="AD101" i="13"/>
  <c r="B102" i="13"/>
  <c r="C102" i="13"/>
  <c r="D102" i="13"/>
  <c r="E102" i="13"/>
  <c r="F102" i="13"/>
  <c r="N102" i="13"/>
  <c r="O102" i="13"/>
  <c r="P102" i="13"/>
  <c r="Q102" i="13"/>
  <c r="R102" i="13"/>
  <c r="Z102" i="13"/>
  <c r="AA102" i="13"/>
  <c r="AB102" i="13"/>
  <c r="AC102" i="13"/>
  <c r="AD102" i="13"/>
  <c r="B103" i="13"/>
  <c r="C103" i="13"/>
  <c r="D103" i="13"/>
  <c r="E103" i="13"/>
  <c r="F103" i="13"/>
  <c r="N103" i="13"/>
  <c r="O103" i="13"/>
  <c r="P103" i="13"/>
  <c r="Q103" i="13"/>
  <c r="R103" i="13"/>
  <c r="Z103" i="13"/>
  <c r="AA103" i="13"/>
  <c r="AB103" i="13"/>
  <c r="AC103" i="13"/>
  <c r="AD103" i="13"/>
  <c r="B104" i="13"/>
  <c r="C104" i="13"/>
  <c r="D104" i="13"/>
  <c r="E104" i="13"/>
  <c r="F104" i="13"/>
  <c r="N104" i="13"/>
  <c r="O104" i="13"/>
  <c r="P104" i="13"/>
  <c r="Q104" i="13"/>
  <c r="R104" i="13"/>
  <c r="Z104" i="13"/>
  <c r="AA104" i="13"/>
  <c r="AB104" i="13"/>
  <c r="AC104" i="13"/>
  <c r="AD104" i="13"/>
  <c r="B105" i="13"/>
  <c r="C105" i="13"/>
  <c r="D105" i="13"/>
  <c r="E105" i="13"/>
  <c r="F105" i="13"/>
  <c r="N105" i="13"/>
  <c r="O105" i="13"/>
  <c r="P105" i="13"/>
  <c r="Q105" i="13"/>
  <c r="R105" i="13"/>
  <c r="Z105" i="13"/>
  <c r="AA105" i="13"/>
  <c r="AB105" i="13"/>
  <c r="AC105" i="13"/>
  <c r="AD105" i="13"/>
  <c r="B106" i="13"/>
  <c r="C106" i="13"/>
  <c r="D106" i="13"/>
  <c r="E106" i="13"/>
  <c r="F106" i="13"/>
  <c r="N106" i="13"/>
  <c r="O106" i="13"/>
  <c r="P106" i="13"/>
  <c r="Q106" i="13"/>
  <c r="R106" i="13"/>
  <c r="Z106" i="13"/>
  <c r="AA106" i="13"/>
  <c r="AB106" i="13"/>
  <c r="AC106" i="13"/>
  <c r="AD106" i="13"/>
  <c r="B107" i="13"/>
  <c r="C107" i="13"/>
  <c r="D107" i="13"/>
  <c r="E107" i="13"/>
  <c r="F107" i="13"/>
  <c r="N107" i="13"/>
  <c r="O107" i="13"/>
  <c r="P107" i="13"/>
  <c r="Q107" i="13"/>
  <c r="R107" i="13"/>
  <c r="Z107" i="13"/>
  <c r="AA107" i="13"/>
  <c r="AB107" i="13"/>
  <c r="AC107" i="13"/>
  <c r="AD107" i="13"/>
  <c r="B108" i="13"/>
  <c r="C108" i="13"/>
  <c r="D108" i="13"/>
  <c r="E108" i="13"/>
  <c r="F108" i="13"/>
  <c r="N108" i="13"/>
  <c r="O108" i="13"/>
  <c r="P108" i="13"/>
  <c r="Q108" i="13"/>
  <c r="R108" i="13"/>
  <c r="Z108" i="13"/>
  <c r="AA108" i="13"/>
  <c r="AB108" i="13"/>
  <c r="AC108" i="13"/>
  <c r="AD108" i="13"/>
  <c r="B109" i="13"/>
  <c r="C109" i="13"/>
  <c r="D109" i="13"/>
  <c r="E109" i="13"/>
  <c r="F109" i="13"/>
  <c r="N109" i="13"/>
  <c r="O109" i="13"/>
  <c r="P109" i="13"/>
  <c r="Q109" i="13"/>
  <c r="R109" i="13"/>
  <c r="Z109" i="13"/>
  <c r="AA109" i="13"/>
  <c r="AB109" i="13"/>
  <c r="AC109" i="13"/>
  <c r="AD109" i="13"/>
  <c r="B110" i="13"/>
  <c r="C110" i="13"/>
  <c r="D110" i="13"/>
  <c r="E110" i="13"/>
  <c r="F110" i="13"/>
  <c r="N110" i="13"/>
  <c r="O110" i="13"/>
  <c r="P110" i="13"/>
  <c r="Q110" i="13"/>
  <c r="R110" i="13"/>
  <c r="Z110" i="13"/>
  <c r="AA110" i="13"/>
  <c r="AB110" i="13"/>
  <c r="AC110" i="13"/>
  <c r="AD110" i="13"/>
  <c r="B111" i="13"/>
  <c r="C111" i="13"/>
  <c r="D111" i="13"/>
  <c r="E111" i="13"/>
  <c r="F111" i="13"/>
  <c r="N111" i="13"/>
  <c r="O111" i="13"/>
  <c r="P111" i="13"/>
  <c r="Q111" i="13"/>
  <c r="R111" i="13"/>
  <c r="Z111" i="13"/>
  <c r="AA111" i="13"/>
  <c r="AB111" i="13"/>
  <c r="AC111" i="13"/>
  <c r="AD111" i="13"/>
  <c r="B112" i="13"/>
  <c r="C112" i="13"/>
  <c r="D112" i="13"/>
  <c r="E112" i="13"/>
  <c r="F112" i="13"/>
  <c r="N112" i="13"/>
  <c r="O112" i="13"/>
  <c r="P112" i="13"/>
  <c r="Q112" i="13"/>
  <c r="R112" i="13"/>
  <c r="Z112" i="13"/>
  <c r="AA112" i="13"/>
  <c r="AB112" i="13"/>
  <c r="AC112" i="13"/>
  <c r="AD112" i="13"/>
  <c r="B113" i="13"/>
  <c r="C113" i="13"/>
  <c r="D113" i="13"/>
  <c r="E113" i="13"/>
  <c r="F113" i="13"/>
  <c r="N113" i="13"/>
  <c r="O113" i="13"/>
  <c r="P113" i="13"/>
  <c r="Q113" i="13"/>
  <c r="R113" i="13"/>
  <c r="Z113" i="13"/>
  <c r="AA113" i="13"/>
  <c r="AB113" i="13"/>
  <c r="AC113" i="13"/>
  <c r="AD113" i="13"/>
  <c r="B114" i="13"/>
  <c r="C114" i="13"/>
  <c r="D114" i="13"/>
  <c r="E114" i="13"/>
  <c r="F114" i="13"/>
  <c r="N114" i="13"/>
  <c r="O114" i="13"/>
  <c r="P114" i="13"/>
  <c r="Q114" i="13"/>
  <c r="R114" i="13"/>
  <c r="Z114" i="13"/>
  <c r="AA114" i="13"/>
  <c r="AB114" i="13"/>
  <c r="AC114" i="13"/>
  <c r="AD114" i="13"/>
  <c r="B115" i="13"/>
  <c r="C115" i="13"/>
  <c r="D115" i="13"/>
  <c r="E115" i="13"/>
  <c r="F115" i="13"/>
  <c r="N115" i="13"/>
  <c r="O115" i="13"/>
  <c r="P115" i="13"/>
  <c r="Q115" i="13"/>
  <c r="R115" i="13"/>
  <c r="Z115" i="13"/>
  <c r="AA115" i="13"/>
  <c r="AB115" i="13"/>
  <c r="AC115" i="13"/>
  <c r="AD115" i="13"/>
  <c r="B116" i="13"/>
  <c r="C116" i="13"/>
  <c r="D116" i="13"/>
  <c r="E116" i="13"/>
  <c r="F116" i="13"/>
  <c r="N116" i="13"/>
  <c r="O116" i="13"/>
  <c r="P116" i="13"/>
  <c r="Q116" i="13"/>
  <c r="R116" i="13"/>
  <c r="Z116" i="13"/>
  <c r="AA116" i="13"/>
  <c r="AB116" i="13"/>
  <c r="AC116" i="13"/>
  <c r="AD116" i="13"/>
  <c r="B117" i="13"/>
  <c r="C117" i="13"/>
  <c r="D117" i="13"/>
  <c r="E117" i="13"/>
  <c r="F117" i="13"/>
  <c r="N117" i="13"/>
  <c r="O117" i="13"/>
  <c r="P117" i="13"/>
  <c r="Q117" i="13"/>
  <c r="R117" i="13"/>
  <c r="Z117" i="13"/>
  <c r="AA117" i="13"/>
  <c r="AB117" i="13"/>
  <c r="AC117" i="13"/>
  <c r="AD117" i="13"/>
  <c r="B118" i="13"/>
  <c r="C118" i="13"/>
  <c r="D118" i="13"/>
  <c r="E118" i="13"/>
  <c r="F118" i="13"/>
  <c r="N118" i="13"/>
  <c r="O118" i="13"/>
  <c r="P118" i="13"/>
  <c r="Q118" i="13"/>
  <c r="R118" i="13"/>
  <c r="Z118" i="13"/>
  <c r="AA118" i="13"/>
  <c r="AB118" i="13"/>
  <c r="AC118" i="13"/>
  <c r="AD118" i="13"/>
  <c r="B119" i="13"/>
  <c r="C119" i="13"/>
  <c r="D119" i="13"/>
  <c r="E119" i="13"/>
  <c r="F119" i="13"/>
  <c r="N119" i="13"/>
  <c r="O119" i="13"/>
  <c r="P119" i="13"/>
  <c r="Q119" i="13"/>
  <c r="R119" i="13"/>
  <c r="Z119" i="13"/>
  <c r="AA119" i="13"/>
  <c r="AB119" i="13"/>
  <c r="AC119" i="13"/>
  <c r="AD119" i="13"/>
  <c r="B120" i="13"/>
  <c r="C120" i="13"/>
  <c r="D120" i="13"/>
  <c r="E120" i="13"/>
  <c r="F120" i="13"/>
  <c r="N120" i="13"/>
  <c r="O120" i="13"/>
  <c r="P120" i="13"/>
  <c r="Q120" i="13"/>
  <c r="R120" i="13"/>
  <c r="Z120" i="13"/>
  <c r="AA120" i="13"/>
  <c r="AB120" i="13"/>
  <c r="AC120" i="13"/>
  <c r="AD120" i="13"/>
  <c r="B121" i="13"/>
  <c r="C121" i="13"/>
  <c r="D121" i="13"/>
  <c r="E121" i="13"/>
  <c r="F121" i="13"/>
  <c r="N121" i="13"/>
  <c r="O121" i="13"/>
  <c r="P121" i="13"/>
  <c r="Q121" i="13"/>
  <c r="R121" i="13"/>
  <c r="Z121" i="13"/>
  <c r="AA121" i="13"/>
  <c r="AB121" i="13"/>
  <c r="AC121" i="13"/>
  <c r="AD121" i="13"/>
  <c r="B122" i="13"/>
  <c r="C122" i="13"/>
  <c r="D122" i="13"/>
  <c r="E122" i="13"/>
  <c r="F122" i="13"/>
  <c r="N122" i="13"/>
  <c r="O122" i="13"/>
  <c r="P122" i="13"/>
  <c r="Q122" i="13"/>
  <c r="R122" i="13"/>
  <c r="Z122" i="13"/>
  <c r="AA122" i="13"/>
  <c r="AB122" i="13"/>
  <c r="AC122" i="13"/>
  <c r="AD122" i="13"/>
  <c r="B123" i="13"/>
  <c r="C123" i="13"/>
  <c r="D123" i="13"/>
  <c r="E123" i="13"/>
  <c r="F123" i="13"/>
  <c r="N123" i="13"/>
  <c r="O123" i="13"/>
  <c r="P123" i="13"/>
  <c r="Q123" i="13"/>
  <c r="R123" i="13"/>
  <c r="Z123" i="13"/>
  <c r="AA123" i="13"/>
  <c r="AB123" i="13"/>
  <c r="AC123" i="13"/>
  <c r="AD123" i="13"/>
  <c r="B124" i="13"/>
  <c r="C124" i="13"/>
  <c r="D124" i="13"/>
  <c r="E124" i="13"/>
  <c r="F124" i="13"/>
  <c r="N124" i="13"/>
  <c r="O124" i="13"/>
  <c r="P124" i="13"/>
  <c r="Q124" i="13"/>
  <c r="R124" i="13"/>
  <c r="Z124" i="13"/>
  <c r="AA124" i="13"/>
  <c r="AB124" i="13"/>
  <c r="AC124" i="13"/>
  <c r="AD124" i="13"/>
  <c r="B125" i="13"/>
  <c r="C125" i="13"/>
  <c r="D125" i="13"/>
  <c r="E125" i="13"/>
  <c r="F125" i="13"/>
  <c r="N125" i="13"/>
  <c r="O125" i="13"/>
  <c r="P125" i="13"/>
  <c r="Q125" i="13"/>
  <c r="R125" i="13"/>
  <c r="Z125" i="13"/>
  <c r="AA125" i="13"/>
  <c r="AB125" i="13"/>
  <c r="AC125" i="13"/>
  <c r="AD125" i="13"/>
  <c r="B126" i="13"/>
  <c r="C126" i="13"/>
  <c r="D126" i="13"/>
  <c r="E126" i="13"/>
  <c r="F126" i="13"/>
  <c r="N126" i="13"/>
  <c r="O126" i="13"/>
  <c r="P126" i="13"/>
  <c r="Q126" i="13"/>
  <c r="R126" i="13"/>
  <c r="Z126" i="13"/>
  <c r="AA126" i="13"/>
  <c r="AB126" i="13"/>
  <c r="AC126" i="13"/>
  <c r="AD126" i="13"/>
  <c r="B127" i="13"/>
  <c r="C127" i="13"/>
  <c r="D127" i="13"/>
  <c r="E127" i="13"/>
  <c r="F127" i="13"/>
  <c r="N127" i="13"/>
  <c r="O127" i="13"/>
  <c r="P127" i="13"/>
  <c r="Q127" i="13"/>
  <c r="R127" i="13"/>
  <c r="Z127" i="13"/>
  <c r="AA127" i="13"/>
  <c r="AB127" i="13"/>
  <c r="AC127" i="13"/>
  <c r="AD127" i="13"/>
  <c r="B128" i="13"/>
  <c r="C128" i="13"/>
  <c r="D128" i="13"/>
  <c r="E128" i="13"/>
  <c r="F128" i="13"/>
  <c r="N128" i="13"/>
  <c r="O128" i="13"/>
  <c r="P128" i="13"/>
  <c r="Q128" i="13"/>
  <c r="R128" i="13"/>
  <c r="Z128" i="13"/>
  <c r="AA128" i="13"/>
  <c r="AB128" i="13"/>
  <c r="AC128" i="13"/>
  <c r="AD128" i="13"/>
  <c r="B129" i="13"/>
  <c r="C129" i="13"/>
  <c r="D129" i="13"/>
  <c r="E129" i="13"/>
  <c r="F129" i="13"/>
  <c r="N129" i="13"/>
  <c r="O129" i="13"/>
  <c r="P129" i="13"/>
  <c r="Q129" i="13"/>
  <c r="R129" i="13"/>
  <c r="Z129" i="13"/>
  <c r="AA129" i="13"/>
  <c r="AB129" i="13"/>
  <c r="AC129" i="13"/>
  <c r="AD129" i="13"/>
  <c r="B130" i="13"/>
  <c r="C130" i="13"/>
  <c r="D130" i="13"/>
  <c r="E130" i="13"/>
  <c r="F130" i="13"/>
  <c r="N130" i="13"/>
  <c r="O130" i="13"/>
  <c r="P130" i="13"/>
  <c r="Q130" i="13"/>
  <c r="R130" i="13"/>
  <c r="Z130" i="13"/>
  <c r="AA130" i="13"/>
  <c r="AB130" i="13"/>
  <c r="AC130" i="13"/>
  <c r="AD130" i="13"/>
  <c r="B131" i="13"/>
  <c r="C131" i="13"/>
  <c r="D131" i="13"/>
  <c r="E131" i="13"/>
  <c r="F131" i="13"/>
  <c r="N131" i="13"/>
  <c r="O131" i="13"/>
  <c r="P131" i="13"/>
  <c r="Q131" i="13"/>
  <c r="R131" i="13"/>
  <c r="Z131" i="13"/>
  <c r="AA131" i="13"/>
  <c r="AB131" i="13"/>
  <c r="AC131" i="13"/>
  <c r="AD131" i="13"/>
  <c r="B132" i="13"/>
  <c r="C132" i="13"/>
  <c r="D132" i="13"/>
  <c r="E132" i="13"/>
  <c r="F132" i="13"/>
  <c r="N132" i="13"/>
  <c r="O132" i="13"/>
  <c r="P132" i="13"/>
  <c r="Q132" i="13"/>
  <c r="R132" i="13"/>
  <c r="Z132" i="13"/>
  <c r="AA132" i="13"/>
  <c r="AB132" i="13"/>
  <c r="AC132" i="13"/>
  <c r="AD132" i="13"/>
  <c r="B133" i="13"/>
  <c r="C133" i="13"/>
  <c r="D133" i="13"/>
  <c r="E133" i="13"/>
  <c r="F133" i="13"/>
  <c r="N133" i="13"/>
  <c r="O133" i="13"/>
  <c r="P133" i="13"/>
  <c r="Q133" i="13"/>
  <c r="R133" i="13"/>
  <c r="Z133" i="13"/>
  <c r="AA133" i="13"/>
  <c r="AB133" i="13"/>
  <c r="AC133" i="13"/>
  <c r="AD133" i="13"/>
  <c r="B134" i="13"/>
  <c r="C134" i="13"/>
  <c r="D134" i="13"/>
  <c r="E134" i="13"/>
  <c r="F134" i="13"/>
  <c r="N134" i="13"/>
  <c r="O134" i="13"/>
  <c r="P134" i="13"/>
  <c r="Q134" i="13"/>
  <c r="R134" i="13"/>
  <c r="Z134" i="13"/>
  <c r="AA134" i="13"/>
  <c r="AB134" i="13"/>
  <c r="AC134" i="13"/>
  <c r="AD134" i="13"/>
  <c r="B135" i="13"/>
  <c r="C135" i="13"/>
  <c r="D135" i="13"/>
  <c r="E135" i="13"/>
  <c r="F135" i="13"/>
  <c r="N135" i="13"/>
  <c r="O135" i="13"/>
  <c r="P135" i="13"/>
  <c r="Q135" i="13"/>
  <c r="R135" i="13"/>
  <c r="Z135" i="13"/>
  <c r="AA135" i="13"/>
  <c r="AB135" i="13"/>
  <c r="AC135" i="13"/>
  <c r="AD135" i="13"/>
  <c r="B136" i="13"/>
  <c r="C136" i="13"/>
  <c r="D136" i="13"/>
  <c r="E136" i="13"/>
  <c r="F136" i="13"/>
  <c r="N136" i="13"/>
  <c r="O136" i="13"/>
  <c r="P136" i="13"/>
  <c r="Q136" i="13"/>
  <c r="R136" i="13"/>
  <c r="Z136" i="13"/>
  <c r="AA136" i="13"/>
  <c r="AB136" i="13"/>
  <c r="AC136" i="13"/>
  <c r="AD136" i="13"/>
  <c r="B137" i="13"/>
  <c r="C137" i="13"/>
  <c r="D137" i="13"/>
  <c r="E137" i="13"/>
  <c r="F137" i="13"/>
  <c r="N137" i="13"/>
  <c r="O137" i="13"/>
  <c r="P137" i="13"/>
  <c r="Q137" i="13"/>
  <c r="R137" i="13"/>
  <c r="Z137" i="13"/>
  <c r="AA137" i="13"/>
  <c r="AB137" i="13"/>
  <c r="AC137" i="13"/>
  <c r="AD137" i="13"/>
  <c r="B138" i="13"/>
  <c r="C138" i="13"/>
  <c r="D138" i="13"/>
  <c r="E138" i="13"/>
  <c r="F138" i="13"/>
  <c r="N138" i="13"/>
  <c r="O138" i="13"/>
  <c r="P138" i="13"/>
  <c r="Q138" i="13"/>
  <c r="R138" i="13"/>
  <c r="Z138" i="13"/>
  <c r="AA138" i="13"/>
  <c r="AB138" i="13"/>
  <c r="AC138" i="13"/>
  <c r="AD138" i="13"/>
  <c r="B139" i="13"/>
  <c r="C139" i="13"/>
  <c r="D139" i="13"/>
  <c r="E139" i="13"/>
  <c r="F139" i="13"/>
  <c r="N139" i="13"/>
  <c r="O139" i="13"/>
  <c r="P139" i="13"/>
  <c r="Q139" i="13"/>
  <c r="R139" i="13"/>
  <c r="Z139" i="13"/>
  <c r="AA139" i="13"/>
  <c r="AB139" i="13"/>
  <c r="AC139" i="13"/>
  <c r="AD139" i="13"/>
  <c r="B140" i="13"/>
  <c r="C140" i="13"/>
  <c r="D140" i="13"/>
  <c r="E140" i="13"/>
  <c r="F140" i="13"/>
  <c r="N140" i="13"/>
  <c r="O140" i="13"/>
  <c r="P140" i="13"/>
  <c r="Q140" i="13"/>
  <c r="R140" i="13"/>
  <c r="Z140" i="13"/>
  <c r="AA140" i="13"/>
  <c r="AB140" i="13"/>
  <c r="AC140" i="13"/>
  <c r="AD140" i="13"/>
  <c r="B141" i="13"/>
  <c r="C141" i="13"/>
  <c r="D141" i="13"/>
  <c r="E141" i="13"/>
  <c r="F141" i="13"/>
  <c r="N141" i="13"/>
  <c r="O141" i="13"/>
  <c r="P141" i="13"/>
  <c r="Q141" i="13"/>
  <c r="R141" i="13"/>
  <c r="Z141" i="13"/>
  <c r="AA141" i="13"/>
  <c r="AB141" i="13"/>
  <c r="AC141" i="13"/>
  <c r="AD141" i="13"/>
  <c r="Z1" i="13"/>
  <c r="AA1" i="13"/>
  <c r="AB1" i="13"/>
  <c r="AC1" i="13"/>
  <c r="AD1" i="13"/>
  <c r="Z2" i="13"/>
  <c r="AA2" i="13"/>
  <c r="AB2" i="13"/>
  <c r="AC2" i="13"/>
  <c r="AD2" i="13"/>
  <c r="N1" i="13"/>
  <c r="O1" i="13"/>
  <c r="P1" i="13"/>
  <c r="Q1" i="13"/>
  <c r="R1" i="13"/>
  <c r="N2" i="13"/>
  <c r="O2" i="13"/>
  <c r="P2" i="13"/>
  <c r="Q2" i="13"/>
  <c r="R2" i="13"/>
  <c r="T12" i="14"/>
  <c r="T11" i="14"/>
  <c r="T13" i="14"/>
  <c r="I25" i="11"/>
  <c r="I24" i="11"/>
  <c r="I26" i="11"/>
  <c r="I11" i="11"/>
  <c r="I12" i="11"/>
  <c r="I10" i="11"/>
  <c r="B1" i="13"/>
  <c r="D1" i="13"/>
  <c r="C1" i="13"/>
  <c r="E1" i="13"/>
  <c r="F1" i="13"/>
  <c r="B2" i="13"/>
  <c r="D2" i="13"/>
  <c r="C2" i="13"/>
  <c r="E2" i="13"/>
  <c r="F2" i="13"/>
</calcChain>
</file>

<file path=xl/sharedStrings.xml><?xml version="1.0" encoding="utf-8"?>
<sst xmlns="http://schemas.openxmlformats.org/spreadsheetml/2006/main" count="47" uniqueCount="33">
  <si>
    <t>Weak Acid / Strong Base</t>
  </si>
  <si>
    <t>Acid Name:</t>
  </si>
  <si>
    <t>Acid Ka:</t>
  </si>
  <si>
    <t>Base Name:</t>
  </si>
  <si>
    <t>Acid Concentration (M):</t>
  </si>
  <si>
    <t>Acid Volume (mL):</t>
  </si>
  <si>
    <t>Base Concentration (M):</t>
  </si>
  <si>
    <t>Base Volume:</t>
  </si>
  <si>
    <t>Base Kb:</t>
  </si>
  <si>
    <t>Ve:</t>
  </si>
  <si>
    <t>Strong Acid / Weak Base</t>
  </si>
  <si>
    <t>Kw:</t>
  </si>
  <si>
    <t>1/2 Ve</t>
  </si>
  <si>
    <t>2Ve:</t>
  </si>
  <si>
    <t>1/2 Ve:</t>
  </si>
  <si>
    <t>Cocaine</t>
  </si>
  <si>
    <t>HNO3</t>
  </si>
  <si>
    <t>INFO:</t>
  </si>
  <si>
    <t>Formulas from: (Quantitative Chemical Analysis, Harris, p.256)</t>
  </si>
  <si>
    <t>Scroll Value</t>
  </si>
  <si>
    <t>Weak Acid</t>
  </si>
  <si>
    <t>Strong Base</t>
  </si>
  <si>
    <t>Formic Acid</t>
  </si>
  <si>
    <t>KOH</t>
  </si>
  <si>
    <t xml:space="preserve"> </t>
  </si>
  <si>
    <t>Contact: jkelowitt@protonmail.com</t>
  </si>
  <si>
    <t>Instructions:</t>
  </si>
  <si>
    <t>Insert initial conditions into the colored cells</t>
  </si>
  <si>
    <t>The graph will auto update to these conditions</t>
  </si>
  <si>
    <t>but will not touch the data in the tables</t>
  </si>
  <si>
    <t>The button "Clear All Calculations" will clear all graphs,</t>
  </si>
  <si>
    <t>https://github.com/jkelowitt/titration-curves</t>
  </si>
  <si>
    <t>Ka Scroll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</si>
</sst>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11" fontId="0" fillId="0" borderId="0" xfId="0" applyNumberFormat="1"/>
    <xf numFmtId="2" fontId="0" fillId="0" borderId="0" xfId="0" applyNumberFormat="1"/>
    <xf numFmtId="0" fontId="0" fillId="0" borderId="4" xfId="0" applyBorder="1"/>
    <xf numFmtId="2" fontId="0" fillId="0" borderId="3" xfId="0" applyNumberFormat="1" applyBorder="1"/>
    <xf numFmtId="0" fontId="0" fillId="0" borderId="0" xfId="0" applyBorder="1"/>
    <xf numFmtId="0" fontId="0" fillId="0" borderId="1" xfId="0" applyBorder="1"/>
    <xf numFmtId="0" fontId="0" fillId="0" borderId="2" xfId="0" applyFill="1" applyBorder="1"/>
    <xf numFmtId="0" fontId="0" fillId="0" borderId="9" xfId="0" applyBorder="1"/>
    <xf numFmtId="11" fontId="0" fillId="0" borderId="10" xfId="0" applyNumberFormat="1" applyBorder="1"/>
    <xf numFmtId="11" fontId="0" fillId="0" borderId="12" xfId="0" applyNumberFormat="1" applyBorder="1"/>
    <xf numFmtId="0" fontId="0" fillId="0" borderId="0" xfId="0" applyAlignment="1"/>
    <xf numFmtId="2" fontId="0" fillId="0" borderId="1" xfId="0" applyNumberFormat="1" applyBorder="1"/>
    <xf numFmtId="0" fontId="0" fillId="0" borderId="3" xfId="0" applyBorder="1"/>
    <xf numFmtId="0" fontId="0" fillId="0" borderId="4" xfId="0" applyFill="1" applyBorder="1"/>
    <xf numFmtId="0" fontId="0" fillId="0" borderId="7" xfId="0" applyFill="1" applyBorder="1"/>
    <xf numFmtId="0" fontId="0" fillId="0" borderId="8" xfId="0" applyBorder="1"/>
    <xf numFmtId="2" fontId="0" fillId="0" borderId="8" xfId="0" applyNumberFormat="1" applyBorder="1"/>
    <xf numFmtId="0" fontId="0" fillId="2" borderId="3" xfId="0" applyFill="1" applyBorder="1" applyAlignment="1">
      <alignment horizontal="center"/>
    </xf>
    <xf numFmtId="11" fontId="0" fillId="2" borderId="3" xfId="0" applyNumberFormat="1" applyFill="1" applyBorder="1" applyAlignment="1">
      <alignment horizontal="right"/>
    </xf>
    <xf numFmtId="2" fontId="0" fillId="2" borderId="3" xfId="0" applyNumberFormat="1" applyFill="1" applyBorder="1" applyAlignment="1">
      <alignment horizontal="right"/>
    </xf>
    <xf numFmtId="0" fontId="0" fillId="3" borderId="3" xfId="0" applyFill="1" applyBorder="1" applyAlignment="1">
      <alignment horizontal="center"/>
    </xf>
    <xf numFmtId="11" fontId="0" fillId="3" borderId="3" xfId="0" applyNumberFormat="1" applyFill="1" applyBorder="1"/>
    <xf numFmtId="2" fontId="0" fillId="3" borderId="3" xfId="0" applyNumberFormat="1" applyFill="1" applyBorder="1"/>
    <xf numFmtId="2" fontId="0" fillId="0" borderId="11" xfId="0" applyNumberFormat="1" applyBorder="1"/>
    <xf numFmtId="0" fontId="3" fillId="4" borderId="13" xfId="0" applyFont="1" applyFill="1" applyBorder="1"/>
    <xf numFmtId="0" fontId="3" fillId="4" borderId="14" xfId="0" applyFont="1" applyFill="1" applyBorder="1"/>
    <xf numFmtId="0" fontId="3" fillId="4" borderId="15" xfId="0" applyFont="1" applyFill="1" applyBorder="1"/>
    <xf numFmtId="0" fontId="3" fillId="4" borderId="4" xfId="0" applyFont="1" applyFill="1" applyBorder="1"/>
    <xf numFmtId="0" fontId="3" fillId="4" borderId="0" xfId="0" applyFont="1" applyFill="1" applyBorder="1"/>
    <xf numFmtId="0" fontId="3" fillId="4" borderId="3" xfId="0" applyFont="1" applyFill="1" applyBorder="1"/>
    <xf numFmtId="0" fontId="3" fillId="4" borderId="0" xfId="0" applyFont="1" applyFill="1" applyBorder="1" applyAlignment="1"/>
    <xf numFmtId="0" fontId="4" fillId="4" borderId="4" xfId="0" applyFont="1" applyFill="1" applyBorder="1"/>
    <xf numFmtId="11" fontId="4" fillId="4" borderId="3" xfId="0" applyNumberFormat="1" applyFont="1" applyFill="1" applyBorder="1" applyAlignment="1">
      <alignment horizontal="right"/>
    </xf>
    <xf numFmtId="2" fontId="4" fillId="4" borderId="3" xfId="0" applyNumberFormat="1" applyFont="1" applyFill="1" applyBorder="1" applyAlignment="1">
      <alignment horizontal="right"/>
    </xf>
    <xf numFmtId="0" fontId="4" fillId="4" borderId="3" xfId="0" applyFont="1" applyFill="1" applyBorder="1"/>
    <xf numFmtId="0" fontId="4" fillId="4" borderId="2" xfId="0" applyFont="1" applyFill="1" applyBorder="1"/>
    <xf numFmtId="0" fontId="4" fillId="4" borderId="1" xfId="0" applyFont="1" applyFill="1" applyBorder="1"/>
    <xf numFmtId="0" fontId="3" fillId="4" borderId="2" xfId="0" applyFont="1" applyFill="1" applyBorder="1"/>
    <xf numFmtId="0" fontId="3" fillId="4" borderId="16" xfId="0" applyFont="1" applyFill="1" applyBorder="1" applyAlignment="1">
      <alignment horizontal="left" vertical="center"/>
    </xf>
    <xf numFmtId="0" fontId="3" fillId="4" borderId="16" xfId="0" applyFont="1" applyFill="1" applyBorder="1"/>
    <xf numFmtId="0" fontId="3" fillId="4" borderId="1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2" fontId="0" fillId="0" borderId="17" xfId="0" applyNumberFormat="1" applyBorder="1"/>
    <xf numFmtId="2" fontId="0" fillId="0" borderId="12" xfId="0" applyNumberFormat="1" applyBorder="1"/>
    <xf numFmtId="2" fontId="0" fillId="0" borderId="18" xfId="0" applyNumberFormat="1" applyBorder="1"/>
    <xf numFmtId="0" fontId="7" fillId="0" borderId="0" xfId="1" applyFill="1" applyBorder="1"/>
    <xf numFmtId="0" fontId="0" fillId="0" borderId="19" xfId="0" applyBorder="1"/>
    <xf numFmtId="0" fontId="0" fillId="0" borderId="20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C80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Monoprotic!$B$5</c:f>
          <c:strCache>
            <c:ptCount val="1"/>
            <c:pt idx="0">
              <c:v>pH of 50mL of 0.5M Formic Acid with the Titrant 0.05M KOH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CalcSheet!$L$1:$L$141</c:f>
              <c:numCache>
                <c:formatCode>0.00</c:formatCode>
                <c:ptCount val="141"/>
                <c:pt idx="0">
                  <c:v>2.7060798064177654</c:v>
                </c:pt>
                <c:pt idx="1">
                  <c:v>6.7118484822641449</c:v>
                </c:pt>
                <c:pt idx="2">
                  <c:v>11.200231817922294</c:v>
                </c:pt>
                <c:pt idx="3">
                  <c:v>16.346444242205358</c:v>
                </c:pt>
                <c:pt idx="4">
                  <c:v>22.351814317616814</c:v>
                </c:pt>
                <c:pt idx="5">
                  <c:v>29.442778040303956</c:v>
                </c:pt>
                <c:pt idx="6">
                  <c:v>37.867929069704097</c:v>
                </c:pt>
                <c:pt idx="7">
                  <c:v>47.89163171091527</c:v>
                </c:pt>
                <c:pt idx="8">
                  <c:v>59.782515003342461</c:v>
                </c:pt>
                <c:pt idx="9">
                  <c:v>73.795280848710405</c:v>
                </c:pt>
                <c:pt idx="10">
                  <c:v>90.144914028712449</c:v>
                </c:pt>
                <c:pt idx="11">
                  <c:v>108.97382911511902</c:v>
                </c:pt>
                <c:pt idx="12">
                  <c:v>130.31483491915827</c:v>
                </c:pt>
                <c:pt idx="13">
                  <c:v>154.05575579289811</c:v>
                </c:pt>
                <c:pt idx="14">
                  <c:v>179.9142224651618</c:v>
                </c:pt>
                <c:pt idx="15">
                  <c:v>207.43206890368697</c:v>
                </c:pt>
                <c:pt idx="16">
                  <c:v>235.99648322937489</c:v>
                </c:pt>
                <c:pt idx="17">
                  <c:v>264.88913609600166</c:v>
                </c:pt>
                <c:pt idx="18">
                  <c:v>293.35644963784108</c:v>
                </c:pt>
                <c:pt idx="19">
                  <c:v>320.68719778179587</c:v>
                </c:pt>
                <c:pt idx="20">
                  <c:v>346.28106021943159</c:v>
                </c:pt>
                <c:pt idx="21">
                  <c:v>369.69489560795904</c:v>
                </c:pt>
                <c:pt idx="22">
                  <c:v>390.66075989968783</c:v>
                </c:pt>
                <c:pt idx="23">
                  <c:v>409.07766270903323</c:v>
                </c:pt>
                <c:pt idx="24">
                  <c:v>424.98463159432822</c:v>
                </c:pt>
                <c:pt idx="25">
                  <c:v>438.52456031905433</c:v>
                </c:pt>
                <c:pt idx="26">
                  <c:v>449.9071390564925</c:v>
                </c:pt>
                <c:pt idx="27">
                  <c:v>459.37640985131861</c:v>
                </c:pt>
                <c:pt idx="28">
                  <c:v>467.18558162498459</c:v>
                </c:pt>
                <c:pt idx="29">
                  <c:v>473.57950520158147</c:v>
                </c:pt>
                <c:pt idx="30">
                  <c:v>478.78388158655366</c:v>
                </c:pt>
                <c:pt idx="31">
                  <c:v>482.99972100262841</c:v>
                </c:pt>
                <c:pt idx="32">
                  <c:v>486.40152242173491</c:v>
                </c:pt>
                <c:pt idx="33">
                  <c:v>489.1378578037851</c:v>
                </c:pt>
                <c:pt idx="34">
                  <c:v>491.33334969241315</c:v>
                </c:pt>
                <c:pt idx="35">
                  <c:v>493.09132756060069</c:v>
                </c:pt>
                <c:pt idx="36">
                  <c:v>494.49669428009184</c:v>
                </c:pt>
                <c:pt idx="37">
                  <c:v>495.61871884870061</c:v>
                </c:pt>
                <c:pt idx="38">
                  <c:v>496.51360061529834</c:v>
                </c:pt>
                <c:pt idx="39">
                  <c:v>497.22673506587262</c:v>
                </c:pt>
                <c:pt idx="40">
                  <c:v>497.79466362786286</c:v>
                </c:pt>
                <c:pt idx="41">
                  <c:v>498.24671999323215</c:v>
                </c:pt>
                <c:pt idx="42">
                  <c:v>498.60640086606156</c:v>
                </c:pt>
                <c:pt idx="43">
                  <c:v>498.89249532165428</c:v>
                </c:pt>
                <c:pt idx="44">
                  <c:v>499.12000786938916</c:v>
                </c:pt>
                <c:pt idx="45">
                  <c:v>499.30090828361057</c:v>
                </c:pt>
                <c:pt idx="46">
                  <c:v>499.44473783483835</c:v>
                </c:pt>
                <c:pt idx="47">
                  <c:v>499.55909763348478</c:v>
                </c:pt>
                <c:pt idx="48">
                  <c:v>499.6500409084008</c:v>
                </c:pt>
                <c:pt idx="49">
                  <c:v>499.72238745197137</c:v>
                </c:pt>
                <c:pt idx="50">
                  <c:v>499.77997529023162</c:v>
                </c:pt>
                <c:pt idx="51">
                  <c:v>499.82586191124653</c:v>
                </c:pt>
                <c:pt idx="52">
                  <c:v>499.86248509095378</c:v>
                </c:pt>
                <c:pt idx="53">
                  <c:v>499.89179145270992</c:v>
                </c:pt>
                <c:pt idx="54">
                  <c:v>499.91533933595872</c:v>
                </c:pt>
                <c:pt idx="55">
                  <c:v>499.93438128097239</c:v>
                </c:pt>
                <c:pt idx="56">
                  <c:v>499.94993041414239</c:v>
                </c:pt>
                <c:pt idx="57">
                  <c:v>499.96281420081249</c:v>
                </c:pt>
                <c:pt idx="58">
                  <c:v>499.97371838513413</c:v>
                </c:pt>
                <c:pt idx="59">
                  <c:v>499.98322342981498</c:v>
                </c:pt>
                <c:pt idx="60">
                  <c:v>499.99183537935738</c:v>
                </c:pt>
                <c:pt idx="61">
                  <c:v>500.00001277990702</c:v>
                </c:pt>
                <c:pt idx="62">
                  <c:v>500.00819108306371</c:v>
                </c:pt>
                <c:pt idx="63">
                  <c:v>500.01680582991821</c:v>
                </c:pt>
                <c:pt idx="64">
                  <c:v>500.02631584879651</c:v>
                </c:pt>
                <c:pt idx="65">
                  <c:v>500.03722770285066</c:v>
                </c:pt>
                <c:pt idx="66">
                  <c:v>500.050122692299</c:v>
                </c:pt>
                <c:pt idx="67">
                  <c:v>500.0656878548769</c:v>
                </c:pt>
                <c:pt idx="68">
                  <c:v>500.08475262491299</c:v>
                </c:pt>
                <c:pt idx="69">
                  <c:v>500.10833311877752</c:v>
                </c:pt>
                <c:pt idx="70">
                  <c:v>500.13768642993358</c:v>
                </c:pt>
                <c:pt idx="71">
                  <c:v>500.17437786460317</c:v>
                </c:pt>
                <c:pt idx="72">
                  <c:v>500.22036476151277</c:v>
                </c:pt>
                <c:pt idx="73">
                  <c:v>500.27810145931693</c:v>
                </c:pt>
                <c:pt idx="74">
                  <c:v>500.35067116015773</c:v>
                </c:pt>
                <c:pt idx="75">
                  <c:v>500.44195196330838</c:v>
                </c:pt>
                <c:pt idx="76">
                  <c:v>500.55682631059295</c:v>
                </c:pt>
                <c:pt idx="77">
                  <c:v>500.70144563258299</c:v>
                </c:pt>
                <c:pt idx="78">
                  <c:v>500.88356529902296</c:v>
                </c:pt>
                <c:pt idx="79">
                  <c:v>501.11296931817327</c:v>
                </c:pt>
                <c:pt idx="80">
                  <c:v>501.40200996233813</c:v>
                </c:pt>
                <c:pt idx="81">
                  <c:v>501.76629514074648</c:v>
                </c:pt>
                <c:pt idx="82">
                  <c:v>502.22556665007443</c:v>
                </c:pt>
                <c:pt idx="83">
                  <c:v>502.8048265194227</c:v>
                </c:pt>
                <c:pt idx="84">
                  <c:v>503.535788200284</c:v>
                </c:pt>
                <c:pt idx="85">
                  <c:v>504.4587568860681</c:v>
                </c:pt>
                <c:pt idx="86">
                  <c:v>505.62508275718142</c:v>
                </c:pt>
                <c:pt idx="87">
                  <c:v>507.10038875291178</c:v>
                </c:pt>
                <c:pt idx="88">
                  <c:v>508.96886080823953</c:v>
                </c:pt>
                <c:pt idx="89">
                  <c:v>511.33902032042869</c:v>
                </c:pt>
                <c:pt idx="90">
                  <c:v>514.35160468749541</c:v>
                </c:pt>
                <c:pt idx="91">
                  <c:v>518.19051215124273</c:v>
                </c:pt>
                <c:pt idx="92">
                  <c:v>523.09831159127225</c:v>
                </c:pt>
                <c:pt idx="93">
                  <c:v>529.39874245540568</c:v>
                </c:pt>
                <c:pt idx="94">
                  <c:v>537.5302538676043</c:v>
                </c:pt>
                <c:pt idx="95">
                  <c:v>548.09759513818426</c:v>
                </c:pt>
                <c:pt idx="96">
                  <c:v>561.95412013365774</c:v>
                </c:pt>
                <c:pt idx="97">
                  <c:v>580.33880967563994</c:v>
                </c:pt>
                <c:pt idx="98">
                  <c:v>605.11621192658947</c:v>
                </c:pt>
                <c:pt idx="99">
                  <c:v>639.22305414591187</c:v>
                </c:pt>
                <c:pt idx="100">
                  <c:v>687.56492046972676</c:v>
                </c:pt>
                <c:pt idx="101">
                  <c:v>759.00010879248498</c:v>
                </c:pt>
                <c:pt idx="102">
                  <c:v>871.33937150551753</c:v>
                </c:pt>
              </c:numCache>
            </c:numRef>
          </c:xVal>
          <c:yVal>
            <c:numRef>
              <c:f>CalcSheet!$G$1:$G$141</c:f>
              <c:numCache>
                <c:formatCode>0.00</c:formatCode>
                <c:ptCount val="141"/>
                <c:pt idx="0">
                  <c:v>2.1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2.4</c:v>
                </c:pt>
                <c:pt idx="4">
                  <c:v>2.5</c:v>
                </c:pt>
                <c:pt idx="5">
                  <c:v>2.6</c:v>
                </c:pt>
                <c:pt idx="6">
                  <c:v>2.7</c:v>
                </c:pt>
                <c:pt idx="7">
                  <c:v>2.8</c:v>
                </c:pt>
                <c:pt idx="8">
                  <c:v>2.9</c:v>
                </c:pt>
                <c:pt idx="9">
                  <c:v>3</c:v>
                </c:pt>
                <c:pt idx="10">
                  <c:v>3.1</c:v>
                </c:pt>
                <c:pt idx="11">
                  <c:v>3.2</c:v>
                </c:pt>
                <c:pt idx="12">
                  <c:v>3.3</c:v>
                </c:pt>
                <c:pt idx="13">
                  <c:v>3.4</c:v>
                </c:pt>
                <c:pt idx="14">
                  <c:v>3.5</c:v>
                </c:pt>
                <c:pt idx="15">
                  <c:v>3.6</c:v>
                </c:pt>
                <c:pt idx="16">
                  <c:v>3.7</c:v>
                </c:pt>
                <c:pt idx="17">
                  <c:v>3.8</c:v>
                </c:pt>
                <c:pt idx="18">
                  <c:v>3.9</c:v>
                </c:pt>
                <c:pt idx="19">
                  <c:v>4</c:v>
                </c:pt>
                <c:pt idx="20">
                  <c:v>4.0999999999999996</c:v>
                </c:pt>
                <c:pt idx="21">
                  <c:v>4.2</c:v>
                </c:pt>
                <c:pt idx="22">
                  <c:v>4.3</c:v>
                </c:pt>
                <c:pt idx="23">
                  <c:v>4.4000000000000004</c:v>
                </c:pt>
                <c:pt idx="24">
                  <c:v>4.5</c:v>
                </c:pt>
                <c:pt idx="25">
                  <c:v>4.5999999999999996</c:v>
                </c:pt>
                <c:pt idx="26">
                  <c:v>4.7</c:v>
                </c:pt>
                <c:pt idx="27">
                  <c:v>4.8</c:v>
                </c:pt>
                <c:pt idx="28">
                  <c:v>4.9000000000000004</c:v>
                </c:pt>
                <c:pt idx="29">
                  <c:v>5</c:v>
                </c:pt>
                <c:pt idx="30">
                  <c:v>5.0999999999999996</c:v>
                </c:pt>
                <c:pt idx="31">
                  <c:v>5.2</c:v>
                </c:pt>
                <c:pt idx="32">
                  <c:v>5.3</c:v>
                </c:pt>
                <c:pt idx="33">
                  <c:v>5.4</c:v>
                </c:pt>
                <c:pt idx="34">
                  <c:v>5.5</c:v>
                </c:pt>
                <c:pt idx="35">
                  <c:v>5.6</c:v>
                </c:pt>
                <c:pt idx="36">
                  <c:v>5.7</c:v>
                </c:pt>
                <c:pt idx="37">
                  <c:v>5.8</c:v>
                </c:pt>
                <c:pt idx="38">
                  <c:v>5.9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6.4</c:v>
                </c:pt>
                <c:pt idx="44">
                  <c:v>6.5</c:v>
                </c:pt>
                <c:pt idx="45">
                  <c:v>6.6</c:v>
                </c:pt>
                <c:pt idx="46">
                  <c:v>6.7</c:v>
                </c:pt>
                <c:pt idx="47">
                  <c:v>6.8</c:v>
                </c:pt>
                <c:pt idx="48">
                  <c:v>6.9</c:v>
                </c:pt>
                <c:pt idx="49">
                  <c:v>7</c:v>
                </c:pt>
                <c:pt idx="50">
                  <c:v>7.1</c:v>
                </c:pt>
                <c:pt idx="51">
                  <c:v>7.2</c:v>
                </c:pt>
                <c:pt idx="52">
                  <c:v>7.3</c:v>
                </c:pt>
                <c:pt idx="53">
                  <c:v>7.4</c:v>
                </c:pt>
                <c:pt idx="54">
                  <c:v>7.5</c:v>
                </c:pt>
                <c:pt idx="55">
                  <c:v>7.6</c:v>
                </c:pt>
                <c:pt idx="56">
                  <c:v>7.7</c:v>
                </c:pt>
                <c:pt idx="57">
                  <c:v>7.8</c:v>
                </c:pt>
                <c:pt idx="58">
                  <c:v>7.9</c:v>
                </c:pt>
                <c:pt idx="59">
                  <c:v>8</c:v>
                </c:pt>
                <c:pt idx="60">
                  <c:v>8.1</c:v>
                </c:pt>
                <c:pt idx="61">
                  <c:v>8.1999999999999993</c:v>
                </c:pt>
                <c:pt idx="62">
                  <c:v>8.3000000000000007</c:v>
                </c:pt>
                <c:pt idx="63">
                  <c:v>8.4</c:v>
                </c:pt>
                <c:pt idx="64">
                  <c:v>8.5</c:v>
                </c:pt>
                <c:pt idx="65">
                  <c:v>8.6</c:v>
                </c:pt>
                <c:pt idx="66">
                  <c:v>8.6999999999999993</c:v>
                </c:pt>
                <c:pt idx="67">
                  <c:v>8.8000000000000007</c:v>
                </c:pt>
                <c:pt idx="68">
                  <c:v>8.9</c:v>
                </c:pt>
                <c:pt idx="69">
                  <c:v>9</c:v>
                </c:pt>
                <c:pt idx="70">
                  <c:v>9.1</c:v>
                </c:pt>
                <c:pt idx="71">
                  <c:v>9.1999999999999993</c:v>
                </c:pt>
                <c:pt idx="72">
                  <c:v>9.3000000000000007</c:v>
                </c:pt>
                <c:pt idx="73">
                  <c:v>9.4</c:v>
                </c:pt>
                <c:pt idx="74">
                  <c:v>9.5</c:v>
                </c:pt>
                <c:pt idx="75">
                  <c:v>9.6</c:v>
                </c:pt>
                <c:pt idx="76">
                  <c:v>9.6999999999999993</c:v>
                </c:pt>
                <c:pt idx="77">
                  <c:v>9.8000000000000007</c:v>
                </c:pt>
                <c:pt idx="78">
                  <c:v>9.9</c:v>
                </c:pt>
                <c:pt idx="79">
                  <c:v>10</c:v>
                </c:pt>
                <c:pt idx="80">
                  <c:v>10.1</c:v>
                </c:pt>
                <c:pt idx="81">
                  <c:v>10.199999999999999</c:v>
                </c:pt>
                <c:pt idx="82">
                  <c:v>10.3</c:v>
                </c:pt>
                <c:pt idx="83">
                  <c:v>10.4</c:v>
                </c:pt>
                <c:pt idx="84">
                  <c:v>10.5</c:v>
                </c:pt>
                <c:pt idx="85">
                  <c:v>10.6</c:v>
                </c:pt>
                <c:pt idx="86">
                  <c:v>10.7</c:v>
                </c:pt>
                <c:pt idx="87">
                  <c:v>10.8</c:v>
                </c:pt>
                <c:pt idx="88">
                  <c:v>10.9</c:v>
                </c:pt>
                <c:pt idx="89">
                  <c:v>11</c:v>
                </c:pt>
                <c:pt idx="90">
                  <c:v>11.1</c:v>
                </c:pt>
                <c:pt idx="91">
                  <c:v>11.2</c:v>
                </c:pt>
                <c:pt idx="92">
                  <c:v>11.3</c:v>
                </c:pt>
                <c:pt idx="93">
                  <c:v>11.4</c:v>
                </c:pt>
                <c:pt idx="94">
                  <c:v>11.5</c:v>
                </c:pt>
                <c:pt idx="95">
                  <c:v>11.6</c:v>
                </c:pt>
                <c:pt idx="96">
                  <c:v>11.7</c:v>
                </c:pt>
                <c:pt idx="97">
                  <c:v>11.8</c:v>
                </c:pt>
                <c:pt idx="98">
                  <c:v>11.9</c:v>
                </c:pt>
                <c:pt idx="99">
                  <c:v>12</c:v>
                </c:pt>
                <c:pt idx="100">
                  <c:v>12.1</c:v>
                </c:pt>
                <c:pt idx="101">
                  <c:v>12.2</c:v>
                </c:pt>
                <c:pt idx="102">
                  <c:v>12.3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B28-4577-A73B-2FDD43AFB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Monoprotic!$B$20</c:f>
          <c:strCache>
            <c:ptCount val="1"/>
            <c:pt idx="0">
              <c:v>pH of 50mL of 0.1M Cocaine with the Titrant 0.2M HNO3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CalcSheet!$X$1:$X$141</c:f>
              <c:numCache>
                <c:formatCode>0.00</c:formatCode>
                <c:ptCount val="141"/>
                <c:pt idx="0">
                  <c:v>43.639220029928978</c:v>
                </c:pt>
                <c:pt idx="1">
                  <c:v>39.085679660340574</c:v>
                </c:pt>
                <c:pt idx="2">
                  <c:v>35.772540119739254</c:v>
                </c:pt>
                <c:pt idx="3">
                  <c:v>33.311399970958639</c:v>
                </c:pt>
                <c:pt idx="4">
                  <c:v>31.454856228660582</c:v>
                </c:pt>
                <c:pt idx="5">
                  <c:v>30.038091660689766</c:v>
                </c:pt>
                <c:pt idx="6">
                  <c:v>28.947358197964867</c:v>
                </c:pt>
                <c:pt idx="7">
                  <c:v>28.101915611208693</c:v>
                </c:pt>
                <c:pt idx="8">
                  <c:v>27.443150848000101</c:v>
                </c:pt>
                <c:pt idx="9">
                  <c:v>26.92774069969704</c:v>
                </c:pt>
                <c:pt idx="10">
                  <c:v>26.523197282360805</c:v>
                </c:pt>
                <c:pt idx="11">
                  <c:v>26.204874143743158</c:v>
                </c:pt>
                <c:pt idx="12">
                  <c:v>25.953899180054933</c:v>
                </c:pt>
                <c:pt idx="13">
                  <c:v>25.755713930936228</c:v>
                </c:pt>
                <c:pt idx="14">
                  <c:v>25.599020587505493</c:v>
                </c:pt>
                <c:pt idx="15">
                  <c:v>25.475009895281364</c:v>
                </c:pt>
                <c:pt idx="16">
                  <c:v>25.376786815262424</c:v>
                </c:pt>
                <c:pt idx="17">
                  <c:v>25.298938097663804</c:v>
                </c:pt>
                <c:pt idx="18">
                  <c:v>25.23720340775526</c:v>
                </c:pt>
                <c:pt idx="19">
                  <c:v>25.188223110970405</c:v>
                </c:pt>
                <c:pt idx="20">
                  <c:v>25.14934351260446</c:v>
                </c:pt>
                <c:pt idx="21">
                  <c:v>25.118465608795645</c:v>
                </c:pt>
                <c:pt idx="22">
                  <c:v>25.093927075827221</c:v>
                </c:pt>
                <c:pt idx="23">
                  <c:v>25.07440983094228</c:v>
                </c:pt>
                <c:pt idx="24">
                  <c:v>25.058867378421294</c:v>
                </c:pt>
                <c:pt idx="25">
                  <c:v>25.046467531298688</c:v>
                </c:pt>
                <c:pt idx="26">
                  <c:v>25.036547119544291</c:v>
                </c:pt>
                <c:pt idx="27">
                  <c:v>25.028576060020278</c:v>
                </c:pt>
                <c:pt idx="28">
                  <c:v>25.022128741155306</c:v>
                </c:pt>
                <c:pt idx="29">
                  <c:v>25.016861114466508</c:v>
                </c:pt>
                <c:pt idx="30">
                  <c:v>25.012492220203537</c:v>
                </c:pt>
                <c:pt idx="31">
                  <c:v>25.008789130221139</c:v>
                </c:pt>
                <c:pt idx="32">
                  <c:v>25.005554485654997</c:v>
                </c:pt>
                <c:pt idx="33">
                  <c:v>25.002615953169236</c:v>
                </c:pt>
                <c:pt idx="34">
                  <c:v>24.999817030994226</c:v>
                </c:pt>
                <c:pt idx="35">
                  <c:v>24.997008711551</c:v>
                </c:pt>
                <c:pt idx="36">
                  <c:v>24.994041555990599</c:v>
                </c:pt>
                <c:pt idx="37">
                  <c:v>24.990757760676281</c:v>
                </c:pt>
                <c:pt idx="38">
                  <c:v>24.986982798416275</c:v>
                </c:pt>
                <c:pt idx="39">
                  <c:v>24.982516198947852</c:v>
                </c:pt>
                <c:pt idx="40">
                  <c:v>24.977120993732658</c:v>
                </c:pt>
                <c:pt idx="41">
                  <c:v>24.970511288806147</c:v>
                </c:pt>
                <c:pt idx="42">
                  <c:v>24.962337345039927</c:v>
                </c:pt>
                <c:pt idx="43">
                  <c:v>24.952167436447183</c:v>
                </c:pt>
                <c:pt idx="44">
                  <c:v>24.939465623307683</c:v>
                </c:pt>
                <c:pt idx="45">
                  <c:v>24.923564418581886</c:v>
                </c:pt>
                <c:pt idx="46">
                  <c:v>24.903631147000851</c:v>
                </c:pt>
                <c:pt idx="47">
                  <c:v>24.878626605524357</c:v>
                </c:pt>
                <c:pt idx="48">
                  <c:v>24.847254450088847</c:v>
                </c:pt>
                <c:pt idx="49">
                  <c:v>24.80789959055058</c:v>
                </c:pt>
                <c:pt idx="50">
                  <c:v>24.758553831380663</c:v>
                </c:pt>
                <c:pt idx="51">
                  <c:v>24.69672714452992</c:v>
                </c:pt>
                <c:pt idx="52">
                  <c:v>24.619343451142754</c:v>
                </c:pt>
                <c:pt idx="53">
                  <c:v>24.522620843647989</c:v>
                </c:pt>
                <c:pt idx="54">
                  <c:v>24.401938120608381</c:v>
                </c:pt>
                <c:pt idx="55">
                  <c:v>24.251692770989504</c:v>
                </c:pt>
                <c:pt idx="56">
                  <c:v>24.065160681136621</c:v>
                </c:pt>
                <c:pt idx="57">
                  <c:v>23.834375447692651</c:v>
                </c:pt>
                <c:pt idx="58">
                  <c:v>23.550055745662284</c:v>
                </c:pt>
                <c:pt idx="59">
                  <c:v>23.201622724745523</c:v>
                </c:pt>
                <c:pt idx="60">
                  <c:v>22.777364764757188</c:v>
                </c:pt>
                <c:pt idx="61">
                  <c:v>22.264820896622453</c:v>
                </c:pt>
                <c:pt idx="62">
                  <c:v>21.651460355799099</c:v>
                </c:pt>
                <c:pt idx="63">
                  <c:v>20.925723741213584</c:v>
                </c:pt>
                <c:pt idx="64">
                  <c:v>20.078447889936584</c:v>
                </c:pt>
                <c:pt idx="65">
                  <c:v>19.104610361759011</c:v>
                </c:pt>
                <c:pt idx="66">
                  <c:v>18.005200140204288</c:v>
                </c:pt>
                <c:pt idx="67">
                  <c:v>16.788872566629518</c:v>
                </c:pt>
                <c:pt idx="68">
                  <c:v>15.472934413085456</c:v>
                </c:pt>
                <c:pt idx="69">
                  <c:v>14.083207002396732</c:v>
                </c:pt>
                <c:pt idx="70">
                  <c:v>12.652493045289985</c:v>
                </c:pt>
                <c:pt idx="71">
                  <c:v>11.217718030343477</c:v>
                </c:pt>
                <c:pt idx="72">
                  <c:v>9.8162206714296119</c:v>
                </c:pt>
                <c:pt idx="73">
                  <c:v>8.4819549999101813</c:v>
                </c:pt>
                <c:pt idx="74">
                  <c:v>7.2423976870991842</c:v>
                </c:pt>
                <c:pt idx="75">
                  <c:v>6.1167122087120838</c:v>
                </c:pt>
                <c:pt idx="76">
                  <c:v>5.1153271877741275</c:v>
                </c:pt>
                <c:pt idx="77">
                  <c:v>4.2407162070067415</c:v>
                </c:pt>
                <c:pt idx="78">
                  <c:v>3.488948954571315</c:v>
                </c:pt>
                <c:pt idx="79">
                  <c:v>2.8515477156808546</c:v>
                </c:pt>
                <c:pt idx="80">
                  <c:v>2.3172777276102439</c:v>
                </c:pt>
                <c:pt idx="81">
                  <c:v>1.8736464521713321</c:v>
                </c:pt>
                <c:pt idx="82">
                  <c:v>1.5080232187956093</c:v>
                </c:pt>
                <c:pt idx="83">
                  <c:v>1.208386641933727</c:v>
                </c:pt>
                <c:pt idx="84">
                  <c:v>0.96375890011151499</c:v>
                </c:pt>
                <c:pt idx="85">
                  <c:v>0.764403428986282</c:v>
                </c:pt>
                <c:pt idx="86">
                  <c:v>0.60185921381108254</c:v>
                </c:pt>
                <c:pt idx="87">
                  <c:v>0.46887179342323515</c:v>
                </c:pt>
                <c:pt idx="88">
                  <c:v>0.35926554566011604</c:v>
                </c:pt>
                <c:pt idx="89">
                  <c:v>0.26778761717149391</c:v>
                </c:pt>
                <c:pt idx="90">
                  <c:v>0.18994246294879605</c:v>
                </c:pt>
                <c:pt idx="91">
                  <c:v>0.12182754038568326</c:v>
                </c:pt>
                <c:pt idx="92">
                  <c:v>5.9974835861491695E-2</c:v>
                </c:pt>
                <c:pt idx="93">
                  <c:v>1.1989906631262703E-3</c:v>
                </c:pt>
              </c:numCache>
            </c:numRef>
          </c:xVal>
          <c:yVal>
            <c:numRef>
              <c:f>CalcSheet!$S$1:$S$141</c:f>
              <c:numCache>
                <c:formatCode>0.00</c:formatCode>
                <c:ptCount val="141"/>
                <c:pt idx="0">
                  <c:v>1.4</c:v>
                </c:pt>
                <c:pt idx="1">
                  <c:v>1.5</c:v>
                </c:pt>
                <c:pt idx="2">
                  <c:v>1.6</c:v>
                </c:pt>
                <c:pt idx="3">
                  <c:v>1.7</c:v>
                </c:pt>
                <c:pt idx="4">
                  <c:v>1.8</c:v>
                </c:pt>
                <c:pt idx="5">
                  <c:v>1.9</c:v>
                </c:pt>
                <c:pt idx="6">
                  <c:v>2</c:v>
                </c:pt>
                <c:pt idx="7">
                  <c:v>2.1</c:v>
                </c:pt>
                <c:pt idx="8">
                  <c:v>2.2000000000000002</c:v>
                </c:pt>
                <c:pt idx="9">
                  <c:v>2.2999999999999998</c:v>
                </c:pt>
                <c:pt idx="10">
                  <c:v>2.4</c:v>
                </c:pt>
                <c:pt idx="11">
                  <c:v>2.5</c:v>
                </c:pt>
                <c:pt idx="12">
                  <c:v>2.6</c:v>
                </c:pt>
                <c:pt idx="13">
                  <c:v>2.7</c:v>
                </c:pt>
                <c:pt idx="14">
                  <c:v>2.8</c:v>
                </c:pt>
                <c:pt idx="15">
                  <c:v>2.9</c:v>
                </c:pt>
                <c:pt idx="16">
                  <c:v>3</c:v>
                </c:pt>
                <c:pt idx="17">
                  <c:v>3.1</c:v>
                </c:pt>
                <c:pt idx="18">
                  <c:v>3.2</c:v>
                </c:pt>
                <c:pt idx="19">
                  <c:v>3.3</c:v>
                </c:pt>
                <c:pt idx="20">
                  <c:v>3.4</c:v>
                </c:pt>
                <c:pt idx="21">
                  <c:v>3.5</c:v>
                </c:pt>
                <c:pt idx="22">
                  <c:v>3.6</c:v>
                </c:pt>
                <c:pt idx="23">
                  <c:v>3.7</c:v>
                </c:pt>
                <c:pt idx="24">
                  <c:v>3.8</c:v>
                </c:pt>
                <c:pt idx="25">
                  <c:v>3.9</c:v>
                </c:pt>
                <c:pt idx="26">
                  <c:v>4</c:v>
                </c:pt>
                <c:pt idx="27">
                  <c:v>4.0999999999999996</c:v>
                </c:pt>
                <c:pt idx="28">
                  <c:v>4.2</c:v>
                </c:pt>
                <c:pt idx="29">
                  <c:v>4.3</c:v>
                </c:pt>
                <c:pt idx="30">
                  <c:v>4.4000000000000004</c:v>
                </c:pt>
                <c:pt idx="31">
                  <c:v>4.5</c:v>
                </c:pt>
                <c:pt idx="32">
                  <c:v>4.5999999999999996</c:v>
                </c:pt>
                <c:pt idx="33">
                  <c:v>4.7</c:v>
                </c:pt>
                <c:pt idx="34">
                  <c:v>4.8</c:v>
                </c:pt>
                <c:pt idx="35">
                  <c:v>4.9000000000000004</c:v>
                </c:pt>
                <c:pt idx="36">
                  <c:v>5</c:v>
                </c:pt>
                <c:pt idx="37">
                  <c:v>5.0999999999999996</c:v>
                </c:pt>
                <c:pt idx="38">
                  <c:v>5.2</c:v>
                </c:pt>
                <c:pt idx="39">
                  <c:v>5.3</c:v>
                </c:pt>
                <c:pt idx="40">
                  <c:v>5.4</c:v>
                </c:pt>
                <c:pt idx="41">
                  <c:v>5.5</c:v>
                </c:pt>
                <c:pt idx="42">
                  <c:v>5.6</c:v>
                </c:pt>
                <c:pt idx="43">
                  <c:v>5.7</c:v>
                </c:pt>
                <c:pt idx="44">
                  <c:v>5.8</c:v>
                </c:pt>
                <c:pt idx="45">
                  <c:v>5.9</c:v>
                </c:pt>
                <c:pt idx="46">
                  <c:v>6</c:v>
                </c:pt>
                <c:pt idx="47">
                  <c:v>6.1</c:v>
                </c:pt>
                <c:pt idx="48">
                  <c:v>6.2</c:v>
                </c:pt>
                <c:pt idx="49">
                  <c:v>6.3</c:v>
                </c:pt>
                <c:pt idx="50">
                  <c:v>6.4</c:v>
                </c:pt>
                <c:pt idx="51">
                  <c:v>6.5</c:v>
                </c:pt>
                <c:pt idx="52">
                  <c:v>6.6</c:v>
                </c:pt>
                <c:pt idx="53">
                  <c:v>6.7</c:v>
                </c:pt>
                <c:pt idx="54">
                  <c:v>6.8</c:v>
                </c:pt>
                <c:pt idx="55">
                  <c:v>6.9</c:v>
                </c:pt>
                <c:pt idx="56">
                  <c:v>7</c:v>
                </c:pt>
                <c:pt idx="57">
                  <c:v>7.1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  <c:pt idx="61">
                  <c:v>7.5</c:v>
                </c:pt>
                <c:pt idx="62">
                  <c:v>7.6</c:v>
                </c:pt>
                <c:pt idx="63">
                  <c:v>7.7</c:v>
                </c:pt>
                <c:pt idx="64">
                  <c:v>7.8</c:v>
                </c:pt>
                <c:pt idx="65">
                  <c:v>7.9</c:v>
                </c:pt>
                <c:pt idx="66">
                  <c:v>8</c:v>
                </c:pt>
                <c:pt idx="67">
                  <c:v>8.1</c:v>
                </c:pt>
                <c:pt idx="68">
                  <c:v>8.1999999999999993</c:v>
                </c:pt>
                <c:pt idx="69">
                  <c:v>8.3000000000000007</c:v>
                </c:pt>
                <c:pt idx="70">
                  <c:v>8.4</c:v>
                </c:pt>
                <c:pt idx="71">
                  <c:v>8.5</c:v>
                </c:pt>
                <c:pt idx="72">
                  <c:v>8.6</c:v>
                </c:pt>
                <c:pt idx="73">
                  <c:v>8.6999999999999993</c:v>
                </c:pt>
                <c:pt idx="74">
                  <c:v>8.8000000000000007</c:v>
                </c:pt>
                <c:pt idx="75">
                  <c:v>8.9</c:v>
                </c:pt>
                <c:pt idx="76">
                  <c:v>9</c:v>
                </c:pt>
                <c:pt idx="77">
                  <c:v>9.1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9.5</c:v>
                </c:pt>
                <c:pt idx="82">
                  <c:v>9.6</c:v>
                </c:pt>
                <c:pt idx="83">
                  <c:v>9.6999999999999993</c:v>
                </c:pt>
                <c:pt idx="84">
                  <c:v>9.8000000000000007</c:v>
                </c:pt>
                <c:pt idx="85">
                  <c:v>9.9</c:v>
                </c:pt>
                <c:pt idx="86">
                  <c:v>10</c:v>
                </c:pt>
                <c:pt idx="87">
                  <c:v>10.1</c:v>
                </c:pt>
                <c:pt idx="88">
                  <c:v>10.199999999999999</c:v>
                </c:pt>
                <c:pt idx="89">
                  <c:v>10.3</c:v>
                </c:pt>
                <c:pt idx="90">
                  <c:v>10.4</c:v>
                </c:pt>
                <c:pt idx="91">
                  <c:v>10.5</c:v>
                </c:pt>
                <c:pt idx="92">
                  <c:v>10.6</c:v>
                </c:pt>
                <c:pt idx="93">
                  <c:v>10.7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91-42F5-BC05-1826DD80C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</a:t>
                </a:r>
                <a:r>
                  <a:rPr lang="en-US" baseline="0"/>
                  <a:t> of Titrant Added (mL)</a:t>
                </a:r>
              </a:p>
            </c:rich>
          </c:tx>
          <c:layout>
            <c:manualLayout>
              <c:xMode val="edge"/>
              <c:yMode val="edge"/>
              <c:x val="0.33956386701662294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pH of a Weak Acid vs Volume of Strong Base Titrant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pH</c:v>
          </c:tx>
          <c:spPr>
            <a:ln w="666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CalcSheet!$AJ$1:$AJ$141</c:f>
              <c:numCache>
                <c:formatCode>0.00</c:formatCode>
                <c:ptCount val="141"/>
                <c:pt idx="0">
                  <c:v>0.28922682844294956</c:v>
                </c:pt>
                <c:pt idx="1">
                  <c:v>0.59594515155677519</c:v>
                </c:pt>
                <c:pt idx="2">
                  <c:v>0.93406305073998264</c:v>
                </c:pt>
                <c:pt idx="3">
                  <c:v>1.3210255440787002</c:v>
                </c:pt>
                <c:pt idx="4">
                  <c:v>1.776644732392934</c:v>
                </c:pt>
                <c:pt idx="5">
                  <c:v>2.3239893857729359</c:v>
                </c:pt>
                <c:pt idx="6">
                  <c:v>2.9903673942267188</c:v>
                </c:pt>
                <c:pt idx="7">
                  <c:v>3.8084058831558893</c:v>
                </c:pt>
                <c:pt idx="8">
                  <c:v>4.8172165443777528</c:v>
                </c:pt>
                <c:pt idx="9">
                  <c:v>6.0636054990724944</c:v>
                </c:pt>
                <c:pt idx="10">
                  <c:v>7.6032433597071343</c:v>
                </c:pt>
                <c:pt idx="11">
                  <c:v>9.5016473158626127</c:v>
                </c:pt>
                <c:pt idx="12">
                  <c:v>11.834739411371466</c:v>
                </c:pt>
                <c:pt idx="13">
                  <c:v>14.688634354669139</c:v>
                </c:pt>
                <c:pt idx="14">
                  <c:v>18.158186568370947</c:v>
                </c:pt>
                <c:pt idx="15">
                  <c:v>22.343717772860302</c:v>
                </c:pt>
                <c:pt idx="16">
                  <c:v>27.345307869952151</c:v>
                </c:pt>
                <c:pt idx="17">
                  <c:v>33.254149161339505</c:v>
                </c:pt>
                <c:pt idx="18">
                  <c:v>40.140843638777078</c:v>
                </c:pt>
                <c:pt idx="19">
                  <c:v>48.041251814103013</c:v>
                </c:pt>
                <c:pt idx="20">
                  <c:v>56.941565528584491</c:v>
                </c:pt>
                <c:pt idx="21">
                  <c:v>66.765460435430725</c:v>
                </c:pt>
                <c:pt idx="22">
                  <c:v>77.367014039963905</c:v>
                </c:pt>
                <c:pt idx="23">
                  <c:v>88.532926572200594</c:v>
                </c:pt>
                <c:pt idx="24">
                  <c:v>99.996000483976573</c:v>
                </c:pt>
                <c:pt idx="25">
                  <c:v>111.45896793362498</c:v>
                </c:pt>
                <c:pt idx="26">
                  <c:v>122.62455541138625</c:v>
                </c:pt>
                <c:pt idx="27">
                  <c:v>133.22554806327364</c:v>
                </c:pt>
                <c:pt idx="28">
                  <c:v>143.04861625512785</c:v>
                </c:pt>
                <c:pt idx="29">
                  <c:v>151.9477934812212</c:v>
                </c:pt>
                <c:pt idx="30">
                  <c:v>159.84669489622689</c:v>
                </c:pt>
                <c:pt idx="31">
                  <c:v>166.73143213871856</c:v>
                </c:pt>
                <c:pt idx="32">
                  <c:v>172.63776155075075</c:v>
                </c:pt>
                <c:pt idx="33">
                  <c:v>177.63615145275281</c:v>
                </c:pt>
                <c:pt idx="34">
                  <c:v>181.81762387564783</c:v>
                </c:pt>
                <c:pt idx="35">
                  <c:v>185.28204281612653</c:v>
                </c:pt>
                <c:pt idx="36">
                  <c:v>188.12945700907002</c:v>
                </c:pt>
                <c:pt idx="37">
                  <c:v>190.45437635566719</c:v>
                </c:pt>
                <c:pt idx="38">
                  <c:v>192.3424812897604</c:v>
                </c:pt>
                <c:pt idx="39">
                  <c:v>193.86914690626435</c:v>
                </c:pt>
                <c:pt idx="40">
                  <c:v>195.09920196997962</c:v>
                </c:pt>
                <c:pt idx="41">
                  <c:v>196.08745104689746</c:v>
                </c:pt>
                <c:pt idx="42">
                  <c:v>196.87961128544958</c:v>
                </c:pt>
                <c:pt idx="43">
                  <c:v>197.51342577697821</c:v>
                </c:pt>
                <c:pt idx="44">
                  <c:v>198.01980257623734</c:v>
                </c:pt>
                <c:pt idx="45">
                  <c:v>198.42389171070005</c:v>
                </c:pt>
                <c:pt idx="46">
                  <c:v>198.74605547558858</c:v>
                </c:pt>
                <c:pt idx="47">
                  <c:v>199.00271479234101</c:v>
                </c:pt>
                <c:pt idx="48">
                  <c:v>199.20707087085802</c:v>
                </c:pt>
                <c:pt idx="49">
                  <c:v>199.36971046095471</c:v>
                </c:pt>
                <c:pt idx="50">
                  <c:v>199.49910727052708</c:v>
                </c:pt>
                <c:pt idx="51">
                  <c:v>199.60203352672434</c:v>
                </c:pt>
                <c:pt idx="52">
                  <c:v>199.68389540176503</c:v>
                </c:pt>
                <c:pt idx="53">
                  <c:v>199.74900491067393</c:v>
                </c:pt>
                <c:pt idx="54">
                  <c:v>199.80079940179854</c:v>
                </c:pt>
                <c:pt idx="55">
                  <c:v>199.84201818795364</c:v>
                </c:pt>
                <c:pt idx="56">
                  <c:v>199.87484436275813</c:v>
                </c:pt>
                <c:pt idx="57">
                  <c:v>199.90101848973086</c:v>
                </c:pt>
                <c:pt idx="58">
                  <c:v>199.92192967016541</c:v>
                </c:pt>
                <c:pt idx="59">
                  <c:v>199.93868849211159</c:v>
                </c:pt>
                <c:pt idx="60">
                  <c:v>199.95218552539686</c:v>
                </c:pt>
                <c:pt idx="61">
                  <c:v>199.96313833869436</c:v>
                </c:pt>
                <c:pt idx="62">
                  <c:v>199.97212945456801</c:v>
                </c:pt>
                <c:pt idx="63">
                  <c:v>199.9796372082202</c:v>
                </c:pt>
                <c:pt idx="64">
                  <c:v>199.98606111826248</c:v>
                </c:pt>
                <c:pt idx="65">
                  <c:v>199.99174309855621</c:v>
                </c:pt>
                <c:pt idx="66">
                  <c:v>199.99698562694553</c:v>
                </c:pt>
                <c:pt idx="67">
                  <c:v>200.00206782993629</c:v>
                </c:pt>
                <c:pt idx="68">
                  <c:v>200.00726033484995</c:v>
                </c:pt>
                <c:pt idx="69">
                  <c:v>200.01283967772224</c:v>
                </c:pt>
                <c:pt idx="70">
                  <c:v>200.01910303335904</c:v>
                </c:pt>
                <c:pt idx="71">
                  <c:v>200.02638405273822</c:v>
                </c:pt>
                <c:pt idx="72">
                  <c:v>200.03507065369627</c:v>
                </c:pt>
                <c:pt idx="73">
                  <c:v>200.04562571719379</c:v>
                </c:pt>
                <c:pt idx="74">
                  <c:v>200.05861179957157</c:v>
                </c:pt>
                <c:pt idx="75">
                  <c:v>200.07472119025061</c:v>
                </c:pt>
                <c:pt idx="76">
                  <c:v>200.0948129370793</c:v>
                </c:pt>
                <c:pt idx="77">
                  <c:v>200.11995884533172</c:v>
                </c:pt>
                <c:pt idx="78">
                  <c:v>200.15150095442436</c:v>
                </c:pt>
                <c:pt idx="79">
                  <c:v>200.19112363966363</c:v>
                </c:pt>
                <c:pt idx="80">
                  <c:v>200.24094431600057</c:v>
                </c:pt>
                <c:pt idx="81">
                  <c:v>200.30362779216148</c:v>
                </c:pt>
                <c:pt idx="82">
                  <c:v>200.38253071143228</c:v>
                </c:pt>
                <c:pt idx="83">
                  <c:v>200.48188432204395</c:v>
                </c:pt>
                <c:pt idx="84">
                  <c:v>200.60702618708564</c:v>
                </c:pt>
                <c:pt idx="85">
                  <c:v>200.76469456996952</c:v>
                </c:pt>
                <c:pt idx="86">
                  <c:v>200.96340340025512</c:v>
                </c:pt>
                <c:pt idx="87">
                  <c:v>201.21392134732073</c:v>
                </c:pt>
                <c:pt idx="88">
                  <c:v>201.52988621253763</c:v>
                </c:pt>
                <c:pt idx="89">
                  <c:v>201.92859650505852</c:v>
                </c:pt>
                <c:pt idx="90">
                  <c:v>202.43203708464779</c:v>
                </c:pt>
                <c:pt idx="91">
                  <c:v>203.06821730648167</c:v>
                </c:pt>
                <c:pt idx="92">
                  <c:v>203.87293163282681</c:v>
                </c:pt>
                <c:pt idx="93">
                  <c:v>204.89209976922575</c:v>
                </c:pt>
                <c:pt idx="94">
                  <c:v>206.18491528821014</c:v>
                </c:pt>
                <c:pt idx="95">
                  <c:v>207.82814410925425</c:v>
                </c:pt>
                <c:pt idx="96">
                  <c:v>209.92209441667291</c:v>
                </c:pt>
                <c:pt idx="97">
                  <c:v>212.59907655005441</c:v>
                </c:pt>
                <c:pt idx="98">
                  <c:v>216.03567569579701</c:v>
                </c:pt>
                <c:pt idx="99">
                  <c:v>220.47104594772989</c:v>
                </c:pt>
                <c:pt idx="100">
                  <c:v>226.23505058680436</c:v>
                </c:pt>
                <c:pt idx="101">
                  <c:v>233.79315537483271</c:v>
                </c:pt>
                <c:pt idx="102">
                  <c:v>243.82116804566064</c:v>
                </c:pt>
                <c:pt idx="103">
                  <c:v>257.3361148798698</c:v>
                </c:pt>
                <c:pt idx="104">
                  <c:v>275.93984711767865</c:v>
                </c:pt>
                <c:pt idx="105">
                  <c:v>302.30813793001823</c:v>
                </c:pt>
                <c:pt idx="106">
                  <c:v>341.27278617216513</c:v>
                </c:pt>
              </c:numCache>
            </c:numRef>
          </c:xVal>
          <c:yVal>
            <c:numRef>
              <c:f>CalcSheet!$AE$1:$AE$141</c:f>
              <c:numCache>
                <c:formatCode>0.00</c:formatCode>
                <c:ptCount val="141"/>
                <c:pt idx="0">
                  <c:v>2.5999999999999699</c:v>
                </c:pt>
                <c:pt idx="1">
                  <c:v>2.69999999999997</c:v>
                </c:pt>
                <c:pt idx="2">
                  <c:v>2.7999999999999701</c:v>
                </c:pt>
                <c:pt idx="3">
                  <c:v>2.8999999999999702</c:v>
                </c:pt>
                <c:pt idx="4">
                  <c:v>2.9999999999999698</c:v>
                </c:pt>
                <c:pt idx="5">
                  <c:v>3.0999999999999699</c:v>
                </c:pt>
                <c:pt idx="6">
                  <c:v>3.19999999999997</c:v>
                </c:pt>
                <c:pt idx="7">
                  <c:v>3.2999999999999701</c:v>
                </c:pt>
                <c:pt idx="8">
                  <c:v>3.3999999999999702</c:v>
                </c:pt>
                <c:pt idx="9">
                  <c:v>3.4999999999999698</c:v>
                </c:pt>
                <c:pt idx="10">
                  <c:v>3.5999999999999601</c:v>
                </c:pt>
                <c:pt idx="11">
                  <c:v>3.6999999999999602</c:v>
                </c:pt>
                <c:pt idx="12">
                  <c:v>3.7999999999999599</c:v>
                </c:pt>
                <c:pt idx="13">
                  <c:v>3.8999999999999599</c:v>
                </c:pt>
                <c:pt idx="14">
                  <c:v>3.99999999999996</c:v>
                </c:pt>
                <c:pt idx="15">
                  <c:v>4.0999999999999597</c:v>
                </c:pt>
                <c:pt idx="16">
                  <c:v>4.1999999999999602</c:v>
                </c:pt>
                <c:pt idx="17">
                  <c:v>4.2999999999999599</c:v>
                </c:pt>
                <c:pt idx="18">
                  <c:v>4.3999999999999604</c:v>
                </c:pt>
                <c:pt idx="19">
                  <c:v>4.49999999999996</c:v>
                </c:pt>
                <c:pt idx="20">
                  <c:v>4.5999999999999499</c:v>
                </c:pt>
                <c:pt idx="21">
                  <c:v>4.6999999999999504</c:v>
                </c:pt>
                <c:pt idx="22">
                  <c:v>4.7999999999999501</c:v>
                </c:pt>
                <c:pt idx="23">
                  <c:v>4.8999999999999497</c:v>
                </c:pt>
                <c:pt idx="24">
                  <c:v>4.9999999999999503</c:v>
                </c:pt>
                <c:pt idx="25">
                  <c:v>5.0999999999999499</c:v>
                </c:pt>
                <c:pt idx="26">
                  <c:v>5.1999999999999504</c:v>
                </c:pt>
                <c:pt idx="27">
                  <c:v>5.2999999999999501</c:v>
                </c:pt>
                <c:pt idx="28">
                  <c:v>5.3999999999999497</c:v>
                </c:pt>
                <c:pt idx="29">
                  <c:v>5.4999999999999396</c:v>
                </c:pt>
                <c:pt idx="30">
                  <c:v>5.5999999999999401</c:v>
                </c:pt>
                <c:pt idx="31">
                  <c:v>5.6999999999999398</c:v>
                </c:pt>
                <c:pt idx="32">
                  <c:v>5.7999999999999403</c:v>
                </c:pt>
                <c:pt idx="33">
                  <c:v>5.89999999999994</c:v>
                </c:pt>
                <c:pt idx="34">
                  <c:v>5.9999999999999396</c:v>
                </c:pt>
                <c:pt idx="35">
                  <c:v>6.0999999999999401</c:v>
                </c:pt>
                <c:pt idx="36">
                  <c:v>6.1999999999999398</c:v>
                </c:pt>
                <c:pt idx="37">
                  <c:v>6.2999999999999403</c:v>
                </c:pt>
                <c:pt idx="38">
                  <c:v>6.39999999999994</c:v>
                </c:pt>
                <c:pt idx="39">
                  <c:v>6.4999999999999396</c:v>
                </c:pt>
                <c:pt idx="40">
                  <c:v>6.5999999999999304</c:v>
                </c:pt>
                <c:pt idx="41">
                  <c:v>6.69999999999993</c:v>
                </c:pt>
                <c:pt idx="42">
                  <c:v>6.7999999999999297</c:v>
                </c:pt>
                <c:pt idx="43">
                  <c:v>6.8999999999999302</c:v>
                </c:pt>
                <c:pt idx="44">
                  <c:v>6.9999999999999298</c:v>
                </c:pt>
                <c:pt idx="45">
                  <c:v>7.0999999999999304</c:v>
                </c:pt>
                <c:pt idx="46">
                  <c:v>7.19999999999993</c:v>
                </c:pt>
                <c:pt idx="47">
                  <c:v>7.2999999999999297</c:v>
                </c:pt>
                <c:pt idx="48">
                  <c:v>7.3999999999999302</c:v>
                </c:pt>
                <c:pt idx="49">
                  <c:v>7.4999999999999298</c:v>
                </c:pt>
                <c:pt idx="50">
                  <c:v>7.5999999999999197</c:v>
                </c:pt>
                <c:pt idx="51">
                  <c:v>7.6999999999999202</c:v>
                </c:pt>
                <c:pt idx="52">
                  <c:v>7.7999999999999199</c:v>
                </c:pt>
                <c:pt idx="53">
                  <c:v>7.8999999999999204</c:v>
                </c:pt>
                <c:pt idx="54">
                  <c:v>7.9999999999999201</c:v>
                </c:pt>
                <c:pt idx="55">
                  <c:v>8.0999999999999197</c:v>
                </c:pt>
                <c:pt idx="56">
                  <c:v>8.1999999999999194</c:v>
                </c:pt>
                <c:pt idx="57">
                  <c:v>8.2999999999999208</c:v>
                </c:pt>
                <c:pt idx="58">
                  <c:v>8.3999999999999204</c:v>
                </c:pt>
                <c:pt idx="59">
                  <c:v>8.4999999999999094</c:v>
                </c:pt>
                <c:pt idx="60">
                  <c:v>8.5999999999999108</c:v>
                </c:pt>
                <c:pt idx="61">
                  <c:v>8.6999999999999105</c:v>
                </c:pt>
                <c:pt idx="62">
                  <c:v>8.7999999999999101</c:v>
                </c:pt>
                <c:pt idx="63">
                  <c:v>8.8999999999999098</c:v>
                </c:pt>
                <c:pt idx="64">
                  <c:v>8.9999999999999094</c:v>
                </c:pt>
                <c:pt idx="65">
                  <c:v>9.0999999999999108</c:v>
                </c:pt>
                <c:pt idx="66">
                  <c:v>9.1999999999999105</c:v>
                </c:pt>
                <c:pt idx="67">
                  <c:v>9.2999999999999101</c:v>
                </c:pt>
                <c:pt idx="68">
                  <c:v>9.3999999999999098</c:v>
                </c:pt>
                <c:pt idx="69">
                  <c:v>9.4999999999999094</c:v>
                </c:pt>
                <c:pt idx="70">
                  <c:v>9.5999999999999108</c:v>
                </c:pt>
                <c:pt idx="71">
                  <c:v>9.6999999999998998</c:v>
                </c:pt>
                <c:pt idx="72">
                  <c:v>9.7999999999998995</c:v>
                </c:pt>
                <c:pt idx="73">
                  <c:v>9.8999999999999009</c:v>
                </c:pt>
                <c:pt idx="74">
                  <c:v>9.9999999999999005</c:v>
                </c:pt>
                <c:pt idx="75">
                  <c:v>10.0999999999999</c:v>
                </c:pt>
                <c:pt idx="76">
                  <c:v>10.1999999999999</c:v>
                </c:pt>
                <c:pt idx="77">
                  <c:v>10.299999999999899</c:v>
                </c:pt>
                <c:pt idx="78">
                  <c:v>10.399999999999901</c:v>
                </c:pt>
                <c:pt idx="79">
                  <c:v>10.499999999999901</c:v>
                </c:pt>
                <c:pt idx="80">
                  <c:v>10.5999999999999</c:v>
                </c:pt>
                <c:pt idx="81">
                  <c:v>10.6999999999999</c:v>
                </c:pt>
                <c:pt idx="82">
                  <c:v>10.799999999999899</c:v>
                </c:pt>
                <c:pt idx="83">
                  <c:v>10.899999999999901</c:v>
                </c:pt>
                <c:pt idx="84">
                  <c:v>10.999999999999901</c:v>
                </c:pt>
                <c:pt idx="85">
                  <c:v>11.0999999999999</c:v>
                </c:pt>
                <c:pt idx="86">
                  <c:v>11.1999999999999</c:v>
                </c:pt>
                <c:pt idx="87">
                  <c:v>11.299999999999899</c:v>
                </c:pt>
                <c:pt idx="88">
                  <c:v>11.399999999999901</c:v>
                </c:pt>
                <c:pt idx="89">
                  <c:v>11.499999999999901</c:v>
                </c:pt>
                <c:pt idx="90">
                  <c:v>11.5999999999999</c:v>
                </c:pt>
                <c:pt idx="91">
                  <c:v>11.6999999999999</c:v>
                </c:pt>
                <c:pt idx="92">
                  <c:v>11.799999999999899</c:v>
                </c:pt>
                <c:pt idx="93">
                  <c:v>11.899999999999901</c:v>
                </c:pt>
                <c:pt idx="94">
                  <c:v>11.999999999999901</c:v>
                </c:pt>
                <c:pt idx="95">
                  <c:v>12.0999999999999</c:v>
                </c:pt>
                <c:pt idx="96">
                  <c:v>12.1999999999999</c:v>
                </c:pt>
                <c:pt idx="97">
                  <c:v>12.299999999999899</c:v>
                </c:pt>
                <c:pt idx="98">
                  <c:v>12.399999999999901</c:v>
                </c:pt>
                <c:pt idx="99">
                  <c:v>12.499999999999901</c:v>
                </c:pt>
                <c:pt idx="100">
                  <c:v>12.5999999999999</c:v>
                </c:pt>
                <c:pt idx="101">
                  <c:v>12.6999999999999</c:v>
                </c:pt>
                <c:pt idx="102">
                  <c:v>12.799999999999899</c:v>
                </c:pt>
                <c:pt idx="103">
                  <c:v>12.899999999999901</c:v>
                </c:pt>
                <c:pt idx="104">
                  <c:v>12.999999999999901</c:v>
                </c:pt>
                <c:pt idx="105">
                  <c:v>13.0999999999999</c:v>
                </c:pt>
                <c:pt idx="106">
                  <c:v>13.1999999999999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C-4B43-9A91-9D0E9EAF3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010624"/>
        <c:axId val="1981495696"/>
        <c:extLst/>
      </c:scatterChart>
      <c:valAx>
        <c:axId val="1992010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Volume of Titrant Added (mL)</a:t>
                </a:r>
              </a:p>
            </c:rich>
          </c:tx>
          <c:layout>
            <c:manualLayout>
              <c:xMode val="edge"/>
              <c:yMode val="edge"/>
              <c:x val="0.4109438648516997"/>
              <c:y val="0.950929280907292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95696"/>
        <c:crosses val="autoZero"/>
        <c:crossBetween val="midCat"/>
      </c:valAx>
      <c:valAx>
        <c:axId val="1981495696"/>
        <c:scaling>
          <c:orientation val="minMax"/>
          <c:max val="1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pH of Solution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6350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01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B$58" horiz="1" max="10" noThreeD="1" page="0" val="5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E$58" horiz="1" inc="20" max="200" min="1" page="0" val="1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12</xdr:row>
          <xdr:rowOff>30480</xdr:rowOff>
        </xdr:from>
        <xdr:to>
          <xdr:col>7</xdr:col>
          <xdr:colOff>716280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601980</xdr:colOff>
          <xdr:row>18</xdr:row>
          <xdr:rowOff>22860</xdr:rowOff>
        </xdr:from>
        <xdr:to>
          <xdr:col>15</xdr:col>
          <xdr:colOff>83820</xdr:colOff>
          <xdr:row>25</xdr:row>
          <xdr:rowOff>106680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30480</xdr:rowOff>
        </xdr:from>
        <xdr:to>
          <xdr:col>7</xdr:col>
          <xdr:colOff>708660</xdr:colOff>
          <xdr:row>27</xdr:row>
          <xdr:rowOff>106680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137160</xdr:colOff>
      <xdr:row>0</xdr:row>
      <xdr:rowOff>41910</xdr:rowOff>
    </xdr:from>
    <xdr:to>
      <xdr:col>6</xdr:col>
      <xdr:colOff>563880</xdr:colOff>
      <xdr:row>14</xdr:row>
      <xdr:rowOff>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137160</xdr:colOff>
      <xdr:row>14</xdr:row>
      <xdr:rowOff>68580</xdr:rowOff>
    </xdr:from>
    <xdr:to>
      <xdr:col>6</xdr:col>
      <xdr:colOff>563880</xdr:colOff>
      <xdr:row>27</xdr:row>
      <xdr:rowOff>125730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63135</xdr:colOff>
      <xdr:row>1</xdr:row>
      <xdr:rowOff>7075</xdr:rowOff>
    </xdr:from>
    <xdr:to>
      <xdr:col>16</xdr:col>
      <xdr:colOff>489855</xdr:colOff>
      <xdr:row>29</xdr:row>
      <xdr:rowOff>10886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60960</xdr:rowOff>
        </xdr:from>
        <xdr:to>
          <xdr:col>22</xdr:col>
          <xdr:colOff>655320</xdr:colOff>
          <xdr:row>5</xdr:row>
          <xdr:rowOff>327660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137160</xdr:colOff>
          <xdr:row>2</xdr:row>
          <xdr:rowOff>121920</xdr:rowOff>
        </xdr:from>
        <xdr:to>
          <xdr:col>22</xdr:col>
          <xdr:colOff>594360</xdr:colOff>
          <xdr:row>3</xdr:row>
          <xdr:rowOff>304800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Prepare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9</xdr:row>
          <xdr:rowOff>152400</xdr:rowOff>
        </xdr:from>
        <xdr:to>
          <xdr:col>22</xdr:col>
          <xdr:colOff>579120</xdr:colOff>
          <xdr:row>13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Calculations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</xdr:colOff>
          <xdr:row>6</xdr:row>
          <xdr:rowOff>60960</xdr:rowOff>
        </xdr:from>
        <xdr:to>
          <xdr:col>22</xdr:col>
          <xdr:colOff>647700</xdr:colOff>
          <xdr:row>6</xdr:row>
          <xdr:rowOff>327660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kelowitt/titration-curve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98614-113C-436F-A11B-99A80CDA983B}">
  <sheetPr codeName="Sheet1">
    <tabColor theme="5" tint="0.59999389629810485"/>
  </sheetPr>
  <dimension ref="B1:S27"/>
  <sheetViews>
    <sheetView tabSelected="1" workbookViewId="0">
      <selection activeCell="J7" sqref="J7"/>
    </sheetView>
  </sheetViews>
  <sheetFormatPr defaultRowHeight="14.4" x14ac:dyDescent="0.3"/>
  <cols>
    <col min="1" max="7" width="9.33203125" customWidth="1"/>
    <col min="8" max="8" width="22.6640625" bestFit="1" customWidth="1"/>
    <col min="9" max="9" width="10.44140625" bestFit="1" customWidth="1"/>
    <col min="10" max="10" width="9.33203125" customWidth="1"/>
    <col min="11" max="11" width="21" bestFit="1" customWidth="1"/>
    <col min="12" max="12" width="10.44140625" bestFit="1" customWidth="1"/>
    <col min="13" max="14" width="9.33203125" customWidth="1"/>
  </cols>
  <sheetData>
    <row r="1" spans="2:19" x14ac:dyDescent="0.3">
      <c r="G1" s="1"/>
    </row>
    <row r="2" spans="2:19" ht="15" thickBot="1" x14ac:dyDescent="0.35"/>
    <row r="3" spans="2:19" x14ac:dyDescent="0.3">
      <c r="H3" s="50" t="s">
        <v>0</v>
      </c>
      <c r="I3" s="51"/>
      <c r="L3" t="s">
        <v>26</v>
      </c>
    </row>
    <row r="4" spans="2:19" x14ac:dyDescent="0.3">
      <c r="D4" s="5"/>
      <c r="E4" s="5"/>
      <c r="H4" s="3" t="s">
        <v>1</v>
      </c>
      <c r="I4" s="18" t="s">
        <v>22</v>
      </c>
      <c r="M4" t="s">
        <v>27</v>
      </c>
    </row>
    <row r="5" spans="2:19" x14ac:dyDescent="0.3">
      <c r="B5" t="str">
        <f>_xlfn.CONCAT("pH of ", WASB_Va, "mL of ", WASB_Ca, "M ",  I4, " with the Titrant ", WASB_Cb, "M ", I8)</f>
        <v>pH of 50mL of 0.5M Formic Acid with the Titrant 0.05M KOH</v>
      </c>
      <c r="H5" s="3" t="s">
        <v>2</v>
      </c>
      <c r="I5" s="19">
        <v>1.8000000000000001E-4</v>
      </c>
      <c r="M5" t="s">
        <v>28</v>
      </c>
    </row>
    <row r="6" spans="2:19" x14ac:dyDescent="0.3">
      <c r="H6" s="3" t="s">
        <v>4</v>
      </c>
      <c r="I6" s="20">
        <v>0.5</v>
      </c>
      <c r="M6" t="s">
        <v>30</v>
      </c>
    </row>
    <row r="7" spans="2:19" x14ac:dyDescent="0.3">
      <c r="H7" s="3" t="s">
        <v>5</v>
      </c>
      <c r="I7" s="20">
        <v>50</v>
      </c>
      <c r="M7" t="s">
        <v>29</v>
      </c>
      <c r="N7" s="5"/>
      <c r="O7" s="5"/>
      <c r="P7" s="5"/>
      <c r="Q7" s="5"/>
      <c r="R7" s="5"/>
    </row>
    <row r="8" spans="2:19" x14ac:dyDescent="0.3">
      <c r="H8" s="3" t="s">
        <v>3</v>
      </c>
      <c r="I8" s="18" t="s">
        <v>23</v>
      </c>
      <c r="N8" s="5"/>
      <c r="O8" s="5"/>
      <c r="P8" s="5"/>
      <c r="Q8" s="5"/>
      <c r="R8" s="5"/>
    </row>
    <row r="9" spans="2:19" x14ac:dyDescent="0.3">
      <c r="H9" s="3" t="s">
        <v>6</v>
      </c>
      <c r="I9" s="20">
        <v>0.05</v>
      </c>
      <c r="L9" s="5" t="s">
        <v>17</v>
      </c>
      <c r="M9" s="5"/>
      <c r="N9" s="5"/>
      <c r="O9" s="5"/>
      <c r="P9" s="5"/>
      <c r="Q9" s="5"/>
      <c r="R9" s="5"/>
    </row>
    <row r="10" spans="2:19" x14ac:dyDescent="0.3">
      <c r="H10" s="15" t="s">
        <v>14</v>
      </c>
      <c r="I10" s="16">
        <f>0.5*I11</f>
        <v>250</v>
      </c>
      <c r="L10" s="5"/>
      <c r="M10" s="5" t="s">
        <v>18</v>
      </c>
    </row>
    <row r="11" spans="2:19" x14ac:dyDescent="0.3">
      <c r="H11" s="14" t="s">
        <v>9</v>
      </c>
      <c r="I11" s="13">
        <f>(I6*I7)/I9</f>
        <v>500</v>
      </c>
      <c r="L11" s="5"/>
      <c r="M11" s="5" t="s">
        <v>25</v>
      </c>
    </row>
    <row r="12" spans="2:19" ht="15" thickBot="1" x14ac:dyDescent="0.35">
      <c r="H12" s="7" t="s">
        <v>13</v>
      </c>
      <c r="I12" s="6">
        <f>2*I11</f>
        <v>1000</v>
      </c>
      <c r="M12" s="47" t="s">
        <v>31</v>
      </c>
    </row>
    <row r="13" spans="2:19" x14ac:dyDescent="0.3">
      <c r="H13" s="5"/>
      <c r="I13" s="5"/>
    </row>
    <row r="14" spans="2:19" ht="15" customHeight="1" x14ac:dyDescent="0.3">
      <c r="H14" s="5"/>
      <c r="I14" s="5"/>
      <c r="P14" s="11"/>
      <c r="Q14" s="11"/>
      <c r="R14" s="11"/>
      <c r="S14" s="11"/>
    </row>
    <row r="15" spans="2:19" x14ac:dyDescent="0.3">
      <c r="H15" s="5"/>
      <c r="I15" s="5"/>
    </row>
    <row r="16" spans="2:19" ht="15" thickBot="1" x14ac:dyDescent="0.35">
      <c r="H16" s="5"/>
      <c r="I16" s="5"/>
    </row>
    <row r="17" spans="2:15" x14ac:dyDescent="0.3">
      <c r="H17" s="50" t="s">
        <v>10</v>
      </c>
      <c r="I17" s="51"/>
    </row>
    <row r="18" spans="2:15" x14ac:dyDescent="0.3">
      <c r="H18" s="3" t="s">
        <v>3</v>
      </c>
      <c r="I18" s="21" t="s">
        <v>15</v>
      </c>
    </row>
    <row r="19" spans="2:15" x14ac:dyDescent="0.3">
      <c r="H19" s="3" t="s">
        <v>8</v>
      </c>
      <c r="I19" s="22">
        <f>0.0000026</f>
        <v>2.6000000000000001E-6</v>
      </c>
    </row>
    <row r="20" spans="2:15" x14ac:dyDescent="0.3">
      <c r="B20" t="str">
        <f>_xlfn.CONCAT("pH of ", SAWB_Vb, "mL of ", SAWB_Cb, "M ",  I18, " with the Titrant ", SAWB_Ca, "M ", I22)</f>
        <v>pH of 50mL of 0.1M Cocaine with the Titrant 0.2M HNO3</v>
      </c>
      <c r="H20" s="3" t="s">
        <v>6</v>
      </c>
      <c r="I20" s="23">
        <v>0.1</v>
      </c>
    </row>
    <row r="21" spans="2:15" x14ac:dyDescent="0.3">
      <c r="H21" s="3" t="s">
        <v>7</v>
      </c>
      <c r="I21" s="23">
        <v>50</v>
      </c>
    </row>
    <row r="22" spans="2:15" x14ac:dyDescent="0.3">
      <c r="H22" s="3" t="s">
        <v>1</v>
      </c>
      <c r="I22" s="21" t="s">
        <v>16</v>
      </c>
    </row>
    <row r="23" spans="2:15" x14ac:dyDescent="0.3">
      <c r="H23" s="3" t="s">
        <v>4</v>
      </c>
      <c r="I23" s="23">
        <v>0.2</v>
      </c>
    </row>
    <row r="24" spans="2:15" x14ac:dyDescent="0.3">
      <c r="H24" s="15" t="s">
        <v>12</v>
      </c>
      <c r="I24" s="17">
        <f>0.5*I25</f>
        <v>12.5</v>
      </c>
    </row>
    <row r="25" spans="2:15" x14ac:dyDescent="0.3">
      <c r="H25" s="14" t="s">
        <v>9</v>
      </c>
      <c r="I25" s="4">
        <f>(I20*I21)/I23</f>
        <v>25</v>
      </c>
    </row>
    <row r="26" spans="2:15" ht="15" thickBot="1" x14ac:dyDescent="0.35">
      <c r="H26" s="7" t="s">
        <v>13</v>
      </c>
      <c r="I26" s="12">
        <f>2*I25</f>
        <v>50</v>
      </c>
    </row>
    <row r="27" spans="2:15" ht="15" thickBot="1" x14ac:dyDescent="0.35">
      <c r="N27" s="8" t="s">
        <v>11</v>
      </c>
      <c r="O27" s="9">
        <v>1.0099999999999999E-14</v>
      </c>
    </row>
  </sheetData>
  <scenarios current="0" show="0" sqref="L10:L19">
    <scenario name="Changing Ka and Concentration" locked="1" count="2" user="Jackson" comment="Created by Jackson on 12/2/2019">
      <inputCells r="I5" val="0.00002" numFmtId="11"/>
      <inputCells r="I6" val="0.05" numFmtId="2"/>
    </scenario>
  </scenarios>
  <mergeCells count="2">
    <mergeCell ref="H3:I3"/>
    <mergeCell ref="H17:I17"/>
  </mergeCells>
  <hyperlinks>
    <hyperlink ref="M12" r:id="rId1" xr:uid="{0C373940-687D-40F0-90F7-4EC936D71852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pareWASB">
                <anchor moveWithCells="1">
                  <from>
                    <xdr:col>7</xdr:col>
                    <xdr:colOff>30480</xdr:colOff>
                    <xdr:row>12</xdr:row>
                    <xdr:rowOff>30480</xdr:rowOff>
                  </from>
                  <to>
                    <xdr:col>7</xdr:col>
                    <xdr:colOff>716280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etCalcSheet">
                <anchor moveWithCells="1">
                  <from>
                    <xdr:col>12</xdr:col>
                    <xdr:colOff>601980</xdr:colOff>
                    <xdr:row>18</xdr:row>
                    <xdr:rowOff>22860</xdr:rowOff>
                  </from>
                  <to>
                    <xdr:col>15</xdr:col>
                    <xdr:colOff>83820</xdr:colOff>
                    <xdr:row>25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repareSAWB">
                <anchor moveWithCells="1">
                  <from>
                    <xdr:col>7</xdr:col>
                    <xdr:colOff>22860</xdr:colOff>
                    <xdr:row>26</xdr:row>
                    <xdr:rowOff>30480</xdr:rowOff>
                  </from>
                  <to>
                    <xdr:col>7</xdr:col>
                    <xdr:colOff>708660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F0A9-F92E-443D-BF97-B7703F67AA7E}">
  <sheetPr codeName="Sheet3">
    <tabColor theme="5" tint="0.39997558519241921"/>
  </sheetPr>
  <dimension ref="A1:W58"/>
  <sheetViews>
    <sheetView showGridLines="0" zoomScale="70" zoomScaleNormal="70" workbookViewId="0"/>
  </sheetViews>
  <sheetFormatPr defaultRowHeight="14.4" x14ac:dyDescent="0.3"/>
  <cols>
    <col min="1" max="1" width="11.5546875" customWidth="1"/>
    <col min="2" max="2" width="12" bestFit="1" customWidth="1"/>
    <col min="4" max="4" width="11.44140625" bestFit="1" customWidth="1"/>
    <col min="8" max="8" width="22.6640625" bestFit="1" customWidth="1"/>
    <col min="9" max="9" width="8.5546875" bestFit="1" customWidth="1"/>
    <col min="17" max="17" width="9.33203125" customWidth="1"/>
    <col min="18" max="18" width="3.33203125" customWidth="1"/>
    <col min="19" max="19" width="44.5546875" bestFit="1" customWidth="1"/>
    <col min="20" max="20" width="22.33203125" bestFit="1" customWidth="1"/>
    <col min="21" max="21" width="8.33203125" customWidth="1"/>
    <col min="23" max="23" width="10" customWidth="1"/>
  </cols>
  <sheetData>
    <row r="1" spans="4:23" ht="15" thickBot="1" x14ac:dyDescent="0.35">
      <c r="G1" s="1"/>
    </row>
    <row r="2" spans="4:23" ht="5.4" customHeight="1" x14ac:dyDescent="0.55000000000000004">
      <c r="R2" s="25"/>
      <c r="S2" s="26"/>
      <c r="T2" s="26"/>
      <c r="U2" s="26"/>
      <c r="V2" s="26"/>
      <c r="W2" s="27"/>
    </row>
    <row r="3" spans="4:23" ht="10.95" customHeight="1" thickBot="1" x14ac:dyDescent="0.6">
      <c r="R3" s="28"/>
      <c r="S3" s="29"/>
      <c r="T3" s="29"/>
      <c r="U3" s="29"/>
      <c r="V3" s="29"/>
      <c r="W3" s="30"/>
    </row>
    <row r="4" spans="4:23" ht="33.6" x14ac:dyDescent="0.65">
      <c r="D4" s="5"/>
      <c r="E4" s="5"/>
      <c r="R4" s="28"/>
      <c r="S4" s="52" t="s">
        <v>0</v>
      </c>
      <c r="T4" s="53"/>
      <c r="U4" s="31"/>
      <c r="V4" s="29"/>
      <c r="W4" s="30"/>
    </row>
    <row r="5" spans="4:23" ht="31.2" x14ac:dyDescent="0.6">
      <c r="R5" s="28"/>
      <c r="S5" s="54" t="s">
        <v>20</v>
      </c>
      <c r="T5" s="55"/>
      <c r="U5" s="29"/>
      <c r="V5" s="29"/>
      <c r="W5" s="30"/>
    </row>
    <row r="6" spans="4:23" ht="28.8" x14ac:dyDescent="0.55000000000000004">
      <c r="R6" s="28"/>
      <c r="S6" s="32" t="s">
        <v>2</v>
      </c>
      <c r="T6" s="33">
        <f>10^(B58-10)</f>
        <v>1.0000000000000001E-5</v>
      </c>
      <c r="U6" s="29"/>
      <c r="V6" s="29"/>
      <c r="W6" s="30"/>
    </row>
    <row r="7" spans="4:23" ht="28.8" x14ac:dyDescent="0.55000000000000004">
      <c r="R7" s="28"/>
      <c r="S7" s="32" t="s">
        <v>4</v>
      </c>
      <c r="T7" s="33">
        <f>0.01*E58</f>
        <v>1</v>
      </c>
      <c r="U7" s="29"/>
      <c r="V7" s="29"/>
      <c r="W7" s="30"/>
    </row>
    <row r="8" spans="4:23" ht="28.8" x14ac:dyDescent="0.55000000000000004">
      <c r="R8" s="28"/>
      <c r="S8" s="32" t="s">
        <v>5</v>
      </c>
      <c r="T8" s="34">
        <v>100</v>
      </c>
      <c r="U8" s="29"/>
      <c r="V8" s="29"/>
      <c r="W8" s="30"/>
    </row>
    <row r="9" spans="4:23" ht="31.2" x14ac:dyDescent="0.6">
      <c r="R9" s="28"/>
      <c r="S9" s="54" t="s">
        <v>21</v>
      </c>
      <c r="T9" s="55"/>
      <c r="U9" s="29"/>
      <c r="V9" s="29"/>
      <c r="W9" s="30"/>
    </row>
    <row r="10" spans="4:23" ht="28.8" x14ac:dyDescent="0.55000000000000004">
      <c r="R10" s="28"/>
      <c r="S10" s="32" t="s">
        <v>6</v>
      </c>
      <c r="T10" s="34">
        <v>0.5</v>
      </c>
      <c r="U10" s="29"/>
      <c r="V10" s="29"/>
      <c r="W10" s="30"/>
    </row>
    <row r="11" spans="4:23" ht="28.8" x14ac:dyDescent="0.55000000000000004">
      <c r="R11" s="28"/>
      <c r="S11" s="42" t="s">
        <v>14</v>
      </c>
      <c r="T11" s="43">
        <f>0.5*T12</f>
        <v>100</v>
      </c>
      <c r="U11" s="29"/>
      <c r="V11" s="29"/>
      <c r="W11" s="30"/>
    </row>
    <row r="12" spans="4:23" ht="28.8" x14ac:dyDescent="0.55000000000000004">
      <c r="R12" s="28"/>
      <c r="S12" s="32" t="s">
        <v>9</v>
      </c>
      <c r="T12" s="35">
        <f>(T7*T8)/T10</f>
        <v>200</v>
      </c>
      <c r="U12" s="29"/>
      <c r="V12" s="29"/>
      <c r="W12" s="30"/>
    </row>
    <row r="13" spans="4:23" ht="29.4" thickBot="1" x14ac:dyDescent="0.6">
      <c r="H13" s="5"/>
      <c r="I13" s="5"/>
      <c r="R13" s="28"/>
      <c r="S13" s="36" t="s">
        <v>13</v>
      </c>
      <c r="T13" s="37">
        <f>2*T12</f>
        <v>400</v>
      </c>
      <c r="U13" s="29"/>
      <c r="V13" s="29"/>
      <c r="W13" s="30"/>
    </row>
    <row r="14" spans="4:23" ht="8.4" customHeight="1" x14ac:dyDescent="0.55000000000000004">
      <c r="H14" s="5"/>
      <c r="I14" s="5"/>
      <c r="R14" s="28"/>
      <c r="S14" s="29"/>
      <c r="T14" s="29"/>
      <c r="U14" s="29"/>
      <c r="V14" s="29"/>
      <c r="W14" s="30"/>
    </row>
    <row r="15" spans="4:23" ht="8.4" customHeight="1" thickBot="1" x14ac:dyDescent="0.6">
      <c r="R15" s="38"/>
      <c r="S15" s="39"/>
      <c r="T15" s="40"/>
      <c r="U15" s="40"/>
      <c r="V15" s="40"/>
      <c r="W15" s="41"/>
    </row>
    <row r="25" spans="19:19" x14ac:dyDescent="0.3">
      <c r="S25" t="s">
        <v>24</v>
      </c>
    </row>
    <row r="58" spans="1:5" x14ac:dyDescent="0.3">
      <c r="A58" s="48" t="s">
        <v>32</v>
      </c>
      <c r="B58" s="49">
        <v>5</v>
      </c>
      <c r="D58" s="48" t="s">
        <v>19</v>
      </c>
      <c r="E58" s="49">
        <v>100</v>
      </c>
    </row>
  </sheetData>
  <mergeCells count="3">
    <mergeCell ref="S4:T4"/>
    <mergeCell ref="S9:T9"/>
    <mergeCell ref="S5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 macro="[0]!Demonstration">
                <anchor moveWithCells="1">
                  <from>
                    <xdr:col>20</xdr:col>
                    <xdr:colOff>22860</xdr:colOff>
                    <xdr:row>5</xdr:row>
                    <xdr:rowOff>60960</xdr:rowOff>
                  </from>
                  <to>
                    <xdr:col>22</xdr:col>
                    <xdr:colOff>655320</xdr:colOff>
                    <xdr:row>5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monstration">
                <anchor moveWithCells="1" sizeWithCells="1">
                  <from>
                    <xdr:col>21</xdr:col>
                    <xdr:colOff>137160</xdr:colOff>
                    <xdr:row>2</xdr:row>
                    <xdr:rowOff>121920</xdr:rowOff>
                  </from>
                  <to>
                    <xdr:col>22</xdr:col>
                    <xdr:colOff>594360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esetCalcSheet">
                <anchor moveWithCells="1">
                  <from>
                    <xdr:col>20</xdr:col>
                    <xdr:colOff>403860</xdr:colOff>
                    <xdr:row>9</xdr:row>
                    <xdr:rowOff>152400</xdr:rowOff>
                  </from>
                  <to>
                    <xdr:col>22</xdr:col>
                    <xdr:colOff>579120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croll Bar 5">
              <controlPr defaultSize="0" autoPict="0" macro="[0]!Demonstration">
                <anchor moveWithCells="1">
                  <from>
                    <xdr:col>20</xdr:col>
                    <xdr:colOff>7620</xdr:colOff>
                    <xdr:row>6</xdr:row>
                    <xdr:rowOff>60960</xdr:rowOff>
                  </from>
                  <to>
                    <xdr:col>22</xdr:col>
                    <xdr:colOff>647700</xdr:colOff>
                    <xdr:row>6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B8E7-9310-46B7-9CB0-AD2FB1A2CDF2}">
  <sheetPr codeName="Sheet2">
    <tabColor theme="5" tint="-0.249977111117893"/>
  </sheetPr>
  <dimension ref="A1:ZZ1401"/>
  <sheetViews>
    <sheetView zoomScale="73" zoomScaleNormal="73" workbookViewId="0"/>
  </sheetViews>
  <sheetFormatPr defaultColWidth="9.44140625" defaultRowHeight="15" customHeight="1" x14ac:dyDescent="0.3"/>
  <cols>
    <col min="1" max="1" width="6.5546875" style="2" bestFit="1" customWidth="1"/>
    <col min="2" max="4" width="9.6640625" style="1" bestFit="1" customWidth="1"/>
    <col min="5" max="5" width="10.33203125" style="1" bestFit="1" customWidth="1"/>
    <col min="6" max="6" width="10.6640625" style="24" bestFit="1" customWidth="1"/>
    <col min="7" max="7" width="6.5546875" style="2" bestFit="1" customWidth="1"/>
    <col min="8" max="9" width="9.33203125" style="1" bestFit="1" customWidth="1"/>
    <col min="10" max="11" width="9.6640625" style="1" bestFit="1" customWidth="1"/>
    <col min="12" max="12" width="7.6640625" style="44" bestFit="1" customWidth="1"/>
    <col min="13" max="13" width="6.5546875" style="2" bestFit="1" customWidth="1"/>
    <col min="14" max="16" width="9.6640625" style="1" bestFit="1" customWidth="1"/>
    <col min="17" max="17" width="10.33203125" style="1" bestFit="1" customWidth="1"/>
    <col min="18" max="18" width="10.109375" style="24" bestFit="1" customWidth="1"/>
    <col min="19" max="19" width="6.5546875" style="2" bestFit="1" customWidth="1"/>
    <col min="20" max="21" width="9.33203125" style="1" bestFit="1" customWidth="1"/>
    <col min="22" max="23" width="9.6640625" style="1" bestFit="1" customWidth="1"/>
    <col min="24" max="24" width="6.5546875" style="44" bestFit="1" customWidth="1"/>
    <col min="25" max="25" width="6.5546875" style="2" bestFit="1" customWidth="1"/>
    <col min="26" max="28" width="9.6640625" style="1" bestFit="1" customWidth="1"/>
    <col min="29" max="29" width="10.33203125" style="1" bestFit="1" customWidth="1"/>
    <col min="30" max="30" width="10.6640625" style="24" bestFit="1" customWidth="1"/>
    <col min="31" max="31" width="6.5546875" style="2" bestFit="1" customWidth="1"/>
    <col min="32" max="33" width="9.33203125" style="1" bestFit="1" customWidth="1"/>
    <col min="34" max="35" width="9.6640625" style="1" bestFit="1" customWidth="1"/>
    <col min="36" max="36" width="7.6640625" style="44" bestFit="1" customWidth="1"/>
    <col min="37" max="37" width="6.5546875" bestFit="1" customWidth="1"/>
    <col min="38" max="40" width="9.6640625" bestFit="1" customWidth="1"/>
    <col min="41" max="41" width="10.33203125" bestFit="1" customWidth="1"/>
    <col min="42" max="42" width="14.44140625" customWidth="1"/>
    <col min="46" max="46" width="5.44140625" bestFit="1" customWidth="1"/>
    <col min="47" max="48" width="9.33203125" style="1" bestFit="1" customWidth="1"/>
    <col min="49" max="49" width="9.88671875" style="1" bestFit="1" customWidth="1"/>
    <col min="50" max="50" width="9.33203125" style="1" bestFit="1" customWidth="1"/>
    <col min="51" max="52" width="9.6640625" style="1" bestFit="1" customWidth="1"/>
    <col min="53" max="53" width="9.33203125" style="2" bestFit="1" customWidth="1"/>
    <col min="54" max="16384" width="9.44140625" style="1"/>
  </cols>
  <sheetData>
    <row r="1" spans="1:36" ht="15" customHeight="1" x14ac:dyDescent="0.3">
      <c r="A1" s="2">
        <v>0</v>
      </c>
      <c r="B1" s="1">
        <f>10^(-A1)</f>
        <v>1</v>
      </c>
      <c r="C1" s="1">
        <f t="shared" ref="C1:C2" si="0">Kw/B1</f>
        <v>1.0099999999999999E-14</v>
      </c>
      <c r="D1" s="1">
        <f t="shared" ref="D1:D2" si="1">WASB_Ka/(B1+WASB_Ka)</f>
        <v>1.7996760583095044E-4</v>
      </c>
      <c r="E1" s="1">
        <f t="shared" ref="E1:E2" si="2">(D1-((B1-C1)/WASB_Ca)) / (1 + ((B1-C1)/WASB_Cb))</f>
        <v>-9.5229525352103245E-2</v>
      </c>
      <c r="F1" s="24">
        <f>E1*(WASB_Va * WASB_Ca)/WASB_Cb</f>
        <v>-47.614762676051619</v>
      </c>
      <c r="G1" s="2">
        <v>2.1</v>
      </c>
      <c r="H1" s="1">
        <v>7.9432823472428121E-3</v>
      </c>
      <c r="I1" s="1">
        <v>1.2715146659121093E-12</v>
      </c>
      <c r="J1" s="1">
        <v>2.2158530542902434E-2</v>
      </c>
      <c r="K1" s="1">
        <v>5.4121596128355312E-3</v>
      </c>
      <c r="L1" s="44">
        <v>2.7060798064177654</v>
      </c>
      <c r="M1" s="2">
        <v>0</v>
      </c>
      <c r="N1" s="1">
        <f t="shared" ref="N1:N2" si="3">10^-M1</f>
        <v>1</v>
      </c>
      <c r="O1" s="1">
        <f t="shared" ref="O1:O64" si="4">Kw/N1</f>
        <v>1.0099999999999999E-14</v>
      </c>
      <c r="P1" s="1">
        <f t="shared" ref="P1:P2" si="5">N1/(N1+(Kw/SAWB_Kb))</f>
        <v>0.9999999961153847</v>
      </c>
      <c r="Q1" s="1">
        <f t="shared" ref="Q1:Q2" si="6">(P1+((N1-O1)/SAWB_Cb))/(1-((N1-O1)/SAWB_Ca))</f>
        <v>-2.7499999990288555</v>
      </c>
      <c r="R1" s="24">
        <f t="shared" ref="R1:R64" si="7">(Q1*SAWB_Cb*SAWB_Vb)/SAWB_Ca</f>
        <v>-68.74999997572138</v>
      </c>
      <c r="S1" s="2">
        <v>1.4</v>
      </c>
      <c r="T1" s="1">
        <v>3.9810717055349727E-2</v>
      </c>
      <c r="U1" s="1">
        <v>2.5370052958246757E-13</v>
      </c>
      <c r="V1" s="1">
        <v>0.99999990242288272</v>
      </c>
      <c r="W1" s="1">
        <v>1.7455688011971593</v>
      </c>
      <c r="X1" s="44">
        <v>43.639220029928978</v>
      </c>
      <c r="Y1" s="2">
        <v>0</v>
      </c>
      <c r="Z1" s="1">
        <f t="shared" ref="Z1:Z2" si="8">10^(-Y1)</f>
        <v>1</v>
      </c>
      <c r="AA1" s="1">
        <f t="shared" ref="AA1:AA2" si="9">Kw/Z1</f>
        <v>1.0099999999999999E-14</v>
      </c>
      <c r="AB1" s="1">
        <f t="shared" ref="AB1:AB2" si="10">DEMO_Ka/(Z1+DEMO_Ka)</f>
        <v>9.9999000009999908E-6</v>
      </c>
      <c r="AC1" s="1">
        <f t="shared" ref="AC1:AC2" si="11">(AB1-((Z1-AA1)/DEMO_Ca)) / (1 + ((Z1-AA1)/DEMO_Cb))</f>
        <v>-0.33333000003333191</v>
      </c>
      <c r="AD1" s="24">
        <f t="shared" ref="AD1:AD2" si="12">(AC1*(DEMO_Ca * DEMO_Va))/DEMO_Cb</f>
        <v>-66.66600000666638</v>
      </c>
      <c r="AE1" s="2">
        <v>2.5999999999999699</v>
      </c>
      <c r="AF1" s="1">
        <v>2.5118864315097516E-3</v>
      </c>
      <c r="AG1" s="1">
        <v>4.0208824225900472E-12</v>
      </c>
      <c r="AH1" s="1">
        <v>3.9652856191519318E-3</v>
      </c>
      <c r="AI1" s="1">
        <v>1.4461341422147478E-3</v>
      </c>
      <c r="AJ1" s="44">
        <v>0.28922682844294956</v>
      </c>
    </row>
    <row r="2" spans="1:36" ht="15" customHeight="1" x14ac:dyDescent="0.3">
      <c r="A2" s="2">
        <v>0.1</v>
      </c>
      <c r="B2" s="1">
        <f>10^(-A2)</f>
        <v>0.79432823472428149</v>
      </c>
      <c r="C2" s="1">
        <f t="shared" si="0"/>
        <v>1.2715146659121089E-14</v>
      </c>
      <c r="D2" s="1">
        <f t="shared" si="1"/>
        <v>2.2655523521724792E-4</v>
      </c>
      <c r="E2" s="1">
        <f t="shared" si="2"/>
        <v>-9.4064716119084429E-2</v>
      </c>
      <c r="F2" s="24">
        <f t="shared" ref="F2:F3" si="13">E2*(WASB_Va * WASB_Ca)/WASB_Cb</f>
        <v>-47.032358059542219</v>
      </c>
      <c r="G2" s="2">
        <v>2.2000000000000002</v>
      </c>
      <c r="H2" s="1">
        <v>6.3095734448019251E-3</v>
      </c>
      <c r="I2" s="1">
        <v>1.6007421243857264E-12</v>
      </c>
      <c r="J2" s="1">
        <v>2.7736799888470016E-2</v>
      </c>
      <c r="K2" s="1">
        <v>1.3423696964528291E-2</v>
      </c>
      <c r="L2" s="44">
        <v>6.7118484822641449</v>
      </c>
      <c r="M2" s="2">
        <v>0.1</v>
      </c>
      <c r="N2" s="1">
        <f t="shared" si="3"/>
        <v>0.79432823472428149</v>
      </c>
      <c r="O2" s="1">
        <f t="shared" si="4"/>
        <v>1.2715146659121089E-14</v>
      </c>
      <c r="P2" s="1">
        <f t="shared" si="5"/>
        <v>0.99999999510955895</v>
      </c>
      <c r="Q2" s="1">
        <f t="shared" si="6"/>
        <v>-3.0095431513535185</v>
      </c>
      <c r="R2" s="24">
        <f t="shared" si="7"/>
        <v>-75.238578783837966</v>
      </c>
      <c r="S2" s="2">
        <v>1.5</v>
      </c>
      <c r="T2" s="1">
        <v>3.1622776601683784E-2</v>
      </c>
      <c r="U2" s="1">
        <v>3.193900436770064E-13</v>
      </c>
      <c r="V2" s="1">
        <v>0.99999987715769056</v>
      </c>
      <c r="W2" s="1">
        <v>1.5634271864136229</v>
      </c>
      <c r="X2" s="44">
        <v>39.085679660340574</v>
      </c>
      <c r="Y2" s="2">
        <v>9.9999999999999006E-2</v>
      </c>
      <c r="Z2" s="1">
        <f t="shared" si="8"/>
        <v>0.79432823472428327</v>
      </c>
      <c r="AA2" s="1">
        <f t="shared" si="9"/>
        <v>1.271514665912106E-14</v>
      </c>
      <c r="AB2" s="1">
        <f t="shared" si="10"/>
        <v>1.2589095630617638E-5</v>
      </c>
      <c r="AC2" s="1">
        <f t="shared" si="11"/>
        <v>-0.30684474939150663</v>
      </c>
      <c r="AD2" s="24">
        <f t="shared" si="12"/>
        <v>-61.368949878301329</v>
      </c>
      <c r="AE2" s="2">
        <v>2.69999999999997</v>
      </c>
      <c r="AF2" s="1">
        <v>1.995262314969016E-3</v>
      </c>
      <c r="AG2" s="1">
        <v>5.0619910596351037E-12</v>
      </c>
      <c r="AH2" s="1">
        <v>4.9868787366876312E-3</v>
      </c>
      <c r="AI2" s="1">
        <v>2.9797257577838759E-3</v>
      </c>
      <c r="AJ2" s="44">
        <v>0.59594515155677519</v>
      </c>
    </row>
    <row r="3" spans="1:36" ht="15" customHeight="1" x14ac:dyDescent="0.3">
      <c r="A3" s="2">
        <v>0.2</v>
      </c>
      <c r="B3" s="1">
        <f t="shared" ref="B3:B66" si="14">10^(-A3)</f>
        <v>0.63095734448019325</v>
      </c>
      <c r="C3" s="1">
        <f t="shared" ref="C3:C66" si="15">Kw/B3</f>
        <v>1.6007421243857246E-14</v>
      </c>
      <c r="D3" s="1">
        <f t="shared" ref="D3:D66" si="16">WASB_Ka/(B3+WASB_Ka)</f>
        <v>2.8519941273360806E-4</v>
      </c>
      <c r="E3" s="1">
        <f t="shared" ref="E3:E66" si="17">(D3-((B3-C3)/WASB_Ca)) / (1 + ((B3-C3)/WASB_Cb))</f>
        <v>-9.2636455115313557E-2</v>
      </c>
      <c r="F3" s="24">
        <f t="shared" si="13"/>
        <v>-46.318227557656776</v>
      </c>
      <c r="G3" s="2">
        <v>2.2999999999999998</v>
      </c>
      <c r="H3" s="1">
        <v>5.0118723362727212E-3</v>
      </c>
      <c r="I3" s="1">
        <v>2.015214938118569E-12</v>
      </c>
      <c r="J3" s="1">
        <v>3.4669573583780221E-2</v>
      </c>
      <c r="K3" s="1">
        <v>2.2400463635844591E-2</v>
      </c>
      <c r="L3" s="44">
        <v>11.200231817922294</v>
      </c>
      <c r="M3" s="2">
        <v>0.2</v>
      </c>
      <c r="N3" s="1">
        <f t="shared" ref="N3:N66" si="18">10^-M3</f>
        <v>0.63095734448019325</v>
      </c>
      <c r="O3" s="1">
        <f t="shared" si="4"/>
        <v>1.6007421243857246E-14</v>
      </c>
      <c r="P3" s="1">
        <f t="shared" ref="P3:P66" si="19">N3/(N3+(Kw/SAWB_Kb))</f>
        <v>0.99999999384329952</v>
      </c>
      <c r="Q3" s="1">
        <f t="shared" ref="Q3:Q66" si="20">(P3+((N3-O3)/SAWB_Cb))/(1-((N3-O3)/SAWB_Ca))</f>
        <v>-3.3922491551742384</v>
      </c>
      <c r="R3" s="24">
        <f t="shared" si="7"/>
        <v>-84.806228879355956</v>
      </c>
      <c r="S3" s="2">
        <v>1.6</v>
      </c>
      <c r="T3" s="1">
        <v>2.511886431509578E-2</v>
      </c>
      <c r="U3" s="1">
        <v>4.0208824225903255E-13</v>
      </c>
      <c r="V3" s="1">
        <v>0.99999984535069986</v>
      </c>
      <c r="W3" s="1">
        <v>1.4309016047895702</v>
      </c>
      <c r="X3" s="44">
        <v>35.772540119739254</v>
      </c>
      <c r="Y3" s="2">
        <v>0.19999999999999801</v>
      </c>
      <c r="Z3" s="1">
        <f t="shared" ref="Z3:Z66" si="21">10^(-Y3)</f>
        <v>0.63095734448019614</v>
      </c>
      <c r="AA3" s="1">
        <f t="shared" ref="AA3:AA66" si="22">Kw/Z3</f>
        <v>1.6007421243857173E-14</v>
      </c>
      <c r="AB3" s="1">
        <f t="shared" ref="AB3:AB66" si="23">DEMO_Ka/(Z3+DEMO_Ka)</f>
        <v>1.5848680739948923E-5</v>
      </c>
      <c r="AC3" s="1">
        <f t="shared" ref="AC3:AC66" si="24">(AB3-((Z3-AA3)/DEMO_Ca)) / (1 + ((Z3-AA3)/DEMO_Cb))</f>
        <v>-0.27894133181894615</v>
      </c>
      <c r="AD3" s="24">
        <f t="shared" ref="AD3:AD66" si="25">(AC3*(DEMO_Ca * DEMO_Va))/DEMO_Cb</f>
        <v>-55.788266363789226</v>
      </c>
      <c r="AE3" s="2">
        <v>2.7999999999999701</v>
      </c>
      <c r="AF3" s="1">
        <v>1.5848931924612221E-3</v>
      </c>
      <c r="AG3" s="1">
        <v>6.3726691792495145E-12</v>
      </c>
      <c r="AH3" s="1">
        <v>6.2700123414334147E-3</v>
      </c>
      <c r="AI3" s="1">
        <v>4.670315253699913E-3</v>
      </c>
      <c r="AJ3" s="44">
        <v>0.93406305073998264</v>
      </c>
    </row>
    <row r="4" spans="1:36" ht="15" customHeight="1" x14ac:dyDescent="0.3">
      <c r="A4" s="2">
        <v>0.3</v>
      </c>
      <c r="B4" s="1">
        <f t="shared" si="14"/>
        <v>0.50118723362727224</v>
      </c>
      <c r="C4" s="1">
        <f t="shared" si="15"/>
        <v>2.0152149381185686E-14</v>
      </c>
      <c r="D4" s="1">
        <f t="shared" si="16"/>
        <v>3.5901827627973012E-4</v>
      </c>
      <c r="E4" s="1">
        <f t="shared" si="17"/>
        <v>-9.0896104612598033E-2</v>
      </c>
      <c r="F4" s="24">
        <f t="shared" ref="F4:F67" si="26">E4*(WASB_Va * WASB_Ca)/WASB_Cb</f>
        <v>-45.448052306299019</v>
      </c>
      <c r="G4" s="2">
        <v>2.4</v>
      </c>
      <c r="H4" s="1">
        <v>3.9810717055349717E-3</v>
      </c>
      <c r="I4" s="1">
        <v>2.5370052958246762E-12</v>
      </c>
      <c r="J4" s="1">
        <v>4.3258086555097754E-2</v>
      </c>
      <c r="K4" s="1">
        <v>3.2692888484410716E-2</v>
      </c>
      <c r="L4" s="44">
        <v>16.346444242205358</v>
      </c>
      <c r="M4" s="2">
        <v>0.3</v>
      </c>
      <c r="N4" s="1">
        <f t="shared" si="18"/>
        <v>0.50118723362727224</v>
      </c>
      <c r="O4" s="1">
        <f t="shared" si="4"/>
        <v>2.0152149381185686E-14</v>
      </c>
      <c r="P4" s="1">
        <f t="shared" si="19"/>
        <v>0.99999999224917335</v>
      </c>
      <c r="Q4" s="1">
        <f t="shared" si="20"/>
        <v>-3.9921163032839297</v>
      </c>
      <c r="R4" s="24">
        <f t="shared" si="7"/>
        <v>-99.802907582098257</v>
      </c>
      <c r="S4" s="2">
        <v>1.7</v>
      </c>
      <c r="T4" s="1">
        <v>1.9952623149688792E-2</v>
      </c>
      <c r="U4" s="1">
        <v>5.0619910596354508E-13</v>
      </c>
      <c r="V4" s="1">
        <v>0.99999980530807397</v>
      </c>
      <c r="W4" s="1">
        <v>1.3324559988383458</v>
      </c>
      <c r="X4" s="44">
        <v>33.311399970958639</v>
      </c>
      <c r="Y4" s="2">
        <v>0.29999999999999699</v>
      </c>
      <c r="Z4" s="1">
        <f t="shared" si="21"/>
        <v>0.50118723362727569</v>
      </c>
      <c r="AA4" s="1">
        <f t="shared" si="22"/>
        <v>2.0152149381185547E-14</v>
      </c>
      <c r="AB4" s="1">
        <f t="shared" si="23"/>
        <v>1.9952225050461236E-5</v>
      </c>
      <c r="AC4" s="1">
        <f t="shared" si="24"/>
        <v>-0.25028649216116095</v>
      </c>
      <c r="AD4" s="24">
        <f t="shared" si="25"/>
        <v>-50.057298432232187</v>
      </c>
      <c r="AE4" s="2">
        <v>2.8999999999999702</v>
      </c>
      <c r="AF4" s="1">
        <v>1.2589254117942525E-3</v>
      </c>
      <c r="AG4" s="1">
        <v>8.0227151707146984E-12</v>
      </c>
      <c r="AH4" s="1">
        <v>7.8806838503297557E-3</v>
      </c>
      <c r="AI4" s="1">
        <v>6.6051277203935015E-3</v>
      </c>
      <c r="AJ4" s="44">
        <v>1.3210255440787002</v>
      </c>
    </row>
    <row r="5" spans="1:36" ht="15" customHeight="1" x14ac:dyDescent="0.3">
      <c r="A5" s="2">
        <v>0.4</v>
      </c>
      <c r="B5" s="1">
        <f t="shared" si="14"/>
        <v>0.3981071705534972</v>
      </c>
      <c r="C5" s="1">
        <f t="shared" si="15"/>
        <v>2.537005295824676E-14</v>
      </c>
      <c r="D5" s="1">
        <f t="shared" si="16"/>
        <v>4.5193521988131106E-4</v>
      </c>
      <c r="E5" s="1">
        <f t="shared" si="17"/>
        <v>-8.8791527806193121E-2</v>
      </c>
      <c r="F5" s="24">
        <f t="shared" si="26"/>
        <v>-44.395763903096558</v>
      </c>
      <c r="G5" s="2">
        <v>2.5</v>
      </c>
      <c r="H5" s="1">
        <v>3.1622776601683764E-3</v>
      </c>
      <c r="I5" s="1">
        <v>3.1939004367700658E-12</v>
      </c>
      <c r="J5" s="1">
        <v>5.3855489669560254E-2</v>
      </c>
      <c r="K5" s="1">
        <v>4.4703628635233625E-2</v>
      </c>
      <c r="L5" s="44">
        <v>22.351814317616814</v>
      </c>
      <c r="M5" s="2">
        <v>0.4</v>
      </c>
      <c r="N5" s="1">
        <f t="shared" si="18"/>
        <v>0.3981071705534972</v>
      </c>
      <c r="O5" s="1">
        <f t="shared" si="4"/>
        <v>2.537005295824676E-14</v>
      </c>
      <c r="P5" s="1">
        <f t="shared" si="19"/>
        <v>0.99999999024228736</v>
      </c>
      <c r="Q5" s="1">
        <f t="shared" si="20"/>
        <v>-5.02866370950722</v>
      </c>
      <c r="R5" s="24">
        <f t="shared" si="7"/>
        <v>-125.71659273768051</v>
      </c>
      <c r="S5" s="2">
        <v>1.8</v>
      </c>
      <c r="T5" s="1">
        <v>1.5848931924611124E-2</v>
      </c>
      <c r="U5" s="1">
        <v>6.3726691792499559E-13</v>
      </c>
      <c r="V5" s="1">
        <v>0.99999975489739923</v>
      </c>
      <c r="W5" s="1">
        <v>1.2581942491464231</v>
      </c>
      <c r="X5" s="44">
        <v>31.454856228660582</v>
      </c>
      <c r="Y5" s="2">
        <v>0.39999999999999603</v>
      </c>
      <c r="Z5" s="1">
        <f t="shared" si="21"/>
        <v>0.39810717055350081</v>
      </c>
      <c r="AA5" s="1">
        <f t="shared" si="22"/>
        <v>2.5370052958246529E-14</v>
      </c>
      <c r="AB5" s="1">
        <f t="shared" si="23"/>
        <v>2.5118233373599633E-5</v>
      </c>
      <c r="AC5" s="1">
        <f t="shared" si="24"/>
        <v>-0.22162280035843401</v>
      </c>
      <c r="AD5" s="24">
        <f t="shared" si="25"/>
        <v>-44.324560071686804</v>
      </c>
      <c r="AE5" s="2">
        <v>2.9999999999999698</v>
      </c>
      <c r="AF5" s="1">
        <v>1.0000000000000688E-3</v>
      </c>
      <c r="AG5" s="1">
        <v>1.0099999999999305E-11</v>
      </c>
      <c r="AH5" s="1">
        <v>9.900990099009228E-3</v>
      </c>
      <c r="AI5" s="1">
        <v>8.8832236619646697E-3</v>
      </c>
      <c r="AJ5" s="44">
        <v>1.776644732392934</v>
      </c>
    </row>
    <row r="6" spans="1:36" ht="15" customHeight="1" x14ac:dyDescent="0.3">
      <c r="A6" s="2">
        <v>0.5</v>
      </c>
      <c r="B6" s="1">
        <f t="shared" si="14"/>
        <v>0.31622776601683794</v>
      </c>
      <c r="C6" s="1">
        <f t="shared" si="15"/>
        <v>3.193900436770063E-14</v>
      </c>
      <c r="D6" s="1">
        <f t="shared" si="16"/>
        <v>5.6888616314942518E-4</v>
      </c>
      <c r="E6" s="1">
        <f t="shared" si="17"/>
        <v>-8.6269625695374719E-2</v>
      </c>
      <c r="F6" s="24">
        <f t="shared" si="26"/>
        <v>-43.134812847687357</v>
      </c>
      <c r="G6" s="2">
        <v>2.6</v>
      </c>
      <c r="H6" s="1">
        <v>2.5118864315095777E-3</v>
      </c>
      <c r="I6" s="1">
        <v>4.0208824225903259E-12</v>
      </c>
      <c r="J6" s="1">
        <v>6.6867605517465373E-2</v>
      </c>
      <c r="K6" s="1">
        <v>5.8885556080607915E-2</v>
      </c>
      <c r="L6" s="44">
        <v>29.442778040303956</v>
      </c>
      <c r="M6" s="2">
        <v>0.5</v>
      </c>
      <c r="N6" s="1">
        <f t="shared" si="18"/>
        <v>0.31622776601683794</v>
      </c>
      <c r="O6" s="1">
        <f t="shared" si="4"/>
        <v>3.193900436770063E-14</v>
      </c>
      <c r="P6" s="1">
        <f t="shared" si="19"/>
        <v>0.99999998771576759</v>
      </c>
      <c r="Q6" s="1">
        <f t="shared" si="20"/>
        <v>-7.1622776390315908</v>
      </c>
      <c r="R6" s="24">
        <f t="shared" si="7"/>
        <v>-179.05694097578976</v>
      </c>
      <c r="S6" s="2">
        <v>1.9</v>
      </c>
      <c r="T6" s="1">
        <v>1.2589254117941664E-2</v>
      </c>
      <c r="U6" s="1">
        <v>8.0227151707152477E-13</v>
      </c>
      <c r="V6" s="1">
        <v>0.99999969143412715</v>
      </c>
      <c r="W6" s="1">
        <v>1.2015236664275908</v>
      </c>
      <c r="X6" s="44">
        <v>30.038091660689766</v>
      </c>
      <c r="Y6" s="2">
        <v>0.499999999999995</v>
      </c>
      <c r="Z6" s="1">
        <f t="shared" si="21"/>
        <v>0.31622776601684155</v>
      </c>
      <c r="AA6" s="1">
        <f t="shared" si="22"/>
        <v>3.1939004367700264E-14</v>
      </c>
      <c r="AB6" s="1">
        <f t="shared" si="23"/>
        <v>3.1621776633305207E-5</v>
      </c>
      <c r="AC6" s="1">
        <f t="shared" si="24"/>
        <v>-0.19369357267960455</v>
      </c>
      <c r="AD6" s="24">
        <f t="shared" si="25"/>
        <v>-38.738714535920913</v>
      </c>
      <c r="AE6" s="2">
        <v>3.0999999999999699</v>
      </c>
      <c r="AF6" s="1">
        <v>7.9432823472433607E-4</v>
      </c>
      <c r="AG6" s="1">
        <v>1.2715146659120214E-11</v>
      </c>
      <c r="AH6" s="1">
        <v>1.2432735254441562E-2</v>
      </c>
      <c r="AI6" s="1">
        <v>1.161994692886468E-2</v>
      </c>
      <c r="AJ6" s="44">
        <v>2.3239893857729359</v>
      </c>
    </row>
    <row r="7" spans="1:36" ht="15" customHeight="1" x14ac:dyDescent="0.3">
      <c r="A7" s="2">
        <v>0.6</v>
      </c>
      <c r="B7" s="1">
        <f t="shared" si="14"/>
        <v>0.25118864315095801</v>
      </c>
      <c r="C7" s="1">
        <f t="shared" si="15"/>
        <v>4.0208824225903217E-14</v>
      </c>
      <c r="D7" s="1">
        <f t="shared" si="16"/>
        <v>7.1607976931276193E-4</v>
      </c>
      <c r="E7" s="1">
        <f t="shared" si="17"/>
        <v>-8.3280232827562736E-2</v>
      </c>
      <c r="F7" s="24">
        <f t="shared" si="26"/>
        <v>-41.640116413781364</v>
      </c>
      <c r="G7" s="2">
        <v>2.7</v>
      </c>
      <c r="H7" s="1">
        <v>1.9952623149688781E-3</v>
      </c>
      <c r="I7" s="1">
        <v>5.0619910596354535E-12</v>
      </c>
      <c r="J7" s="1">
        <v>8.2748640824302291E-2</v>
      </c>
      <c r="K7" s="1">
        <v>7.5735858139408196E-2</v>
      </c>
      <c r="L7" s="44">
        <v>37.867929069704097</v>
      </c>
      <c r="M7" s="2">
        <v>0.6</v>
      </c>
      <c r="N7" s="1">
        <f t="shared" si="18"/>
        <v>0.25118864315095801</v>
      </c>
      <c r="O7" s="1">
        <f t="shared" si="4"/>
        <v>4.0208824225903217E-14</v>
      </c>
      <c r="P7" s="1">
        <f t="shared" si="19"/>
        <v>0.99999998453506778</v>
      </c>
      <c r="Q7" s="1">
        <f t="shared" si="20"/>
        <v>-13.721349892749704</v>
      </c>
      <c r="R7" s="24">
        <f t="shared" si="7"/>
        <v>-343.03374731874254</v>
      </c>
      <c r="S7" s="2">
        <v>2</v>
      </c>
      <c r="T7" s="1">
        <v>0.01</v>
      </c>
      <c r="U7" s="1">
        <v>1.0099999999999999E-12</v>
      </c>
      <c r="V7" s="1">
        <v>0.9999996115386125</v>
      </c>
      <c r="W7" s="1">
        <v>1.1578943279185947</v>
      </c>
      <c r="X7" s="44">
        <v>28.947358197964867</v>
      </c>
      <c r="Y7" s="2">
        <v>0.59999999999999398</v>
      </c>
      <c r="Z7" s="1">
        <f t="shared" si="21"/>
        <v>0.25118864315096145</v>
      </c>
      <c r="AA7" s="1">
        <f t="shared" si="22"/>
        <v>4.0208824225902668E-14</v>
      </c>
      <c r="AB7" s="1">
        <f t="shared" si="23"/>
        <v>3.9809132225249946E-5</v>
      </c>
      <c r="AC7" s="1">
        <f t="shared" si="24"/>
        <v>-0.16716761915171668</v>
      </c>
      <c r="AD7" s="24">
        <f t="shared" si="25"/>
        <v>-33.43352383034334</v>
      </c>
      <c r="AE7" s="2">
        <v>3.19999999999997</v>
      </c>
      <c r="AF7" s="1">
        <v>6.3095734448023668E-4</v>
      </c>
      <c r="AG7" s="1">
        <v>1.6007421243856143E-11</v>
      </c>
      <c r="AH7" s="1">
        <v>1.5601662241828546E-2</v>
      </c>
      <c r="AI7" s="1">
        <v>1.4951836971133593E-2</v>
      </c>
      <c r="AJ7" s="44">
        <v>2.9903673942267188</v>
      </c>
    </row>
    <row r="8" spans="1:36" ht="15" customHeight="1" x14ac:dyDescent="0.3">
      <c r="A8" s="2">
        <v>0.7</v>
      </c>
      <c r="B8" s="1">
        <f t="shared" si="14"/>
        <v>0.19952623149688795</v>
      </c>
      <c r="C8" s="1">
        <f t="shared" si="15"/>
        <v>5.0619910596354503E-14</v>
      </c>
      <c r="D8" s="1">
        <f t="shared" si="16"/>
        <v>9.013239028688244E-4</v>
      </c>
      <c r="E8" s="1">
        <f t="shared" si="17"/>
        <v>-7.9781419512972587E-2</v>
      </c>
      <c r="F8" s="24">
        <f t="shared" si="26"/>
        <v>-39.890709756486288</v>
      </c>
      <c r="G8" s="2">
        <v>2.8</v>
      </c>
      <c r="H8" s="1">
        <v>1.5848931924611134E-3</v>
      </c>
      <c r="I8" s="1">
        <v>6.3726691792499515E-12</v>
      </c>
      <c r="J8" s="1">
        <v>0.1019891746247789</v>
      </c>
      <c r="K8" s="1">
        <v>9.5783263421830536E-2</v>
      </c>
      <c r="L8" s="44">
        <v>47.89163171091527</v>
      </c>
      <c r="M8" s="2">
        <v>0.7</v>
      </c>
      <c r="N8" s="1">
        <f t="shared" si="18"/>
        <v>0.19952623149688795</v>
      </c>
      <c r="O8" s="1">
        <f t="shared" si="4"/>
        <v>5.0619910596354503E-14</v>
      </c>
      <c r="P8" s="1">
        <f t="shared" si="19"/>
        <v>0.99999998053080397</v>
      </c>
      <c r="Q8" s="1">
        <f t="shared" si="20"/>
        <v>1264.4412937981117</v>
      </c>
      <c r="R8" s="24">
        <f t="shared" si="7"/>
        <v>31611.03234495279</v>
      </c>
      <c r="S8" s="2">
        <v>2.1</v>
      </c>
      <c r="T8" s="1">
        <v>7.9432823472428121E-3</v>
      </c>
      <c r="U8" s="1">
        <v>1.2715146659121093E-12</v>
      </c>
      <c r="V8" s="1">
        <v>0.99999951095613693</v>
      </c>
      <c r="W8" s="1">
        <v>1.1240766244483478</v>
      </c>
      <c r="X8" s="44">
        <v>28.101915611208693</v>
      </c>
      <c r="Y8" s="2">
        <v>0.69999999999999296</v>
      </c>
      <c r="Z8" s="1">
        <f t="shared" si="21"/>
        <v>0.19952623149689114</v>
      </c>
      <c r="AA8" s="1">
        <f t="shared" si="22"/>
        <v>5.0619910596353689E-14</v>
      </c>
      <c r="AB8" s="1">
        <f t="shared" si="23"/>
        <v>5.0116211602181157E-5</v>
      </c>
      <c r="AC8" s="1">
        <f t="shared" si="24"/>
        <v>-0.14257943898572681</v>
      </c>
      <c r="AD8" s="24">
        <f t="shared" si="25"/>
        <v>-28.515887797145361</v>
      </c>
      <c r="AE8" s="2">
        <v>3.2999999999999701</v>
      </c>
      <c r="AF8" s="1">
        <v>5.0118723362730635E-4</v>
      </c>
      <c r="AG8" s="1">
        <v>2.0152149381184313E-11</v>
      </c>
      <c r="AH8" s="1">
        <v>1.9562303872578218E-2</v>
      </c>
      <c r="AI8" s="1">
        <v>1.9042029415779448E-2</v>
      </c>
      <c r="AJ8" s="44">
        <v>3.8084058831558893</v>
      </c>
    </row>
    <row r="9" spans="1:36" ht="15" customHeight="1" x14ac:dyDescent="0.3">
      <c r="A9" s="2">
        <v>0.8</v>
      </c>
      <c r="B9" s="1">
        <f t="shared" si="14"/>
        <v>0.15848931924611132</v>
      </c>
      <c r="C9" s="1">
        <f t="shared" si="15"/>
        <v>6.3726691792499529E-14</v>
      </c>
      <c r="D9" s="1">
        <f t="shared" si="16"/>
        <v>1.1344348161020515E-3</v>
      </c>
      <c r="E9" s="1">
        <f t="shared" si="17"/>
        <v>-7.5745895477564301E-2</v>
      </c>
      <c r="F9" s="24">
        <f t="shared" si="26"/>
        <v>-37.872947738782145</v>
      </c>
      <c r="G9" s="2">
        <v>2.9</v>
      </c>
      <c r="H9" s="1">
        <v>1.2589254117941662E-3</v>
      </c>
      <c r="I9" s="1">
        <v>8.0227151707152493E-12</v>
      </c>
      <c r="J9" s="1">
        <v>0.12509334988779006</v>
      </c>
      <c r="K9" s="1">
        <v>0.11956503000668493</v>
      </c>
      <c r="L9" s="44">
        <v>59.782515003342461</v>
      </c>
      <c r="M9" s="2">
        <v>0.8</v>
      </c>
      <c r="N9" s="1">
        <f t="shared" si="18"/>
        <v>0.15848931924611132</v>
      </c>
      <c r="O9" s="1">
        <f t="shared" si="4"/>
        <v>6.3726691792499529E-14</v>
      </c>
      <c r="P9" s="1">
        <f t="shared" si="19"/>
        <v>0.99999997548973452</v>
      </c>
      <c r="Q9" s="1">
        <f t="shared" si="20"/>
        <v>12.454111187777094</v>
      </c>
      <c r="R9" s="24">
        <f t="shared" si="7"/>
        <v>311.35277969442734</v>
      </c>
      <c r="S9" s="2">
        <v>2.2000000000000002</v>
      </c>
      <c r="T9" s="1">
        <v>6.3095734448019251E-3</v>
      </c>
      <c r="U9" s="1">
        <v>1.6007421243857264E-12</v>
      </c>
      <c r="V9" s="1">
        <v>0.9999993843303312</v>
      </c>
      <c r="W9" s="1">
        <v>1.0977260339200041</v>
      </c>
      <c r="X9" s="44">
        <v>27.443150848000101</v>
      </c>
      <c r="Y9" s="2">
        <v>0.79999999999999205</v>
      </c>
      <c r="Z9" s="1">
        <f t="shared" si="21"/>
        <v>0.1584893192461142</v>
      </c>
      <c r="AA9" s="1">
        <f t="shared" si="22"/>
        <v>6.3726691792498368E-14</v>
      </c>
      <c r="AB9" s="1">
        <f t="shared" si="23"/>
        <v>6.3091753627485446E-5</v>
      </c>
      <c r="AC9" s="1">
        <f t="shared" si="24"/>
        <v>-0.12029521425937176</v>
      </c>
      <c r="AD9" s="24">
        <f t="shared" si="25"/>
        <v>-24.059042851874352</v>
      </c>
      <c r="AE9" s="2">
        <v>3.3999999999999702</v>
      </c>
      <c r="AF9" s="1">
        <v>3.9810717055352435E-4</v>
      </c>
      <c r="AG9" s="1">
        <v>2.5370052958245031E-11</v>
      </c>
      <c r="AH9" s="1">
        <v>2.4503367550334363E-2</v>
      </c>
      <c r="AI9" s="1">
        <v>2.4086082721888762E-2</v>
      </c>
      <c r="AJ9" s="44">
        <v>4.8172165443777528</v>
      </c>
    </row>
    <row r="10" spans="1:36" ht="15" customHeight="1" x14ac:dyDescent="0.3">
      <c r="A10" s="2">
        <v>0.9</v>
      </c>
      <c r="B10" s="1">
        <f t="shared" si="14"/>
        <v>0.12589254117941667</v>
      </c>
      <c r="C10" s="1">
        <f t="shared" si="15"/>
        <v>8.0227151707152451E-14</v>
      </c>
      <c r="D10" s="1">
        <f t="shared" si="16"/>
        <v>1.4277494394583348E-3</v>
      </c>
      <c r="E10" s="1">
        <f t="shared" si="17"/>
        <v>-7.1167694559587755E-2</v>
      </c>
      <c r="F10" s="24">
        <f t="shared" si="26"/>
        <v>-35.583847279793872</v>
      </c>
      <c r="G10" s="2">
        <v>3</v>
      </c>
      <c r="H10" s="1">
        <v>1E-3</v>
      </c>
      <c r="I10" s="1">
        <v>1.0099999999999999E-11</v>
      </c>
      <c r="J10" s="1">
        <v>0.15254237288135594</v>
      </c>
      <c r="K10" s="1">
        <v>0.14759056169742082</v>
      </c>
      <c r="L10" s="44">
        <v>73.795280848710405</v>
      </c>
      <c r="M10" s="2">
        <v>0.9</v>
      </c>
      <c r="N10" s="1">
        <f t="shared" si="18"/>
        <v>0.12589254117941667</v>
      </c>
      <c r="O10" s="1">
        <f t="shared" si="4"/>
        <v>8.0227151707152451E-14</v>
      </c>
      <c r="P10" s="1">
        <f t="shared" si="19"/>
        <v>0.99999996914340417</v>
      </c>
      <c r="Q10" s="1">
        <f t="shared" si="20"/>
        <v>6.0963509392577038</v>
      </c>
      <c r="R10" s="24">
        <f t="shared" si="7"/>
        <v>152.40877348144261</v>
      </c>
      <c r="S10" s="2">
        <v>2.2999999999999998</v>
      </c>
      <c r="T10" s="1">
        <v>5.0118723362727212E-3</v>
      </c>
      <c r="U10" s="1">
        <v>2.015214938118569E-12</v>
      </c>
      <c r="V10" s="1">
        <v>0.99999922491793225</v>
      </c>
      <c r="W10" s="1">
        <v>1.0771096279878816</v>
      </c>
      <c r="X10" s="44">
        <v>26.92774069969704</v>
      </c>
      <c r="Y10" s="2">
        <v>0.89999999999999103</v>
      </c>
      <c r="Z10" s="1">
        <f t="shared" si="21"/>
        <v>0.12589254117941931</v>
      </c>
      <c r="AA10" s="1">
        <f t="shared" si="22"/>
        <v>8.0227151707150773E-14</v>
      </c>
      <c r="AB10" s="1">
        <f t="shared" si="23"/>
        <v>7.9426514400129136E-5</v>
      </c>
      <c r="AC10" s="1">
        <f t="shared" si="24"/>
        <v>-0.10050696116930502</v>
      </c>
      <c r="AD10" s="24">
        <f t="shared" si="25"/>
        <v>-20.101392233861006</v>
      </c>
      <c r="AE10" s="2">
        <v>3.4999999999999698</v>
      </c>
      <c r="AF10" s="1">
        <v>3.1622776601685973E-4</v>
      </c>
      <c r="AG10" s="1">
        <v>3.1939004367698425E-11</v>
      </c>
      <c r="AH10" s="1">
        <v>3.0653430031713461E-2</v>
      </c>
      <c r="AI10" s="1">
        <v>3.0318027495362471E-2</v>
      </c>
      <c r="AJ10" s="44">
        <v>6.0636054990724944</v>
      </c>
    </row>
    <row r="11" spans="1:36" ht="15" customHeight="1" x14ac:dyDescent="0.3">
      <c r="A11" s="2">
        <v>1</v>
      </c>
      <c r="B11" s="1">
        <f t="shared" si="14"/>
        <v>0.1</v>
      </c>
      <c r="C11" s="1">
        <f t="shared" si="15"/>
        <v>1.0099999999999999E-13</v>
      </c>
      <c r="D11" s="1">
        <f t="shared" si="16"/>
        <v>1.7967658215212617E-3</v>
      </c>
      <c r="E11" s="1">
        <f t="shared" si="17"/>
        <v>-6.6067744726136732E-2</v>
      </c>
      <c r="F11" s="24">
        <f t="shared" si="26"/>
        <v>-33.033872363068362</v>
      </c>
      <c r="G11" s="2">
        <v>3.1</v>
      </c>
      <c r="H11" s="1">
        <v>7.9432823472428099E-4</v>
      </c>
      <c r="I11" s="1">
        <v>1.2715146659121097E-11</v>
      </c>
      <c r="J11" s="1">
        <v>0.18474267047278689</v>
      </c>
      <c r="K11" s="1">
        <v>0.18028982805742491</v>
      </c>
      <c r="L11" s="44">
        <v>90.144914028712449</v>
      </c>
      <c r="M11" s="2">
        <v>1</v>
      </c>
      <c r="N11" s="1">
        <f t="shared" si="18"/>
        <v>0.1</v>
      </c>
      <c r="O11" s="1">
        <f t="shared" si="4"/>
        <v>1.0099999999999999E-13</v>
      </c>
      <c r="P11" s="1">
        <f t="shared" si="19"/>
        <v>0.99999996115384771</v>
      </c>
      <c r="Q11" s="1">
        <f t="shared" si="20"/>
        <v>3.9999999223016349</v>
      </c>
      <c r="R11" s="24">
        <f t="shared" si="7"/>
        <v>99.999998057540878</v>
      </c>
      <c r="S11" s="2">
        <v>2.4</v>
      </c>
      <c r="T11" s="1">
        <v>3.9810717055349717E-3</v>
      </c>
      <c r="U11" s="1">
        <v>2.5370052958246762E-12</v>
      </c>
      <c r="V11" s="1">
        <v>0.99999902422968456</v>
      </c>
      <c r="W11" s="1">
        <v>1.0609278912944322</v>
      </c>
      <c r="X11" s="44">
        <v>26.523197282360805</v>
      </c>
      <c r="Y11" s="2">
        <v>0.99999999999999001</v>
      </c>
      <c r="Z11" s="1">
        <f t="shared" si="21"/>
        <v>0.1000000000000023</v>
      </c>
      <c r="AA11" s="1">
        <f t="shared" si="22"/>
        <v>1.0099999999999768E-13</v>
      </c>
      <c r="AB11" s="1">
        <f t="shared" si="23"/>
        <v>9.9990000999897725E-5</v>
      </c>
      <c r="AC11" s="1">
        <f t="shared" si="24"/>
        <v>-8.3250008332431527E-2</v>
      </c>
      <c r="AD11" s="24">
        <f t="shared" si="25"/>
        <v>-16.650001666486304</v>
      </c>
      <c r="AE11" s="2">
        <v>3.5999999999999601</v>
      </c>
      <c r="AF11" s="1">
        <v>2.5118864315098094E-4</v>
      </c>
      <c r="AG11" s="1">
        <v>4.0208824225899551E-11</v>
      </c>
      <c r="AH11" s="1">
        <v>3.8286503882251369E-2</v>
      </c>
      <c r="AI11" s="1">
        <v>3.8016216798535674E-2</v>
      </c>
      <c r="AJ11" s="44">
        <v>7.6032433597071343</v>
      </c>
    </row>
    <row r="12" spans="1:36" ht="15" customHeight="1" x14ac:dyDescent="0.3">
      <c r="A12" s="2">
        <v>1.1000000000000001</v>
      </c>
      <c r="B12" s="1">
        <f t="shared" si="14"/>
        <v>7.9432823472428096E-2</v>
      </c>
      <c r="C12" s="1">
        <f t="shared" si="15"/>
        <v>1.2715146659121095E-13</v>
      </c>
      <c r="D12" s="1">
        <f t="shared" si="16"/>
        <v>2.2609422973465889E-3</v>
      </c>
      <c r="E12" s="1">
        <f t="shared" si="17"/>
        <v>-6.0496518752358536E-2</v>
      </c>
      <c r="F12" s="24">
        <f t="shared" si="26"/>
        <v>-30.248259376179266</v>
      </c>
      <c r="G12" s="2">
        <v>3.2</v>
      </c>
      <c r="H12" s="1">
        <v>6.3095734448019244E-4</v>
      </c>
      <c r="I12" s="1">
        <v>1.6007421243857267E-11</v>
      </c>
      <c r="J12" s="1">
        <v>0.2219598863308605</v>
      </c>
      <c r="K12" s="1">
        <v>0.21794765823023804</v>
      </c>
      <c r="L12" s="44">
        <v>108.97382911511902</v>
      </c>
      <c r="M12" s="2">
        <v>1.1000000000000001</v>
      </c>
      <c r="N12" s="1">
        <f t="shared" si="18"/>
        <v>7.9432823472428096E-2</v>
      </c>
      <c r="O12" s="1">
        <f t="shared" si="4"/>
        <v>1.2715146659121095E-13</v>
      </c>
      <c r="P12" s="1">
        <f t="shared" si="19"/>
        <v>0.99999995109559225</v>
      </c>
      <c r="Q12" s="1">
        <f t="shared" si="20"/>
        <v>2.976478735746745</v>
      </c>
      <c r="R12" s="24">
        <f t="shared" si="7"/>
        <v>74.41196839366863</v>
      </c>
      <c r="S12" s="2">
        <v>2.5</v>
      </c>
      <c r="T12" s="1">
        <v>3.1622776601683764E-3</v>
      </c>
      <c r="U12" s="1">
        <v>3.1939004367700658E-12</v>
      </c>
      <c r="V12" s="1">
        <v>0.99999877157826411</v>
      </c>
      <c r="W12" s="1">
        <v>1.0481949657497263</v>
      </c>
      <c r="X12" s="44">
        <v>26.204874143743158</v>
      </c>
      <c r="Y12" s="2">
        <v>1.0999999999999901</v>
      </c>
      <c r="Z12" s="1">
        <f t="shared" si="21"/>
        <v>7.9432823472429942E-2</v>
      </c>
      <c r="AA12" s="1">
        <f t="shared" si="22"/>
        <v>1.27151466591208E-13</v>
      </c>
      <c r="AB12" s="1">
        <f t="shared" si="23"/>
        <v>1.2587669424250045E-4</v>
      </c>
      <c r="AC12" s="1">
        <f t="shared" si="24"/>
        <v>-6.8434979488050371E-2</v>
      </c>
      <c r="AD12" s="24">
        <f t="shared" si="25"/>
        <v>-13.686995897610075</v>
      </c>
      <c r="AE12" s="2">
        <v>3.6999999999999602</v>
      </c>
      <c r="AF12" s="1">
        <v>1.9952623149690601E-4</v>
      </c>
      <c r="AG12" s="1">
        <v>5.0619910596349919E-11</v>
      </c>
      <c r="AH12" s="1">
        <v>4.7726721034199802E-2</v>
      </c>
      <c r="AI12" s="1">
        <v>4.7508236579313065E-2</v>
      </c>
      <c r="AJ12" s="44">
        <v>9.5016473158626127</v>
      </c>
    </row>
    <row r="13" spans="1:36" ht="15" customHeight="1" x14ac:dyDescent="0.3">
      <c r="A13" s="2">
        <v>1.2</v>
      </c>
      <c r="B13" s="1">
        <f t="shared" si="14"/>
        <v>6.3095734448019317E-2</v>
      </c>
      <c r="C13" s="1">
        <f t="shared" si="15"/>
        <v>1.6007421243857248E-13</v>
      </c>
      <c r="D13" s="1">
        <f t="shared" si="16"/>
        <v>2.8446923859551418E-3</v>
      </c>
      <c r="E13" s="1">
        <f t="shared" si="17"/>
        <v>-5.4532019758282819E-2</v>
      </c>
      <c r="F13" s="24">
        <f t="shared" si="26"/>
        <v>-27.266009879141411</v>
      </c>
      <c r="G13" s="2">
        <v>3.3</v>
      </c>
      <c r="H13" s="1">
        <v>5.0118723362727209E-4</v>
      </c>
      <c r="I13" s="1">
        <v>2.0152149381185689E-11</v>
      </c>
      <c r="J13" s="1">
        <v>0.26424452942477089</v>
      </c>
      <c r="K13" s="1">
        <v>0.26062966983831654</v>
      </c>
      <c r="L13" s="44">
        <v>130.31483491915827</v>
      </c>
      <c r="M13" s="2">
        <v>1.2</v>
      </c>
      <c r="N13" s="1">
        <f t="shared" si="18"/>
        <v>6.3095734448019317E-2</v>
      </c>
      <c r="O13" s="1">
        <f t="shared" si="4"/>
        <v>1.6007421243857248E-13</v>
      </c>
      <c r="P13" s="1">
        <f t="shared" si="19"/>
        <v>0.99999993843299906</v>
      </c>
      <c r="Q13" s="1">
        <f t="shared" si="20"/>
        <v>2.3826244950569961</v>
      </c>
      <c r="R13" s="24">
        <f t="shared" si="7"/>
        <v>59.565612376424909</v>
      </c>
      <c r="S13" s="2">
        <v>2.6</v>
      </c>
      <c r="T13" s="1">
        <v>2.5118864315095777E-3</v>
      </c>
      <c r="U13" s="1">
        <v>4.0208824225903259E-12</v>
      </c>
      <c r="V13" s="1">
        <v>0.99999845350915217</v>
      </c>
      <c r="W13" s="1">
        <v>1.0381559672021972</v>
      </c>
      <c r="X13" s="44">
        <v>25.953899180054933</v>
      </c>
      <c r="Y13" s="2">
        <v>1.19999999999999</v>
      </c>
      <c r="Z13" s="1">
        <f t="shared" si="21"/>
        <v>6.3095734448020774E-2</v>
      </c>
      <c r="AA13" s="1">
        <f t="shared" si="22"/>
        <v>1.6007421243856877E-13</v>
      </c>
      <c r="AB13" s="1">
        <f t="shared" si="23"/>
        <v>1.5846420436223349E-4</v>
      </c>
      <c r="AC13" s="1">
        <f t="shared" si="24"/>
        <v>-5.5885053280692258E-2</v>
      </c>
      <c r="AD13" s="24">
        <f t="shared" si="25"/>
        <v>-11.177010656138451</v>
      </c>
      <c r="AE13" s="2">
        <v>3.7999999999999599</v>
      </c>
      <c r="AF13" s="1">
        <v>1.5848931924612581E-4</v>
      </c>
      <c r="AG13" s="1">
        <v>6.3726691792493703E-11</v>
      </c>
      <c r="AH13" s="1">
        <v>5.935094310276251E-2</v>
      </c>
      <c r="AI13" s="1">
        <v>5.9173697056857329E-2</v>
      </c>
      <c r="AJ13" s="44">
        <v>11.834739411371466</v>
      </c>
    </row>
    <row r="14" spans="1:36" ht="15" customHeight="1" x14ac:dyDescent="0.3">
      <c r="A14" s="2">
        <v>1.3</v>
      </c>
      <c r="B14" s="1">
        <f t="shared" si="14"/>
        <v>5.0118723362727206E-2</v>
      </c>
      <c r="C14" s="1">
        <f t="shared" si="15"/>
        <v>2.0152149381185691E-13</v>
      </c>
      <c r="D14" s="1">
        <f t="shared" si="16"/>
        <v>3.5786196540603487E-3</v>
      </c>
      <c r="E14" s="1">
        <f t="shared" si="17"/>
        <v>-4.8272103271329921E-2</v>
      </c>
      <c r="F14" s="24">
        <f t="shared" si="26"/>
        <v>-24.136051635664959</v>
      </c>
      <c r="G14" s="2">
        <v>3.4</v>
      </c>
      <c r="H14" s="1">
        <v>3.9810717055349708E-4</v>
      </c>
      <c r="I14" s="1">
        <v>2.537005295824677E-11</v>
      </c>
      <c r="J14" s="1">
        <v>0.31136095376167472</v>
      </c>
      <c r="K14" s="1">
        <v>0.30811151158579625</v>
      </c>
      <c r="L14" s="44">
        <v>154.05575579289811</v>
      </c>
      <c r="M14" s="2">
        <v>1.3</v>
      </c>
      <c r="N14" s="1">
        <f t="shared" si="18"/>
        <v>5.0118723362727206E-2</v>
      </c>
      <c r="O14" s="1">
        <f t="shared" si="4"/>
        <v>2.0152149381185691E-13</v>
      </c>
      <c r="P14" s="1">
        <f t="shared" si="19"/>
        <v>0.99999992249173908</v>
      </c>
      <c r="Q14" s="1">
        <f t="shared" si="20"/>
        <v>2.003168360712587</v>
      </c>
      <c r="R14" s="24">
        <f t="shared" si="7"/>
        <v>50.079209017814676</v>
      </c>
      <c r="S14" s="2">
        <v>2.7</v>
      </c>
      <c r="T14" s="1">
        <v>1.9952623149688781E-3</v>
      </c>
      <c r="U14" s="1">
        <v>5.0619910596354535E-12</v>
      </c>
      <c r="V14" s="1">
        <v>0.99999805308415224</v>
      </c>
      <c r="W14" s="1">
        <v>1.0302285572374492</v>
      </c>
      <c r="X14" s="44">
        <v>25.755713930936228</v>
      </c>
      <c r="Y14" s="2">
        <v>1.2999999999999901</v>
      </c>
      <c r="Z14" s="1">
        <f t="shared" si="21"/>
        <v>5.0118723362728358E-2</v>
      </c>
      <c r="AA14" s="1">
        <f t="shared" si="22"/>
        <v>2.0152149381185229E-13</v>
      </c>
      <c r="AB14" s="1">
        <f t="shared" si="23"/>
        <v>1.9948642872152588E-4</v>
      </c>
      <c r="AC14" s="1">
        <f t="shared" si="24"/>
        <v>-4.5371330599948204E-2</v>
      </c>
      <c r="AD14" s="24">
        <f t="shared" si="25"/>
        <v>-9.0742661199896411</v>
      </c>
      <c r="AE14" s="2">
        <v>3.8999999999999599</v>
      </c>
      <c r="AF14" s="1">
        <v>1.2589254117942813E-4</v>
      </c>
      <c r="AG14" s="1">
        <v>8.0227151707145158E-11</v>
      </c>
      <c r="AH14" s="1">
        <v>7.3587556117567357E-2</v>
      </c>
      <c r="AI14" s="1">
        <v>7.3443171773345695E-2</v>
      </c>
      <c r="AJ14" s="44">
        <v>14.688634354669139</v>
      </c>
    </row>
    <row r="15" spans="1:36" ht="15" customHeight="1" x14ac:dyDescent="0.3">
      <c r="A15" s="2">
        <v>1.4</v>
      </c>
      <c r="B15" s="1">
        <f t="shared" si="14"/>
        <v>3.9810717055349727E-2</v>
      </c>
      <c r="C15" s="1">
        <f t="shared" si="15"/>
        <v>2.5370052958246757E-13</v>
      </c>
      <c r="D15" s="1">
        <f t="shared" si="16"/>
        <v>4.5010445736911502E-3</v>
      </c>
      <c r="E15" s="1">
        <f t="shared" si="17"/>
        <v>-4.1821506385711707E-2</v>
      </c>
      <c r="F15" s="24">
        <f t="shared" si="26"/>
        <v>-20.910753192855854</v>
      </c>
      <c r="G15" s="2">
        <v>3.5</v>
      </c>
      <c r="H15" s="1">
        <v>3.1622776601683783E-4</v>
      </c>
      <c r="I15" s="1">
        <v>3.1939004367700641E-11</v>
      </c>
      <c r="J15" s="1">
        <v>0.3627366550744206</v>
      </c>
      <c r="K15" s="1">
        <v>0.35982844493032362</v>
      </c>
      <c r="L15" s="44">
        <v>179.9142224651618</v>
      </c>
      <c r="M15" s="2">
        <v>1.4</v>
      </c>
      <c r="N15" s="1">
        <f t="shared" si="18"/>
        <v>3.9810717055349727E-2</v>
      </c>
      <c r="O15" s="1">
        <f t="shared" si="4"/>
        <v>2.5370052958246757E-13</v>
      </c>
      <c r="P15" s="1">
        <f t="shared" si="19"/>
        <v>0.99999990242288272</v>
      </c>
      <c r="Q15" s="1">
        <f t="shared" si="20"/>
        <v>1.7455688011971593</v>
      </c>
      <c r="R15" s="24">
        <f t="shared" si="7"/>
        <v>43.639220029928978</v>
      </c>
      <c r="S15" s="2">
        <v>2.8</v>
      </c>
      <c r="T15" s="1">
        <v>1.5848931924611134E-3</v>
      </c>
      <c r="U15" s="1">
        <v>6.3726691792499515E-12</v>
      </c>
      <c r="V15" s="1">
        <v>0.99999754897940019</v>
      </c>
      <c r="W15" s="1">
        <v>1.0239608235002198</v>
      </c>
      <c r="X15" s="44">
        <v>25.599020587505493</v>
      </c>
      <c r="Y15" s="2">
        <v>1.3999999999999899</v>
      </c>
      <c r="Z15" s="1">
        <f t="shared" si="21"/>
        <v>3.9810717055350629E-2</v>
      </c>
      <c r="AA15" s="1">
        <f t="shared" si="22"/>
        <v>2.5370052958246182E-13</v>
      </c>
      <c r="AB15" s="1">
        <f t="shared" si="23"/>
        <v>2.5112556326145613E-4</v>
      </c>
      <c r="AC15" s="1">
        <f t="shared" si="24"/>
        <v>-3.6642095314122616E-2</v>
      </c>
      <c r="AD15" s="24">
        <f t="shared" si="25"/>
        <v>-7.3284190628245236</v>
      </c>
      <c r="AE15" s="2">
        <v>3.99999999999996</v>
      </c>
      <c r="AF15" s="1">
        <v>1.0000000000000915E-4</v>
      </c>
      <c r="AG15" s="1">
        <v>1.0099999999999075E-10</v>
      </c>
      <c r="AH15" s="1">
        <v>9.0909090909083348E-2</v>
      </c>
      <c r="AI15" s="1">
        <v>9.0790932841854743E-2</v>
      </c>
      <c r="AJ15" s="44">
        <v>18.158186568370947</v>
      </c>
    </row>
    <row r="16" spans="1:36" ht="15" customHeight="1" x14ac:dyDescent="0.3">
      <c r="A16" s="2">
        <v>1.5</v>
      </c>
      <c r="B16" s="1">
        <f t="shared" si="14"/>
        <v>3.1622776601683784E-2</v>
      </c>
      <c r="C16" s="1">
        <f t="shared" si="15"/>
        <v>3.193900436770064E-13</v>
      </c>
      <c r="D16" s="1">
        <f t="shared" si="16"/>
        <v>5.659883168517745E-3</v>
      </c>
      <c r="E16" s="1">
        <f t="shared" si="17"/>
        <v>-3.5275490758818695E-2</v>
      </c>
      <c r="F16" s="24">
        <f t="shared" si="26"/>
        <v>-17.637745379409346</v>
      </c>
      <c r="G16" s="2">
        <v>3.6</v>
      </c>
      <c r="H16" s="1">
        <v>2.5118864315095774E-4</v>
      </c>
      <c r="I16" s="1">
        <v>4.020882422590326E-11</v>
      </c>
      <c r="J16" s="1">
        <v>0.41745069787699068</v>
      </c>
      <c r="K16" s="1">
        <v>0.41486413780737391</v>
      </c>
      <c r="L16" s="44">
        <v>207.43206890368697</v>
      </c>
      <c r="M16" s="2">
        <v>1.5</v>
      </c>
      <c r="N16" s="1">
        <f t="shared" si="18"/>
        <v>3.1622776601683784E-2</v>
      </c>
      <c r="O16" s="1">
        <f t="shared" si="4"/>
        <v>3.193900436770064E-13</v>
      </c>
      <c r="P16" s="1">
        <f t="shared" si="19"/>
        <v>0.99999987715769056</v>
      </c>
      <c r="Q16" s="1">
        <f t="shared" si="20"/>
        <v>1.5634271864136229</v>
      </c>
      <c r="R16" s="24">
        <f t="shared" si="7"/>
        <v>39.085679660340574</v>
      </c>
      <c r="S16" s="2">
        <v>2.9</v>
      </c>
      <c r="T16" s="1">
        <v>1.2589254117941662E-3</v>
      </c>
      <c r="U16" s="1">
        <v>8.0227151707152493E-12</v>
      </c>
      <c r="V16" s="1">
        <v>0.99999691434984028</v>
      </c>
      <c r="W16" s="1">
        <v>1.0190003958112546</v>
      </c>
      <c r="X16" s="44">
        <v>25.475009895281364</v>
      </c>
      <c r="Y16" s="2">
        <v>1.49999999999999</v>
      </c>
      <c r="Z16" s="1">
        <f t="shared" si="21"/>
        <v>3.1622776601684513E-2</v>
      </c>
      <c r="AA16" s="1">
        <f t="shared" si="22"/>
        <v>3.1939004367699903E-13</v>
      </c>
      <c r="AB16" s="1">
        <f t="shared" si="23"/>
        <v>3.161277976296105E-4</v>
      </c>
      <c r="AC16" s="1">
        <f t="shared" si="24"/>
        <v>-2.9444420161864753E-2</v>
      </c>
      <c r="AD16" s="24">
        <f t="shared" si="25"/>
        <v>-5.8888840323729505</v>
      </c>
      <c r="AE16" s="2">
        <v>4.0999999999999597</v>
      </c>
      <c r="AF16" s="1">
        <v>7.9432823472435485E-5</v>
      </c>
      <c r="AG16" s="1">
        <v>1.2715146659119914E-10</v>
      </c>
      <c r="AH16" s="1">
        <v>0.1118157697781078</v>
      </c>
      <c r="AI16" s="1">
        <v>0.11171858886430151</v>
      </c>
      <c r="AJ16" s="44">
        <v>22.343717772860302</v>
      </c>
    </row>
    <row r="17" spans="1:36" ht="15" customHeight="1" x14ac:dyDescent="0.3">
      <c r="A17" s="2">
        <v>1.6</v>
      </c>
      <c r="B17" s="1">
        <f t="shared" si="14"/>
        <v>2.511886431509578E-2</v>
      </c>
      <c r="C17" s="1">
        <f t="shared" si="15"/>
        <v>4.0208824225903255E-13</v>
      </c>
      <c r="D17" s="1">
        <f t="shared" si="16"/>
        <v>7.1149438867338559E-3</v>
      </c>
      <c r="E17" s="1">
        <f t="shared" si="17"/>
        <v>-2.8703032943895597E-2</v>
      </c>
      <c r="F17" s="24">
        <f t="shared" si="26"/>
        <v>-14.351516471947798</v>
      </c>
      <c r="G17" s="2">
        <v>3.7</v>
      </c>
      <c r="H17" s="1">
        <v>1.9952623149688758E-4</v>
      </c>
      <c r="I17" s="1">
        <v>5.0619910596354591E-11</v>
      </c>
      <c r="J17" s="1">
        <v>0.47427551790046996</v>
      </c>
      <c r="K17" s="1">
        <v>0.47199296645874983</v>
      </c>
      <c r="L17" s="44">
        <v>235.99648322937489</v>
      </c>
      <c r="M17" s="2">
        <v>1.6</v>
      </c>
      <c r="N17" s="1">
        <f t="shared" si="18"/>
        <v>2.511886431509578E-2</v>
      </c>
      <c r="O17" s="1">
        <f t="shared" si="4"/>
        <v>4.0208824225903255E-13</v>
      </c>
      <c r="P17" s="1">
        <f t="shared" si="19"/>
        <v>0.99999984535069986</v>
      </c>
      <c r="Q17" s="1">
        <f t="shared" si="20"/>
        <v>1.4309016047895702</v>
      </c>
      <c r="R17" s="24">
        <f t="shared" si="7"/>
        <v>35.772540119739254</v>
      </c>
      <c r="S17" s="2">
        <v>3</v>
      </c>
      <c r="T17" s="1">
        <v>1E-3</v>
      </c>
      <c r="U17" s="1">
        <v>1.0099999999999999E-11</v>
      </c>
      <c r="V17" s="1">
        <v>0.99999611539970557</v>
      </c>
      <c r="W17" s="1">
        <v>1.015071472610497</v>
      </c>
      <c r="X17" s="44">
        <v>25.376786815262424</v>
      </c>
      <c r="Y17" s="2">
        <v>1.5999999999999801</v>
      </c>
      <c r="Z17" s="1">
        <f t="shared" si="21"/>
        <v>2.5118864315096943E-2</v>
      </c>
      <c r="AA17" s="1">
        <f t="shared" si="22"/>
        <v>4.0208824225901392E-13</v>
      </c>
      <c r="AB17" s="1">
        <f t="shared" si="23"/>
        <v>3.9794874430485871E-4</v>
      </c>
      <c r="AC17" s="1">
        <f t="shared" si="24"/>
        <v>-2.3538399827486647E-2</v>
      </c>
      <c r="AD17" s="24">
        <f t="shared" si="25"/>
        <v>-4.7076799654973289</v>
      </c>
      <c r="AE17" s="2">
        <v>4.1999999999999602</v>
      </c>
      <c r="AF17" s="1">
        <v>6.3095734448024999E-5</v>
      </c>
      <c r="AG17" s="1">
        <v>1.6007421243855805E-10</v>
      </c>
      <c r="AH17" s="1">
        <v>0.13680688860319939</v>
      </c>
      <c r="AI17" s="1">
        <v>0.13672653934976076</v>
      </c>
      <c r="AJ17" s="44">
        <v>27.345307869952151</v>
      </c>
    </row>
    <row r="18" spans="1:36" ht="15" customHeight="1" x14ac:dyDescent="0.3">
      <c r="A18" s="2">
        <v>1.7</v>
      </c>
      <c r="B18" s="1">
        <f t="shared" si="14"/>
        <v>1.9952623149688792E-2</v>
      </c>
      <c r="C18" s="1">
        <f t="shared" si="15"/>
        <v>5.0619910596354508E-13</v>
      </c>
      <c r="D18" s="1">
        <f t="shared" si="16"/>
        <v>8.9407127258914806E-3</v>
      </c>
      <c r="E18" s="1">
        <f t="shared" si="17"/>
        <v>-2.2132503527736207E-2</v>
      </c>
      <c r="F18" s="24">
        <f t="shared" si="26"/>
        <v>-11.066251763868102</v>
      </c>
      <c r="G18" s="2">
        <v>3.8</v>
      </c>
      <c r="H18" s="1">
        <v>1.584893192461112E-4</v>
      </c>
      <c r="I18" s="1">
        <v>6.3726691792499571E-11</v>
      </c>
      <c r="J18" s="1">
        <v>0.53177453398204377</v>
      </c>
      <c r="K18" s="1">
        <v>0.52977827219200335</v>
      </c>
      <c r="L18" s="44">
        <v>264.88913609600166</v>
      </c>
      <c r="M18" s="2">
        <v>1.7</v>
      </c>
      <c r="N18" s="1">
        <f t="shared" si="18"/>
        <v>1.9952623149688792E-2</v>
      </c>
      <c r="O18" s="1">
        <f t="shared" si="4"/>
        <v>5.0619910596354508E-13</v>
      </c>
      <c r="P18" s="1">
        <f t="shared" si="19"/>
        <v>0.99999980530807397</v>
      </c>
      <c r="Q18" s="1">
        <f t="shared" si="20"/>
        <v>1.3324559988383458</v>
      </c>
      <c r="R18" s="24">
        <f t="shared" si="7"/>
        <v>33.311399970958639</v>
      </c>
      <c r="S18" s="2">
        <v>3.1</v>
      </c>
      <c r="T18" s="1">
        <v>7.9432823472428099E-4</v>
      </c>
      <c r="U18" s="1">
        <v>1.2715146659121097E-11</v>
      </c>
      <c r="V18" s="1">
        <v>0.99999510958289362</v>
      </c>
      <c r="W18" s="1">
        <v>1.0119575239065521</v>
      </c>
      <c r="X18" s="44">
        <v>25.298938097663804</v>
      </c>
      <c r="Y18" s="2">
        <v>1.69999999999998</v>
      </c>
      <c r="Z18" s="1">
        <f t="shared" si="21"/>
        <v>1.9952623149689708E-2</v>
      </c>
      <c r="AA18" s="1">
        <f t="shared" si="22"/>
        <v>5.0619910596352186E-13</v>
      </c>
      <c r="AB18" s="1">
        <f t="shared" si="23"/>
        <v>5.0093617081357553E-4</v>
      </c>
      <c r="AC18" s="1">
        <f t="shared" si="24"/>
        <v>-1.8705249394221156E-2</v>
      </c>
      <c r="AD18" s="24">
        <f t="shared" si="25"/>
        <v>-3.741049878844231</v>
      </c>
      <c r="AE18" s="2">
        <v>4.2999999999999599</v>
      </c>
      <c r="AF18" s="1">
        <v>5.0118723362731778E-5</v>
      </c>
      <c r="AG18" s="1">
        <v>2.0152149381183853E-10</v>
      </c>
      <c r="AH18" s="1">
        <v>0.16633753081654931</v>
      </c>
      <c r="AI18" s="1">
        <v>0.16627074580669754</v>
      </c>
      <c r="AJ18" s="44">
        <v>33.254149161339505</v>
      </c>
    </row>
    <row r="19" spans="1:36" ht="15" customHeight="1" x14ac:dyDescent="0.3">
      <c r="A19" s="2">
        <v>1.8</v>
      </c>
      <c r="B19" s="1">
        <f t="shared" si="14"/>
        <v>1.5848931924611124E-2</v>
      </c>
      <c r="C19" s="1">
        <f t="shared" si="15"/>
        <v>6.3726691792499559E-13</v>
      </c>
      <c r="D19" s="1">
        <f t="shared" si="16"/>
        <v>1.1229693958811106E-2</v>
      </c>
      <c r="E19" s="1">
        <f t="shared" si="17"/>
        <v>-1.5541763010498191E-2</v>
      </c>
      <c r="F19" s="24">
        <f t="shared" si="26"/>
        <v>-7.7708815052490952</v>
      </c>
      <c r="G19" s="2">
        <v>3.9</v>
      </c>
      <c r="H19" s="1">
        <v>1.2589254117941672E-4</v>
      </c>
      <c r="I19" s="1">
        <v>8.0227151707152435E-11</v>
      </c>
      <c r="J19" s="1">
        <v>0.58844193881283202</v>
      </c>
      <c r="K19" s="1">
        <v>0.58671289927568226</v>
      </c>
      <c r="L19" s="44">
        <v>293.35644963784108</v>
      </c>
      <c r="M19" s="2">
        <v>1.8</v>
      </c>
      <c r="N19" s="1">
        <f t="shared" si="18"/>
        <v>1.5848931924611124E-2</v>
      </c>
      <c r="O19" s="1">
        <f t="shared" si="4"/>
        <v>6.3726691792499559E-13</v>
      </c>
      <c r="P19" s="1">
        <f t="shared" si="19"/>
        <v>0.99999975489739923</v>
      </c>
      <c r="Q19" s="1">
        <f t="shared" si="20"/>
        <v>1.2581942491464231</v>
      </c>
      <c r="R19" s="24">
        <f t="shared" si="7"/>
        <v>31.454856228660582</v>
      </c>
      <c r="S19" s="2">
        <v>3.2</v>
      </c>
      <c r="T19" s="1">
        <v>6.3095734448019244E-4</v>
      </c>
      <c r="U19" s="1">
        <v>1.6007421243857267E-11</v>
      </c>
      <c r="V19" s="1">
        <v>0.99999384333742636</v>
      </c>
      <c r="W19" s="1">
        <v>1.0094881363102104</v>
      </c>
      <c r="X19" s="44">
        <v>25.23720340775526</v>
      </c>
      <c r="Y19" s="2">
        <v>1.7999999999999801</v>
      </c>
      <c r="Z19" s="1">
        <f t="shared" si="21"/>
        <v>1.5848931924611859E-2</v>
      </c>
      <c r="AA19" s="1">
        <f t="shared" si="22"/>
        <v>6.3726691792496601E-13</v>
      </c>
      <c r="AB19" s="1">
        <f t="shared" si="23"/>
        <v>6.3055948833986479E-4</v>
      </c>
      <c r="AC19" s="1">
        <f t="shared" si="24"/>
        <v>-1.4750803475422914E-2</v>
      </c>
      <c r="AD19" s="24">
        <f t="shared" si="25"/>
        <v>-2.9501606950845827</v>
      </c>
      <c r="AE19" s="2">
        <v>4.3999999999999604</v>
      </c>
      <c r="AF19" s="1">
        <v>3.9810717055353306E-5</v>
      </c>
      <c r="AG19" s="1">
        <v>2.5370052958244475E-10</v>
      </c>
      <c r="AH19" s="1">
        <v>0.20076000891308735</v>
      </c>
      <c r="AI19" s="1">
        <v>0.2007042181938854</v>
      </c>
      <c r="AJ19" s="44">
        <v>40.140843638777078</v>
      </c>
    </row>
    <row r="20" spans="1:36" ht="15" customHeight="1" x14ac:dyDescent="0.3">
      <c r="A20" s="2">
        <v>1.9</v>
      </c>
      <c r="B20" s="1">
        <f t="shared" si="14"/>
        <v>1.2589254117941664E-2</v>
      </c>
      <c r="C20" s="1">
        <f t="shared" si="15"/>
        <v>8.0227151707152477E-13</v>
      </c>
      <c r="D20" s="1">
        <f t="shared" si="16"/>
        <v>1.4096359766784488E-2</v>
      </c>
      <c r="E20" s="1">
        <f t="shared" si="17"/>
        <v>-8.8530759982803266E-3</v>
      </c>
      <c r="F20" s="24">
        <f t="shared" si="26"/>
        <v>-4.4265379991401632</v>
      </c>
      <c r="G20" s="2">
        <v>4</v>
      </c>
      <c r="H20" s="1">
        <v>1E-4</v>
      </c>
      <c r="I20" s="1">
        <v>1.0099999999999999E-10</v>
      </c>
      <c r="J20" s="1">
        <v>0.64285714285714279</v>
      </c>
      <c r="K20" s="1">
        <v>0.64137439556359188</v>
      </c>
      <c r="L20" s="44">
        <v>320.68719778179587</v>
      </c>
      <c r="M20" s="2">
        <v>1.9</v>
      </c>
      <c r="N20" s="1">
        <f t="shared" si="18"/>
        <v>1.2589254117941664E-2</v>
      </c>
      <c r="O20" s="1">
        <f t="shared" si="4"/>
        <v>8.0227151707152477E-13</v>
      </c>
      <c r="P20" s="1">
        <f t="shared" si="19"/>
        <v>0.99999969143412715</v>
      </c>
      <c r="Q20" s="1">
        <f t="shared" si="20"/>
        <v>1.2015236664275908</v>
      </c>
      <c r="R20" s="24">
        <f t="shared" si="7"/>
        <v>30.038091660689766</v>
      </c>
      <c r="S20" s="2">
        <v>3.3</v>
      </c>
      <c r="T20" s="1">
        <v>5.0118723362727209E-4</v>
      </c>
      <c r="U20" s="1">
        <v>2.0152149381185689E-11</v>
      </c>
      <c r="V20" s="1">
        <v>0.99999224923338992</v>
      </c>
      <c r="W20" s="1">
        <v>1.0075289244388164</v>
      </c>
      <c r="X20" s="44">
        <v>25.188223110970405</v>
      </c>
      <c r="Y20" s="2">
        <v>1.8999999999999799</v>
      </c>
      <c r="Z20" s="1">
        <f t="shared" si="21"/>
        <v>1.2589254117942247E-2</v>
      </c>
      <c r="AA20" s="1">
        <f t="shared" si="22"/>
        <v>8.0227151707148761E-13</v>
      </c>
      <c r="AB20" s="1">
        <f t="shared" si="23"/>
        <v>7.9369777816920757E-4</v>
      </c>
      <c r="AC20" s="1">
        <f t="shared" si="24"/>
        <v>-1.1505856047730545E-2</v>
      </c>
      <c r="AD20" s="24">
        <f t="shared" si="25"/>
        <v>-2.301171209546109</v>
      </c>
      <c r="AE20" s="2">
        <v>4.49999999999996</v>
      </c>
      <c r="AF20" s="1">
        <v>3.1622776601686668E-5</v>
      </c>
      <c r="AG20" s="1">
        <v>3.1939004367697725E-10</v>
      </c>
      <c r="AH20" s="1">
        <v>0.24025307335202559</v>
      </c>
      <c r="AI20" s="1">
        <v>0.24020625907051507</v>
      </c>
      <c r="AJ20" s="44">
        <v>48.041251814103013</v>
      </c>
    </row>
    <row r="21" spans="1:36" ht="15" customHeight="1" x14ac:dyDescent="0.3">
      <c r="A21" s="2">
        <v>2</v>
      </c>
      <c r="B21" s="1">
        <f t="shared" si="14"/>
        <v>0.01</v>
      </c>
      <c r="C21" s="1">
        <f t="shared" si="15"/>
        <v>1.0099999999999999E-12</v>
      </c>
      <c r="D21" s="1">
        <f t="shared" si="16"/>
        <v>1.7681728880157174E-2</v>
      </c>
      <c r="E21" s="1">
        <f t="shared" si="17"/>
        <v>-1.9318925982182104E-3</v>
      </c>
      <c r="F21" s="24">
        <f t="shared" si="26"/>
        <v>-0.96594629910910512</v>
      </c>
      <c r="G21" s="2">
        <v>4.0999999999999996</v>
      </c>
      <c r="H21" s="1">
        <v>7.9432823472428153E-5</v>
      </c>
      <c r="I21" s="1">
        <v>1.2715146659121088E-10</v>
      </c>
      <c r="J21" s="1">
        <v>0.69382122736342944</v>
      </c>
      <c r="K21" s="1">
        <v>0.69256212043886323</v>
      </c>
      <c r="L21" s="44">
        <v>346.28106021943159</v>
      </c>
      <c r="M21" s="2">
        <v>2</v>
      </c>
      <c r="N21" s="1">
        <f t="shared" si="18"/>
        <v>0.01</v>
      </c>
      <c r="O21" s="1">
        <f t="shared" si="4"/>
        <v>1.0099999999999999E-12</v>
      </c>
      <c r="P21" s="1">
        <f t="shared" si="19"/>
        <v>0.9999996115386125</v>
      </c>
      <c r="Q21" s="1">
        <f t="shared" si="20"/>
        <v>1.1578943279185947</v>
      </c>
      <c r="R21" s="24">
        <f t="shared" si="7"/>
        <v>28.947358197964867</v>
      </c>
      <c r="S21" s="2">
        <v>3.4</v>
      </c>
      <c r="T21" s="1">
        <v>3.9810717055349708E-4</v>
      </c>
      <c r="U21" s="1">
        <v>2.537005295824677E-11</v>
      </c>
      <c r="V21" s="1">
        <v>0.99999024238253575</v>
      </c>
      <c r="W21" s="1">
        <v>1.0059737405041784</v>
      </c>
      <c r="X21" s="44">
        <v>25.14934351260446</v>
      </c>
      <c r="Y21" s="2">
        <v>1.99999999999998</v>
      </c>
      <c r="Z21" s="1">
        <f t="shared" si="21"/>
        <v>1.0000000000000458E-2</v>
      </c>
      <c r="AA21" s="1">
        <f t="shared" si="22"/>
        <v>1.0099999999999537E-12</v>
      </c>
      <c r="AB21" s="1">
        <f t="shared" si="23"/>
        <v>9.9900099900095346E-4</v>
      </c>
      <c r="AC21" s="1">
        <f t="shared" si="24"/>
        <v>-8.8245088235365914E-3</v>
      </c>
      <c r="AD21" s="24">
        <f t="shared" si="25"/>
        <v>-1.7649017647073182</v>
      </c>
      <c r="AE21" s="2">
        <v>4.5999999999999499</v>
      </c>
      <c r="AF21" s="1">
        <v>2.5118864315098692E-5</v>
      </c>
      <c r="AG21" s="1">
        <v>4.0208824225898592E-10</v>
      </c>
      <c r="AH21" s="1">
        <v>0.28474724895077802</v>
      </c>
      <c r="AI21" s="1">
        <v>0.28470782764292246</v>
      </c>
      <c r="AJ21" s="44">
        <v>56.941565528584491</v>
      </c>
    </row>
    <row r="22" spans="1:36" ht="15" customHeight="1" x14ac:dyDescent="0.3">
      <c r="A22" s="2">
        <v>2.1</v>
      </c>
      <c r="B22" s="1">
        <f t="shared" si="14"/>
        <v>7.9432823472428121E-3</v>
      </c>
      <c r="C22" s="1">
        <f t="shared" si="15"/>
        <v>1.2715146659121093E-12</v>
      </c>
      <c r="D22" s="1">
        <f t="shared" si="16"/>
        <v>2.2158530542902434E-2</v>
      </c>
      <c r="E22" s="1">
        <f t="shared" si="17"/>
        <v>5.4121596128355312E-3</v>
      </c>
      <c r="F22" s="24">
        <f t="shared" si="26"/>
        <v>2.7060798064177654</v>
      </c>
      <c r="G22" s="2">
        <v>4.2</v>
      </c>
      <c r="H22" s="1">
        <v>6.3095734448019279E-5</v>
      </c>
      <c r="I22" s="1">
        <v>1.6007421243857255E-10</v>
      </c>
      <c r="J22" s="1">
        <v>0.74044902683592362</v>
      </c>
      <c r="K22" s="1">
        <v>0.73938979121591808</v>
      </c>
      <c r="L22" s="44">
        <v>369.69489560795904</v>
      </c>
      <c r="M22" s="2">
        <v>2.1</v>
      </c>
      <c r="N22" s="1">
        <f t="shared" si="18"/>
        <v>7.9432823472428121E-3</v>
      </c>
      <c r="O22" s="1">
        <f t="shared" si="4"/>
        <v>1.2715146659121093E-12</v>
      </c>
      <c r="P22" s="1">
        <f t="shared" si="19"/>
        <v>0.99999951095613693</v>
      </c>
      <c r="Q22" s="1">
        <f t="shared" si="20"/>
        <v>1.1240766244483478</v>
      </c>
      <c r="R22" s="24">
        <f t="shared" si="7"/>
        <v>28.101915611208693</v>
      </c>
      <c r="S22" s="2">
        <v>3.5</v>
      </c>
      <c r="T22" s="1">
        <v>3.1622776601683783E-4</v>
      </c>
      <c r="U22" s="1">
        <v>3.1939004367700641E-11</v>
      </c>
      <c r="V22" s="1">
        <v>0.99998771591845137</v>
      </c>
      <c r="W22" s="1">
        <v>1.0047386243518259</v>
      </c>
      <c r="X22" s="44">
        <v>25.118465608795645</v>
      </c>
      <c r="Y22" s="2">
        <v>2.0999999999999801</v>
      </c>
      <c r="Z22" s="1">
        <f t="shared" si="21"/>
        <v>7.9432823472431711E-3</v>
      </c>
      <c r="AA22" s="1">
        <f t="shared" si="22"/>
        <v>1.2715146659120517E-12</v>
      </c>
      <c r="AB22" s="1">
        <f t="shared" si="23"/>
        <v>1.2573425113552369E-3</v>
      </c>
      <c r="AC22" s="1">
        <f t="shared" si="24"/>
        <v>-6.5813842479980631E-3</v>
      </c>
      <c r="AD22" s="24">
        <f t="shared" si="25"/>
        <v>-1.3162768495996127</v>
      </c>
      <c r="AE22" s="2">
        <v>4.6999999999999504</v>
      </c>
      <c r="AF22" s="1">
        <v>1.9952623149691039E-5</v>
      </c>
      <c r="AG22" s="1">
        <v>5.061991059634881E-10</v>
      </c>
      <c r="AH22" s="1">
        <v>0.33386057541685293</v>
      </c>
      <c r="AI22" s="1">
        <v>0.33382730217715362</v>
      </c>
      <c r="AJ22" s="44">
        <v>66.765460435430725</v>
      </c>
    </row>
    <row r="23" spans="1:36" ht="15" customHeight="1" x14ac:dyDescent="0.3">
      <c r="A23" s="2">
        <v>2.2000000000000002</v>
      </c>
      <c r="B23" s="1">
        <f t="shared" si="14"/>
        <v>6.3095734448019251E-3</v>
      </c>
      <c r="C23" s="1">
        <f t="shared" si="15"/>
        <v>1.6007421243857264E-12</v>
      </c>
      <c r="D23" s="1">
        <f t="shared" si="16"/>
        <v>2.7736799888470016E-2</v>
      </c>
      <c r="E23" s="1">
        <f t="shared" si="17"/>
        <v>1.3423696964528291E-2</v>
      </c>
      <c r="F23" s="24">
        <f t="shared" si="26"/>
        <v>6.7118484822641449</v>
      </c>
      <c r="G23" s="2">
        <v>4.3</v>
      </c>
      <c r="H23" s="1">
        <v>5.0118723362727238E-5</v>
      </c>
      <c r="I23" s="1">
        <v>2.0152149381185678E-10</v>
      </c>
      <c r="J23" s="1">
        <v>0.78220493043616002</v>
      </c>
      <c r="K23" s="1">
        <v>0.7813215197993757</v>
      </c>
      <c r="L23" s="44">
        <v>390.66075989968783</v>
      </c>
      <c r="M23" s="2">
        <v>2.2000000000000002</v>
      </c>
      <c r="N23" s="1">
        <f t="shared" si="18"/>
        <v>6.3095734448019251E-3</v>
      </c>
      <c r="O23" s="1">
        <f t="shared" si="4"/>
        <v>1.6007421243857264E-12</v>
      </c>
      <c r="P23" s="1">
        <f t="shared" si="19"/>
        <v>0.9999993843303312</v>
      </c>
      <c r="Q23" s="1">
        <f t="shared" si="20"/>
        <v>1.0977260339200041</v>
      </c>
      <c r="R23" s="24">
        <f t="shared" si="7"/>
        <v>27.443150848000101</v>
      </c>
      <c r="S23" s="2">
        <v>3.6</v>
      </c>
      <c r="T23" s="1">
        <v>2.5118864315095774E-4</v>
      </c>
      <c r="U23" s="1">
        <v>4.020882422590326E-11</v>
      </c>
      <c r="V23" s="1">
        <v>0.99998453530676579</v>
      </c>
      <c r="W23" s="1">
        <v>1.0037570830330889</v>
      </c>
      <c r="X23" s="44">
        <v>25.093927075827221</v>
      </c>
      <c r="Y23" s="2">
        <v>2.1999999999999802</v>
      </c>
      <c r="Z23" s="1">
        <f t="shared" si="21"/>
        <v>6.3095734448022156E-3</v>
      </c>
      <c r="AA23" s="1">
        <f t="shared" si="22"/>
        <v>1.6007421243856527E-12</v>
      </c>
      <c r="AB23" s="1">
        <f t="shared" si="23"/>
        <v>1.5823852808016495E-3</v>
      </c>
      <c r="AC23" s="1">
        <f t="shared" si="24"/>
        <v>-4.6682784706717842E-3</v>
      </c>
      <c r="AD23" s="24">
        <f t="shared" si="25"/>
        <v>-0.93365569413435678</v>
      </c>
      <c r="AE23" s="2">
        <v>4.7999999999999501</v>
      </c>
      <c r="AF23" s="1">
        <v>1.584893192461293E-5</v>
      </c>
      <c r="AG23" s="1">
        <v>6.3726691792492297E-10</v>
      </c>
      <c r="AH23" s="1">
        <v>0.38686317984683011</v>
      </c>
      <c r="AI23" s="1">
        <v>0.3868350701998195</v>
      </c>
      <c r="AJ23" s="44">
        <v>77.367014039963905</v>
      </c>
    </row>
    <row r="24" spans="1:36" ht="15" customHeight="1" x14ac:dyDescent="0.3">
      <c r="A24" s="2">
        <v>2.2999999999999998</v>
      </c>
      <c r="B24" s="1">
        <f t="shared" si="14"/>
        <v>5.0118723362727212E-3</v>
      </c>
      <c r="C24" s="1">
        <f t="shared" si="15"/>
        <v>2.015214938118569E-12</v>
      </c>
      <c r="D24" s="1">
        <f t="shared" si="16"/>
        <v>3.4669573583780221E-2</v>
      </c>
      <c r="E24" s="1">
        <f t="shared" si="17"/>
        <v>2.2400463635844591E-2</v>
      </c>
      <c r="F24" s="24">
        <f t="shared" si="26"/>
        <v>11.200231817922294</v>
      </c>
      <c r="G24" s="2">
        <v>4.4000000000000004</v>
      </c>
      <c r="H24" s="1">
        <v>3.9810717055349634E-5</v>
      </c>
      <c r="I24" s="1">
        <v>2.5370052958246817E-10</v>
      </c>
      <c r="J24" s="1">
        <v>0.81888636919679825</v>
      </c>
      <c r="K24" s="1">
        <v>0.81815532541806646</v>
      </c>
      <c r="L24" s="44">
        <v>409.07766270903323</v>
      </c>
      <c r="M24" s="2">
        <v>2.2999999999999998</v>
      </c>
      <c r="N24" s="1">
        <f t="shared" si="18"/>
        <v>5.0118723362727212E-3</v>
      </c>
      <c r="O24" s="1">
        <f t="shared" si="4"/>
        <v>2.015214938118569E-12</v>
      </c>
      <c r="P24" s="1">
        <f t="shared" si="19"/>
        <v>0.99999922491793225</v>
      </c>
      <c r="Q24" s="1">
        <f t="shared" si="20"/>
        <v>1.0771096279878816</v>
      </c>
      <c r="R24" s="24">
        <f t="shared" si="7"/>
        <v>26.92774069969704</v>
      </c>
      <c r="S24" s="2">
        <v>3.7</v>
      </c>
      <c r="T24" s="1">
        <v>1.9952623149688758E-4</v>
      </c>
      <c r="U24" s="1">
        <v>5.0619910596354591E-11</v>
      </c>
      <c r="V24" s="1">
        <v>0.99998053118265895</v>
      </c>
      <c r="W24" s="1">
        <v>1.0029763932376912</v>
      </c>
      <c r="X24" s="44">
        <v>25.07440983094228</v>
      </c>
      <c r="Y24" s="2">
        <v>2.2999999999999798</v>
      </c>
      <c r="Z24" s="1">
        <f t="shared" si="21"/>
        <v>5.0118723362729536E-3</v>
      </c>
      <c r="AA24" s="1">
        <f t="shared" si="22"/>
        <v>2.0152149381184753E-12</v>
      </c>
      <c r="AB24" s="1">
        <f t="shared" si="23"/>
        <v>1.9912891707282287E-3</v>
      </c>
      <c r="AC24" s="1">
        <f t="shared" si="24"/>
        <v>-2.9906060916625771E-3</v>
      </c>
      <c r="AD24" s="24">
        <f t="shared" si="25"/>
        <v>-0.59812121833251541</v>
      </c>
      <c r="AE24" s="2">
        <v>4.8999999999999497</v>
      </c>
      <c r="AF24" s="1">
        <v>1.2589254117943111E-5</v>
      </c>
      <c r="AG24" s="1">
        <v>8.022715170714325E-10</v>
      </c>
      <c r="AH24" s="1">
        <v>0.4426883662376791</v>
      </c>
      <c r="AI24" s="1">
        <v>0.44266463286100294</v>
      </c>
      <c r="AJ24" s="44">
        <v>88.532926572200594</v>
      </c>
    </row>
    <row r="25" spans="1:36" ht="15" customHeight="1" x14ac:dyDescent="0.3">
      <c r="A25" s="2">
        <v>2.4</v>
      </c>
      <c r="B25" s="1">
        <f t="shared" si="14"/>
        <v>3.9810717055349717E-3</v>
      </c>
      <c r="C25" s="1">
        <f t="shared" si="15"/>
        <v>2.5370052958246762E-12</v>
      </c>
      <c r="D25" s="1">
        <f t="shared" si="16"/>
        <v>4.3258086555097754E-2</v>
      </c>
      <c r="E25" s="1">
        <f t="shared" si="17"/>
        <v>3.2692888484410716E-2</v>
      </c>
      <c r="F25" s="24">
        <f t="shared" si="26"/>
        <v>16.346444242205358</v>
      </c>
      <c r="G25" s="2">
        <v>4.5</v>
      </c>
      <c r="H25" s="1">
        <v>3.1622776601683748E-5</v>
      </c>
      <c r="I25" s="1">
        <v>3.1939004367700672E-10</v>
      </c>
      <c r="J25" s="1">
        <v>0.8505700704362078</v>
      </c>
      <c r="K25" s="1">
        <v>0.84996926318865651</v>
      </c>
      <c r="L25" s="44">
        <v>424.98463159432822</v>
      </c>
      <c r="M25" s="2">
        <v>2.4</v>
      </c>
      <c r="N25" s="1">
        <f t="shared" si="18"/>
        <v>3.9810717055349717E-3</v>
      </c>
      <c r="O25" s="1">
        <f t="shared" si="4"/>
        <v>2.5370052958246762E-12</v>
      </c>
      <c r="P25" s="1">
        <f t="shared" si="19"/>
        <v>0.99999902422968456</v>
      </c>
      <c r="Q25" s="1">
        <f t="shared" si="20"/>
        <v>1.0609278912944322</v>
      </c>
      <c r="R25" s="24">
        <f t="shared" si="7"/>
        <v>26.523197282360805</v>
      </c>
      <c r="S25" s="2">
        <v>3.8</v>
      </c>
      <c r="T25" s="1">
        <v>1.584893192461112E-4</v>
      </c>
      <c r="U25" s="1">
        <v>6.3726691792499571E-11</v>
      </c>
      <c r="V25" s="1">
        <v>0.99997549033466426</v>
      </c>
      <c r="W25" s="1">
        <v>1.0023546951368516</v>
      </c>
      <c r="X25" s="44">
        <v>25.058867378421294</v>
      </c>
      <c r="Y25" s="2">
        <v>2.3999999999999799</v>
      </c>
      <c r="Z25" s="1">
        <f t="shared" si="21"/>
        <v>3.9810717055351556E-3</v>
      </c>
      <c r="AA25" s="1">
        <f t="shared" si="22"/>
        <v>2.5370052958245591E-12</v>
      </c>
      <c r="AB25" s="1">
        <f t="shared" si="23"/>
        <v>2.5055926672856209E-3</v>
      </c>
      <c r="AC25" s="1">
        <f t="shared" si="24"/>
        <v>-1.4638238602163677E-3</v>
      </c>
      <c r="AD25" s="24">
        <f t="shared" si="25"/>
        <v>-0.29276477204327356</v>
      </c>
      <c r="AE25" s="2">
        <v>4.9999999999999503</v>
      </c>
      <c r="AF25" s="1">
        <v>1.0000000000001136E-5</v>
      </c>
      <c r="AG25" s="1">
        <v>1.0099999999998853E-9</v>
      </c>
      <c r="AH25" s="1">
        <v>0.49999999999997163</v>
      </c>
      <c r="AI25" s="1">
        <v>0.49998000241988289</v>
      </c>
      <c r="AJ25" s="44">
        <v>99.996000483976573</v>
      </c>
    </row>
    <row r="26" spans="1:36" ht="15" customHeight="1" x14ac:dyDescent="0.3">
      <c r="A26" s="2">
        <v>2.5</v>
      </c>
      <c r="B26" s="1">
        <f t="shared" si="14"/>
        <v>3.1622776601683764E-3</v>
      </c>
      <c r="C26" s="1">
        <f t="shared" si="15"/>
        <v>3.1939004367700658E-12</v>
      </c>
      <c r="D26" s="1">
        <f t="shared" si="16"/>
        <v>5.3855489669560254E-2</v>
      </c>
      <c r="E26" s="1">
        <f t="shared" si="17"/>
        <v>4.4703628635233625E-2</v>
      </c>
      <c r="F26" s="24">
        <f t="shared" si="26"/>
        <v>22.351814317616814</v>
      </c>
      <c r="G26" s="2">
        <v>4.5999999999999996</v>
      </c>
      <c r="H26" s="1">
        <v>2.5118864315095791E-5</v>
      </c>
      <c r="I26" s="1">
        <v>4.0208824225903234E-10</v>
      </c>
      <c r="J26" s="1">
        <v>0.87753996006671942</v>
      </c>
      <c r="K26" s="1">
        <v>0.87704912063810869</v>
      </c>
      <c r="L26" s="44">
        <v>438.52456031905433</v>
      </c>
      <c r="M26" s="2">
        <v>2.5</v>
      </c>
      <c r="N26" s="1">
        <f t="shared" si="18"/>
        <v>3.1622776601683764E-3</v>
      </c>
      <c r="O26" s="1">
        <f t="shared" si="4"/>
        <v>3.1939004367700658E-12</v>
      </c>
      <c r="P26" s="1">
        <f t="shared" si="19"/>
        <v>0.99999877157826411</v>
      </c>
      <c r="Q26" s="1">
        <f t="shared" si="20"/>
        <v>1.0481949657497263</v>
      </c>
      <c r="R26" s="24">
        <f t="shared" si="7"/>
        <v>26.204874143743158</v>
      </c>
      <c r="S26" s="2">
        <v>3.9</v>
      </c>
      <c r="T26" s="1">
        <v>1.2589254117941672E-4</v>
      </c>
      <c r="U26" s="1">
        <v>8.0227151707152435E-11</v>
      </c>
      <c r="V26" s="1">
        <v>0.99996914435528961</v>
      </c>
      <c r="W26" s="1">
        <v>1.0018587012519475</v>
      </c>
      <c r="X26" s="44">
        <v>25.046467531298688</v>
      </c>
      <c r="Y26" s="2">
        <v>2.49999999999998</v>
      </c>
      <c r="Z26" s="1">
        <f t="shared" si="21"/>
        <v>3.1622776601685225E-3</v>
      </c>
      <c r="AA26" s="1">
        <f t="shared" si="22"/>
        <v>3.1939004367699184E-12</v>
      </c>
      <c r="AB26" s="1">
        <f t="shared" si="23"/>
        <v>3.1523091832600697E-3</v>
      </c>
      <c r="AC26" s="1">
        <f t="shared" si="24"/>
        <v>-9.9058237840995772E-6</v>
      </c>
      <c r="AD26" s="24">
        <f t="shared" si="25"/>
        <v>-1.9811647568199154E-3</v>
      </c>
      <c r="AE26" s="2">
        <v>5.0999999999999499</v>
      </c>
      <c r="AF26" s="1">
        <v>7.9432823472437247E-6</v>
      </c>
      <c r="AG26" s="1">
        <v>1.2715146659119632E-9</v>
      </c>
      <c r="AH26" s="1">
        <v>0.55731163376226456</v>
      </c>
      <c r="AI26" s="1">
        <v>0.55729483966812488</v>
      </c>
      <c r="AJ26" s="44">
        <v>111.45896793362498</v>
      </c>
    </row>
    <row r="27" spans="1:36" ht="15" customHeight="1" x14ac:dyDescent="0.3">
      <c r="A27" s="2">
        <v>2.6</v>
      </c>
      <c r="B27" s="1">
        <f t="shared" si="14"/>
        <v>2.5118864315095777E-3</v>
      </c>
      <c r="C27" s="1">
        <f t="shared" si="15"/>
        <v>4.0208824225903259E-12</v>
      </c>
      <c r="D27" s="1">
        <f t="shared" si="16"/>
        <v>6.6867605517465373E-2</v>
      </c>
      <c r="E27" s="1">
        <f t="shared" si="17"/>
        <v>5.8885556080607915E-2</v>
      </c>
      <c r="F27" s="24">
        <f t="shared" si="26"/>
        <v>29.442778040303956</v>
      </c>
      <c r="G27" s="2">
        <v>4.7</v>
      </c>
      <c r="H27" s="1">
        <v>1.9952623149688769E-5</v>
      </c>
      <c r="I27" s="1">
        <v>5.0619910596354569E-10</v>
      </c>
      <c r="J27" s="1">
        <v>0.90021324634110045</v>
      </c>
      <c r="K27" s="1">
        <v>0.89981427811298498</v>
      </c>
      <c r="L27" s="44">
        <v>449.9071390564925</v>
      </c>
      <c r="M27" s="2">
        <v>2.6</v>
      </c>
      <c r="N27" s="1">
        <f t="shared" si="18"/>
        <v>2.5118864315095777E-3</v>
      </c>
      <c r="O27" s="1">
        <f t="shared" si="4"/>
        <v>4.0208824225903259E-12</v>
      </c>
      <c r="P27" s="1">
        <f t="shared" si="19"/>
        <v>0.99999845350915217</v>
      </c>
      <c r="Q27" s="1">
        <f t="shared" si="20"/>
        <v>1.0381559672021972</v>
      </c>
      <c r="R27" s="24">
        <f t="shared" si="7"/>
        <v>25.953899180054933</v>
      </c>
      <c r="S27" s="2">
        <v>4</v>
      </c>
      <c r="T27" s="1">
        <v>1E-4</v>
      </c>
      <c r="U27" s="1">
        <v>1.0099999999999999E-10</v>
      </c>
      <c r="V27" s="1">
        <v>0.99996115535511887</v>
      </c>
      <c r="W27" s="1">
        <v>1.0014618847817716</v>
      </c>
      <c r="X27" s="44">
        <v>25.036547119544291</v>
      </c>
      <c r="Y27" s="2">
        <v>2.5999999999999699</v>
      </c>
      <c r="Z27" s="1">
        <f t="shared" si="21"/>
        <v>2.5118864315097516E-3</v>
      </c>
      <c r="AA27" s="1">
        <f t="shared" si="22"/>
        <v>4.0208824225900472E-12</v>
      </c>
      <c r="AB27" s="1">
        <f t="shared" si="23"/>
        <v>3.9652856191519318E-3</v>
      </c>
      <c r="AC27" s="1">
        <f t="shared" si="24"/>
        <v>1.4461341422147478E-3</v>
      </c>
      <c r="AD27" s="24">
        <f t="shared" si="25"/>
        <v>0.28922682844294956</v>
      </c>
      <c r="AE27" s="2">
        <v>5.1999999999999504</v>
      </c>
      <c r="AF27" s="1">
        <v>6.3095734448026496E-6</v>
      </c>
      <c r="AG27" s="1">
        <v>1.6007421243855426E-9</v>
      </c>
      <c r="AH27" s="1">
        <v>0.61313682015311599</v>
      </c>
      <c r="AI27" s="1">
        <v>0.6131227770569313</v>
      </c>
      <c r="AJ27" s="44">
        <v>122.62455541138625</v>
      </c>
    </row>
    <row r="28" spans="1:36" ht="15" customHeight="1" x14ac:dyDescent="0.3">
      <c r="A28" s="2">
        <v>2.7</v>
      </c>
      <c r="B28" s="1">
        <f t="shared" si="14"/>
        <v>1.9952623149688781E-3</v>
      </c>
      <c r="C28" s="1">
        <f t="shared" si="15"/>
        <v>5.0619910596354535E-12</v>
      </c>
      <c r="D28" s="1">
        <f t="shared" si="16"/>
        <v>8.2748640824302291E-2</v>
      </c>
      <c r="E28" s="1">
        <f t="shared" si="17"/>
        <v>7.5735858139408196E-2</v>
      </c>
      <c r="F28" s="24">
        <f t="shared" si="26"/>
        <v>37.867929069704097</v>
      </c>
      <c r="G28" s="2">
        <v>4.8</v>
      </c>
      <c r="H28" s="1">
        <v>1.5848931924611131E-5</v>
      </c>
      <c r="I28" s="1">
        <v>6.3726691792499525E-10</v>
      </c>
      <c r="J28" s="1">
        <v>0.91907572960003725</v>
      </c>
      <c r="K28" s="1">
        <v>0.91875281970263722</v>
      </c>
      <c r="L28" s="44">
        <v>459.37640985131861</v>
      </c>
      <c r="M28" s="2">
        <v>2.7</v>
      </c>
      <c r="N28" s="1">
        <f t="shared" si="18"/>
        <v>1.9952623149688781E-3</v>
      </c>
      <c r="O28" s="1">
        <f t="shared" si="4"/>
        <v>5.0619910596354535E-12</v>
      </c>
      <c r="P28" s="1">
        <f t="shared" si="19"/>
        <v>0.99999805308415224</v>
      </c>
      <c r="Q28" s="1">
        <f t="shared" si="20"/>
        <v>1.0302285572374492</v>
      </c>
      <c r="R28" s="24">
        <f t="shared" si="7"/>
        <v>25.755713930936228</v>
      </c>
      <c r="S28" s="2">
        <v>4.0999999999999996</v>
      </c>
      <c r="T28" s="1">
        <v>7.9432823472428153E-5</v>
      </c>
      <c r="U28" s="1">
        <v>1.2715146659121088E-10</v>
      </c>
      <c r="V28" s="1">
        <v>0.999951097981297</v>
      </c>
      <c r="W28" s="1">
        <v>1.001143042400811</v>
      </c>
      <c r="X28" s="44">
        <v>25.028576060020278</v>
      </c>
      <c r="Y28" s="2">
        <v>2.69999999999997</v>
      </c>
      <c r="Z28" s="1">
        <f t="shared" si="21"/>
        <v>1.995262314969016E-3</v>
      </c>
      <c r="AA28" s="1">
        <f t="shared" si="22"/>
        <v>5.0619910596351037E-12</v>
      </c>
      <c r="AB28" s="1">
        <f t="shared" si="23"/>
        <v>4.9868787366876312E-3</v>
      </c>
      <c r="AC28" s="1">
        <f t="shared" si="24"/>
        <v>2.9797257577838759E-3</v>
      </c>
      <c r="AD28" s="24">
        <f t="shared" si="25"/>
        <v>0.59594515155677519</v>
      </c>
      <c r="AE28" s="2">
        <v>5.2999999999999501</v>
      </c>
      <c r="AF28" s="1">
        <v>5.0118723362732967E-6</v>
      </c>
      <c r="AG28" s="1">
        <v>2.0152149381183376E-9</v>
      </c>
      <c r="AH28" s="1">
        <v>0.66613942458309661</v>
      </c>
      <c r="AI28" s="1">
        <v>0.66612774031636812</v>
      </c>
      <c r="AJ28" s="44">
        <v>133.22554806327364</v>
      </c>
    </row>
    <row r="29" spans="1:36" ht="15" customHeight="1" x14ac:dyDescent="0.3">
      <c r="A29" s="2">
        <v>2.8</v>
      </c>
      <c r="B29" s="1">
        <f t="shared" si="14"/>
        <v>1.5848931924611134E-3</v>
      </c>
      <c r="C29" s="1">
        <f t="shared" si="15"/>
        <v>6.3726691792499515E-12</v>
      </c>
      <c r="D29" s="1">
        <f t="shared" si="16"/>
        <v>0.1019891746247789</v>
      </c>
      <c r="E29" s="1">
        <f t="shared" si="17"/>
        <v>9.5783263421830536E-2</v>
      </c>
      <c r="F29" s="24">
        <f t="shared" si="26"/>
        <v>47.89163171091527</v>
      </c>
      <c r="G29" s="2">
        <v>4.9000000000000004</v>
      </c>
      <c r="H29" s="1">
        <v>1.2589254117941658E-5</v>
      </c>
      <c r="I29" s="1">
        <v>8.0227151707152515E-10</v>
      </c>
      <c r="J29" s="1">
        <v>0.93463158588156736</v>
      </c>
      <c r="K29" s="1">
        <v>0.93437116324996927</v>
      </c>
      <c r="L29" s="44">
        <v>467.18558162498459</v>
      </c>
      <c r="M29" s="2">
        <v>2.8</v>
      </c>
      <c r="N29" s="1">
        <f t="shared" si="18"/>
        <v>1.5848931924611134E-3</v>
      </c>
      <c r="O29" s="1">
        <f t="shared" si="4"/>
        <v>6.3726691792499515E-12</v>
      </c>
      <c r="P29" s="1">
        <f t="shared" si="19"/>
        <v>0.99999754897940019</v>
      </c>
      <c r="Q29" s="1">
        <f t="shared" si="20"/>
        <v>1.0239608235002198</v>
      </c>
      <c r="R29" s="24">
        <f t="shared" si="7"/>
        <v>25.599020587505493</v>
      </c>
      <c r="S29" s="2">
        <v>4.2</v>
      </c>
      <c r="T29" s="1">
        <v>6.3095734448019279E-5</v>
      </c>
      <c r="U29" s="1">
        <v>1.6007421243857255E-10</v>
      </c>
      <c r="V29" s="1">
        <v>0.99993843678547867</v>
      </c>
      <c r="W29" s="1">
        <v>1.0008851496462123</v>
      </c>
      <c r="X29" s="44">
        <v>25.022128741155306</v>
      </c>
      <c r="Y29" s="2">
        <v>2.7999999999999701</v>
      </c>
      <c r="Z29" s="1">
        <f t="shared" si="21"/>
        <v>1.5848931924612221E-3</v>
      </c>
      <c r="AA29" s="1">
        <f t="shared" si="22"/>
        <v>6.3726691792495145E-12</v>
      </c>
      <c r="AB29" s="1">
        <f t="shared" si="23"/>
        <v>6.2700123414334147E-3</v>
      </c>
      <c r="AC29" s="1">
        <f t="shared" si="24"/>
        <v>4.670315253699913E-3</v>
      </c>
      <c r="AD29" s="24">
        <f t="shared" si="25"/>
        <v>0.93406305073998264</v>
      </c>
      <c r="AE29" s="2">
        <v>5.3999999999999497</v>
      </c>
      <c r="AF29" s="1">
        <v>3.9810717055354248E-6</v>
      </c>
      <c r="AG29" s="1">
        <v>2.5370052958243876E-9</v>
      </c>
      <c r="AH29" s="1">
        <v>0.71525275104917552</v>
      </c>
      <c r="AI29" s="1">
        <v>0.71524308127563929</v>
      </c>
      <c r="AJ29" s="44">
        <v>143.04861625512785</v>
      </c>
    </row>
    <row r="30" spans="1:36" ht="15" customHeight="1" x14ac:dyDescent="0.3">
      <c r="A30" s="2">
        <v>2.9</v>
      </c>
      <c r="B30" s="1">
        <f t="shared" si="14"/>
        <v>1.2589254117941662E-3</v>
      </c>
      <c r="C30" s="1">
        <f t="shared" si="15"/>
        <v>8.0227151707152493E-12</v>
      </c>
      <c r="D30" s="1">
        <f t="shared" si="16"/>
        <v>0.12509334988779006</v>
      </c>
      <c r="E30" s="1">
        <f t="shared" si="17"/>
        <v>0.11956503000668493</v>
      </c>
      <c r="F30" s="24">
        <f t="shared" si="26"/>
        <v>59.782515003342461</v>
      </c>
      <c r="G30" s="2">
        <v>5</v>
      </c>
      <c r="H30" s="1">
        <v>1.0000000000000001E-5</v>
      </c>
      <c r="I30" s="1">
        <v>1.0099999999999998E-9</v>
      </c>
      <c r="J30" s="1">
        <v>0.94736842105263164</v>
      </c>
      <c r="K30" s="1">
        <v>0.94715901040316297</v>
      </c>
      <c r="L30" s="44">
        <v>473.57950520158147</v>
      </c>
      <c r="M30" s="2">
        <v>2.9</v>
      </c>
      <c r="N30" s="1">
        <f t="shared" si="18"/>
        <v>1.2589254117941662E-3</v>
      </c>
      <c r="O30" s="1">
        <f t="shared" si="4"/>
        <v>8.0227151707152493E-12</v>
      </c>
      <c r="P30" s="1">
        <f t="shared" si="19"/>
        <v>0.99999691434984028</v>
      </c>
      <c r="Q30" s="1">
        <f t="shared" si="20"/>
        <v>1.0190003958112546</v>
      </c>
      <c r="R30" s="24">
        <f t="shared" si="7"/>
        <v>25.475009895281364</v>
      </c>
      <c r="S30" s="2">
        <v>4.3</v>
      </c>
      <c r="T30" s="1">
        <v>5.0118723362727238E-5</v>
      </c>
      <c r="U30" s="1">
        <v>2.0152149381185678E-10</v>
      </c>
      <c r="V30" s="1">
        <v>0.99992249774021513</v>
      </c>
      <c r="W30" s="1">
        <v>1.0006744445786604</v>
      </c>
      <c r="X30" s="44">
        <v>25.016861114466508</v>
      </c>
      <c r="Y30" s="2">
        <v>2.8999999999999702</v>
      </c>
      <c r="Z30" s="1">
        <f t="shared" si="21"/>
        <v>1.2589254117942525E-3</v>
      </c>
      <c r="AA30" s="1">
        <f t="shared" si="22"/>
        <v>8.0227151707146984E-12</v>
      </c>
      <c r="AB30" s="1">
        <f t="shared" si="23"/>
        <v>7.8806838503297557E-3</v>
      </c>
      <c r="AC30" s="1">
        <f t="shared" si="24"/>
        <v>6.6051277203935015E-3</v>
      </c>
      <c r="AD30" s="24">
        <f t="shared" si="25"/>
        <v>1.3210255440787002</v>
      </c>
      <c r="AE30" s="2">
        <v>5.4999999999999396</v>
      </c>
      <c r="AF30" s="1">
        <v>3.162277660168815E-6</v>
      </c>
      <c r="AG30" s="1">
        <v>3.1939004367696229E-9</v>
      </c>
      <c r="AH30" s="1">
        <v>0.75974692664793275</v>
      </c>
      <c r="AI30" s="1">
        <v>0.75973896740610602</v>
      </c>
      <c r="AJ30" s="44">
        <v>151.9477934812212</v>
      </c>
    </row>
    <row r="31" spans="1:36" ht="15" customHeight="1" x14ac:dyDescent="0.3">
      <c r="A31" s="2">
        <v>3</v>
      </c>
      <c r="B31" s="1">
        <f t="shared" si="14"/>
        <v>1E-3</v>
      </c>
      <c r="C31" s="1">
        <f t="shared" si="15"/>
        <v>1.0099999999999999E-11</v>
      </c>
      <c r="D31" s="1">
        <f t="shared" si="16"/>
        <v>0.15254237288135594</v>
      </c>
      <c r="E31" s="1">
        <f t="shared" si="17"/>
        <v>0.14759056169742082</v>
      </c>
      <c r="F31" s="24">
        <f t="shared" si="26"/>
        <v>73.795280848710405</v>
      </c>
      <c r="G31" s="2">
        <v>5.0999999999999996</v>
      </c>
      <c r="H31" s="1">
        <v>7.9432823472428065E-6</v>
      </c>
      <c r="I31" s="1">
        <v>1.2715146659121102E-9</v>
      </c>
      <c r="J31" s="1">
        <v>0.95773574746573353</v>
      </c>
      <c r="K31" s="1">
        <v>0.95756776317310743</v>
      </c>
      <c r="L31" s="44">
        <v>478.78388158655366</v>
      </c>
      <c r="M31" s="2">
        <v>3</v>
      </c>
      <c r="N31" s="1">
        <f t="shared" si="18"/>
        <v>1E-3</v>
      </c>
      <c r="O31" s="1">
        <f t="shared" si="4"/>
        <v>1.0099999999999999E-11</v>
      </c>
      <c r="P31" s="1">
        <f t="shared" si="19"/>
        <v>0.99999611539970557</v>
      </c>
      <c r="Q31" s="1">
        <f t="shared" si="20"/>
        <v>1.015071472610497</v>
      </c>
      <c r="R31" s="24">
        <f t="shared" si="7"/>
        <v>25.376786815262424</v>
      </c>
      <c r="S31" s="2">
        <v>4.4000000000000004</v>
      </c>
      <c r="T31" s="1">
        <v>3.9810717055349634E-5</v>
      </c>
      <c r="U31" s="1">
        <v>2.5370052958246817E-10</v>
      </c>
      <c r="V31" s="1">
        <v>0.99990243239360432</v>
      </c>
      <c r="W31" s="1">
        <v>1.0004996888081414</v>
      </c>
      <c r="X31" s="44">
        <v>25.012492220203537</v>
      </c>
      <c r="Y31" s="2">
        <v>2.9999999999999698</v>
      </c>
      <c r="Z31" s="1">
        <f t="shared" si="21"/>
        <v>1.0000000000000688E-3</v>
      </c>
      <c r="AA31" s="1">
        <f t="shared" si="22"/>
        <v>1.0099999999999305E-11</v>
      </c>
      <c r="AB31" s="1">
        <f t="shared" si="23"/>
        <v>9.900990099009228E-3</v>
      </c>
      <c r="AC31" s="1">
        <f t="shared" si="24"/>
        <v>8.8832236619646697E-3</v>
      </c>
      <c r="AD31" s="24">
        <f t="shared" si="25"/>
        <v>1.776644732392934</v>
      </c>
      <c r="AE31" s="2">
        <v>5.5999999999999401</v>
      </c>
      <c r="AF31" s="1">
        <v>2.5118864315099241E-6</v>
      </c>
      <c r="AG31" s="1">
        <v>4.0208824225897713E-9</v>
      </c>
      <c r="AH31" s="1">
        <v>0.79923999108687627</v>
      </c>
      <c r="AI31" s="1">
        <v>0.79923347448113446</v>
      </c>
      <c r="AJ31" s="44">
        <v>159.84669489622689</v>
      </c>
    </row>
    <row r="32" spans="1:36" ht="15" customHeight="1" x14ac:dyDescent="0.3">
      <c r="A32" s="2">
        <v>3.1</v>
      </c>
      <c r="B32" s="1">
        <f t="shared" si="14"/>
        <v>7.9432823472428099E-4</v>
      </c>
      <c r="C32" s="1">
        <f t="shared" si="15"/>
        <v>1.2715146659121097E-11</v>
      </c>
      <c r="D32" s="1">
        <f t="shared" si="16"/>
        <v>0.18474267047278689</v>
      </c>
      <c r="E32" s="1">
        <f t="shared" si="17"/>
        <v>0.18028982805742491</v>
      </c>
      <c r="F32" s="24">
        <f t="shared" si="26"/>
        <v>90.144914028712449</v>
      </c>
      <c r="G32" s="2">
        <v>5.2</v>
      </c>
      <c r="H32" s="1">
        <v>6.3095734448019212E-6</v>
      </c>
      <c r="I32" s="1">
        <v>1.6007421243857275E-9</v>
      </c>
      <c r="J32" s="1">
        <v>0.96613392791288166</v>
      </c>
      <c r="K32" s="1">
        <v>0.96599944200525689</v>
      </c>
      <c r="L32" s="44">
        <v>482.99972100262841</v>
      </c>
      <c r="M32" s="2">
        <v>3.1</v>
      </c>
      <c r="N32" s="1">
        <f t="shared" si="18"/>
        <v>7.9432823472428099E-4</v>
      </c>
      <c r="O32" s="1">
        <f t="shared" si="4"/>
        <v>1.2715146659121097E-11</v>
      </c>
      <c r="P32" s="1">
        <f t="shared" si="19"/>
        <v>0.99999510958289362</v>
      </c>
      <c r="Q32" s="1">
        <f t="shared" si="20"/>
        <v>1.0119575239065521</v>
      </c>
      <c r="R32" s="24">
        <f t="shared" si="7"/>
        <v>25.298938097663804</v>
      </c>
      <c r="S32" s="2">
        <v>4.5</v>
      </c>
      <c r="T32" s="1">
        <v>3.1622776601683748E-5</v>
      </c>
      <c r="U32" s="1">
        <v>3.1939004367700672E-10</v>
      </c>
      <c r="V32" s="1">
        <v>0.9998771727638921</v>
      </c>
      <c r="W32" s="1">
        <v>1.0003515652088455</v>
      </c>
      <c r="X32" s="44">
        <v>25.008789130221139</v>
      </c>
      <c r="Y32" s="2">
        <v>3.0999999999999699</v>
      </c>
      <c r="Z32" s="1">
        <f t="shared" si="21"/>
        <v>7.9432823472433607E-4</v>
      </c>
      <c r="AA32" s="1">
        <f t="shared" si="22"/>
        <v>1.2715146659120214E-11</v>
      </c>
      <c r="AB32" s="1">
        <f t="shared" si="23"/>
        <v>1.2432735254441562E-2</v>
      </c>
      <c r="AC32" s="1">
        <f t="shared" si="24"/>
        <v>1.161994692886468E-2</v>
      </c>
      <c r="AD32" s="24">
        <f t="shared" si="25"/>
        <v>2.3239893857729359</v>
      </c>
      <c r="AE32" s="2">
        <v>5.6999999999999398</v>
      </c>
      <c r="AF32" s="1">
        <v>1.9952623149691548E-6</v>
      </c>
      <c r="AG32" s="1">
        <v>5.0619910596347513E-9</v>
      </c>
      <c r="AH32" s="1">
        <v>0.83366246918341902</v>
      </c>
      <c r="AI32" s="1">
        <v>0.83365716069359275</v>
      </c>
      <c r="AJ32" s="44">
        <v>166.73143213871856</v>
      </c>
    </row>
    <row r="33" spans="1:36" ht="15" customHeight="1" x14ac:dyDescent="0.3">
      <c r="A33" s="2">
        <v>3.2</v>
      </c>
      <c r="B33" s="1">
        <f t="shared" si="14"/>
        <v>6.3095734448019244E-4</v>
      </c>
      <c r="C33" s="1">
        <f t="shared" si="15"/>
        <v>1.6007421243857267E-11</v>
      </c>
      <c r="D33" s="1">
        <f t="shared" si="16"/>
        <v>0.2219598863308605</v>
      </c>
      <c r="E33" s="1">
        <f t="shared" si="17"/>
        <v>0.21794765823023804</v>
      </c>
      <c r="F33" s="24">
        <f t="shared" si="26"/>
        <v>108.97382911511902</v>
      </c>
      <c r="G33" s="2">
        <v>5.3</v>
      </c>
      <c r="H33" s="1">
        <v>5.011872336272719E-6</v>
      </c>
      <c r="I33" s="1">
        <v>2.0152149381185696E-9</v>
      </c>
      <c r="J33" s="1">
        <v>0.9729105366429498</v>
      </c>
      <c r="K33" s="1">
        <v>0.97280304484346991</v>
      </c>
      <c r="L33" s="44">
        <v>486.40152242173491</v>
      </c>
      <c r="M33" s="2">
        <v>3.2</v>
      </c>
      <c r="N33" s="1">
        <f t="shared" si="18"/>
        <v>6.3095734448019244E-4</v>
      </c>
      <c r="O33" s="1">
        <f t="shared" si="4"/>
        <v>1.6007421243857267E-11</v>
      </c>
      <c r="P33" s="1">
        <f t="shared" si="19"/>
        <v>0.99999384333742636</v>
      </c>
      <c r="Q33" s="1">
        <f t="shared" si="20"/>
        <v>1.0094881363102104</v>
      </c>
      <c r="R33" s="24">
        <f t="shared" si="7"/>
        <v>25.23720340775526</v>
      </c>
      <c r="S33" s="2">
        <v>4.5999999999999996</v>
      </c>
      <c r="T33" s="1">
        <v>2.5118864315095791E-5</v>
      </c>
      <c r="U33" s="1">
        <v>4.0208824225903234E-10</v>
      </c>
      <c r="V33" s="1">
        <v>0.99984537458876954</v>
      </c>
      <c r="W33" s="1">
        <v>1.0002221794261998</v>
      </c>
      <c r="X33" s="44">
        <v>25.005554485654997</v>
      </c>
      <c r="Y33" s="2">
        <v>3.19999999999997</v>
      </c>
      <c r="Z33" s="1">
        <f t="shared" si="21"/>
        <v>6.3095734448023668E-4</v>
      </c>
      <c r="AA33" s="1">
        <f t="shared" si="22"/>
        <v>1.6007421243856143E-11</v>
      </c>
      <c r="AB33" s="1">
        <f t="shared" si="23"/>
        <v>1.5601662241828546E-2</v>
      </c>
      <c r="AC33" s="1">
        <f t="shared" si="24"/>
        <v>1.4951836971133593E-2</v>
      </c>
      <c r="AD33" s="24">
        <f t="shared" si="25"/>
        <v>2.9903673942267188</v>
      </c>
      <c r="AE33" s="2">
        <v>5.7999999999999403</v>
      </c>
      <c r="AF33" s="1">
        <v>1.584893192461328E-6</v>
      </c>
      <c r="AG33" s="1">
        <v>6.3726691792490889E-9</v>
      </c>
      <c r="AH33" s="1">
        <v>0.86319311139677402</v>
      </c>
      <c r="AI33" s="1">
        <v>0.86318880775375373</v>
      </c>
      <c r="AJ33" s="44">
        <v>172.63776155075075</v>
      </c>
    </row>
    <row r="34" spans="1:36" ht="15" customHeight="1" x14ac:dyDescent="0.3">
      <c r="A34" s="2">
        <v>3.3</v>
      </c>
      <c r="B34" s="1">
        <f t="shared" si="14"/>
        <v>5.0118723362727209E-4</v>
      </c>
      <c r="C34" s="1">
        <f t="shared" si="15"/>
        <v>2.0152149381185689E-11</v>
      </c>
      <c r="D34" s="1">
        <f t="shared" si="16"/>
        <v>0.26424452942477089</v>
      </c>
      <c r="E34" s="1">
        <f t="shared" si="17"/>
        <v>0.26062966983831654</v>
      </c>
      <c r="F34" s="24">
        <f t="shared" si="26"/>
        <v>130.31483491915827</v>
      </c>
      <c r="G34" s="2">
        <v>5.4</v>
      </c>
      <c r="H34" s="1">
        <v>3.9810717055349657E-6</v>
      </c>
      <c r="I34" s="1">
        <v>2.53700529582468E-9</v>
      </c>
      <c r="J34" s="1">
        <v>0.97836151475458977</v>
      </c>
      <c r="K34" s="1">
        <v>0.97827571560757021</v>
      </c>
      <c r="L34" s="44">
        <v>489.1378578037851</v>
      </c>
      <c r="M34" s="2">
        <v>3.3</v>
      </c>
      <c r="N34" s="1">
        <f t="shared" si="18"/>
        <v>5.0118723362727209E-4</v>
      </c>
      <c r="O34" s="1">
        <f t="shared" si="4"/>
        <v>2.0152149381185689E-11</v>
      </c>
      <c r="P34" s="1">
        <f t="shared" si="19"/>
        <v>0.99999224923338992</v>
      </c>
      <c r="Q34" s="1">
        <f t="shared" si="20"/>
        <v>1.0075289244388164</v>
      </c>
      <c r="R34" s="24">
        <f t="shared" si="7"/>
        <v>25.188223110970405</v>
      </c>
      <c r="S34" s="2">
        <v>4.7</v>
      </c>
      <c r="T34" s="1">
        <v>1.9952623149688769E-5</v>
      </c>
      <c r="U34" s="1">
        <v>5.0619910596354569E-10</v>
      </c>
      <c r="V34" s="1">
        <v>0.99980534593375026</v>
      </c>
      <c r="W34" s="1">
        <v>1.0001046381267695</v>
      </c>
      <c r="X34" s="44">
        <v>25.002615953169236</v>
      </c>
      <c r="Y34" s="2">
        <v>3.2999999999999701</v>
      </c>
      <c r="Z34" s="1">
        <f t="shared" si="21"/>
        <v>5.0118723362730635E-4</v>
      </c>
      <c r="AA34" s="1">
        <f t="shared" si="22"/>
        <v>2.0152149381184313E-11</v>
      </c>
      <c r="AB34" s="1">
        <f t="shared" si="23"/>
        <v>1.9562303872578218E-2</v>
      </c>
      <c r="AC34" s="1">
        <f t="shared" si="24"/>
        <v>1.9042029415779448E-2</v>
      </c>
      <c r="AD34" s="24">
        <f t="shared" si="25"/>
        <v>3.8084058831558893</v>
      </c>
      <c r="AE34" s="2">
        <v>5.89999999999994</v>
      </c>
      <c r="AF34" s="1">
        <v>1.2589254117943389E-6</v>
      </c>
      <c r="AG34" s="1">
        <v>8.0227151707141488E-9</v>
      </c>
      <c r="AH34" s="1">
        <v>0.88818423022186943</v>
      </c>
      <c r="AI34" s="1">
        <v>0.888180757263764</v>
      </c>
      <c r="AJ34" s="44">
        <v>177.63615145275281</v>
      </c>
    </row>
    <row r="35" spans="1:36" ht="15" customHeight="1" x14ac:dyDescent="0.3">
      <c r="A35" s="2">
        <v>3.4</v>
      </c>
      <c r="B35" s="1">
        <f t="shared" si="14"/>
        <v>3.9810717055349708E-4</v>
      </c>
      <c r="C35" s="1">
        <f t="shared" si="15"/>
        <v>2.537005295824677E-11</v>
      </c>
      <c r="D35" s="1">
        <f t="shared" si="16"/>
        <v>0.31136095376167472</v>
      </c>
      <c r="E35" s="1">
        <f t="shared" si="17"/>
        <v>0.30811151158579625</v>
      </c>
      <c r="F35" s="24">
        <f t="shared" si="26"/>
        <v>154.05575579289811</v>
      </c>
      <c r="G35" s="2">
        <v>5.5</v>
      </c>
      <c r="H35" s="1">
        <v>3.1622776601683767E-6</v>
      </c>
      <c r="I35" s="1">
        <v>3.1939004367700655E-9</v>
      </c>
      <c r="J35" s="1">
        <v>0.98273510408057096</v>
      </c>
      <c r="K35" s="1">
        <v>0.98266669938482643</v>
      </c>
      <c r="L35" s="44">
        <v>491.33334969241315</v>
      </c>
      <c r="M35" s="2">
        <v>3.4</v>
      </c>
      <c r="N35" s="1">
        <f t="shared" si="18"/>
        <v>3.9810717055349708E-4</v>
      </c>
      <c r="O35" s="1">
        <f t="shared" si="4"/>
        <v>2.537005295824677E-11</v>
      </c>
      <c r="P35" s="1">
        <f t="shared" si="19"/>
        <v>0.99999024238253575</v>
      </c>
      <c r="Q35" s="1">
        <f t="shared" si="20"/>
        <v>1.0059737405041784</v>
      </c>
      <c r="R35" s="24">
        <f t="shared" si="7"/>
        <v>25.14934351260446</v>
      </c>
      <c r="S35" s="2">
        <v>4.8</v>
      </c>
      <c r="T35" s="1">
        <v>1.5848931924611131E-5</v>
      </c>
      <c r="U35" s="1">
        <v>6.3726691792499525E-10</v>
      </c>
      <c r="V35" s="1">
        <v>0.99975495739985287</v>
      </c>
      <c r="W35" s="1">
        <v>0.99999268123976892</v>
      </c>
      <c r="X35" s="44">
        <v>24.999817030994226</v>
      </c>
      <c r="Y35" s="2">
        <v>3.3999999999999702</v>
      </c>
      <c r="Z35" s="1">
        <f t="shared" si="21"/>
        <v>3.9810717055352435E-4</v>
      </c>
      <c r="AA35" s="1">
        <f t="shared" si="22"/>
        <v>2.5370052958245031E-11</v>
      </c>
      <c r="AB35" s="1">
        <f t="shared" si="23"/>
        <v>2.4503367550334363E-2</v>
      </c>
      <c r="AC35" s="1">
        <f t="shared" si="24"/>
        <v>2.4086082721888762E-2</v>
      </c>
      <c r="AD35" s="24">
        <f t="shared" si="25"/>
        <v>4.8172165443777528</v>
      </c>
      <c r="AE35" s="2">
        <v>5.9999999999999396</v>
      </c>
      <c r="AF35" s="1">
        <v>1.0000000000001372E-6</v>
      </c>
      <c r="AG35" s="1">
        <v>1.0099999999998613E-8</v>
      </c>
      <c r="AH35" s="1">
        <v>0.90909090909089774</v>
      </c>
      <c r="AI35" s="1">
        <v>0.90908811937823908</v>
      </c>
      <c r="AJ35" s="44">
        <v>181.81762387564783</v>
      </c>
    </row>
    <row r="36" spans="1:36" ht="15" customHeight="1" x14ac:dyDescent="0.3">
      <c r="A36" s="2">
        <v>3.5</v>
      </c>
      <c r="B36" s="1">
        <f t="shared" si="14"/>
        <v>3.1622776601683783E-4</v>
      </c>
      <c r="C36" s="1">
        <f t="shared" si="15"/>
        <v>3.1939004367700641E-11</v>
      </c>
      <c r="D36" s="1">
        <f t="shared" si="16"/>
        <v>0.3627366550744206</v>
      </c>
      <c r="E36" s="1">
        <f t="shared" si="17"/>
        <v>0.35982844493032362</v>
      </c>
      <c r="F36" s="24">
        <f t="shared" si="26"/>
        <v>179.9142224651618</v>
      </c>
      <c r="G36" s="2">
        <v>5.6</v>
      </c>
      <c r="H36" s="1">
        <v>2.5118864315095806E-6</v>
      </c>
      <c r="I36" s="1">
        <v>4.0208824225903214E-9</v>
      </c>
      <c r="J36" s="1">
        <v>0.98623713512241729</v>
      </c>
      <c r="K36" s="1">
        <v>0.98618265512120151</v>
      </c>
      <c r="L36" s="44">
        <v>493.09132756060069</v>
      </c>
      <c r="M36" s="2">
        <v>3.5</v>
      </c>
      <c r="N36" s="1">
        <f t="shared" si="18"/>
        <v>3.1622776601683783E-4</v>
      </c>
      <c r="O36" s="1">
        <f t="shared" si="4"/>
        <v>3.1939004367700641E-11</v>
      </c>
      <c r="P36" s="1">
        <f t="shared" si="19"/>
        <v>0.99998771591845137</v>
      </c>
      <c r="Q36" s="1">
        <f t="shared" si="20"/>
        <v>1.0047386243518259</v>
      </c>
      <c r="R36" s="24">
        <f t="shared" si="7"/>
        <v>25.118465608795645</v>
      </c>
      <c r="S36" s="2">
        <v>4.9000000000000004</v>
      </c>
      <c r="T36" s="1">
        <v>1.2589254117941658E-5</v>
      </c>
      <c r="U36" s="1">
        <v>8.0227151707152515E-10</v>
      </c>
      <c r="V36" s="1">
        <v>0.99969152921548188</v>
      </c>
      <c r="W36" s="1">
        <v>0.9998803484620401</v>
      </c>
      <c r="X36" s="44">
        <v>24.997008711551</v>
      </c>
      <c r="Y36" s="2">
        <v>3.4999999999999698</v>
      </c>
      <c r="Z36" s="1">
        <f t="shared" si="21"/>
        <v>3.1622776601685973E-4</v>
      </c>
      <c r="AA36" s="1">
        <f t="shared" si="22"/>
        <v>3.1939004367698425E-11</v>
      </c>
      <c r="AB36" s="1">
        <f t="shared" si="23"/>
        <v>3.0653430031713461E-2</v>
      </c>
      <c r="AC36" s="1">
        <f t="shared" si="24"/>
        <v>3.0318027495362471E-2</v>
      </c>
      <c r="AD36" s="24">
        <f t="shared" si="25"/>
        <v>6.0636054990724944</v>
      </c>
      <c r="AE36" s="2">
        <v>6.0999999999999401</v>
      </c>
      <c r="AF36" s="1">
        <v>7.9432823472438987E-7</v>
      </c>
      <c r="AG36" s="1">
        <v>1.2715146659119353E-8</v>
      </c>
      <c r="AH36" s="1">
        <v>0.92641244388241717</v>
      </c>
      <c r="AI36" s="1">
        <v>0.92641021408063273</v>
      </c>
      <c r="AJ36" s="44">
        <v>185.28204281612653</v>
      </c>
    </row>
    <row r="37" spans="1:36" ht="15" customHeight="1" x14ac:dyDescent="0.3">
      <c r="A37" s="2">
        <v>3.6</v>
      </c>
      <c r="B37" s="1">
        <f t="shared" si="14"/>
        <v>2.5118864315095774E-4</v>
      </c>
      <c r="C37" s="1">
        <f t="shared" si="15"/>
        <v>4.020882422590326E-11</v>
      </c>
      <c r="D37" s="1">
        <f t="shared" si="16"/>
        <v>0.41745069787699068</v>
      </c>
      <c r="E37" s="1">
        <f t="shared" si="17"/>
        <v>0.41486413780737391</v>
      </c>
      <c r="F37" s="24">
        <f t="shared" si="26"/>
        <v>207.43206890368697</v>
      </c>
      <c r="G37" s="2">
        <v>5.7</v>
      </c>
      <c r="H37" s="1">
        <v>1.9952623149688749E-6</v>
      </c>
      <c r="I37" s="1">
        <v>5.0619910596354619E-9</v>
      </c>
      <c r="J37" s="1">
        <v>0.98903673486007682</v>
      </c>
      <c r="K37" s="1">
        <v>0.98899338856018382</v>
      </c>
      <c r="L37" s="44">
        <v>494.49669428009184</v>
      </c>
      <c r="M37" s="2">
        <v>3.6</v>
      </c>
      <c r="N37" s="1">
        <f t="shared" si="18"/>
        <v>2.5118864315095774E-4</v>
      </c>
      <c r="O37" s="1">
        <f t="shared" si="4"/>
        <v>4.020882422590326E-11</v>
      </c>
      <c r="P37" s="1">
        <f t="shared" si="19"/>
        <v>0.99998453530676579</v>
      </c>
      <c r="Q37" s="1">
        <f t="shared" si="20"/>
        <v>1.0037570830330889</v>
      </c>
      <c r="R37" s="24">
        <f t="shared" si="7"/>
        <v>25.093927075827221</v>
      </c>
      <c r="S37" s="2">
        <v>5</v>
      </c>
      <c r="T37" s="1">
        <v>1.0000000000000001E-5</v>
      </c>
      <c r="U37" s="1">
        <v>1.0099999999999998E-9</v>
      </c>
      <c r="V37" s="1">
        <v>0.99961168930530842</v>
      </c>
      <c r="W37" s="1">
        <v>0.99976166223962404</v>
      </c>
      <c r="X37" s="44">
        <v>24.994041555990599</v>
      </c>
      <c r="Y37" s="2">
        <v>3.5999999999999601</v>
      </c>
      <c r="Z37" s="1">
        <f t="shared" si="21"/>
        <v>2.5118864315098094E-4</v>
      </c>
      <c r="AA37" s="1">
        <f t="shared" si="22"/>
        <v>4.0208824225899551E-11</v>
      </c>
      <c r="AB37" s="1">
        <f t="shared" si="23"/>
        <v>3.8286503882251369E-2</v>
      </c>
      <c r="AC37" s="1">
        <f t="shared" si="24"/>
        <v>3.8016216798535674E-2</v>
      </c>
      <c r="AD37" s="24">
        <f t="shared" si="25"/>
        <v>7.6032433597071343</v>
      </c>
      <c r="AE37" s="2">
        <v>6.1999999999999398</v>
      </c>
      <c r="AF37" s="1">
        <v>6.3095734448027989E-7</v>
      </c>
      <c r="AG37" s="1">
        <v>1.6007421243855046E-8</v>
      </c>
      <c r="AH37" s="1">
        <v>0.94064905689722467</v>
      </c>
      <c r="AI37" s="1">
        <v>0.94064728504535011</v>
      </c>
      <c r="AJ37" s="44">
        <v>188.12945700907002</v>
      </c>
    </row>
    <row r="38" spans="1:36" ht="15" customHeight="1" x14ac:dyDescent="0.3">
      <c r="A38" s="2">
        <v>3.7</v>
      </c>
      <c r="B38" s="1">
        <f t="shared" si="14"/>
        <v>1.9952623149688758E-4</v>
      </c>
      <c r="C38" s="1">
        <f t="shared" si="15"/>
        <v>5.0619910596354591E-11</v>
      </c>
      <c r="D38" s="1">
        <f t="shared" si="16"/>
        <v>0.47427551790046996</v>
      </c>
      <c r="E38" s="1">
        <f t="shared" si="17"/>
        <v>0.47199296645874983</v>
      </c>
      <c r="F38" s="24">
        <f t="shared" si="26"/>
        <v>235.99648322937489</v>
      </c>
      <c r="G38" s="2">
        <v>5.8</v>
      </c>
      <c r="H38" s="1">
        <v>1.5848931924611111E-6</v>
      </c>
      <c r="I38" s="1">
        <v>6.3726691792499607E-9</v>
      </c>
      <c r="J38" s="1">
        <v>0.99127188851122494</v>
      </c>
      <c r="K38" s="1">
        <v>0.99123743769740136</v>
      </c>
      <c r="L38" s="44">
        <v>495.61871884870061</v>
      </c>
      <c r="M38" s="2">
        <v>3.7</v>
      </c>
      <c r="N38" s="1">
        <f t="shared" si="18"/>
        <v>1.9952623149688758E-4</v>
      </c>
      <c r="O38" s="1">
        <f t="shared" si="4"/>
        <v>5.0619910596354591E-11</v>
      </c>
      <c r="P38" s="1">
        <f t="shared" si="19"/>
        <v>0.99998053118265895</v>
      </c>
      <c r="Q38" s="1">
        <f t="shared" si="20"/>
        <v>1.0029763932376912</v>
      </c>
      <c r="R38" s="24">
        <f t="shared" si="7"/>
        <v>25.07440983094228</v>
      </c>
      <c r="S38" s="2">
        <v>5.0999999999999996</v>
      </c>
      <c r="T38" s="1">
        <v>7.9432823472428065E-6</v>
      </c>
      <c r="U38" s="1">
        <v>1.2715146659121102E-9</v>
      </c>
      <c r="V38" s="1">
        <v>0.99951119494495555</v>
      </c>
      <c r="W38" s="1">
        <v>0.99963031042705119</v>
      </c>
      <c r="X38" s="44">
        <v>24.990757760676281</v>
      </c>
      <c r="Y38" s="2">
        <v>3.6999999999999602</v>
      </c>
      <c r="Z38" s="1">
        <f t="shared" si="21"/>
        <v>1.9952623149690601E-4</v>
      </c>
      <c r="AA38" s="1">
        <f t="shared" si="22"/>
        <v>5.0619910596349919E-11</v>
      </c>
      <c r="AB38" s="1">
        <f t="shared" si="23"/>
        <v>4.7726721034199802E-2</v>
      </c>
      <c r="AC38" s="1">
        <f t="shared" si="24"/>
        <v>4.7508236579313065E-2</v>
      </c>
      <c r="AD38" s="24">
        <f t="shared" si="25"/>
        <v>9.5016473158626127</v>
      </c>
      <c r="AE38" s="2">
        <v>6.2999999999999403</v>
      </c>
      <c r="AF38" s="1">
        <v>5.0118723362734068E-7</v>
      </c>
      <c r="AG38" s="1">
        <v>2.0152149381182933E-8</v>
      </c>
      <c r="AH38" s="1">
        <v>0.95227327896578984</v>
      </c>
      <c r="AI38" s="1">
        <v>0.95227188177833599</v>
      </c>
      <c r="AJ38" s="44">
        <v>190.45437635566719</v>
      </c>
    </row>
    <row r="39" spans="1:36" ht="15" customHeight="1" x14ac:dyDescent="0.3">
      <c r="A39" s="2">
        <v>3.8</v>
      </c>
      <c r="B39" s="1">
        <f t="shared" si="14"/>
        <v>1.584893192461112E-4</v>
      </c>
      <c r="C39" s="1">
        <f t="shared" si="15"/>
        <v>6.3726691792499571E-11</v>
      </c>
      <c r="D39" s="1">
        <f t="shared" si="16"/>
        <v>0.53177453398204377</v>
      </c>
      <c r="E39" s="1">
        <f t="shared" si="17"/>
        <v>0.52977827219200335</v>
      </c>
      <c r="F39" s="24">
        <f t="shared" si="26"/>
        <v>264.88913609600166</v>
      </c>
      <c r="G39" s="2">
        <v>5.9</v>
      </c>
      <c r="H39" s="1">
        <v>1.2589254117941642E-6</v>
      </c>
      <c r="I39" s="1">
        <v>8.0227151707152622E-9</v>
      </c>
      <c r="J39" s="1">
        <v>0.99305454664406689</v>
      </c>
      <c r="K39" s="1">
        <v>0.99302720123059673</v>
      </c>
      <c r="L39" s="44">
        <v>496.51360061529834</v>
      </c>
      <c r="M39" s="2">
        <v>3.8</v>
      </c>
      <c r="N39" s="1">
        <f t="shared" si="18"/>
        <v>1.584893192461112E-4</v>
      </c>
      <c r="O39" s="1">
        <f t="shared" si="4"/>
        <v>6.3726691792499571E-11</v>
      </c>
      <c r="P39" s="1">
        <f t="shared" si="19"/>
        <v>0.99997549033466426</v>
      </c>
      <c r="Q39" s="1">
        <f t="shared" si="20"/>
        <v>1.0023546951368516</v>
      </c>
      <c r="R39" s="24">
        <f t="shared" si="7"/>
        <v>25.058867378421294</v>
      </c>
      <c r="S39" s="2">
        <v>5.2</v>
      </c>
      <c r="T39" s="1">
        <v>6.3095734448019212E-6</v>
      </c>
      <c r="U39" s="1">
        <v>1.6007421243857275E-9</v>
      </c>
      <c r="V39" s="1">
        <v>0.99938470876854124</v>
      </c>
      <c r="W39" s="1">
        <v>0.99947931193665096</v>
      </c>
      <c r="X39" s="44">
        <v>24.986982798416275</v>
      </c>
      <c r="Y39" s="2">
        <v>3.7999999999999599</v>
      </c>
      <c r="Z39" s="1">
        <f t="shared" si="21"/>
        <v>1.5848931924612581E-4</v>
      </c>
      <c r="AA39" s="1">
        <f t="shared" si="22"/>
        <v>6.3726691792493703E-11</v>
      </c>
      <c r="AB39" s="1">
        <f t="shared" si="23"/>
        <v>5.935094310276251E-2</v>
      </c>
      <c r="AC39" s="1">
        <f t="shared" si="24"/>
        <v>5.9173697056857329E-2</v>
      </c>
      <c r="AD39" s="24">
        <f t="shared" si="25"/>
        <v>11.834739411371466</v>
      </c>
      <c r="AE39" s="2">
        <v>6.39999999999994</v>
      </c>
      <c r="AF39" s="1">
        <v>3.9810717055355203E-7</v>
      </c>
      <c r="AG39" s="1">
        <v>2.5370052958243266E-8</v>
      </c>
      <c r="AH39" s="1">
        <v>0.96171349611774026</v>
      </c>
      <c r="AI39" s="1">
        <v>0.96171240644880196</v>
      </c>
      <c r="AJ39" s="44">
        <v>192.3424812897604</v>
      </c>
    </row>
    <row r="40" spans="1:36" ht="15" customHeight="1" x14ac:dyDescent="0.3">
      <c r="A40" s="2">
        <v>3.9</v>
      </c>
      <c r="B40" s="1">
        <f t="shared" si="14"/>
        <v>1.2589254117941672E-4</v>
      </c>
      <c r="C40" s="1">
        <f t="shared" si="15"/>
        <v>8.0227151707152435E-11</v>
      </c>
      <c r="D40" s="1">
        <f t="shared" si="16"/>
        <v>0.58844193881283202</v>
      </c>
      <c r="E40" s="1">
        <f t="shared" si="17"/>
        <v>0.58671289927568226</v>
      </c>
      <c r="F40" s="24">
        <f t="shared" si="26"/>
        <v>293.35644963784108</v>
      </c>
      <c r="G40" s="2">
        <v>6</v>
      </c>
      <c r="H40" s="1">
        <v>9.9999999999999995E-7</v>
      </c>
      <c r="I40" s="1">
        <v>1.0099999999999999E-8</v>
      </c>
      <c r="J40" s="1">
        <v>0.99447513812154698</v>
      </c>
      <c r="K40" s="1">
        <v>0.99445347013174523</v>
      </c>
      <c r="L40" s="44">
        <v>497.22673506587262</v>
      </c>
      <c r="M40" s="2">
        <v>3.9</v>
      </c>
      <c r="N40" s="1">
        <f t="shared" si="18"/>
        <v>1.2589254117941672E-4</v>
      </c>
      <c r="O40" s="1">
        <f t="shared" si="4"/>
        <v>8.0227151707152435E-11</v>
      </c>
      <c r="P40" s="1">
        <f t="shared" si="19"/>
        <v>0.99996914435528961</v>
      </c>
      <c r="Q40" s="1">
        <f t="shared" si="20"/>
        <v>1.0018587012519475</v>
      </c>
      <c r="R40" s="24">
        <f t="shared" si="7"/>
        <v>25.046467531298688</v>
      </c>
      <c r="S40" s="2">
        <v>5.3</v>
      </c>
      <c r="T40" s="1">
        <v>5.011872336272719E-6</v>
      </c>
      <c r="U40" s="1">
        <v>2.0152149381185696E-9</v>
      </c>
      <c r="V40" s="1">
        <v>0.99922551761936318</v>
      </c>
      <c r="W40" s="1">
        <v>0.99930064795791407</v>
      </c>
      <c r="X40" s="44">
        <v>24.982516198947852</v>
      </c>
      <c r="Y40" s="2">
        <v>3.8999999999999599</v>
      </c>
      <c r="Z40" s="1">
        <f t="shared" si="21"/>
        <v>1.2589254117942813E-4</v>
      </c>
      <c r="AA40" s="1">
        <f t="shared" si="22"/>
        <v>8.0227151707145158E-11</v>
      </c>
      <c r="AB40" s="1">
        <f t="shared" si="23"/>
        <v>7.3587556117567357E-2</v>
      </c>
      <c r="AC40" s="1">
        <f t="shared" si="24"/>
        <v>7.3443171773345695E-2</v>
      </c>
      <c r="AD40" s="24">
        <f t="shared" si="25"/>
        <v>14.688634354669139</v>
      </c>
      <c r="AE40" s="2">
        <v>6.4999999999999396</v>
      </c>
      <c r="AF40" s="1">
        <v>3.1622776601688175E-7</v>
      </c>
      <c r="AG40" s="1">
        <v>3.1939004367696202E-8</v>
      </c>
      <c r="AH40" s="1">
        <v>0.96934656996828039</v>
      </c>
      <c r="AI40" s="1">
        <v>0.96934573453132178</v>
      </c>
      <c r="AJ40" s="44">
        <v>193.86914690626435</v>
      </c>
    </row>
    <row r="41" spans="1:36" ht="15" customHeight="1" x14ac:dyDescent="0.3">
      <c r="A41" s="2">
        <v>4</v>
      </c>
      <c r="B41" s="1">
        <f t="shared" si="14"/>
        <v>1E-4</v>
      </c>
      <c r="C41" s="1">
        <f t="shared" si="15"/>
        <v>1.0099999999999999E-10</v>
      </c>
      <c r="D41" s="1">
        <f t="shared" si="16"/>
        <v>0.64285714285714279</v>
      </c>
      <c r="E41" s="1">
        <f t="shared" si="17"/>
        <v>0.64137439556359188</v>
      </c>
      <c r="F41" s="24">
        <f t="shared" si="26"/>
        <v>320.68719778179587</v>
      </c>
      <c r="G41" s="2">
        <v>6.1</v>
      </c>
      <c r="H41" s="1">
        <v>7.9432823472428114E-7</v>
      </c>
      <c r="I41" s="1">
        <v>1.2715146659121094E-8</v>
      </c>
      <c r="J41" s="1">
        <v>0.99560645379487223</v>
      </c>
      <c r="K41" s="1">
        <v>0.99558932725572569</v>
      </c>
      <c r="L41" s="44">
        <v>497.79466362786286</v>
      </c>
      <c r="M41" s="2">
        <v>4</v>
      </c>
      <c r="N41" s="1">
        <f t="shared" si="18"/>
        <v>1E-4</v>
      </c>
      <c r="O41" s="1">
        <f t="shared" si="4"/>
        <v>1.0099999999999999E-10</v>
      </c>
      <c r="P41" s="1">
        <f t="shared" si="19"/>
        <v>0.99996115535511887</v>
      </c>
      <c r="Q41" s="1">
        <f t="shared" si="20"/>
        <v>1.0014618847817716</v>
      </c>
      <c r="R41" s="24">
        <f t="shared" si="7"/>
        <v>25.036547119544291</v>
      </c>
      <c r="S41" s="2">
        <v>5.4</v>
      </c>
      <c r="T41" s="1">
        <v>3.9810717055349657E-6</v>
      </c>
      <c r="U41" s="1">
        <v>2.53700529582468E-9</v>
      </c>
      <c r="V41" s="1">
        <v>0.99902517993378681</v>
      </c>
      <c r="W41" s="1">
        <v>0.9990848397493064</v>
      </c>
      <c r="X41" s="44">
        <v>24.977120993732658</v>
      </c>
      <c r="Y41" s="2">
        <v>3.99999999999996</v>
      </c>
      <c r="Z41" s="1">
        <f t="shared" si="21"/>
        <v>1.0000000000000915E-4</v>
      </c>
      <c r="AA41" s="1">
        <f t="shared" si="22"/>
        <v>1.0099999999999075E-10</v>
      </c>
      <c r="AB41" s="1">
        <f t="shared" si="23"/>
        <v>9.0909090909083348E-2</v>
      </c>
      <c r="AC41" s="1">
        <f t="shared" si="24"/>
        <v>9.0790932841854743E-2</v>
      </c>
      <c r="AD41" s="24">
        <f t="shared" si="25"/>
        <v>18.158186568370947</v>
      </c>
      <c r="AE41" s="2">
        <v>6.5999999999999304</v>
      </c>
      <c r="AF41" s="1">
        <v>2.5118864315099793E-7</v>
      </c>
      <c r="AG41" s="1">
        <v>4.0208824225896828E-8</v>
      </c>
      <c r="AH41" s="1">
        <v>0.97549663244966023</v>
      </c>
      <c r="AI41" s="1">
        <v>0.97549600984989815</v>
      </c>
      <c r="AJ41" s="44">
        <v>195.09920196997962</v>
      </c>
    </row>
    <row r="42" spans="1:36" ht="15" customHeight="1" x14ac:dyDescent="0.3">
      <c r="A42" s="2">
        <v>4.0999999999999996</v>
      </c>
      <c r="B42" s="1">
        <f t="shared" si="14"/>
        <v>7.9432823472428153E-5</v>
      </c>
      <c r="C42" s="1">
        <f t="shared" si="15"/>
        <v>1.2715146659121088E-10</v>
      </c>
      <c r="D42" s="1">
        <f t="shared" si="16"/>
        <v>0.69382122736342944</v>
      </c>
      <c r="E42" s="1">
        <f t="shared" si="17"/>
        <v>0.69256212043886323</v>
      </c>
      <c r="F42" s="24">
        <f t="shared" si="26"/>
        <v>346.28106021943159</v>
      </c>
      <c r="G42" s="2">
        <v>6.2</v>
      </c>
      <c r="H42" s="1">
        <v>6.3095734448019254E-7</v>
      </c>
      <c r="I42" s="1">
        <v>1.6007421243857263E-8</v>
      </c>
      <c r="J42" s="1">
        <v>0.99650692575759925</v>
      </c>
      <c r="K42" s="1">
        <v>0.99649343998646422</v>
      </c>
      <c r="L42" s="44">
        <v>498.24671999323215</v>
      </c>
      <c r="M42" s="2">
        <v>4.0999999999999996</v>
      </c>
      <c r="N42" s="1">
        <f t="shared" si="18"/>
        <v>7.9432823472428153E-5</v>
      </c>
      <c r="O42" s="1">
        <f t="shared" si="4"/>
        <v>1.2715146659121088E-10</v>
      </c>
      <c r="P42" s="1">
        <f t="shared" si="19"/>
        <v>0.999951097981297</v>
      </c>
      <c r="Q42" s="1">
        <f t="shared" si="20"/>
        <v>1.001143042400811</v>
      </c>
      <c r="R42" s="24">
        <f t="shared" si="7"/>
        <v>25.028576060020278</v>
      </c>
      <c r="S42" s="2">
        <v>5.5</v>
      </c>
      <c r="T42" s="1">
        <v>3.1622776601683767E-6</v>
      </c>
      <c r="U42" s="1">
        <v>3.1939004367700655E-9</v>
      </c>
      <c r="V42" s="1">
        <v>0.99877308392731168</v>
      </c>
      <c r="W42" s="1">
        <v>0.99882045155224597</v>
      </c>
      <c r="X42" s="44">
        <v>24.970511288806147</v>
      </c>
      <c r="Y42" s="2">
        <v>4.0999999999999597</v>
      </c>
      <c r="Z42" s="1">
        <f t="shared" si="21"/>
        <v>7.9432823472435485E-5</v>
      </c>
      <c r="AA42" s="1">
        <f t="shared" si="22"/>
        <v>1.2715146659119914E-10</v>
      </c>
      <c r="AB42" s="1">
        <f t="shared" si="23"/>
        <v>0.1118157697781078</v>
      </c>
      <c r="AC42" s="1">
        <f t="shared" si="24"/>
        <v>0.11171858886430151</v>
      </c>
      <c r="AD42" s="24">
        <f t="shared" si="25"/>
        <v>22.343717772860302</v>
      </c>
      <c r="AE42" s="2">
        <v>6.69999999999993</v>
      </c>
      <c r="AF42" s="1">
        <v>1.9952623149691987E-7</v>
      </c>
      <c r="AG42" s="1">
        <v>5.0619910596346403E-8</v>
      </c>
      <c r="AH42" s="1">
        <v>0.98043769612741738</v>
      </c>
      <c r="AI42" s="1">
        <v>0.98043725523448721</v>
      </c>
      <c r="AJ42" s="44">
        <v>196.08745104689746</v>
      </c>
    </row>
    <row r="43" spans="1:36" ht="15" customHeight="1" x14ac:dyDescent="0.3">
      <c r="A43" s="2">
        <v>4.2</v>
      </c>
      <c r="B43" s="1">
        <f t="shared" si="14"/>
        <v>6.3095734448019279E-5</v>
      </c>
      <c r="C43" s="1">
        <f t="shared" si="15"/>
        <v>1.6007421243857255E-10</v>
      </c>
      <c r="D43" s="1">
        <f t="shared" si="16"/>
        <v>0.74044902683592362</v>
      </c>
      <c r="E43" s="1">
        <f t="shared" si="17"/>
        <v>0.73938979121591808</v>
      </c>
      <c r="F43" s="24">
        <f t="shared" si="26"/>
        <v>369.69489560795904</v>
      </c>
      <c r="G43" s="2">
        <v>6.3</v>
      </c>
      <c r="H43" s="1">
        <v>5.0118723362727218E-7</v>
      </c>
      <c r="I43" s="1">
        <v>2.0152149381185686E-8</v>
      </c>
      <c r="J43" s="1">
        <v>0.99722335768917358</v>
      </c>
      <c r="K43" s="1">
        <v>0.99721280173212323</v>
      </c>
      <c r="L43" s="44">
        <v>498.60640086606156</v>
      </c>
      <c r="M43" s="2">
        <v>4.2</v>
      </c>
      <c r="N43" s="1">
        <f t="shared" si="18"/>
        <v>6.3095734448019279E-5</v>
      </c>
      <c r="O43" s="1">
        <f t="shared" si="4"/>
        <v>1.6007421243857255E-10</v>
      </c>
      <c r="P43" s="1">
        <f t="shared" si="19"/>
        <v>0.99993843678547867</v>
      </c>
      <c r="Q43" s="1">
        <f t="shared" si="20"/>
        <v>1.0008851496462123</v>
      </c>
      <c r="R43" s="24">
        <f t="shared" si="7"/>
        <v>25.022128741155306</v>
      </c>
      <c r="S43" s="2">
        <v>5.6</v>
      </c>
      <c r="T43" s="1">
        <v>2.5118864315095806E-6</v>
      </c>
      <c r="U43" s="1">
        <v>4.0208824225903214E-9</v>
      </c>
      <c r="V43" s="1">
        <v>0.99845589470893581</v>
      </c>
      <c r="W43" s="1">
        <v>0.99849349380159713</v>
      </c>
      <c r="X43" s="44">
        <v>24.962337345039927</v>
      </c>
      <c r="Y43" s="2">
        <v>4.1999999999999602</v>
      </c>
      <c r="Z43" s="1">
        <f t="shared" si="21"/>
        <v>6.3095734448024999E-5</v>
      </c>
      <c r="AA43" s="1">
        <f t="shared" si="22"/>
        <v>1.6007421243855805E-10</v>
      </c>
      <c r="AB43" s="1">
        <f t="shared" si="23"/>
        <v>0.13680688860319939</v>
      </c>
      <c r="AC43" s="1">
        <f t="shared" si="24"/>
        <v>0.13672653934976076</v>
      </c>
      <c r="AD43" s="24">
        <f t="shared" si="25"/>
        <v>27.345307869952151</v>
      </c>
      <c r="AE43" s="2">
        <v>6.7999999999999297</v>
      </c>
      <c r="AF43" s="1">
        <v>1.5848931924613685E-7</v>
      </c>
      <c r="AG43" s="1">
        <v>6.3726691792489256E-8</v>
      </c>
      <c r="AH43" s="1">
        <v>0.98439833775816787</v>
      </c>
      <c r="AI43" s="1">
        <v>0.98439805642724798</v>
      </c>
      <c r="AJ43" s="44">
        <v>196.87961128544958</v>
      </c>
    </row>
    <row r="44" spans="1:36" ht="15" customHeight="1" x14ac:dyDescent="0.3">
      <c r="A44" s="2">
        <v>4.3</v>
      </c>
      <c r="B44" s="1">
        <f t="shared" si="14"/>
        <v>5.0118723362727238E-5</v>
      </c>
      <c r="C44" s="1">
        <f t="shared" si="15"/>
        <v>2.0152149381185678E-10</v>
      </c>
      <c r="D44" s="1">
        <f t="shared" si="16"/>
        <v>0.78220493043616002</v>
      </c>
      <c r="E44" s="1">
        <f t="shared" si="17"/>
        <v>0.7813215197993757</v>
      </c>
      <c r="F44" s="24">
        <f t="shared" si="26"/>
        <v>390.66075989968783</v>
      </c>
      <c r="G44" s="2">
        <v>6.4</v>
      </c>
      <c r="H44" s="1">
        <v>3.9810717055349618E-7</v>
      </c>
      <c r="I44" s="1">
        <v>2.5370052958246826E-8</v>
      </c>
      <c r="J44" s="1">
        <v>0.99779317434757164</v>
      </c>
      <c r="K44" s="1">
        <v>0.99778499064330861</v>
      </c>
      <c r="L44" s="44">
        <v>498.89249532165428</v>
      </c>
      <c r="M44" s="2">
        <v>4.3</v>
      </c>
      <c r="N44" s="1">
        <f t="shared" si="18"/>
        <v>5.0118723362727238E-5</v>
      </c>
      <c r="O44" s="1">
        <f t="shared" si="4"/>
        <v>2.0152149381185678E-10</v>
      </c>
      <c r="P44" s="1">
        <f t="shared" si="19"/>
        <v>0.99992249774021513</v>
      </c>
      <c r="Q44" s="1">
        <f t="shared" si="20"/>
        <v>1.0006744445786604</v>
      </c>
      <c r="R44" s="24">
        <f t="shared" si="7"/>
        <v>25.016861114466508</v>
      </c>
      <c r="S44" s="2">
        <v>5.7</v>
      </c>
      <c r="T44" s="1">
        <v>1.9952623149688749E-6</v>
      </c>
      <c r="U44" s="1">
        <v>5.0619910596354619E-9</v>
      </c>
      <c r="V44" s="1">
        <v>0.99805686349230538</v>
      </c>
      <c r="W44" s="1">
        <v>0.99808669745788736</v>
      </c>
      <c r="X44" s="44">
        <v>24.952167436447183</v>
      </c>
      <c r="Y44" s="2">
        <v>4.2999999999999599</v>
      </c>
      <c r="Z44" s="1">
        <f t="shared" si="21"/>
        <v>5.0118723362731778E-5</v>
      </c>
      <c r="AA44" s="1">
        <f t="shared" si="22"/>
        <v>2.0152149381183853E-10</v>
      </c>
      <c r="AB44" s="1">
        <f t="shared" si="23"/>
        <v>0.16633753081654931</v>
      </c>
      <c r="AC44" s="1">
        <f t="shared" si="24"/>
        <v>0.16627074580669754</v>
      </c>
      <c r="AD44" s="24">
        <f t="shared" si="25"/>
        <v>33.254149161339505</v>
      </c>
      <c r="AE44" s="2">
        <v>6.8999999999999302</v>
      </c>
      <c r="AF44" s="1">
        <v>1.2589254117943687E-7</v>
      </c>
      <c r="AG44" s="1">
        <v>8.0227151707139592E-8</v>
      </c>
      <c r="AH44" s="1">
        <v>0.98756726474555567</v>
      </c>
      <c r="AI44" s="1">
        <v>0.98756712888489107</v>
      </c>
      <c r="AJ44" s="44">
        <v>197.51342577697821</v>
      </c>
    </row>
    <row r="45" spans="1:36" ht="15" customHeight="1" x14ac:dyDescent="0.3">
      <c r="A45" s="2">
        <v>4.4000000000000004</v>
      </c>
      <c r="B45" s="1">
        <f t="shared" si="14"/>
        <v>3.9810717055349634E-5</v>
      </c>
      <c r="C45" s="1">
        <f t="shared" si="15"/>
        <v>2.5370052958246817E-10</v>
      </c>
      <c r="D45" s="1">
        <f t="shared" si="16"/>
        <v>0.81888636919679825</v>
      </c>
      <c r="E45" s="1">
        <f t="shared" si="17"/>
        <v>0.81815532541806646</v>
      </c>
      <c r="F45" s="24">
        <f t="shared" si="26"/>
        <v>409.07766270903323</v>
      </c>
      <c r="G45" s="2">
        <v>6.5</v>
      </c>
      <c r="H45" s="1">
        <v>3.1622776601683734E-7</v>
      </c>
      <c r="I45" s="1">
        <v>3.1939004367700689E-8</v>
      </c>
      <c r="J45" s="1">
        <v>0.99824626008465978</v>
      </c>
      <c r="K45" s="1">
        <v>0.9982400157387783</v>
      </c>
      <c r="L45" s="44">
        <v>499.12000786938916</v>
      </c>
      <c r="M45" s="2">
        <v>4.4000000000000004</v>
      </c>
      <c r="N45" s="1">
        <f t="shared" si="18"/>
        <v>3.9810717055349634E-5</v>
      </c>
      <c r="O45" s="1">
        <f t="shared" si="4"/>
        <v>2.5370052958246817E-10</v>
      </c>
      <c r="P45" s="1">
        <f t="shared" si="19"/>
        <v>0.99990243239360432</v>
      </c>
      <c r="Q45" s="1">
        <f t="shared" si="20"/>
        <v>1.0004996888081414</v>
      </c>
      <c r="R45" s="24">
        <f t="shared" si="7"/>
        <v>25.012492220203537</v>
      </c>
      <c r="S45" s="2">
        <v>5.8</v>
      </c>
      <c r="T45" s="1">
        <v>1.5848931924611111E-6</v>
      </c>
      <c r="U45" s="1">
        <v>6.3726691792499607E-9</v>
      </c>
      <c r="V45" s="1">
        <v>0.99755496623540929</v>
      </c>
      <c r="W45" s="1">
        <v>0.99757862493230731</v>
      </c>
      <c r="X45" s="44">
        <v>24.939465623307683</v>
      </c>
      <c r="Y45" s="2">
        <v>4.3999999999999604</v>
      </c>
      <c r="Z45" s="1">
        <f t="shared" si="21"/>
        <v>3.9810717055353306E-5</v>
      </c>
      <c r="AA45" s="1">
        <f t="shared" si="22"/>
        <v>2.5370052958244475E-10</v>
      </c>
      <c r="AB45" s="1">
        <f t="shared" si="23"/>
        <v>0.20076000891308735</v>
      </c>
      <c r="AC45" s="1">
        <f t="shared" si="24"/>
        <v>0.2007042181938854</v>
      </c>
      <c r="AD45" s="24">
        <f t="shared" si="25"/>
        <v>40.140843638777078</v>
      </c>
      <c r="AE45" s="2">
        <v>6.9999999999999298</v>
      </c>
      <c r="AF45" s="1">
        <v>1.0000000000001593E-7</v>
      </c>
      <c r="AG45" s="1">
        <v>1.009999999999839E-7</v>
      </c>
      <c r="AH45" s="1">
        <v>0.99009900990098854</v>
      </c>
      <c r="AI45" s="1">
        <v>0.99009901288118662</v>
      </c>
      <c r="AJ45" s="44">
        <v>198.01980257623734</v>
      </c>
    </row>
    <row r="46" spans="1:36" ht="15" customHeight="1" x14ac:dyDescent="0.3">
      <c r="A46" s="2">
        <v>4.5</v>
      </c>
      <c r="B46" s="1">
        <f t="shared" si="14"/>
        <v>3.1622776601683748E-5</v>
      </c>
      <c r="C46" s="1">
        <f t="shared" si="15"/>
        <v>3.1939004367700672E-10</v>
      </c>
      <c r="D46" s="1">
        <f t="shared" si="16"/>
        <v>0.8505700704362078</v>
      </c>
      <c r="E46" s="1">
        <f t="shared" si="17"/>
        <v>0.84996926318865651</v>
      </c>
      <c r="F46" s="24">
        <f t="shared" si="26"/>
        <v>424.98463159432822</v>
      </c>
      <c r="G46" s="2">
        <v>6.6</v>
      </c>
      <c r="H46" s="1">
        <v>2.511886431509578E-7</v>
      </c>
      <c r="I46" s="1">
        <v>4.0208824225903253E-8</v>
      </c>
      <c r="J46" s="1">
        <v>0.99860645222346778</v>
      </c>
      <c r="K46" s="1">
        <v>0.99860181656722113</v>
      </c>
      <c r="L46" s="44">
        <v>499.30090828361057</v>
      </c>
      <c r="M46" s="2">
        <v>4.5</v>
      </c>
      <c r="N46" s="1">
        <f t="shared" si="18"/>
        <v>3.1622776601683748E-5</v>
      </c>
      <c r="O46" s="1">
        <f t="shared" si="4"/>
        <v>3.1939004367700672E-10</v>
      </c>
      <c r="P46" s="1">
        <f t="shared" si="19"/>
        <v>0.9998771727638921</v>
      </c>
      <c r="Q46" s="1">
        <f t="shared" si="20"/>
        <v>1.0003515652088455</v>
      </c>
      <c r="R46" s="24">
        <f t="shared" si="7"/>
        <v>25.008789130221139</v>
      </c>
      <c r="S46" s="2">
        <v>5.9</v>
      </c>
      <c r="T46" s="1">
        <v>1.2589254117941642E-6</v>
      </c>
      <c r="U46" s="1">
        <v>8.0227151707152622E-9</v>
      </c>
      <c r="V46" s="1">
        <v>0.99692383232552106</v>
      </c>
      <c r="W46" s="1">
        <v>0.99694257674327547</v>
      </c>
      <c r="X46" s="44">
        <v>24.923564418581886</v>
      </c>
      <c r="Y46" s="2">
        <v>4.49999999999996</v>
      </c>
      <c r="Z46" s="1">
        <f t="shared" si="21"/>
        <v>3.1622776601686668E-5</v>
      </c>
      <c r="AA46" s="1">
        <f t="shared" si="22"/>
        <v>3.1939004367697725E-10</v>
      </c>
      <c r="AB46" s="1">
        <f t="shared" si="23"/>
        <v>0.24025307335202559</v>
      </c>
      <c r="AC46" s="1">
        <f t="shared" si="24"/>
        <v>0.24020625907051507</v>
      </c>
      <c r="AD46" s="24">
        <f t="shared" si="25"/>
        <v>48.041251814103013</v>
      </c>
      <c r="AE46" s="2">
        <v>7.0999999999999304</v>
      </c>
      <c r="AF46" s="1">
        <v>7.9432823472440885E-8</v>
      </c>
      <c r="AG46" s="1">
        <v>1.271514665911905E-7</v>
      </c>
      <c r="AH46" s="1">
        <v>0.99211931614966842</v>
      </c>
      <c r="AI46" s="1">
        <v>0.99211945855350026</v>
      </c>
      <c r="AJ46" s="44">
        <v>198.42389171070005</v>
      </c>
    </row>
    <row r="47" spans="1:36" ht="15" customHeight="1" x14ac:dyDescent="0.3">
      <c r="A47" s="2">
        <v>4.5999999999999996</v>
      </c>
      <c r="B47" s="1">
        <f t="shared" si="14"/>
        <v>2.5118864315095791E-5</v>
      </c>
      <c r="C47" s="1">
        <f t="shared" si="15"/>
        <v>4.0208824225903234E-10</v>
      </c>
      <c r="D47" s="1">
        <f t="shared" si="16"/>
        <v>0.87753996006671942</v>
      </c>
      <c r="E47" s="1">
        <f t="shared" si="17"/>
        <v>0.87704912063810869</v>
      </c>
      <c r="F47" s="24">
        <f t="shared" si="26"/>
        <v>438.52456031905433</v>
      </c>
      <c r="G47" s="2">
        <v>6.7</v>
      </c>
      <c r="H47" s="1">
        <v>1.9952623149688761E-7</v>
      </c>
      <c r="I47" s="1">
        <v>5.0619910596354589E-8</v>
      </c>
      <c r="J47" s="1">
        <v>0.99889274830145458</v>
      </c>
      <c r="K47" s="1">
        <v>0.99888947566967679</v>
      </c>
      <c r="L47" s="44">
        <v>499.44473783483835</v>
      </c>
      <c r="M47" s="2">
        <v>4.5999999999999996</v>
      </c>
      <c r="N47" s="1">
        <f t="shared" si="18"/>
        <v>2.5118864315095791E-5</v>
      </c>
      <c r="O47" s="1">
        <f t="shared" si="4"/>
        <v>4.0208824225903234E-10</v>
      </c>
      <c r="P47" s="1">
        <f t="shared" si="19"/>
        <v>0.99984537458876954</v>
      </c>
      <c r="Q47" s="1">
        <f t="shared" si="20"/>
        <v>1.0002221794261998</v>
      </c>
      <c r="R47" s="24">
        <f t="shared" si="7"/>
        <v>25.005554485654997</v>
      </c>
      <c r="S47" s="2">
        <v>6</v>
      </c>
      <c r="T47" s="1">
        <v>9.9999999999999995E-7</v>
      </c>
      <c r="U47" s="1">
        <v>1.0099999999999999E-8</v>
      </c>
      <c r="V47" s="1">
        <v>0.99613041645913958</v>
      </c>
      <c r="W47" s="1">
        <v>0.99614524588003406</v>
      </c>
      <c r="X47" s="44">
        <v>24.903631147000851</v>
      </c>
      <c r="Y47" s="2">
        <v>4.5999999999999499</v>
      </c>
      <c r="Z47" s="1">
        <f t="shared" si="21"/>
        <v>2.5118864315098692E-5</v>
      </c>
      <c r="AA47" s="1">
        <f t="shared" si="22"/>
        <v>4.0208824225898592E-10</v>
      </c>
      <c r="AB47" s="1">
        <f t="shared" si="23"/>
        <v>0.28474724895077802</v>
      </c>
      <c r="AC47" s="1">
        <f t="shared" si="24"/>
        <v>0.28470782764292246</v>
      </c>
      <c r="AD47" s="24">
        <f t="shared" si="25"/>
        <v>56.941565528584491</v>
      </c>
      <c r="AE47" s="2">
        <v>7.19999999999993</v>
      </c>
      <c r="AF47" s="1">
        <v>6.3095734448029487E-8</v>
      </c>
      <c r="AG47" s="1">
        <v>1.6007421243854666E-7</v>
      </c>
      <c r="AH47" s="1">
        <v>0.99372998765856524</v>
      </c>
      <c r="AI47" s="1">
        <v>0.99373027737794284</v>
      </c>
      <c r="AJ47" s="44">
        <v>198.74605547558858</v>
      </c>
    </row>
    <row r="48" spans="1:36" ht="15" customHeight="1" x14ac:dyDescent="0.3">
      <c r="A48" s="2">
        <v>4.7</v>
      </c>
      <c r="B48" s="1">
        <f t="shared" si="14"/>
        <v>1.9952623149688769E-5</v>
      </c>
      <c r="C48" s="1">
        <f t="shared" si="15"/>
        <v>5.0619910596354569E-10</v>
      </c>
      <c r="D48" s="1">
        <f t="shared" si="16"/>
        <v>0.90021324634110045</v>
      </c>
      <c r="E48" s="1">
        <f t="shared" si="17"/>
        <v>0.89981427811298498</v>
      </c>
      <c r="F48" s="24">
        <f t="shared" si="26"/>
        <v>449.9071390564925</v>
      </c>
      <c r="G48" s="2">
        <v>6.8</v>
      </c>
      <c r="H48" s="1">
        <v>1.5848931924611122E-7</v>
      </c>
      <c r="I48" s="1">
        <v>6.3726691792499566E-8</v>
      </c>
      <c r="J48" s="1">
        <v>0.99912027837353101</v>
      </c>
      <c r="K48" s="1">
        <v>0.99911819526696966</v>
      </c>
      <c r="L48" s="44">
        <v>499.55909763348478</v>
      </c>
      <c r="M48" s="2">
        <v>4.7</v>
      </c>
      <c r="N48" s="1">
        <f t="shared" si="18"/>
        <v>1.9952623149688769E-5</v>
      </c>
      <c r="O48" s="1">
        <f t="shared" si="4"/>
        <v>5.0619910596354569E-10</v>
      </c>
      <c r="P48" s="1">
        <f t="shared" si="19"/>
        <v>0.99980534593375026</v>
      </c>
      <c r="Q48" s="1">
        <f t="shared" si="20"/>
        <v>1.0001046381267695</v>
      </c>
      <c r="R48" s="24">
        <f t="shared" si="7"/>
        <v>25.002615953169236</v>
      </c>
      <c r="S48" s="2">
        <v>6.1</v>
      </c>
      <c r="T48" s="1">
        <v>7.9432823472428114E-7</v>
      </c>
      <c r="U48" s="1">
        <v>1.2715146659121094E-8</v>
      </c>
      <c r="V48" s="1">
        <v>0.99513335899805999</v>
      </c>
      <c r="W48" s="1">
        <v>0.99514506422097426</v>
      </c>
      <c r="X48" s="44">
        <v>24.878626605524357</v>
      </c>
      <c r="Y48" s="2">
        <v>4.6999999999999504</v>
      </c>
      <c r="Z48" s="1">
        <f t="shared" si="21"/>
        <v>1.9952623149691039E-5</v>
      </c>
      <c r="AA48" s="1">
        <f t="shared" si="22"/>
        <v>5.061991059634881E-10</v>
      </c>
      <c r="AB48" s="1">
        <f t="shared" si="23"/>
        <v>0.33386057541685293</v>
      </c>
      <c r="AC48" s="1">
        <f t="shared" si="24"/>
        <v>0.33382730217715362</v>
      </c>
      <c r="AD48" s="24">
        <f t="shared" si="25"/>
        <v>66.765460435430725</v>
      </c>
      <c r="AE48" s="2">
        <v>7.2999999999999297</v>
      </c>
      <c r="AF48" s="1">
        <v>5.0118723362735356E-8</v>
      </c>
      <c r="AG48" s="1">
        <v>2.0152149381182415E-7</v>
      </c>
      <c r="AH48" s="1">
        <v>0.99501312126331121</v>
      </c>
      <c r="AI48" s="1">
        <v>0.99501357396170509</v>
      </c>
      <c r="AJ48" s="44">
        <v>199.00271479234101</v>
      </c>
    </row>
    <row r="49" spans="1:36" ht="15" customHeight="1" x14ac:dyDescent="0.3">
      <c r="A49" s="2">
        <v>4.8</v>
      </c>
      <c r="B49" s="1">
        <f t="shared" si="14"/>
        <v>1.5848931924611131E-5</v>
      </c>
      <c r="C49" s="1">
        <f t="shared" si="15"/>
        <v>6.3726691792499525E-10</v>
      </c>
      <c r="D49" s="1">
        <f t="shared" si="16"/>
        <v>0.91907572960003725</v>
      </c>
      <c r="E49" s="1">
        <f t="shared" si="17"/>
        <v>0.91875281970263722</v>
      </c>
      <c r="F49" s="24">
        <f t="shared" si="26"/>
        <v>459.37640985131861</v>
      </c>
      <c r="G49" s="2">
        <v>6.9</v>
      </c>
      <c r="H49" s="1">
        <v>1.2589254117941651E-7</v>
      </c>
      <c r="I49" s="1">
        <v>8.0227151707152563E-8</v>
      </c>
      <c r="J49" s="1">
        <v>0.9993010858161292</v>
      </c>
      <c r="K49" s="1">
        <v>0.99930008181680163</v>
      </c>
      <c r="L49" s="44">
        <v>499.6500409084008</v>
      </c>
      <c r="M49" s="2">
        <v>4.8</v>
      </c>
      <c r="N49" s="1">
        <f t="shared" si="18"/>
        <v>1.5848931924611131E-5</v>
      </c>
      <c r="O49" s="1">
        <f t="shared" si="4"/>
        <v>6.3726691792499525E-10</v>
      </c>
      <c r="P49" s="1">
        <f t="shared" si="19"/>
        <v>0.99975495739985287</v>
      </c>
      <c r="Q49" s="1">
        <f t="shared" si="20"/>
        <v>0.99999268123976892</v>
      </c>
      <c r="R49" s="24">
        <f t="shared" si="7"/>
        <v>24.999817030994226</v>
      </c>
      <c r="S49" s="2">
        <v>6.2</v>
      </c>
      <c r="T49" s="1">
        <v>6.3095734448019254E-7</v>
      </c>
      <c r="U49" s="1">
        <v>1.6007421243857263E-8</v>
      </c>
      <c r="V49" s="1">
        <v>0.99388097254087826</v>
      </c>
      <c r="W49" s="1">
        <v>0.99389017800355395</v>
      </c>
      <c r="X49" s="44">
        <v>24.847254450088847</v>
      </c>
      <c r="Y49" s="2">
        <v>4.7999999999999501</v>
      </c>
      <c r="Z49" s="1">
        <f t="shared" si="21"/>
        <v>1.584893192461293E-5</v>
      </c>
      <c r="AA49" s="1">
        <f t="shared" si="22"/>
        <v>6.3726691792492297E-10</v>
      </c>
      <c r="AB49" s="1">
        <f t="shared" si="23"/>
        <v>0.38686317984683011</v>
      </c>
      <c r="AC49" s="1">
        <f t="shared" si="24"/>
        <v>0.3868350701998195</v>
      </c>
      <c r="AD49" s="24">
        <f t="shared" si="25"/>
        <v>77.367014039963905</v>
      </c>
      <c r="AE49" s="2">
        <v>7.3999999999999302</v>
      </c>
      <c r="AF49" s="1">
        <v>3.9810717055356075E-8</v>
      </c>
      <c r="AG49" s="1">
        <v>2.5370052958242712E-7</v>
      </c>
      <c r="AH49" s="1">
        <v>0.99603471438084712</v>
      </c>
      <c r="AI49" s="1">
        <v>0.99603535435429003</v>
      </c>
      <c r="AJ49" s="44">
        <v>199.20707087085802</v>
      </c>
    </row>
    <row r="50" spans="1:36" ht="15" customHeight="1" x14ac:dyDescent="0.3">
      <c r="A50" s="2">
        <v>4.9000000000000004</v>
      </c>
      <c r="B50" s="1">
        <f t="shared" si="14"/>
        <v>1.2589254117941658E-5</v>
      </c>
      <c r="C50" s="1">
        <f t="shared" si="15"/>
        <v>8.0227151707152515E-10</v>
      </c>
      <c r="D50" s="1">
        <f t="shared" si="16"/>
        <v>0.93463158588156736</v>
      </c>
      <c r="E50" s="1">
        <f t="shared" si="17"/>
        <v>0.93437116324996927</v>
      </c>
      <c r="F50" s="24">
        <f t="shared" si="26"/>
        <v>467.18558162498459</v>
      </c>
      <c r="G50" s="2">
        <v>7</v>
      </c>
      <c r="H50" s="1">
        <v>9.9999999999999995E-8</v>
      </c>
      <c r="I50" s="1">
        <v>1.0099999999999999E-7</v>
      </c>
      <c r="J50" s="1">
        <v>0.9994447529150472</v>
      </c>
      <c r="K50" s="1">
        <v>0.99944477490394279</v>
      </c>
      <c r="L50" s="44">
        <v>499.72238745197137</v>
      </c>
      <c r="M50" s="2">
        <v>4.9000000000000004</v>
      </c>
      <c r="N50" s="1">
        <f t="shared" si="18"/>
        <v>1.2589254117941658E-5</v>
      </c>
      <c r="O50" s="1">
        <f t="shared" si="4"/>
        <v>8.0227151707152515E-10</v>
      </c>
      <c r="P50" s="1">
        <f t="shared" si="19"/>
        <v>0.99969152921548188</v>
      </c>
      <c r="Q50" s="1">
        <f t="shared" si="20"/>
        <v>0.9998803484620401</v>
      </c>
      <c r="R50" s="24">
        <f t="shared" si="7"/>
        <v>24.997008711551</v>
      </c>
      <c r="S50" s="2">
        <v>6.3</v>
      </c>
      <c r="T50" s="1">
        <v>5.0118723362727218E-7</v>
      </c>
      <c r="U50" s="1">
        <v>2.0152149381185686E-8</v>
      </c>
      <c r="V50" s="1">
        <v>0.99230878657716681</v>
      </c>
      <c r="W50" s="1">
        <v>0.99231598362202322</v>
      </c>
      <c r="X50" s="44">
        <v>24.80789959055058</v>
      </c>
      <c r="Y50" s="2">
        <v>4.8999999999999497</v>
      </c>
      <c r="Z50" s="1">
        <f t="shared" si="21"/>
        <v>1.2589254117943111E-5</v>
      </c>
      <c r="AA50" s="1">
        <f t="shared" si="22"/>
        <v>8.022715170714325E-10</v>
      </c>
      <c r="AB50" s="1">
        <f t="shared" si="23"/>
        <v>0.4426883662376791</v>
      </c>
      <c r="AC50" s="1">
        <f t="shared" si="24"/>
        <v>0.44266463286100294</v>
      </c>
      <c r="AD50" s="24">
        <f t="shared" si="25"/>
        <v>88.532926572200594</v>
      </c>
      <c r="AE50" s="2">
        <v>7.4999999999999298</v>
      </c>
      <c r="AF50" s="1">
        <v>3.1622776601688867E-8</v>
      </c>
      <c r="AG50" s="1">
        <v>3.1939004367695503E-7</v>
      </c>
      <c r="AH50" s="1">
        <v>0.9968476908167393</v>
      </c>
      <c r="AI50" s="1">
        <v>0.99684855230477354</v>
      </c>
      <c r="AJ50" s="44">
        <v>199.36971046095471</v>
      </c>
    </row>
    <row r="51" spans="1:36" ht="15" customHeight="1" x14ac:dyDescent="0.3">
      <c r="A51" s="2">
        <v>5</v>
      </c>
      <c r="B51" s="1">
        <f t="shared" si="14"/>
        <v>1.0000000000000001E-5</v>
      </c>
      <c r="C51" s="1">
        <f t="shared" si="15"/>
        <v>1.0099999999999998E-9</v>
      </c>
      <c r="D51" s="1">
        <f t="shared" si="16"/>
        <v>0.94736842105263164</v>
      </c>
      <c r="E51" s="1">
        <f t="shared" si="17"/>
        <v>0.94715901040316297</v>
      </c>
      <c r="F51" s="24">
        <f t="shared" si="26"/>
        <v>473.57950520158147</v>
      </c>
      <c r="G51" s="2">
        <v>7.1</v>
      </c>
      <c r="H51" s="1">
        <v>7.943282347242818E-8</v>
      </c>
      <c r="I51" s="1">
        <v>1.2715146659121083E-7</v>
      </c>
      <c r="J51" s="1">
        <v>0.9995589011902859</v>
      </c>
      <c r="K51" s="1">
        <v>0.99955995058046332</v>
      </c>
      <c r="L51" s="44">
        <v>499.77997529023162</v>
      </c>
      <c r="M51" s="2">
        <v>5</v>
      </c>
      <c r="N51" s="1">
        <f t="shared" si="18"/>
        <v>1.0000000000000001E-5</v>
      </c>
      <c r="O51" s="1">
        <f t="shared" si="4"/>
        <v>1.0099999999999998E-9</v>
      </c>
      <c r="P51" s="1">
        <f t="shared" si="19"/>
        <v>0.99961168930530842</v>
      </c>
      <c r="Q51" s="1">
        <f t="shared" si="20"/>
        <v>0.99976166223962404</v>
      </c>
      <c r="R51" s="24">
        <f t="shared" si="7"/>
        <v>24.994041555990599</v>
      </c>
      <c r="S51" s="2">
        <v>6.4</v>
      </c>
      <c r="T51" s="1">
        <v>3.9810717055349618E-7</v>
      </c>
      <c r="U51" s="1">
        <v>2.5370052958246826E-8</v>
      </c>
      <c r="V51" s="1">
        <v>0.99033658019765247</v>
      </c>
      <c r="W51" s="1">
        <v>0.99034215325522656</v>
      </c>
      <c r="X51" s="44">
        <v>24.758553831380663</v>
      </c>
      <c r="Y51" s="2">
        <v>4.9999999999999503</v>
      </c>
      <c r="Z51" s="1">
        <f t="shared" si="21"/>
        <v>1.0000000000001136E-5</v>
      </c>
      <c r="AA51" s="1">
        <f t="shared" si="22"/>
        <v>1.0099999999998853E-9</v>
      </c>
      <c r="AB51" s="1">
        <f t="shared" si="23"/>
        <v>0.49999999999997163</v>
      </c>
      <c r="AC51" s="1">
        <f t="shared" si="24"/>
        <v>0.49998000241988289</v>
      </c>
      <c r="AD51" s="24">
        <f t="shared" si="25"/>
        <v>99.996000483976573</v>
      </c>
      <c r="AE51" s="2">
        <v>7.5999999999999197</v>
      </c>
      <c r="AF51" s="1">
        <v>2.511886431510039E-8</v>
      </c>
      <c r="AG51" s="1">
        <v>4.0208824225895872E-7</v>
      </c>
      <c r="AH51" s="1">
        <v>0.99749440733271377</v>
      </c>
      <c r="AI51" s="1">
        <v>0.99749553635263533</v>
      </c>
      <c r="AJ51" s="44">
        <v>199.49910727052708</v>
      </c>
    </row>
    <row r="52" spans="1:36" ht="15" customHeight="1" x14ac:dyDescent="0.3">
      <c r="A52" s="2">
        <v>5.0999999999999996</v>
      </c>
      <c r="B52" s="1">
        <f t="shared" si="14"/>
        <v>7.9432823472428065E-6</v>
      </c>
      <c r="C52" s="1">
        <f t="shared" si="15"/>
        <v>1.2715146659121102E-9</v>
      </c>
      <c r="D52" s="1">
        <f t="shared" si="16"/>
        <v>0.95773574746573353</v>
      </c>
      <c r="E52" s="1">
        <f t="shared" si="17"/>
        <v>0.95756776317310743</v>
      </c>
      <c r="F52" s="24">
        <f t="shared" si="26"/>
        <v>478.78388158655366</v>
      </c>
      <c r="G52" s="2">
        <v>7.2</v>
      </c>
      <c r="H52" s="1">
        <v>6.3095734448019177E-8</v>
      </c>
      <c r="I52" s="1">
        <v>1.6007421243857284E-7</v>
      </c>
      <c r="J52" s="1">
        <v>0.9996495909714832</v>
      </c>
      <c r="K52" s="1">
        <v>0.99965172382249312</v>
      </c>
      <c r="L52" s="44">
        <v>499.82586191124653</v>
      </c>
      <c r="M52" s="2">
        <v>5.0999999999999996</v>
      </c>
      <c r="N52" s="1">
        <f t="shared" si="18"/>
        <v>7.9432823472428065E-6</v>
      </c>
      <c r="O52" s="1">
        <f t="shared" si="4"/>
        <v>1.2715146659121102E-9</v>
      </c>
      <c r="P52" s="1">
        <f t="shared" si="19"/>
        <v>0.99951119494495555</v>
      </c>
      <c r="Q52" s="1">
        <f t="shared" si="20"/>
        <v>0.99963031042705119</v>
      </c>
      <c r="R52" s="24">
        <f t="shared" si="7"/>
        <v>24.990757760676281</v>
      </c>
      <c r="S52" s="2">
        <v>6.5</v>
      </c>
      <c r="T52" s="1">
        <v>3.1622776601683734E-7</v>
      </c>
      <c r="U52" s="1">
        <v>3.1939004367700689E-8</v>
      </c>
      <c r="V52" s="1">
        <v>0.98786483869318475</v>
      </c>
      <c r="W52" s="1">
        <v>0.98786908578119659</v>
      </c>
      <c r="X52" s="44">
        <v>24.69672714452992</v>
      </c>
      <c r="Y52" s="2">
        <v>5.0999999999999499</v>
      </c>
      <c r="Z52" s="1">
        <f t="shared" si="21"/>
        <v>7.9432823472437247E-6</v>
      </c>
      <c r="AA52" s="1">
        <f t="shared" si="22"/>
        <v>1.2715146659119632E-9</v>
      </c>
      <c r="AB52" s="1">
        <f t="shared" si="23"/>
        <v>0.55731163376226456</v>
      </c>
      <c r="AC52" s="1">
        <f t="shared" si="24"/>
        <v>0.55729483966812488</v>
      </c>
      <c r="AD52" s="24">
        <f t="shared" si="25"/>
        <v>111.45896793362498</v>
      </c>
      <c r="AE52" s="2">
        <v>7.6999999999999202</v>
      </c>
      <c r="AF52" s="1">
        <v>1.9952623149692459E-8</v>
      </c>
      <c r="AG52" s="1">
        <v>5.0619910596345207E-7</v>
      </c>
      <c r="AH52" s="1">
        <v>0.99800871082927123</v>
      </c>
      <c r="AI52" s="1">
        <v>0.99801016763362171</v>
      </c>
      <c r="AJ52" s="44">
        <v>199.60203352672434</v>
      </c>
    </row>
    <row r="53" spans="1:36" ht="15" customHeight="1" x14ac:dyDescent="0.3">
      <c r="A53" s="2">
        <v>5.2</v>
      </c>
      <c r="B53" s="1">
        <f t="shared" si="14"/>
        <v>6.3095734448019212E-6</v>
      </c>
      <c r="C53" s="1">
        <f t="shared" si="15"/>
        <v>1.6007421243857275E-9</v>
      </c>
      <c r="D53" s="1">
        <f t="shared" si="16"/>
        <v>0.96613392791288166</v>
      </c>
      <c r="E53" s="1">
        <f t="shared" si="17"/>
        <v>0.96599944200525689</v>
      </c>
      <c r="F53" s="24">
        <f t="shared" si="26"/>
        <v>482.99972100262841</v>
      </c>
      <c r="G53" s="2">
        <v>7.3</v>
      </c>
      <c r="H53" s="1">
        <v>5.0118723362727164E-8</v>
      </c>
      <c r="I53" s="1">
        <v>2.0152149381185708E-7</v>
      </c>
      <c r="J53" s="1">
        <v>0.9997216401537633</v>
      </c>
      <c r="K53" s="1">
        <v>0.99972497018190765</v>
      </c>
      <c r="L53" s="44">
        <v>499.86248509095378</v>
      </c>
      <c r="M53" s="2">
        <v>5.2</v>
      </c>
      <c r="N53" s="1">
        <f t="shared" si="18"/>
        <v>6.3095734448019212E-6</v>
      </c>
      <c r="O53" s="1">
        <f t="shared" si="4"/>
        <v>1.6007421243857275E-9</v>
      </c>
      <c r="P53" s="1">
        <f t="shared" si="19"/>
        <v>0.99938470876854124</v>
      </c>
      <c r="Q53" s="1">
        <f t="shared" si="20"/>
        <v>0.99947931193665096</v>
      </c>
      <c r="R53" s="24">
        <f t="shared" si="7"/>
        <v>24.986982798416275</v>
      </c>
      <c r="S53" s="2">
        <v>6.6</v>
      </c>
      <c r="T53" s="1">
        <v>2.511886431509578E-7</v>
      </c>
      <c r="U53" s="1">
        <v>4.0208824225903253E-8</v>
      </c>
      <c r="V53" s="1">
        <v>0.98477058941059625</v>
      </c>
      <c r="W53" s="1">
        <v>0.98477373804571022</v>
      </c>
      <c r="X53" s="44">
        <v>24.619343451142754</v>
      </c>
      <c r="Y53" s="2">
        <v>5.1999999999999504</v>
      </c>
      <c r="Z53" s="1">
        <f t="shared" si="21"/>
        <v>6.3095734448026496E-6</v>
      </c>
      <c r="AA53" s="1">
        <f t="shared" si="22"/>
        <v>1.6007421243855426E-9</v>
      </c>
      <c r="AB53" s="1">
        <f t="shared" si="23"/>
        <v>0.61313682015311599</v>
      </c>
      <c r="AC53" s="1">
        <f t="shared" si="24"/>
        <v>0.6131227770569313</v>
      </c>
      <c r="AD53" s="24">
        <f t="shared" si="25"/>
        <v>122.62455541138625</v>
      </c>
      <c r="AE53" s="2">
        <v>7.7999999999999199</v>
      </c>
      <c r="AF53" s="1">
        <v>1.5848931924614005E-8</v>
      </c>
      <c r="AG53" s="1">
        <v>6.372669179248797E-7</v>
      </c>
      <c r="AH53" s="1">
        <v>0.99841761471919799</v>
      </c>
      <c r="AI53" s="1">
        <v>0.99841947700882516</v>
      </c>
      <c r="AJ53" s="44">
        <v>199.68389540176503</v>
      </c>
    </row>
    <row r="54" spans="1:36" ht="15" customHeight="1" x14ac:dyDescent="0.3">
      <c r="A54" s="2">
        <v>5.3</v>
      </c>
      <c r="B54" s="1">
        <f t="shared" si="14"/>
        <v>5.011872336272719E-6</v>
      </c>
      <c r="C54" s="1">
        <f t="shared" si="15"/>
        <v>2.0152149381185696E-9</v>
      </c>
      <c r="D54" s="1">
        <f t="shared" si="16"/>
        <v>0.9729105366429498</v>
      </c>
      <c r="E54" s="1">
        <f t="shared" si="17"/>
        <v>0.97280304484346991</v>
      </c>
      <c r="F54" s="24">
        <f t="shared" si="26"/>
        <v>486.40152242173491</v>
      </c>
      <c r="G54" s="2">
        <v>7.4</v>
      </c>
      <c r="H54" s="1">
        <v>3.981071705534957E-8</v>
      </c>
      <c r="I54" s="1">
        <v>2.5370052958246857E-7</v>
      </c>
      <c r="J54" s="1">
        <v>0.99977887825533251</v>
      </c>
      <c r="K54" s="1">
        <v>0.99978358290541991</v>
      </c>
      <c r="L54" s="44">
        <v>499.89179145270992</v>
      </c>
      <c r="M54" s="2">
        <v>5.3</v>
      </c>
      <c r="N54" s="1">
        <f t="shared" si="18"/>
        <v>5.011872336272719E-6</v>
      </c>
      <c r="O54" s="1">
        <f t="shared" si="4"/>
        <v>2.0152149381185696E-9</v>
      </c>
      <c r="P54" s="1">
        <f t="shared" si="19"/>
        <v>0.99922551761936318</v>
      </c>
      <c r="Q54" s="1">
        <f t="shared" si="20"/>
        <v>0.99930064795791407</v>
      </c>
      <c r="R54" s="24">
        <f t="shared" si="7"/>
        <v>24.982516198947852</v>
      </c>
      <c r="S54" s="2">
        <v>6.7</v>
      </c>
      <c r="T54" s="1">
        <v>1.9952623149688761E-7</v>
      </c>
      <c r="U54" s="1">
        <v>5.0619910596354589E-8</v>
      </c>
      <c r="V54" s="1">
        <v>0.98090261436806081</v>
      </c>
      <c r="W54" s="1">
        <v>0.98090483374591952</v>
      </c>
      <c r="X54" s="44">
        <v>24.522620843647989</v>
      </c>
      <c r="Y54" s="2">
        <v>5.2999999999999501</v>
      </c>
      <c r="Z54" s="1">
        <f t="shared" si="21"/>
        <v>5.0118723362732967E-6</v>
      </c>
      <c r="AA54" s="1">
        <f t="shared" si="22"/>
        <v>2.0152149381183376E-9</v>
      </c>
      <c r="AB54" s="1">
        <f t="shared" si="23"/>
        <v>0.66613942458309661</v>
      </c>
      <c r="AC54" s="1">
        <f t="shared" si="24"/>
        <v>0.66612774031636812</v>
      </c>
      <c r="AD54" s="24">
        <f t="shared" si="25"/>
        <v>133.22554806327364</v>
      </c>
      <c r="AE54" s="2">
        <v>7.8999999999999204</v>
      </c>
      <c r="AF54" s="1">
        <v>1.2589254117943964E-8</v>
      </c>
      <c r="AG54" s="1">
        <v>8.0227151707137824E-7</v>
      </c>
      <c r="AH54" s="1">
        <v>0.99874265748864455</v>
      </c>
      <c r="AI54" s="1">
        <v>0.99874502455336966</v>
      </c>
      <c r="AJ54" s="44">
        <v>199.74900491067393</v>
      </c>
    </row>
    <row r="55" spans="1:36" ht="15" customHeight="1" x14ac:dyDescent="0.3">
      <c r="A55" s="2">
        <v>5.4</v>
      </c>
      <c r="B55" s="1">
        <f t="shared" si="14"/>
        <v>3.9810717055349657E-6</v>
      </c>
      <c r="C55" s="1">
        <f t="shared" si="15"/>
        <v>2.53700529582468E-9</v>
      </c>
      <c r="D55" s="1">
        <f t="shared" si="16"/>
        <v>0.97836151475458977</v>
      </c>
      <c r="E55" s="1">
        <f t="shared" si="17"/>
        <v>0.97827571560757021</v>
      </c>
      <c r="F55" s="24">
        <f t="shared" si="26"/>
        <v>489.1378578037851</v>
      </c>
      <c r="G55" s="2">
        <v>7.5</v>
      </c>
      <c r="H55" s="1">
        <v>3.1622776601683699E-8</v>
      </c>
      <c r="I55" s="1">
        <v>3.1939004367700723E-7</v>
      </c>
      <c r="J55" s="1">
        <v>0.99982434876654458</v>
      </c>
      <c r="K55" s="1">
        <v>0.99983067867191755</v>
      </c>
      <c r="L55" s="44">
        <v>499.91533933595872</v>
      </c>
      <c r="M55" s="2">
        <v>5.4</v>
      </c>
      <c r="N55" s="1">
        <f t="shared" si="18"/>
        <v>3.9810717055349657E-6</v>
      </c>
      <c r="O55" s="1">
        <f t="shared" si="4"/>
        <v>2.53700529582468E-9</v>
      </c>
      <c r="P55" s="1">
        <f t="shared" si="19"/>
        <v>0.99902517993378681</v>
      </c>
      <c r="Q55" s="1">
        <f t="shared" si="20"/>
        <v>0.9990848397493064</v>
      </c>
      <c r="R55" s="24">
        <f t="shared" si="7"/>
        <v>24.977120993732658</v>
      </c>
      <c r="S55" s="2">
        <v>6.8</v>
      </c>
      <c r="T55" s="1">
        <v>1.5848931924611122E-7</v>
      </c>
      <c r="U55" s="1">
        <v>6.3726691792499566E-8</v>
      </c>
      <c r="V55" s="1">
        <v>0.97607611471970646</v>
      </c>
      <c r="W55" s="1">
        <v>0.9760775248243353</v>
      </c>
      <c r="X55" s="44">
        <v>24.401938120608381</v>
      </c>
      <c r="Y55" s="2">
        <v>5.3999999999999497</v>
      </c>
      <c r="Z55" s="1">
        <f t="shared" si="21"/>
        <v>3.9810717055354248E-6</v>
      </c>
      <c r="AA55" s="1">
        <f t="shared" si="22"/>
        <v>2.5370052958243876E-9</v>
      </c>
      <c r="AB55" s="1">
        <f t="shared" si="23"/>
        <v>0.71525275104917552</v>
      </c>
      <c r="AC55" s="1">
        <f t="shared" si="24"/>
        <v>0.71524308127563929</v>
      </c>
      <c r="AD55" s="24">
        <f t="shared" si="25"/>
        <v>143.04861625512785</v>
      </c>
      <c r="AE55" s="2">
        <v>7.9999999999999201</v>
      </c>
      <c r="AF55" s="1">
        <v>1.000000000000183E-8</v>
      </c>
      <c r="AG55" s="1">
        <v>1.0099999999998152E-6</v>
      </c>
      <c r="AH55" s="1">
        <v>0.99900099900099881</v>
      </c>
      <c r="AI55" s="1">
        <v>0.99900399700899278</v>
      </c>
      <c r="AJ55" s="44">
        <v>199.80079940179854</v>
      </c>
    </row>
    <row r="56" spans="1:36" ht="15" customHeight="1" x14ac:dyDescent="0.3">
      <c r="A56" s="2">
        <v>5.5</v>
      </c>
      <c r="B56" s="1">
        <f t="shared" si="14"/>
        <v>3.1622776601683767E-6</v>
      </c>
      <c r="C56" s="1">
        <f t="shared" si="15"/>
        <v>3.1939004367700655E-9</v>
      </c>
      <c r="D56" s="1">
        <f t="shared" si="16"/>
        <v>0.98273510408057096</v>
      </c>
      <c r="E56" s="1">
        <f t="shared" si="17"/>
        <v>0.98266669938482643</v>
      </c>
      <c r="F56" s="24">
        <f t="shared" si="26"/>
        <v>491.33334969241315</v>
      </c>
      <c r="G56" s="2">
        <v>7.6</v>
      </c>
      <c r="H56" s="1">
        <v>2.5118864315095751E-8</v>
      </c>
      <c r="I56" s="1">
        <v>4.02088242259033E-7</v>
      </c>
      <c r="J56" s="1">
        <v>0.99986047022507984</v>
      </c>
      <c r="K56" s="1">
        <v>0.99986876256194479</v>
      </c>
      <c r="L56" s="44">
        <v>499.93438128097239</v>
      </c>
      <c r="M56" s="2">
        <v>5.5</v>
      </c>
      <c r="N56" s="1">
        <f t="shared" si="18"/>
        <v>3.1622776601683767E-6</v>
      </c>
      <c r="O56" s="1">
        <f t="shared" si="4"/>
        <v>3.1939004367700655E-9</v>
      </c>
      <c r="P56" s="1">
        <f t="shared" si="19"/>
        <v>0.99877308392731168</v>
      </c>
      <c r="Q56" s="1">
        <f t="shared" si="20"/>
        <v>0.99882045155224597</v>
      </c>
      <c r="R56" s="24">
        <f t="shared" si="7"/>
        <v>24.970511288806147</v>
      </c>
      <c r="S56" s="2">
        <v>6.9</v>
      </c>
      <c r="T56" s="1">
        <v>1.2589254117941651E-7</v>
      </c>
      <c r="U56" s="1">
        <v>8.0227151707152563E-8</v>
      </c>
      <c r="V56" s="1">
        <v>0.97006703269308625</v>
      </c>
      <c r="W56" s="1">
        <v>0.9700677108395801</v>
      </c>
      <c r="X56" s="44">
        <v>24.251692770989504</v>
      </c>
      <c r="Y56" s="2">
        <v>5.4999999999999396</v>
      </c>
      <c r="Z56" s="1">
        <f t="shared" si="21"/>
        <v>3.162277660168815E-6</v>
      </c>
      <c r="AA56" s="1">
        <f t="shared" si="22"/>
        <v>3.1939004367696229E-9</v>
      </c>
      <c r="AB56" s="1">
        <f t="shared" si="23"/>
        <v>0.75974692664793275</v>
      </c>
      <c r="AC56" s="1">
        <f t="shared" si="24"/>
        <v>0.75973896740610602</v>
      </c>
      <c r="AD56" s="24">
        <f t="shared" si="25"/>
        <v>151.9477934812212</v>
      </c>
      <c r="AE56" s="2">
        <v>8.0999999999999197</v>
      </c>
      <c r="AF56" s="1">
        <v>7.9432823472442761E-9</v>
      </c>
      <c r="AG56" s="1">
        <v>1.271514665911875E-6</v>
      </c>
      <c r="AH56" s="1">
        <v>0.99920630222183049</v>
      </c>
      <c r="AI56" s="1">
        <v>0.9992100909397682</v>
      </c>
      <c r="AJ56" s="44">
        <v>199.84201818795364</v>
      </c>
    </row>
    <row r="57" spans="1:36" ht="15" customHeight="1" x14ac:dyDescent="0.3">
      <c r="A57" s="2">
        <v>5.6</v>
      </c>
      <c r="B57" s="1">
        <f t="shared" si="14"/>
        <v>2.5118864315095806E-6</v>
      </c>
      <c r="C57" s="1">
        <f t="shared" si="15"/>
        <v>4.0208824225903214E-9</v>
      </c>
      <c r="D57" s="1">
        <f t="shared" si="16"/>
        <v>0.98623713512241729</v>
      </c>
      <c r="E57" s="1">
        <f t="shared" si="17"/>
        <v>0.98618265512120151</v>
      </c>
      <c r="F57" s="24">
        <f t="shared" si="26"/>
        <v>493.09132756060069</v>
      </c>
      <c r="G57" s="2">
        <v>7.7</v>
      </c>
      <c r="H57" s="1">
        <v>1.9952623149688773E-8</v>
      </c>
      <c r="I57" s="1">
        <v>5.0619910596354556E-7</v>
      </c>
      <c r="J57" s="1">
        <v>0.99988916437950937</v>
      </c>
      <c r="K57" s="1">
        <v>0.99989986082828475</v>
      </c>
      <c r="L57" s="44">
        <v>499.94993041414239</v>
      </c>
      <c r="M57" s="2">
        <v>5.6</v>
      </c>
      <c r="N57" s="1">
        <f t="shared" si="18"/>
        <v>2.5118864315095806E-6</v>
      </c>
      <c r="O57" s="1">
        <f t="shared" si="4"/>
        <v>4.0208824225903214E-9</v>
      </c>
      <c r="P57" s="1">
        <f t="shared" si="19"/>
        <v>0.99845589470893581</v>
      </c>
      <c r="Q57" s="1">
        <f t="shared" si="20"/>
        <v>0.99849349380159713</v>
      </c>
      <c r="R57" s="24">
        <f t="shared" si="7"/>
        <v>24.962337345039927</v>
      </c>
      <c r="S57" s="2">
        <v>7</v>
      </c>
      <c r="T57" s="1">
        <v>9.9999999999999995E-8</v>
      </c>
      <c r="U57" s="1">
        <v>1.0099999999999999E-7</v>
      </c>
      <c r="V57" s="1">
        <v>0.96260644205849688</v>
      </c>
      <c r="W57" s="1">
        <v>0.96260642724546475</v>
      </c>
      <c r="X57" s="44">
        <v>24.065160681136621</v>
      </c>
      <c r="Y57" s="2">
        <v>5.5999999999999401</v>
      </c>
      <c r="Z57" s="1">
        <f t="shared" si="21"/>
        <v>2.5118864315099241E-6</v>
      </c>
      <c r="AA57" s="1">
        <f t="shared" si="22"/>
        <v>4.0208824225897713E-9</v>
      </c>
      <c r="AB57" s="1">
        <f t="shared" si="23"/>
        <v>0.79923999108687627</v>
      </c>
      <c r="AC57" s="1">
        <f t="shared" si="24"/>
        <v>0.79923347448113446</v>
      </c>
      <c r="AD57" s="24">
        <f t="shared" si="25"/>
        <v>159.84669489622689</v>
      </c>
      <c r="AE57" s="2">
        <v>8.1999999999999194</v>
      </c>
      <c r="AF57" s="1">
        <v>6.3095734448030993E-9</v>
      </c>
      <c r="AG57" s="1">
        <v>1.6007421243854285E-6</v>
      </c>
      <c r="AH57" s="1">
        <v>0.99936944051165999</v>
      </c>
      <c r="AI57" s="1">
        <v>0.99937422181379065</v>
      </c>
      <c r="AJ57" s="44">
        <v>199.87484436275813</v>
      </c>
    </row>
    <row r="58" spans="1:36" ht="15" customHeight="1" x14ac:dyDescent="0.3">
      <c r="A58" s="2">
        <v>5.7</v>
      </c>
      <c r="B58" s="1">
        <f t="shared" si="14"/>
        <v>1.9952623149688749E-6</v>
      </c>
      <c r="C58" s="1">
        <f t="shared" si="15"/>
        <v>5.0619910596354619E-9</v>
      </c>
      <c r="D58" s="1">
        <f t="shared" si="16"/>
        <v>0.98903673486007682</v>
      </c>
      <c r="E58" s="1">
        <f t="shared" si="17"/>
        <v>0.98899338856018382</v>
      </c>
      <c r="F58" s="24">
        <f t="shared" si="26"/>
        <v>494.49669428009184</v>
      </c>
      <c r="G58" s="2">
        <v>7.8</v>
      </c>
      <c r="H58" s="1">
        <v>1.5848931924611133E-8</v>
      </c>
      <c r="I58" s="1">
        <v>6.3726691792499521E-7</v>
      </c>
      <c r="J58" s="1">
        <v>0.99991195813024991</v>
      </c>
      <c r="K58" s="1">
        <v>0.99992562840162502</v>
      </c>
      <c r="L58" s="44">
        <v>499.96281420081249</v>
      </c>
      <c r="M58" s="2">
        <v>5.7</v>
      </c>
      <c r="N58" s="1">
        <f t="shared" si="18"/>
        <v>1.9952623149688749E-6</v>
      </c>
      <c r="O58" s="1">
        <f t="shared" si="4"/>
        <v>5.0619910596354619E-9</v>
      </c>
      <c r="P58" s="1">
        <f t="shared" si="19"/>
        <v>0.99805686349230538</v>
      </c>
      <c r="Q58" s="1">
        <f t="shared" si="20"/>
        <v>0.99808669745788736</v>
      </c>
      <c r="R58" s="24">
        <f t="shared" si="7"/>
        <v>24.952167436447183</v>
      </c>
      <c r="S58" s="2">
        <v>7.1</v>
      </c>
      <c r="T58" s="1">
        <v>7.943282347242818E-8</v>
      </c>
      <c r="U58" s="1">
        <v>1.2715146659121083E-7</v>
      </c>
      <c r="V58" s="1">
        <v>0.95337572256294845</v>
      </c>
      <c r="W58" s="1">
        <v>0.95337501790770607</v>
      </c>
      <c r="X58" s="44">
        <v>23.834375447692651</v>
      </c>
      <c r="Y58" s="2">
        <v>5.6999999999999398</v>
      </c>
      <c r="Z58" s="1">
        <f t="shared" si="21"/>
        <v>1.9952623149691548E-6</v>
      </c>
      <c r="AA58" s="1">
        <f t="shared" si="22"/>
        <v>5.0619910596347513E-9</v>
      </c>
      <c r="AB58" s="1">
        <f t="shared" si="23"/>
        <v>0.83366246918341902</v>
      </c>
      <c r="AC58" s="1">
        <f t="shared" si="24"/>
        <v>0.83365716069359275</v>
      </c>
      <c r="AD58" s="24">
        <f t="shared" si="25"/>
        <v>166.73143213871856</v>
      </c>
      <c r="AE58" s="2">
        <v>8.2999999999999208</v>
      </c>
      <c r="AF58" s="1">
        <v>5.0118723362736362E-9</v>
      </c>
      <c r="AG58" s="1">
        <v>2.0152149381182009E-6</v>
      </c>
      <c r="AH58" s="1">
        <v>0.9994990638291863</v>
      </c>
      <c r="AI58" s="1">
        <v>0.99950509244865426</v>
      </c>
      <c r="AJ58" s="44">
        <v>199.90101848973086</v>
      </c>
    </row>
    <row r="59" spans="1:36" ht="15" customHeight="1" x14ac:dyDescent="0.3">
      <c r="A59" s="2">
        <v>5.8</v>
      </c>
      <c r="B59" s="1">
        <f t="shared" si="14"/>
        <v>1.5848931924611111E-6</v>
      </c>
      <c r="C59" s="1">
        <f t="shared" si="15"/>
        <v>6.3726691792499607E-9</v>
      </c>
      <c r="D59" s="1">
        <f t="shared" si="16"/>
        <v>0.99127188851122494</v>
      </c>
      <c r="E59" s="1">
        <f t="shared" si="17"/>
        <v>0.99123743769740136</v>
      </c>
      <c r="F59" s="24">
        <f t="shared" si="26"/>
        <v>495.61871884870061</v>
      </c>
      <c r="G59" s="2">
        <v>7.9</v>
      </c>
      <c r="H59" s="1">
        <v>1.2589254117941638E-8</v>
      </c>
      <c r="I59" s="1">
        <v>8.0227151707152647E-7</v>
      </c>
      <c r="J59" s="1">
        <v>0.99993006459064837</v>
      </c>
      <c r="K59" s="1">
        <v>0.99994743677026832</v>
      </c>
      <c r="L59" s="44">
        <v>499.97371838513413</v>
      </c>
      <c r="M59" s="2">
        <v>5.8</v>
      </c>
      <c r="N59" s="1">
        <f t="shared" si="18"/>
        <v>1.5848931924611111E-6</v>
      </c>
      <c r="O59" s="1">
        <f t="shared" si="4"/>
        <v>6.3726691792499607E-9</v>
      </c>
      <c r="P59" s="1">
        <f t="shared" si="19"/>
        <v>0.99755496623540929</v>
      </c>
      <c r="Q59" s="1">
        <f t="shared" si="20"/>
        <v>0.99757862493230731</v>
      </c>
      <c r="R59" s="24">
        <f t="shared" si="7"/>
        <v>24.939465623307683</v>
      </c>
      <c r="S59" s="2">
        <v>7.2</v>
      </c>
      <c r="T59" s="1">
        <v>6.3095734448019177E-8</v>
      </c>
      <c r="U59" s="1">
        <v>1.6007421243857284E-7</v>
      </c>
      <c r="V59" s="1">
        <v>0.94200365638098393</v>
      </c>
      <c r="W59" s="1">
        <v>0.9420022298264914</v>
      </c>
      <c r="X59" s="44">
        <v>23.550055745662284</v>
      </c>
      <c r="Y59" s="2">
        <v>5.7999999999999403</v>
      </c>
      <c r="Z59" s="1">
        <f t="shared" si="21"/>
        <v>1.584893192461328E-6</v>
      </c>
      <c r="AA59" s="1">
        <f t="shared" si="22"/>
        <v>6.3726691792490889E-9</v>
      </c>
      <c r="AB59" s="1">
        <f t="shared" si="23"/>
        <v>0.86319311139677402</v>
      </c>
      <c r="AC59" s="1">
        <f t="shared" si="24"/>
        <v>0.86318880775375373</v>
      </c>
      <c r="AD59" s="24">
        <f t="shared" si="25"/>
        <v>172.63776155075075</v>
      </c>
      <c r="AE59" s="2">
        <v>8.3999999999999204</v>
      </c>
      <c r="AF59" s="1">
        <v>3.9810717055356878E-9</v>
      </c>
      <c r="AG59" s="1">
        <v>2.5370052958242201E-6</v>
      </c>
      <c r="AH59" s="1">
        <v>0.99960205125569512</v>
      </c>
      <c r="AI59" s="1">
        <v>0.99960964835082711</v>
      </c>
      <c r="AJ59" s="44">
        <v>199.92192967016541</v>
      </c>
    </row>
    <row r="60" spans="1:36" ht="15" customHeight="1" x14ac:dyDescent="0.3">
      <c r="A60" s="2">
        <v>5.9</v>
      </c>
      <c r="B60" s="1">
        <f t="shared" si="14"/>
        <v>1.2589254117941642E-6</v>
      </c>
      <c r="C60" s="1">
        <f t="shared" si="15"/>
        <v>8.0227151707152622E-9</v>
      </c>
      <c r="D60" s="1">
        <f t="shared" si="16"/>
        <v>0.99305454664406689</v>
      </c>
      <c r="E60" s="1">
        <f t="shared" si="17"/>
        <v>0.99302720123059673</v>
      </c>
      <c r="F60" s="24">
        <f t="shared" si="26"/>
        <v>496.51360061529834</v>
      </c>
      <c r="G60" s="2">
        <v>8</v>
      </c>
      <c r="H60" s="1">
        <v>1E-8</v>
      </c>
      <c r="I60" s="1">
        <v>1.0099999999999999E-6</v>
      </c>
      <c r="J60" s="1">
        <v>0.99994444753069278</v>
      </c>
      <c r="K60" s="1">
        <v>0.99996644685962999</v>
      </c>
      <c r="L60" s="44">
        <v>499.98322342981498</v>
      </c>
      <c r="M60" s="2">
        <v>5.9</v>
      </c>
      <c r="N60" s="1">
        <f t="shared" si="18"/>
        <v>1.2589254117941642E-6</v>
      </c>
      <c r="O60" s="1">
        <f t="shared" si="4"/>
        <v>8.0227151707152622E-9</v>
      </c>
      <c r="P60" s="1">
        <f t="shared" si="19"/>
        <v>0.99692383232552106</v>
      </c>
      <c r="Q60" s="1">
        <f t="shared" si="20"/>
        <v>0.99694257674327547</v>
      </c>
      <c r="R60" s="24">
        <f t="shared" si="7"/>
        <v>24.923564418581886</v>
      </c>
      <c r="S60" s="2">
        <v>7.3</v>
      </c>
      <c r="T60" s="1">
        <v>5.0118723362727164E-8</v>
      </c>
      <c r="U60" s="1">
        <v>2.0152149381185708E-7</v>
      </c>
      <c r="V60" s="1">
        <v>0.9280671255755174</v>
      </c>
      <c r="W60" s="1">
        <v>0.92806490898982097</v>
      </c>
      <c r="X60" s="44">
        <v>23.201622724745523</v>
      </c>
      <c r="Y60" s="2">
        <v>5.89999999999994</v>
      </c>
      <c r="Z60" s="1">
        <f t="shared" si="21"/>
        <v>1.2589254117943389E-6</v>
      </c>
      <c r="AA60" s="1">
        <f t="shared" si="22"/>
        <v>8.0227151707141488E-9</v>
      </c>
      <c r="AB60" s="1">
        <f t="shared" si="23"/>
        <v>0.88818423022186943</v>
      </c>
      <c r="AC60" s="1">
        <f t="shared" si="24"/>
        <v>0.888180757263764</v>
      </c>
      <c r="AD60" s="24">
        <f t="shared" si="25"/>
        <v>177.63615145275281</v>
      </c>
      <c r="AE60" s="2">
        <v>8.4999999999999094</v>
      </c>
      <c r="AF60" s="1">
        <v>3.1622776601690293E-9</v>
      </c>
      <c r="AG60" s="1">
        <v>3.1939004367694065E-6</v>
      </c>
      <c r="AH60" s="1">
        <v>0.99968387220237032</v>
      </c>
      <c r="AI60" s="1">
        <v>0.99969344246055802</v>
      </c>
      <c r="AJ60" s="44">
        <v>199.93868849211159</v>
      </c>
    </row>
    <row r="61" spans="1:36" ht="15" customHeight="1" x14ac:dyDescent="0.3">
      <c r="A61" s="2">
        <v>6</v>
      </c>
      <c r="B61" s="1">
        <f t="shared" si="14"/>
        <v>9.9999999999999995E-7</v>
      </c>
      <c r="C61" s="1">
        <f t="shared" si="15"/>
        <v>1.0099999999999999E-8</v>
      </c>
      <c r="D61" s="1">
        <f t="shared" si="16"/>
        <v>0.99447513812154698</v>
      </c>
      <c r="E61" s="1">
        <f t="shared" si="17"/>
        <v>0.99445347013174523</v>
      </c>
      <c r="F61" s="24">
        <f t="shared" si="26"/>
        <v>497.22673506587262</v>
      </c>
      <c r="G61" s="2">
        <v>8.1</v>
      </c>
      <c r="H61" s="1">
        <v>7.9432823472428087E-9</v>
      </c>
      <c r="I61" s="1">
        <v>1.2715146659121098E-6</v>
      </c>
      <c r="J61" s="1">
        <v>0.99995587260093965</v>
      </c>
      <c r="K61" s="1">
        <v>0.99998367075871486</v>
      </c>
      <c r="L61" s="44">
        <v>499.99183537935738</v>
      </c>
      <c r="M61" s="2">
        <v>6</v>
      </c>
      <c r="N61" s="1">
        <f t="shared" si="18"/>
        <v>9.9999999999999995E-7</v>
      </c>
      <c r="O61" s="1">
        <f t="shared" si="4"/>
        <v>1.0099999999999999E-8</v>
      </c>
      <c r="P61" s="1">
        <f t="shared" si="19"/>
        <v>0.99613041645913958</v>
      </c>
      <c r="Q61" s="1">
        <f t="shared" si="20"/>
        <v>0.99614524588003406</v>
      </c>
      <c r="R61" s="24">
        <f t="shared" si="7"/>
        <v>24.903631147000851</v>
      </c>
      <c r="S61" s="2">
        <v>7.4</v>
      </c>
      <c r="T61" s="1">
        <v>3.981071705534957E-8</v>
      </c>
      <c r="U61" s="1">
        <v>2.5370052958246857E-7</v>
      </c>
      <c r="V61" s="1">
        <v>0.91109770385766864</v>
      </c>
      <c r="W61" s="1">
        <v>0.91109459059028752</v>
      </c>
      <c r="X61" s="44">
        <v>22.777364764757188</v>
      </c>
      <c r="Y61" s="2">
        <v>5.9999999999999396</v>
      </c>
      <c r="Z61" s="1">
        <f t="shared" si="21"/>
        <v>1.0000000000001372E-6</v>
      </c>
      <c r="AA61" s="1">
        <f t="shared" si="22"/>
        <v>1.0099999999998613E-8</v>
      </c>
      <c r="AB61" s="1">
        <f t="shared" si="23"/>
        <v>0.90909090909089774</v>
      </c>
      <c r="AC61" s="1">
        <f t="shared" si="24"/>
        <v>0.90908811937823908</v>
      </c>
      <c r="AD61" s="24">
        <f t="shared" si="25"/>
        <v>181.81762387564783</v>
      </c>
      <c r="AE61" s="2">
        <v>8.5999999999999108</v>
      </c>
      <c r="AF61" s="1">
        <v>2.5118864315100899E-9</v>
      </c>
      <c r="AG61" s="1">
        <v>4.020882422589506E-6</v>
      </c>
      <c r="AH61" s="1">
        <v>0.99974887443673854</v>
      </c>
      <c r="AI61" s="1">
        <v>0.99976092762698432</v>
      </c>
      <c r="AJ61" s="44">
        <v>199.95218552539686</v>
      </c>
    </row>
    <row r="62" spans="1:36" ht="15" customHeight="1" x14ac:dyDescent="0.3">
      <c r="A62" s="2">
        <v>6.1</v>
      </c>
      <c r="B62" s="1">
        <f t="shared" si="14"/>
        <v>7.9432823472428114E-7</v>
      </c>
      <c r="C62" s="1">
        <f t="shared" si="15"/>
        <v>1.2715146659121094E-8</v>
      </c>
      <c r="D62" s="1">
        <f t="shared" si="16"/>
        <v>0.99560645379487223</v>
      </c>
      <c r="E62" s="1">
        <f t="shared" si="17"/>
        <v>0.99558932725572569</v>
      </c>
      <c r="F62" s="24">
        <f t="shared" si="26"/>
        <v>497.79466362786286</v>
      </c>
      <c r="G62" s="2">
        <v>8.1999999999999993</v>
      </c>
      <c r="H62" s="1">
        <v>6.3095734448019329E-9</v>
      </c>
      <c r="I62" s="1">
        <v>1.6007421243857243E-6</v>
      </c>
      <c r="J62" s="1">
        <v>0.99996494804287828</v>
      </c>
      <c r="K62" s="1">
        <v>1.000000025559814</v>
      </c>
      <c r="L62" s="44">
        <v>500.00001277990702</v>
      </c>
      <c r="M62" s="2">
        <v>6.1</v>
      </c>
      <c r="N62" s="1">
        <f t="shared" si="18"/>
        <v>7.9432823472428114E-7</v>
      </c>
      <c r="O62" s="1">
        <f t="shared" si="4"/>
        <v>1.2715146659121094E-8</v>
      </c>
      <c r="P62" s="1">
        <f t="shared" si="19"/>
        <v>0.99513335899805999</v>
      </c>
      <c r="Q62" s="1">
        <f t="shared" si="20"/>
        <v>0.99514506422097426</v>
      </c>
      <c r="R62" s="24">
        <f t="shared" si="7"/>
        <v>24.878626605524357</v>
      </c>
      <c r="S62" s="2">
        <v>7.5</v>
      </c>
      <c r="T62" s="1">
        <v>3.1622776601683699E-8</v>
      </c>
      <c r="U62" s="1">
        <v>3.1939004367700723E-7</v>
      </c>
      <c r="V62" s="1">
        <v>0.89059699495490108</v>
      </c>
      <c r="W62" s="1">
        <v>0.89059283586489812</v>
      </c>
      <c r="X62" s="44">
        <v>22.264820896622453</v>
      </c>
      <c r="Y62" s="2">
        <v>6.0999999999999401</v>
      </c>
      <c r="Z62" s="1">
        <f t="shared" si="21"/>
        <v>7.9432823472438987E-7</v>
      </c>
      <c r="AA62" s="1">
        <f t="shared" si="22"/>
        <v>1.2715146659119353E-8</v>
      </c>
      <c r="AB62" s="1">
        <f t="shared" si="23"/>
        <v>0.92641244388241717</v>
      </c>
      <c r="AC62" s="1">
        <f t="shared" si="24"/>
        <v>0.92641021408063273</v>
      </c>
      <c r="AD62" s="24">
        <f t="shared" si="25"/>
        <v>185.28204281612653</v>
      </c>
      <c r="AE62" s="2">
        <v>8.6999999999999105</v>
      </c>
      <c r="AF62" s="1">
        <v>1.9952623149692864E-9</v>
      </c>
      <c r="AG62" s="1">
        <v>5.0619910596344174E-6</v>
      </c>
      <c r="AH62" s="1">
        <v>0.99980051357127842</v>
      </c>
      <c r="AI62" s="1">
        <v>0.99981569169347184</v>
      </c>
      <c r="AJ62" s="44">
        <v>199.96313833869436</v>
      </c>
    </row>
    <row r="63" spans="1:36" ht="15" customHeight="1" x14ac:dyDescent="0.3">
      <c r="A63" s="2">
        <v>6.2</v>
      </c>
      <c r="B63" s="1">
        <f t="shared" si="14"/>
        <v>6.3095734448019254E-7</v>
      </c>
      <c r="C63" s="1">
        <f t="shared" si="15"/>
        <v>1.6007421243857263E-8</v>
      </c>
      <c r="D63" s="1">
        <f t="shared" si="16"/>
        <v>0.99650692575759925</v>
      </c>
      <c r="E63" s="1">
        <f t="shared" si="17"/>
        <v>0.99649343998646422</v>
      </c>
      <c r="F63" s="24">
        <f t="shared" si="26"/>
        <v>498.24671999323215</v>
      </c>
      <c r="G63" s="2">
        <v>8.3000000000000007</v>
      </c>
      <c r="H63" s="1">
        <v>5.0118723362727114E-9</v>
      </c>
      <c r="I63" s="1">
        <v>2.0152149381185727E-6</v>
      </c>
      <c r="J63" s="1">
        <v>0.99997215704005049</v>
      </c>
      <c r="K63" s="1">
        <v>1.0000163821661274</v>
      </c>
      <c r="L63" s="44">
        <v>500.00819108306371</v>
      </c>
      <c r="M63" s="2">
        <v>6.2</v>
      </c>
      <c r="N63" s="1">
        <f t="shared" si="18"/>
        <v>6.3095734448019254E-7</v>
      </c>
      <c r="O63" s="1">
        <f t="shared" si="4"/>
        <v>1.6007421243857263E-8</v>
      </c>
      <c r="P63" s="1">
        <f t="shared" si="19"/>
        <v>0.99388097254087826</v>
      </c>
      <c r="Q63" s="1">
        <f t="shared" si="20"/>
        <v>0.99389017800355395</v>
      </c>
      <c r="R63" s="24">
        <f t="shared" si="7"/>
        <v>24.847254450088847</v>
      </c>
      <c r="S63" s="2">
        <v>7.6</v>
      </c>
      <c r="T63" s="1">
        <v>2.5118864315095751E-8</v>
      </c>
      <c r="U63" s="1">
        <v>4.02088242259033E-7</v>
      </c>
      <c r="V63" s="1">
        <v>0.8660638163132518</v>
      </c>
      <c r="W63" s="1">
        <v>0.86605841423196395</v>
      </c>
      <c r="X63" s="44">
        <v>21.651460355799099</v>
      </c>
      <c r="Y63" s="2">
        <v>6.1999999999999398</v>
      </c>
      <c r="Z63" s="1">
        <f t="shared" si="21"/>
        <v>6.3095734448027989E-7</v>
      </c>
      <c r="AA63" s="1">
        <f t="shared" si="22"/>
        <v>1.6007421243855046E-8</v>
      </c>
      <c r="AB63" s="1">
        <f t="shared" si="23"/>
        <v>0.94064905689722467</v>
      </c>
      <c r="AC63" s="1">
        <f t="shared" si="24"/>
        <v>0.94064728504535011</v>
      </c>
      <c r="AD63" s="24">
        <f t="shared" si="25"/>
        <v>188.12945700907002</v>
      </c>
      <c r="AE63" s="2">
        <v>8.7999999999999101</v>
      </c>
      <c r="AF63" s="1">
        <v>1.5848931924614381E-9</v>
      </c>
      <c r="AG63" s="1">
        <v>6.3726691792486458E-6</v>
      </c>
      <c r="AH63" s="1">
        <v>0.99984153579563773</v>
      </c>
      <c r="AI63" s="1">
        <v>0.99986064727283996</v>
      </c>
      <c r="AJ63" s="44">
        <v>199.97212945456801</v>
      </c>
    </row>
    <row r="64" spans="1:36" ht="15" customHeight="1" x14ac:dyDescent="0.3">
      <c r="A64" s="2">
        <v>6.3</v>
      </c>
      <c r="B64" s="1">
        <f t="shared" si="14"/>
        <v>5.0118723362727218E-7</v>
      </c>
      <c r="C64" s="1">
        <f t="shared" si="15"/>
        <v>2.0152149381185686E-8</v>
      </c>
      <c r="D64" s="1">
        <f t="shared" si="16"/>
        <v>0.99722335768917358</v>
      </c>
      <c r="E64" s="1">
        <f t="shared" si="17"/>
        <v>0.99721280173212323</v>
      </c>
      <c r="F64" s="24">
        <f t="shared" si="26"/>
        <v>498.60640086606156</v>
      </c>
      <c r="G64" s="2">
        <v>8.4</v>
      </c>
      <c r="H64" s="1">
        <v>3.9810717055349665E-9</v>
      </c>
      <c r="I64" s="1">
        <v>2.5370052958246796E-6</v>
      </c>
      <c r="J64" s="1">
        <v>0.99997788342412297</v>
      </c>
      <c r="K64" s="1">
        <v>1.0000336116598365</v>
      </c>
      <c r="L64" s="44">
        <v>500.01680582991821</v>
      </c>
      <c r="M64" s="2">
        <v>6.3</v>
      </c>
      <c r="N64" s="1">
        <f t="shared" si="18"/>
        <v>5.0118723362727218E-7</v>
      </c>
      <c r="O64" s="1">
        <f t="shared" si="4"/>
        <v>2.0152149381185686E-8</v>
      </c>
      <c r="P64" s="1">
        <f t="shared" si="19"/>
        <v>0.99230878657716681</v>
      </c>
      <c r="Q64" s="1">
        <f t="shared" si="20"/>
        <v>0.99231598362202322</v>
      </c>
      <c r="R64" s="24">
        <f t="shared" si="7"/>
        <v>24.80789959055058</v>
      </c>
      <c r="S64" s="2">
        <v>7.7</v>
      </c>
      <c r="T64" s="1">
        <v>1.9952623149688773E-8</v>
      </c>
      <c r="U64" s="1">
        <v>5.0619910596354556E-7</v>
      </c>
      <c r="V64" s="1">
        <v>0.83703584712528523</v>
      </c>
      <c r="W64" s="1">
        <v>0.83702894964854324</v>
      </c>
      <c r="X64" s="44">
        <v>20.925723741213584</v>
      </c>
      <c r="Y64" s="2">
        <v>6.2999999999999403</v>
      </c>
      <c r="Z64" s="1">
        <f t="shared" si="21"/>
        <v>5.0118723362734068E-7</v>
      </c>
      <c r="AA64" s="1">
        <f t="shared" si="22"/>
        <v>2.0152149381182933E-8</v>
      </c>
      <c r="AB64" s="1">
        <f t="shared" si="23"/>
        <v>0.95227327896578984</v>
      </c>
      <c r="AC64" s="1">
        <f t="shared" si="24"/>
        <v>0.95227188177833599</v>
      </c>
      <c r="AD64" s="24">
        <f t="shared" si="25"/>
        <v>190.45437635566719</v>
      </c>
      <c r="AE64" s="2">
        <v>8.8999999999999098</v>
      </c>
      <c r="AF64" s="1">
        <v>1.2589254117944264E-9</v>
      </c>
      <c r="AG64" s="1">
        <v>8.0227151707135914E-6</v>
      </c>
      <c r="AH64" s="1">
        <v>0.99987412330575753</v>
      </c>
      <c r="AI64" s="1">
        <v>0.99989818604110103</v>
      </c>
      <c r="AJ64" s="44">
        <v>199.9796372082202</v>
      </c>
    </row>
    <row r="65" spans="1:36" ht="15" customHeight="1" x14ac:dyDescent="0.3">
      <c r="A65" s="2">
        <v>6.4</v>
      </c>
      <c r="B65" s="1">
        <f t="shared" si="14"/>
        <v>3.9810717055349618E-7</v>
      </c>
      <c r="C65" s="1">
        <f t="shared" si="15"/>
        <v>2.5370052958246826E-8</v>
      </c>
      <c r="D65" s="1">
        <f t="shared" si="16"/>
        <v>0.99779317434757164</v>
      </c>
      <c r="E65" s="1">
        <f t="shared" si="17"/>
        <v>0.99778499064330861</v>
      </c>
      <c r="F65" s="24">
        <f t="shared" si="26"/>
        <v>498.89249532165428</v>
      </c>
      <c r="G65" s="2">
        <v>8.5</v>
      </c>
      <c r="H65" s="1">
        <v>3.1622776601683779E-9</v>
      </c>
      <c r="I65" s="1">
        <v>3.1939004367700643E-6</v>
      </c>
      <c r="J65" s="1">
        <v>0.9999824320994134</v>
      </c>
      <c r="K65" s="1">
        <v>1.0000526316975931</v>
      </c>
      <c r="L65" s="44">
        <v>500.02631584879651</v>
      </c>
      <c r="M65" s="2">
        <v>6.4</v>
      </c>
      <c r="N65" s="1">
        <f t="shared" si="18"/>
        <v>3.9810717055349618E-7</v>
      </c>
      <c r="O65" s="1">
        <f t="shared" ref="O65:O128" si="27">Kw/N65</f>
        <v>2.5370052958246826E-8</v>
      </c>
      <c r="P65" s="1">
        <f t="shared" si="19"/>
        <v>0.99033658019765247</v>
      </c>
      <c r="Q65" s="1">
        <f t="shared" si="20"/>
        <v>0.99034215325522656</v>
      </c>
      <c r="R65" s="24">
        <f t="shared" ref="R65:R128" si="28">(Q65*SAWB_Cb*SAWB_Vb)/SAWB_Ca</f>
        <v>24.758553831380663</v>
      </c>
      <c r="S65" s="2">
        <v>7.8</v>
      </c>
      <c r="T65" s="1">
        <v>1.5848931924611133E-8</v>
      </c>
      <c r="U65" s="1">
        <v>6.3726691792499521E-7</v>
      </c>
      <c r="V65" s="1">
        <v>0.80314662519905311</v>
      </c>
      <c r="W65" s="1">
        <v>0.80313791559746317</v>
      </c>
      <c r="X65" s="44">
        <v>20.078447889936584</v>
      </c>
      <c r="Y65" s="2">
        <v>6.39999999999994</v>
      </c>
      <c r="Z65" s="1">
        <f t="shared" si="21"/>
        <v>3.9810717055355203E-7</v>
      </c>
      <c r="AA65" s="1">
        <f t="shared" si="22"/>
        <v>2.5370052958243266E-8</v>
      </c>
      <c r="AB65" s="1">
        <f t="shared" si="23"/>
        <v>0.96171349611774026</v>
      </c>
      <c r="AC65" s="1">
        <f t="shared" si="24"/>
        <v>0.96171240644880196</v>
      </c>
      <c r="AD65" s="24">
        <f t="shared" si="25"/>
        <v>192.3424812897604</v>
      </c>
      <c r="AE65" s="2">
        <v>8.9999999999999094</v>
      </c>
      <c r="AF65" s="1">
        <v>1.0000000000002067E-9</v>
      </c>
      <c r="AG65" s="1">
        <v>1.0099999999997913E-5</v>
      </c>
      <c r="AH65" s="1">
        <v>0.99990000999900008</v>
      </c>
      <c r="AI65" s="1">
        <v>0.99993030559131246</v>
      </c>
      <c r="AJ65" s="44">
        <v>199.98606111826248</v>
      </c>
    </row>
    <row r="66" spans="1:36" ht="15" customHeight="1" x14ac:dyDescent="0.3">
      <c r="A66" s="2">
        <v>6.5</v>
      </c>
      <c r="B66" s="1">
        <f t="shared" si="14"/>
        <v>3.1622776601683734E-7</v>
      </c>
      <c r="C66" s="1">
        <f t="shared" si="15"/>
        <v>3.1939004367700689E-8</v>
      </c>
      <c r="D66" s="1">
        <f t="shared" si="16"/>
        <v>0.99824626008465978</v>
      </c>
      <c r="E66" s="1">
        <f t="shared" si="17"/>
        <v>0.9982400157387783</v>
      </c>
      <c r="F66" s="24">
        <f t="shared" si="26"/>
        <v>499.12000786938916</v>
      </c>
      <c r="G66" s="2">
        <v>8.6</v>
      </c>
      <c r="H66" s="1">
        <v>2.5118864315095812E-9</v>
      </c>
      <c r="I66" s="1">
        <v>4.02088242259032E-6</v>
      </c>
      <c r="J66" s="1">
        <v>0.99998604527011759</v>
      </c>
      <c r="K66" s="1">
        <v>1.0000744554057013</v>
      </c>
      <c r="L66" s="44">
        <v>500.03722770285066</v>
      </c>
      <c r="M66" s="2">
        <v>6.5</v>
      </c>
      <c r="N66" s="1">
        <f t="shared" si="18"/>
        <v>3.1622776601683734E-7</v>
      </c>
      <c r="O66" s="1">
        <f t="shared" si="27"/>
        <v>3.1939004367700689E-8</v>
      </c>
      <c r="P66" s="1">
        <f t="shared" si="19"/>
        <v>0.98786483869318475</v>
      </c>
      <c r="Q66" s="1">
        <f t="shared" si="20"/>
        <v>0.98786908578119659</v>
      </c>
      <c r="R66" s="24">
        <f t="shared" si="28"/>
        <v>24.69672714452992</v>
      </c>
      <c r="S66" s="2">
        <v>7.9</v>
      </c>
      <c r="T66" s="1">
        <v>1.2589254117941638E-8</v>
      </c>
      <c r="U66" s="1">
        <v>8.0227151707152647E-7</v>
      </c>
      <c r="V66" s="1">
        <v>0.76419532860737871</v>
      </c>
      <c r="W66" s="1">
        <v>0.76418441447036045</v>
      </c>
      <c r="X66" s="44">
        <v>19.104610361759011</v>
      </c>
      <c r="Y66" s="2">
        <v>6.4999999999999396</v>
      </c>
      <c r="Z66" s="1">
        <f t="shared" si="21"/>
        <v>3.1622776601688175E-7</v>
      </c>
      <c r="AA66" s="1">
        <f t="shared" si="22"/>
        <v>3.1939004367696202E-8</v>
      </c>
      <c r="AB66" s="1">
        <f t="shared" si="23"/>
        <v>0.96934656996828039</v>
      </c>
      <c r="AC66" s="1">
        <f t="shared" si="24"/>
        <v>0.96934573453132178</v>
      </c>
      <c r="AD66" s="24">
        <f t="shared" si="25"/>
        <v>193.86914690626435</v>
      </c>
      <c r="AE66" s="2">
        <v>9.0999999999999108</v>
      </c>
      <c r="AF66" s="1">
        <v>7.9432823472444358E-10</v>
      </c>
      <c r="AG66" s="1">
        <v>1.2715146659118494E-5</v>
      </c>
      <c r="AH66" s="1">
        <v>0.99992057348559993</v>
      </c>
      <c r="AI66" s="1">
        <v>0.99995871549278104</v>
      </c>
      <c r="AJ66" s="44">
        <v>199.99174309855621</v>
      </c>
    </row>
    <row r="67" spans="1:36" ht="15" customHeight="1" x14ac:dyDescent="0.3">
      <c r="A67" s="2">
        <v>6.6</v>
      </c>
      <c r="B67" s="1">
        <f t="shared" ref="B67:B130" si="29">10^(-A67)</f>
        <v>2.511886431509578E-7</v>
      </c>
      <c r="C67" s="1">
        <f t="shared" ref="C67:C130" si="30">Kw/B67</f>
        <v>4.0208824225903253E-8</v>
      </c>
      <c r="D67" s="1">
        <f t="shared" ref="D67:D130" si="31">WASB_Ka/(B67+WASB_Ka)</f>
        <v>0.99860645222346778</v>
      </c>
      <c r="E67" s="1">
        <f t="shared" ref="E67:E130" si="32">(D67-((B67-C67)/WASB_Ca)) / (1 + ((B67-C67)/WASB_Cb))</f>
        <v>0.99860181656722113</v>
      </c>
      <c r="F67" s="24">
        <f t="shared" si="26"/>
        <v>499.30090828361057</v>
      </c>
      <c r="G67" s="2">
        <v>8.6999999999999993</v>
      </c>
      <c r="H67" s="1">
        <v>1.9952623149688824E-9</v>
      </c>
      <c r="I67" s="1">
        <v>5.0619910596354431E-6</v>
      </c>
      <c r="J67" s="1">
        <v>0.99998891533223255</v>
      </c>
      <c r="K67" s="1">
        <v>1.000100245384598</v>
      </c>
      <c r="L67" s="44">
        <v>500.050122692299</v>
      </c>
      <c r="M67" s="2">
        <v>6.6</v>
      </c>
      <c r="N67" s="1">
        <f t="shared" ref="N67:N130" si="33">10^-M67</f>
        <v>2.511886431509578E-7</v>
      </c>
      <c r="O67" s="1">
        <f t="shared" si="27"/>
        <v>4.0208824225903253E-8</v>
      </c>
      <c r="P67" s="1">
        <f t="shared" ref="P67:P130" si="34">N67/(N67+(Kw/SAWB_Kb))</f>
        <v>0.98477058941059625</v>
      </c>
      <c r="Q67" s="1">
        <f t="shared" ref="Q67:Q130" si="35">(P67+((N67-O67)/SAWB_Cb))/(1-((N67-O67)/SAWB_Ca))</f>
        <v>0.98477373804571022</v>
      </c>
      <c r="R67" s="24">
        <f t="shared" si="28"/>
        <v>24.619343451142754</v>
      </c>
      <c r="S67" s="2">
        <v>8</v>
      </c>
      <c r="T67" s="1">
        <v>1E-8</v>
      </c>
      <c r="U67" s="1">
        <v>1.0099999999999999E-6</v>
      </c>
      <c r="V67" s="1">
        <v>0.72022160664819945</v>
      </c>
      <c r="W67" s="1">
        <v>0.72020800560817144</v>
      </c>
      <c r="X67" s="44">
        <v>18.005200140204288</v>
      </c>
      <c r="Y67" s="2">
        <v>6.5999999999999304</v>
      </c>
      <c r="Z67" s="1">
        <f t="shared" ref="Z67:Z130" si="36">10^(-Y67)</f>
        <v>2.5118864315099793E-7</v>
      </c>
      <c r="AA67" s="1">
        <f t="shared" ref="AA67:AA130" si="37">Kw/Z67</f>
        <v>4.0208824225896828E-8</v>
      </c>
      <c r="AB67" s="1">
        <f t="shared" ref="AB67:AB130" si="38">DEMO_Ka/(Z67+DEMO_Ka)</f>
        <v>0.97549663244966023</v>
      </c>
      <c r="AC67" s="1">
        <f t="shared" ref="AC67:AC130" si="39">(AB67-((Z67-AA67)/DEMO_Ca)) / (1 + ((Z67-AA67)/DEMO_Cb))</f>
        <v>0.97549600984989815</v>
      </c>
      <c r="AD67" s="24">
        <f t="shared" ref="AD67:AD130" si="40">(AC67*(DEMO_Ca * DEMO_Va))/DEMO_Cb</f>
        <v>195.09920196997962</v>
      </c>
      <c r="AE67" s="2">
        <v>9.1999999999999105</v>
      </c>
      <c r="AF67" s="1">
        <v>6.3095734448032267E-10</v>
      </c>
      <c r="AG67" s="1">
        <v>1.6007421243853961E-5</v>
      </c>
      <c r="AH67" s="1">
        <v>0.99993690824637249</v>
      </c>
      <c r="AI67" s="1">
        <v>0.99998492813472761</v>
      </c>
      <c r="AJ67" s="44">
        <v>199.99698562694553</v>
      </c>
    </row>
    <row r="68" spans="1:36" ht="15" customHeight="1" x14ac:dyDescent="0.3">
      <c r="A68" s="2">
        <v>6.7</v>
      </c>
      <c r="B68" s="1">
        <f t="shared" si="29"/>
        <v>1.9952623149688761E-7</v>
      </c>
      <c r="C68" s="1">
        <f t="shared" si="30"/>
        <v>5.0619910596354589E-8</v>
      </c>
      <c r="D68" s="1">
        <f t="shared" si="31"/>
        <v>0.99889274830145458</v>
      </c>
      <c r="E68" s="1">
        <f t="shared" si="32"/>
        <v>0.99888947566967679</v>
      </c>
      <c r="F68" s="24">
        <f t="shared" ref="F68:F131" si="41">E68*(WASB_Va * WASB_Ca)/WASB_Cb</f>
        <v>499.44473783483835</v>
      </c>
      <c r="G68" s="2">
        <v>8.8000000000000007</v>
      </c>
      <c r="H68" s="1">
        <v>1.584893192461106E-9</v>
      </c>
      <c r="I68" s="1">
        <v>6.3726691792499815E-6</v>
      </c>
      <c r="J68" s="1">
        <v>0.99999119511534629</v>
      </c>
      <c r="K68" s="1">
        <v>1.0001313757097539</v>
      </c>
      <c r="L68" s="44">
        <v>500.0656878548769</v>
      </c>
      <c r="M68" s="2">
        <v>6.7</v>
      </c>
      <c r="N68" s="1">
        <f t="shared" si="33"/>
        <v>1.9952623149688761E-7</v>
      </c>
      <c r="O68" s="1">
        <f t="shared" si="27"/>
        <v>5.0619910596354589E-8</v>
      </c>
      <c r="P68" s="1">
        <f t="shared" si="34"/>
        <v>0.98090261436806081</v>
      </c>
      <c r="Q68" s="1">
        <f t="shared" si="35"/>
        <v>0.98090483374591952</v>
      </c>
      <c r="R68" s="24">
        <f t="shared" si="28"/>
        <v>24.522620843647989</v>
      </c>
      <c r="S68" s="2">
        <v>8.1</v>
      </c>
      <c r="T68" s="1">
        <v>7.9432823472428087E-9</v>
      </c>
      <c r="U68" s="1">
        <v>1.2715146659121098E-6</v>
      </c>
      <c r="V68" s="1">
        <v>0.67157178116680405</v>
      </c>
      <c r="W68" s="1">
        <v>0.67155490266518081</v>
      </c>
      <c r="X68" s="44">
        <v>16.788872566629518</v>
      </c>
      <c r="Y68" s="2">
        <v>6.69999999999993</v>
      </c>
      <c r="Z68" s="1">
        <f t="shared" si="36"/>
        <v>1.9952623149691987E-7</v>
      </c>
      <c r="AA68" s="1">
        <f t="shared" si="37"/>
        <v>5.0619910596346403E-8</v>
      </c>
      <c r="AB68" s="1">
        <f t="shared" si="38"/>
        <v>0.98043769612741738</v>
      </c>
      <c r="AC68" s="1">
        <f t="shared" si="39"/>
        <v>0.98043725523448721</v>
      </c>
      <c r="AD68" s="24">
        <f t="shared" si="40"/>
        <v>196.08745104689746</v>
      </c>
      <c r="AE68" s="2">
        <v>9.2999999999999101</v>
      </c>
      <c r="AF68" s="1">
        <v>5.0118723362737555E-10</v>
      </c>
      <c r="AG68" s="1">
        <v>2.015214938118153E-5</v>
      </c>
      <c r="AH68" s="1">
        <v>0.99994988378839778</v>
      </c>
      <c r="AI68" s="1">
        <v>1.0000103391496815</v>
      </c>
      <c r="AJ68" s="44">
        <v>200.00206782993629</v>
      </c>
    </row>
    <row r="69" spans="1:36" ht="15" customHeight="1" x14ac:dyDescent="0.3">
      <c r="A69" s="2">
        <v>6.8</v>
      </c>
      <c r="B69" s="1">
        <f t="shared" si="29"/>
        <v>1.5848931924611122E-7</v>
      </c>
      <c r="C69" s="1">
        <f t="shared" si="30"/>
        <v>6.3726691792499566E-8</v>
      </c>
      <c r="D69" s="1">
        <f t="shared" si="31"/>
        <v>0.99912027837353101</v>
      </c>
      <c r="E69" s="1">
        <f t="shared" si="32"/>
        <v>0.99911819526696966</v>
      </c>
      <c r="F69" s="24">
        <f t="shared" si="41"/>
        <v>499.55909763348478</v>
      </c>
      <c r="G69" s="2">
        <v>8.9</v>
      </c>
      <c r="H69" s="1">
        <v>1.2589254117941623E-9</v>
      </c>
      <c r="I69" s="1">
        <v>8.0227151707152736E-6</v>
      </c>
      <c r="J69" s="1">
        <v>0.99999300601885055</v>
      </c>
      <c r="K69" s="1">
        <v>1.0001695052498261</v>
      </c>
      <c r="L69" s="44">
        <v>500.08475262491299</v>
      </c>
      <c r="M69" s="2">
        <v>6.8</v>
      </c>
      <c r="N69" s="1">
        <f t="shared" si="33"/>
        <v>1.5848931924611122E-7</v>
      </c>
      <c r="O69" s="1">
        <f t="shared" si="27"/>
        <v>6.3726691792499566E-8</v>
      </c>
      <c r="P69" s="1">
        <f t="shared" si="34"/>
        <v>0.97607611471970646</v>
      </c>
      <c r="Q69" s="1">
        <f t="shared" si="35"/>
        <v>0.9760775248243353</v>
      </c>
      <c r="R69" s="24">
        <f t="shared" si="28"/>
        <v>24.401938120608381</v>
      </c>
      <c r="S69" s="2">
        <v>8.1999999999999993</v>
      </c>
      <c r="T69" s="1">
        <v>6.3095734448019329E-9</v>
      </c>
      <c r="U69" s="1">
        <v>1.6007421243857243E-6</v>
      </c>
      <c r="V69" s="1">
        <v>0.61893825495898502</v>
      </c>
      <c r="W69" s="1">
        <v>0.61891737652341827</v>
      </c>
      <c r="X69" s="44">
        <v>15.472934413085456</v>
      </c>
      <c r="Y69" s="2">
        <v>6.7999999999999297</v>
      </c>
      <c r="Z69" s="1">
        <f t="shared" si="36"/>
        <v>1.5848931924613685E-7</v>
      </c>
      <c r="AA69" s="1">
        <f t="shared" si="37"/>
        <v>6.3726691792489256E-8</v>
      </c>
      <c r="AB69" s="1">
        <f t="shared" si="38"/>
        <v>0.98439833775816787</v>
      </c>
      <c r="AC69" s="1">
        <f t="shared" si="39"/>
        <v>0.98439805642724798</v>
      </c>
      <c r="AD69" s="24">
        <f t="shared" si="40"/>
        <v>196.87961128544958</v>
      </c>
      <c r="AE69" s="2">
        <v>9.3999999999999098</v>
      </c>
      <c r="AF69" s="1">
        <v>3.9810717055357971E-10</v>
      </c>
      <c r="AG69" s="1">
        <v>2.5370052958241504E-5</v>
      </c>
      <c r="AH69" s="1">
        <v>0.99996019086777466</v>
      </c>
      <c r="AI69" s="1">
        <v>1.0000363016742497</v>
      </c>
      <c r="AJ69" s="44">
        <v>200.00726033484995</v>
      </c>
    </row>
    <row r="70" spans="1:36" ht="15" customHeight="1" x14ac:dyDescent="0.3">
      <c r="A70" s="2">
        <v>6.9</v>
      </c>
      <c r="B70" s="1">
        <f t="shared" si="29"/>
        <v>1.2589254117941651E-7</v>
      </c>
      <c r="C70" s="1">
        <f t="shared" si="30"/>
        <v>8.0227151707152563E-8</v>
      </c>
      <c r="D70" s="1">
        <f t="shared" si="31"/>
        <v>0.9993010858161292</v>
      </c>
      <c r="E70" s="1">
        <f t="shared" si="32"/>
        <v>0.99930008181680163</v>
      </c>
      <c r="F70" s="24">
        <f t="shared" si="41"/>
        <v>499.6500409084008</v>
      </c>
      <c r="G70" s="2">
        <v>9</v>
      </c>
      <c r="H70" s="1">
        <v>1.0000000000000001E-9</v>
      </c>
      <c r="I70" s="1">
        <v>1.0099999999999998E-5</v>
      </c>
      <c r="J70" s="1">
        <v>0.9999944444753085</v>
      </c>
      <c r="K70" s="1">
        <v>1.0002166662375551</v>
      </c>
      <c r="L70" s="44">
        <v>500.10833311877752</v>
      </c>
      <c r="M70" s="2">
        <v>6.9</v>
      </c>
      <c r="N70" s="1">
        <f t="shared" si="33"/>
        <v>1.2589254117941651E-7</v>
      </c>
      <c r="O70" s="1">
        <f t="shared" si="27"/>
        <v>8.0227151707152563E-8</v>
      </c>
      <c r="P70" s="1">
        <f t="shared" si="34"/>
        <v>0.97006703269308625</v>
      </c>
      <c r="Q70" s="1">
        <f t="shared" si="35"/>
        <v>0.9700677108395801</v>
      </c>
      <c r="R70" s="24">
        <f t="shared" si="28"/>
        <v>24.251692770989504</v>
      </c>
      <c r="S70" s="2">
        <v>8.3000000000000007</v>
      </c>
      <c r="T70" s="1">
        <v>5.0118723362727114E-9</v>
      </c>
      <c r="U70" s="1">
        <v>2.0152149381185727E-6</v>
      </c>
      <c r="V70" s="1">
        <v>0.56335404414770551</v>
      </c>
      <c r="W70" s="1">
        <v>0.56332828009586922</v>
      </c>
      <c r="X70" s="44">
        <v>14.083207002396732</v>
      </c>
      <c r="Y70" s="2">
        <v>6.8999999999999302</v>
      </c>
      <c r="Z70" s="1">
        <f t="shared" si="36"/>
        <v>1.2589254117943687E-7</v>
      </c>
      <c r="AA70" s="1">
        <f t="shared" si="37"/>
        <v>8.0227151707139592E-8</v>
      </c>
      <c r="AB70" s="1">
        <f t="shared" si="38"/>
        <v>0.98756726474555567</v>
      </c>
      <c r="AC70" s="1">
        <f t="shared" si="39"/>
        <v>0.98756712888489107</v>
      </c>
      <c r="AD70" s="24">
        <f t="shared" si="40"/>
        <v>197.51342577697821</v>
      </c>
      <c r="AE70" s="2">
        <v>9.4999999999999094</v>
      </c>
      <c r="AF70" s="1">
        <v>3.1622776601690371E-10</v>
      </c>
      <c r="AG70" s="1">
        <v>3.1939004367693985E-5</v>
      </c>
      <c r="AH70" s="1">
        <v>0.99996837822336671</v>
      </c>
      <c r="AI70" s="1">
        <v>1.0000641983886112</v>
      </c>
      <c r="AJ70" s="44">
        <v>200.01283967772224</v>
      </c>
    </row>
    <row r="71" spans="1:36" ht="15" customHeight="1" x14ac:dyDescent="0.3">
      <c r="A71" s="2">
        <v>7</v>
      </c>
      <c r="B71" s="1">
        <f t="shared" si="29"/>
        <v>9.9999999999999995E-8</v>
      </c>
      <c r="C71" s="1">
        <f t="shared" si="30"/>
        <v>1.0099999999999999E-7</v>
      </c>
      <c r="D71" s="1">
        <f t="shared" si="31"/>
        <v>0.9994447529150472</v>
      </c>
      <c r="E71" s="1">
        <f t="shared" si="32"/>
        <v>0.99944477490394279</v>
      </c>
      <c r="F71" s="24">
        <f t="shared" si="41"/>
        <v>499.72238745197137</v>
      </c>
      <c r="G71" s="2">
        <v>9.1</v>
      </c>
      <c r="H71" s="1">
        <v>7.9432823472428E-10</v>
      </c>
      <c r="I71" s="1">
        <v>1.2715146659121113E-5</v>
      </c>
      <c r="J71" s="1">
        <v>0.99999558708483649</v>
      </c>
      <c r="K71" s="1">
        <v>1.0002753728598672</v>
      </c>
      <c r="L71" s="44">
        <v>500.13768642993358</v>
      </c>
      <c r="M71" s="2">
        <v>7</v>
      </c>
      <c r="N71" s="1">
        <f t="shared" si="33"/>
        <v>9.9999999999999995E-8</v>
      </c>
      <c r="O71" s="1">
        <f t="shared" si="27"/>
        <v>1.0099999999999999E-7</v>
      </c>
      <c r="P71" s="1">
        <f t="shared" si="34"/>
        <v>0.96260644205849688</v>
      </c>
      <c r="Q71" s="1">
        <f t="shared" si="35"/>
        <v>0.96260642724546475</v>
      </c>
      <c r="R71" s="24">
        <f t="shared" si="28"/>
        <v>24.065160681136621</v>
      </c>
      <c r="S71" s="2">
        <v>8.4</v>
      </c>
      <c r="T71" s="1">
        <v>3.9810717055349665E-9</v>
      </c>
      <c r="U71" s="1">
        <v>2.5370052958246796E-6</v>
      </c>
      <c r="V71" s="1">
        <v>0.50613146186811631</v>
      </c>
      <c r="W71" s="1">
        <v>0.50609972181159935</v>
      </c>
      <c r="X71" s="44">
        <v>12.652493045289985</v>
      </c>
      <c r="Y71" s="2">
        <v>6.9999999999999298</v>
      </c>
      <c r="Z71" s="1">
        <f t="shared" si="36"/>
        <v>1.0000000000001593E-7</v>
      </c>
      <c r="AA71" s="1">
        <f t="shared" si="37"/>
        <v>1.009999999999839E-7</v>
      </c>
      <c r="AB71" s="1">
        <f t="shared" si="38"/>
        <v>0.99009900990098854</v>
      </c>
      <c r="AC71" s="1">
        <f t="shared" si="39"/>
        <v>0.99009901288118662</v>
      </c>
      <c r="AD71" s="24">
        <f t="shared" si="40"/>
        <v>198.01980257623734</v>
      </c>
      <c r="AE71" s="2">
        <v>9.5999999999999108</v>
      </c>
      <c r="AF71" s="1">
        <v>2.5118864315100871E-10</v>
      </c>
      <c r="AG71" s="1">
        <v>4.0208824225895101E-5</v>
      </c>
      <c r="AH71" s="1">
        <v>0.9999748817666263</v>
      </c>
      <c r="AI71" s="1">
        <v>1.0000955151667952</v>
      </c>
      <c r="AJ71" s="44">
        <v>200.01910303335904</v>
      </c>
    </row>
    <row r="72" spans="1:36" ht="15" customHeight="1" x14ac:dyDescent="0.3">
      <c r="A72" s="2">
        <v>7.1</v>
      </c>
      <c r="B72" s="1">
        <f t="shared" si="29"/>
        <v>7.943282347242818E-8</v>
      </c>
      <c r="C72" s="1">
        <f t="shared" si="30"/>
        <v>1.2715146659121083E-7</v>
      </c>
      <c r="D72" s="1">
        <f t="shared" si="31"/>
        <v>0.9995589011902859</v>
      </c>
      <c r="E72" s="1">
        <f t="shared" si="32"/>
        <v>0.99955995058046332</v>
      </c>
      <c r="F72" s="24">
        <f t="shared" si="41"/>
        <v>499.77997529023162</v>
      </c>
      <c r="G72" s="2">
        <v>9.1999999999999993</v>
      </c>
      <c r="H72" s="1">
        <v>6.309573444801927E-10</v>
      </c>
      <c r="I72" s="1">
        <v>1.6007421243857258E-5</v>
      </c>
      <c r="J72" s="1">
        <v>0.99999649469370677</v>
      </c>
      <c r="K72" s="1">
        <v>1.0003487557292063</v>
      </c>
      <c r="L72" s="44">
        <v>500.17437786460317</v>
      </c>
      <c r="M72" s="2">
        <v>7.1</v>
      </c>
      <c r="N72" s="1">
        <f t="shared" si="33"/>
        <v>7.943282347242818E-8</v>
      </c>
      <c r="O72" s="1">
        <f t="shared" si="27"/>
        <v>1.2715146659121083E-7</v>
      </c>
      <c r="P72" s="1">
        <f t="shared" si="34"/>
        <v>0.95337572256294845</v>
      </c>
      <c r="Q72" s="1">
        <f t="shared" si="35"/>
        <v>0.95337501790770607</v>
      </c>
      <c r="R72" s="24">
        <f t="shared" si="28"/>
        <v>23.834375447692651</v>
      </c>
      <c r="S72" s="2">
        <v>8.5</v>
      </c>
      <c r="T72" s="1">
        <v>3.1622776601683779E-9</v>
      </c>
      <c r="U72" s="1">
        <v>3.1939004367700643E-6</v>
      </c>
      <c r="V72" s="1">
        <v>0.44874778715552566</v>
      </c>
      <c r="W72" s="1">
        <v>0.44870872121373906</v>
      </c>
      <c r="X72" s="44">
        <v>11.217718030343477</v>
      </c>
      <c r="Y72" s="2">
        <v>7.0999999999999304</v>
      </c>
      <c r="Z72" s="1">
        <f t="shared" si="36"/>
        <v>7.9432823472440885E-8</v>
      </c>
      <c r="AA72" s="1">
        <f t="shared" si="37"/>
        <v>1.271514665911905E-7</v>
      </c>
      <c r="AB72" s="1">
        <f t="shared" si="38"/>
        <v>0.99211931614966842</v>
      </c>
      <c r="AC72" s="1">
        <f t="shared" si="39"/>
        <v>0.99211945855350026</v>
      </c>
      <c r="AD72" s="24">
        <f t="shared" si="40"/>
        <v>198.42389171070005</v>
      </c>
      <c r="AE72" s="2">
        <v>9.6999999999998998</v>
      </c>
      <c r="AF72" s="1">
        <v>1.9952623149693339E-10</v>
      </c>
      <c r="AG72" s="1">
        <v>5.0619910596342969E-5</v>
      </c>
      <c r="AH72" s="1">
        <v>0.99998004777494953</v>
      </c>
      <c r="AI72" s="1">
        <v>1.0001319202636911</v>
      </c>
      <c r="AJ72" s="44">
        <v>200.02638405273822</v>
      </c>
    </row>
    <row r="73" spans="1:36" ht="15" customHeight="1" x14ac:dyDescent="0.3">
      <c r="A73" s="2">
        <v>7.2</v>
      </c>
      <c r="B73" s="1">
        <f t="shared" si="29"/>
        <v>6.3095734448019177E-8</v>
      </c>
      <c r="C73" s="1">
        <f t="shared" si="30"/>
        <v>1.6007421243857284E-7</v>
      </c>
      <c r="D73" s="1">
        <f t="shared" si="31"/>
        <v>0.9996495909714832</v>
      </c>
      <c r="E73" s="1">
        <f t="shared" si="32"/>
        <v>0.99965172382249312</v>
      </c>
      <c r="F73" s="24">
        <f t="shared" si="41"/>
        <v>499.82586191124653</v>
      </c>
      <c r="G73" s="2">
        <v>9.3000000000000007</v>
      </c>
      <c r="H73" s="1">
        <v>5.011872336272705E-10</v>
      </c>
      <c r="I73" s="1">
        <v>2.0152149381185755E-5</v>
      </c>
      <c r="J73" s="1">
        <v>0.99999721563423261</v>
      </c>
      <c r="K73" s="1">
        <v>1.0004407295230255</v>
      </c>
      <c r="L73" s="44">
        <v>500.22036476151277</v>
      </c>
      <c r="M73" s="2">
        <v>7.2</v>
      </c>
      <c r="N73" s="1">
        <f t="shared" si="33"/>
        <v>6.3095734448019177E-8</v>
      </c>
      <c r="O73" s="1">
        <f t="shared" si="27"/>
        <v>1.6007421243857284E-7</v>
      </c>
      <c r="P73" s="1">
        <f t="shared" si="34"/>
        <v>0.94200365638098393</v>
      </c>
      <c r="Q73" s="1">
        <f t="shared" si="35"/>
        <v>0.9420022298264914</v>
      </c>
      <c r="R73" s="24">
        <f t="shared" si="28"/>
        <v>23.550055745662284</v>
      </c>
      <c r="S73" s="2">
        <v>8.6</v>
      </c>
      <c r="T73" s="1">
        <v>2.5118864315095812E-9</v>
      </c>
      <c r="U73" s="1">
        <v>4.02088242259032E-6</v>
      </c>
      <c r="V73" s="1">
        <v>0.39269689960493048</v>
      </c>
      <c r="W73" s="1">
        <v>0.39264882685718444</v>
      </c>
      <c r="X73" s="44">
        <v>9.8162206714296119</v>
      </c>
      <c r="Y73" s="2">
        <v>7.19999999999993</v>
      </c>
      <c r="Z73" s="1">
        <f t="shared" si="36"/>
        <v>6.3095734448029487E-8</v>
      </c>
      <c r="AA73" s="1">
        <f t="shared" si="37"/>
        <v>1.6007421243854666E-7</v>
      </c>
      <c r="AB73" s="1">
        <f t="shared" si="38"/>
        <v>0.99372998765856524</v>
      </c>
      <c r="AC73" s="1">
        <f t="shared" si="39"/>
        <v>0.99373027737794284</v>
      </c>
      <c r="AD73" s="24">
        <f t="shared" si="40"/>
        <v>198.74605547558858</v>
      </c>
      <c r="AE73" s="2">
        <v>9.7999999999998995</v>
      </c>
      <c r="AF73" s="1">
        <v>1.5848931924614756E-10</v>
      </c>
      <c r="AG73" s="1">
        <v>6.3726691792484957E-5</v>
      </c>
      <c r="AH73" s="1">
        <v>0.99998415131926</v>
      </c>
      <c r="AI73" s="1">
        <v>1.0001753532684814</v>
      </c>
      <c r="AJ73" s="44">
        <v>200.03507065369627</v>
      </c>
    </row>
    <row r="74" spans="1:36" ht="15" customHeight="1" x14ac:dyDescent="0.3">
      <c r="A74" s="2">
        <v>7.3</v>
      </c>
      <c r="B74" s="1">
        <f t="shared" si="29"/>
        <v>5.0118723362727164E-8</v>
      </c>
      <c r="C74" s="1">
        <f t="shared" si="30"/>
        <v>2.0152149381185708E-7</v>
      </c>
      <c r="D74" s="1">
        <f t="shared" si="31"/>
        <v>0.9997216401537633</v>
      </c>
      <c r="E74" s="1">
        <f t="shared" si="32"/>
        <v>0.99972497018190765</v>
      </c>
      <c r="F74" s="24">
        <f t="shared" si="41"/>
        <v>499.86248509095378</v>
      </c>
      <c r="G74" s="2">
        <v>9.4</v>
      </c>
      <c r="H74" s="1">
        <v>3.9810717055349621E-10</v>
      </c>
      <c r="I74" s="1">
        <v>2.5370052958246823E-5</v>
      </c>
      <c r="J74" s="1">
        <v>0.99999778829838859</v>
      </c>
      <c r="K74" s="1">
        <v>1.0005562029186339</v>
      </c>
      <c r="L74" s="44">
        <v>500.27810145931693</v>
      </c>
      <c r="M74" s="2">
        <v>7.3</v>
      </c>
      <c r="N74" s="1">
        <f t="shared" si="33"/>
        <v>5.0118723362727164E-8</v>
      </c>
      <c r="O74" s="1">
        <f t="shared" si="27"/>
        <v>2.0152149381185708E-7</v>
      </c>
      <c r="P74" s="1">
        <f t="shared" si="34"/>
        <v>0.9280671255755174</v>
      </c>
      <c r="Q74" s="1">
        <f t="shared" si="35"/>
        <v>0.92806490898982097</v>
      </c>
      <c r="R74" s="24">
        <f t="shared" si="28"/>
        <v>23.201622724745523</v>
      </c>
      <c r="S74" s="2">
        <v>8.6999999999999993</v>
      </c>
      <c r="T74" s="1">
        <v>1.9952623149688824E-9</v>
      </c>
      <c r="U74" s="1">
        <v>5.0619910596354431E-6</v>
      </c>
      <c r="V74" s="1">
        <v>0.33933738368571104</v>
      </c>
      <c r="W74" s="1">
        <v>0.33927819999640729</v>
      </c>
      <c r="X74" s="44">
        <v>8.4819549999101813</v>
      </c>
      <c r="Y74" s="2">
        <v>7.2999999999999297</v>
      </c>
      <c r="Z74" s="1">
        <f t="shared" si="36"/>
        <v>5.0118723362735356E-8</v>
      </c>
      <c r="AA74" s="1">
        <f t="shared" si="37"/>
        <v>2.0152149381182415E-7</v>
      </c>
      <c r="AB74" s="1">
        <f t="shared" si="38"/>
        <v>0.99501312126331121</v>
      </c>
      <c r="AC74" s="1">
        <f t="shared" si="39"/>
        <v>0.99501357396170509</v>
      </c>
      <c r="AD74" s="24">
        <f t="shared" si="40"/>
        <v>199.00271479234101</v>
      </c>
      <c r="AE74" s="2">
        <v>9.8999999999999009</v>
      </c>
      <c r="AF74" s="1">
        <v>1.2589254117944518E-10</v>
      </c>
      <c r="AG74" s="1">
        <v>8.0227151707134285E-5</v>
      </c>
      <c r="AH74" s="1">
        <v>0.99998741090436927</v>
      </c>
      <c r="AI74" s="1">
        <v>1.0002281285859689</v>
      </c>
      <c r="AJ74" s="44">
        <v>200.04562571719379</v>
      </c>
    </row>
    <row r="75" spans="1:36" ht="15" customHeight="1" x14ac:dyDescent="0.3">
      <c r="A75" s="2">
        <v>7.4</v>
      </c>
      <c r="B75" s="1">
        <f t="shared" si="29"/>
        <v>3.981071705534957E-8</v>
      </c>
      <c r="C75" s="1">
        <f t="shared" si="30"/>
        <v>2.5370052958246857E-7</v>
      </c>
      <c r="D75" s="1">
        <f t="shared" si="31"/>
        <v>0.99977887825533251</v>
      </c>
      <c r="E75" s="1">
        <f t="shared" si="32"/>
        <v>0.99978358290541991</v>
      </c>
      <c r="F75" s="24">
        <f t="shared" si="41"/>
        <v>499.89179145270992</v>
      </c>
      <c r="G75" s="2">
        <v>9.5</v>
      </c>
      <c r="H75" s="1">
        <v>3.1622776601683744E-10</v>
      </c>
      <c r="I75" s="1">
        <v>3.193900436770068E-5</v>
      </c>
      <c r="J75" s="1">
        <v>0.99999824318216413</v>
      </c>
      <c r="K75" s="1">
        <v>1.0007013423203155</v>
      </c>
      <c r="L75" s="44">
        <v>500.35067116015773</v>
      </c>
      <c r="M75" s="2">
        <v>7.4</v>
      </c>
      <c r="N75" s="1">
        <f t="shared" si="33"/>
        <v>3.981071705534957E-8</v>
      </c>
      <c r="O75" s="1">
        <f t="shared" si="27"/>
        <v>2.5370052958246857E-7</v>
      </c>
      <c r="P75" s="1">
        <f t="shared" si="34"/>
        <v>0.91109770385766864</v>
      </c>
      <c r="Q75" s="1">
        <f t="shared" si="35"/>
        <v>0.91109459059028752</v>
      </c>
      <c r="R75" s="24">
        <f t="shared" si="28"/>
        <v>22.777364764757188</v>
      </c>
      <c r="S75" s="2">
        <v>8.8000000000000007</v>
      </c>
      <c r="T75" s="1">
        <v>1.584893192461106E-9</v>
      </c>
      <c r="U75" s="1">
        <v>6.3726691792499815E-6</v>
      </c>
      <c r="V75" s="1">
        <v>0.28976884671204739</v>
      </c>
      <c r="W75" s="1">
        <v>0.28969590748396734</v>
      </c>
      <c r="X75" s="44">
        <v>7.2423976870991842</v>
      </c>
      <c r="Y75" s="2">
        <v>7.3999999999999302</v>
      </c>
      <c r="Z75" s="1">
        <f t="shared" si="36"/>
        <v>3.9810717055356075E-8</v>
      </c>
      <c r="AA75" s="1">
        <f t="shared" si="37"/>
        <v>2.5370052958242712E-7</v>
      </c>
      <c r="AB75" s="1">
        <f t="shared" si="38"/>
        <v>0.99603471438084712</v>
      </c>
      <c r="AC75" s="1">
        <f t="shared" si="39"/>
        <v>0.99603535435429003</v>
      </c>
      <c r="AD75" s="24">
        <f t="shared" si="40"/>
        <v>199.20707087085802</v>
      </c>
      <c r="AE75" s="2">
        <v>9.9999999999999005</v>
      </c>
      <c r="AF75" s="1">
        <v>1.000000000000227E-10</v>
      </c>
      <c r="AG75" s="1">
        <v>1.0099999999997707E-4</v>
      </c>
      <c r="AH75" s="1">
        <v>0.99999000009999894</v>
      </c>
      <c r="AI75" s="1">
        <v>1.0002930589978578</v>
      </c>
      <c r="AJ75" s="44">
        <v>200.05861179957157</v>
      </c>
    </row>
    <row r="76" spans="1:36" ht="15" customHeight="1" x14ac:dyDescent="0.3">
      <c r="A76" s="2">
        <v>7.5</v>
      </c>
      <c r="B76" s="1">
        <f t="shared" si="29"/>
        <v>3.1622776601683699E-8</v>
      </c>
      <c r="C76" s="1">
        <f t="shared" si="30"/>
        <v>3.1939004367700723E-7</v>
      </c>
      <c r="D76" s="1">
        <f t="shared" si="31"/>
        <v>0.99982434876654458</v>
      </c>
      <c r="E76" s="1">
        <f t="shared" si="32"/>
        <v>0.99983067867191755</v>
      </c>
      <c r="F76" s="24">
        <f t="shared" si="41"/>
        <v>499.91533933595872</v>
      </c>
      <c r="G76" s="2">
        <v>9.6</v>
      </c>
      <c r="H76" s="1">
        <v>2.5118864315095784E-10</v>
      </c>
      <c r="I76" s="1">
        <v>4.0208824225903246E-5</v>
      </c>
      <c r="J76" s="1">
        <v>0.99999860450948541</v>
      </c>
      <c r="K76" s="1">
        <v>1.0008839039266169</v>
      </c>
      <c r="L76" s="44">
        <v>500.44195196330838</v>
      </c>
      <c r="M76" s="2">
        <v>7.5</v>
      </c>
      <c r="N76" s="1">
        <f t="shared" si="33"/>
        <v>3.1622776601683699E-8</v>
      </c>
      <c r="O76" s="1">
        <f t="shared" si="27"/>
        <v>3.1939004367700723E-7</v>
      </c>
      <c r="P76" s="1">
        <f t="shared" si="34"/>
        <v>0.89059699495490108</v>
      </c>
      <c r="Q76" s="1">
        <f t="shared" si="35"/>
        <v>0.89059283586489812</v>
      </c>
      <c r="R76" s="24">
        <f t="shared" si="28"/>
        <v>22.264820896622453</v>
      </c>
      <c r="S76" s="2">
        <v>8.9</v>
      </c>
      <c r="T76" s="1">
        <v>1.2589254117941623E-9</v>
      </c>
      <c r="U76" s="1">
        <v>8.0227151707152736E-6</v>
      </c>
      <c r="V76" s="1">
        <v>0.24475851589880585</v>
      </c>
      <c r="W76" s="1">
        <v>0.24466848834848334</v>
      </c>
      <c r="X76" s="44">
        <v>6.1167122087120838</v>
      </c>
      <c r="Y76" s="2">
        <v>7.4999999999999298</v>
      </c>
      <c r="Z76" s="1">
        <f t="shared" si="36"/>
        <v>3.1622776601688867E-8</v>
      </c>
      <c r="AA76" s="1">
        <f t="shared" si="37"/>
        <v>3.1939004367695503E-7</v>
      </c>
      <c r="AB76" s="1">
        <f t="shared" si="38"/>
        <v>0.9968476908167393</v>
      </c>
      <c r="AC76" s="1">
        <f t="shared" si="39"/>
        <v>0.99684855230477354</v>
      </c>
      <c r="AD76" s="24">
        <f t="shared" si="40"/>
        <v>199.36971046095471</v>
      </c>
      <c r="AE76" s="2">
        <v>10.0999999999999</v>
      </c>
      <c r="AF76" s="1">
        <v>7.943282347244626E-11</v>
      </c>
      <c r="AG76" s="1">
        <v>1.2715146659118189E-4</v>
      </c>
      <c r="AH76" s="1">
        <v>0.99999205678074798</v>
      </c>
      <c r="AI76" s="1">
        <v>1.0003736059512531</v>
      </c>
      <c r="AJ76" s="44">
        <v>200.07472119025061</v>
      </c>
    </row>
    <row r="77" spans="1:36" ht="15" customHeight="1" x14ac:dyDescent="0.3">
      <c r="A77" s="2">
        <v>7.6</v>
      </c>
      <c r="B77" s="1">
        <f t="shared" si="29"/>
        <v>2.5118864315095751E-8</v>
      </c>
      <c r="C77" s="1">
        <f t="shared" si="30"/>
        <v>4.02088242259033E-7</v>
      </c>
      <c r="D77" s="1">
        <f t="shared" si="31"/>
        <v>0.99986047022507984</v>
      </c>
      <c r="E77" s="1">
        <f t="shared" si="32"/>
        <v>0.99986876256194479</v>
      </c>
      <c r="F77" s="24">
        <f t="shared" si="41"/>
        <v>499.93438128097239</v>
      </c>
      <c r="G77" s="2">
        <v>9.6999999999999993</v>
      </c>
      <c r="H77" s="1">
        <v>1.9952623149688802E-10</v>
      </c>
      <c r="I77" s="1">
        <v>5.0619910596354482E-5</v>
      </c>
      <c r="J77" s="1">
        <v>0.99999889152216481</v>
      </c>
      <c r="K77" s="1">
        <v>1.0011136526211859</v>
      </c>
      <c r="L77" s="44">
        <v>500.55682631059295</v>
      </c>
      <c r="M77" s="2">
        <v>7.6</v>
      </c>
      <c r="N77" s="1">
        <f t="shared" si="33"/>
        <v>2.5118864315095751E-8</v>
      </c>
      <c r="O77" s="1">
        <f t="shared" si="27"/>
        <v>4.02088242259033E-7</v>
      </c>
      <c r="P77" s="1">
        <f t="shared" si="34"/>
        <v>0.8660638163132518</v>
      </c>
      <c r="Q77" s="1">
        <f t="shared" si="35"/>
        <v>0.86605841423196395</v>
      </c>
      <c r="R77" s="24">
        <f t="shared" si="28"/>
        <v>21.651460355799099</v>
      </c>
      <c r="S77" s="2">
        <v>9</v>
      </c>
      <c r="T77" s="1">
        <v>1.0000000000000001E-9</v>
      </c>
      <c r="U77" s="1">
        <v>1.0099999999999998E-5</v>
      </c>
      <c r="V77" s="1">
        <v>0.20472440944881895</v>
      </c>
      <c r="W77" s="1">
        <v>0.2046130875109651</v>
      </c>
      <c r="X77" s="44">
        <v>5.1153271877741275</v>
      </c>
      <c r="Y77" s="2">
        <v>7.5999999999999197</v>
      </c>
      <c r="Z77" s="1">
        <f t="shared" si="36"/>
        <v>2.511886431510039E-8</v>
      </c>
      <c r="AA77" s="1">
        <f t="shared" si="37"/>
        <v>4.0208824225895872E-7</v>
      </c>
      <c r="AB77" s="1">
        <f t="shared" si="38"/>
        <v>0.99749440733271377</v>
      </c>
      <c r="AC77" s="1">
        <f t="shared" si="39"/>
        <v>0.99749553635263533</v>
      </c>
      <c r="AD77" s="24">
        <f t="shared" si="40"/>
        <v>199.49910727052708</v>
      </c>
      <c r="AE77" s="2">
        <v>10.1999999999999</v>
      </c>
      <c r="AF77" s="1">
        <v>6.3095734448033771E-11</v>
      </c>
      <c r="AG77" s="1">
        <v>1.600742124385358E-4</v>
      </c>
      <c r="AH77" s="1">
        <v>0.99999369046636566</v>
      </c>
      <c r="AI77" s="1">
        <v>1.0004740646853965</v>
      </c>
      <c r="AJ77" s="44">
        <v>200.0948129370793</v>
      </c>
    </row>
    <row r="78" spans="1:36" ht="15" customHeight="1" x14ac:dyDescent="0.3">
      <c r="A78" s="2">
        <v>7.7</v>
      </c>
      <c r="B78" s="1">
        <f t="shared" si="29"/>
        <v>1.9952623149688773E-8</v>
      </c>
      <c r="C78" s="1">
        <f t="shared" si="30"/>
        <v>5.0619910596354556E-7</v>
      </c>
      <c r="D78" s="1">
        <f t="shared" si="31"/>
        <v>0.99988916437950937</v>
      </c>
      <c r="E78" s="1">
        <f t="shared" si="32"/>
        <v>0.99989986082828475</v>
      </c>
      <c r="F78" s="24">
        <f t="shared" si="41"/>
        <v>499.94993041414239</v>
      </c>
      <c r="G78" s="2">
        <v>9.8000000000000007</v>
      </c>
      <c r="H78" s="1">
        <v>1.5848931924611098E-10</v>
      </c>
      <c r="I78" s="1">
        <v>6.3726691792499661E-5</v>
      </c>
      <c r="J78" s="1">
        <v>0.99999911950455722</v>
      </c>
      <c r="K78" s="1">
        <v>1.001402891265166</v>
      </c>
      <c r="L78" s="44">
        <v>500.70144563258299</v>
      </c>
      <c r="M78" s="2">
        <v>7.7</v>
      </c>
      <c r="N78" s="1">
        <f t="shared" si="33"/>
        <v>1.9952623149688773E-8</v>
      </c>
      <c r="O78" s="1">
        <f t="shared" si="27"/>
        <v>5.0619910596354556E-7</v>
      </c>
      <c r="P78" s="1">
        <f t="shared" si="34"/>
        <v>0.83703584712528523</v>
      </c>
      <c r="Q78" s="1">
        <f t="shared" si="35"/>
        <v>0.83702894964854324</v>
      </c>
      <c r="R78" s="24">
        <f t="shared" si="28"/>
        <v>20.925723741213584</v>
      </c>
      <c r="S78" s="2">
        <v>9.1</v>
      </c>
      <c r="T78" s="1">
        <v>7.9432823472428E-10</v>
      </c>
      <c r="U78" s="1">
        <v>1.2715146659121113E-5</v>
      </c>
      <c r="V78" s="1">
        <v>0.16976657539557677</v>
      </c>
      <c r="W78" s="1">
        <v>0.16962864828026966</v>
      </c>
      <c r="X78" s="44">
        <v>4.2407162070067415</v>
      </c>
      <c r="Y78" s="2">
        <v>7.6999999999999202</v>
      </c>
      <c r="Z78" s="1">
        <f t="shared" si="36"/>
        <v>1.9952623149692459E-8</v>
      </c>
      <c r="AA78" s="1">
        <f t="shared" si="37"/>
        <v>5.0619910596345207E-7</v>
      </c>
      <c r="AB78" s="1">
        <f t="shared" si="38"/>
        <v>0.99800871082927123</v>
      </c>
      <c r="AC78" s="1">
        <f t="shared" si="39"/>
        <v>0.99801016763362171</v>
      </c>
      <c r="AD78" s="24">
        <f t="shared" si="40"/>
        <v>199.60203352672434</v>
      </c>
      <c r="AE78" s="2">
        <v>10.299999999999899</v>
      </c>
      <c r="AF78" s="1">
        <v>5.0118723362738742E-11</v>
      </c>
      <c r="AG78" s="1">
        <v>2.0152149381181053E-4</v>
      </c>
      <c r="AH78" s="1">
        <v>0.99999498815278243</v>
      </c>
      <c r="AI78" s="1">
        <v>1.0005997942266587</v>
      </c>
      <c r="AJ78" s="44">
        <v>200.11995884533172</v>
      </c>
    </row>
    <row r="79" spans="1:36" ht="15" customHeight="1" x14ac:dyDescent="0.3">
      <c r="A79" s="2">
        <v>7.8</v>
      </c>
      <c r="B79" s="1">
        <f t="shared" si="29"/>
        <v>1.5848931924611133E-8</v>
      </c>
      <c r="C79" s="1">
        <f t="shared" si="30"/>
        <v>6.3726691792499521E-7</v>
      </c>
      <c r="D79" s="1">
        <f t="shared" si="31"/>
        <v>0.99991195813024991</v>
      </c>
      <c r="E79" s="1">
        <f t="shared" si="32"/>
        <v>0.99992562840162502</v>
      </c>
      <c r="F79" s="24">
        <f t="shared" si="41"/>
        <v>499.96281420081249</v>
      </c>
      <c r="G79" s="2">
        <v>9.9</v>
      </c>
      <c r="H79" s="1">
        <v>1.2589254117941656E-10</v>
      </c>
      <c r="I79" s="1">
        <v>8.0227151707152526E-5</v>
      </c>
      <c r="J79" s="1">
        <v>0.99999930059748254</v>
      </c>
      <c r="K79" s="1">
        <v>1.001767130598046</v>
      </c>
      <c r="L79" s="44">
        <v>500.88356529902296</v>
      </c>
      <c r="M79" s="2">
        <v>7.8</v>
      </c>
      <c r="N79" s="1">
        <f t="shared" si="33"/>
        <v>1.5848931924611133E-8</v>
      </c>
      <c r="O79" s="1">
        <f t="shared" si="27"/>
        <v>6.3726691792499521E-7</v>
      </c>
      <c r="P79" s="1">
        <f t="shared" si="34"/>
        <v>0.80314662519905311</v>
      </c>
      <c r="Q79" s="1">
        <f t="shared" si="35"/>
        <v>0.80313791559746317</v>
      </c>
      <c r="R79" s="24">
        <f t="shared" si="28"/>
        <v>20.078447889936584</v>
      </c>
      <c r="S79" s="2">
        <v>9.1999999999999993</v>
      </c>
      <c r="T79" s="1">
        <v>6.309573444801927E-10</v>
      </c>
      <c r="U79" s="1">
        <v>1.6007421243857258E-5</v>
      </c>
      <c r="V79" s="1">
        <v>0.13972919546056498</v>
      </c>
      <c r="W79" s="1">
        <v>0.1395579581828526</v>
      </c>
      <c r="X79" s="44">
        <v>3.488948954571315</v>
      </c>
      <c r="Y79" s="2">
        <v>7.7999999999999199</v>
      </c>
      <c r="Z79" s="1">
        <f t="shared" si="36"/>
        <v>1.5848931924614005E-8</v>
      </c>
      <c r="AA79" s="1">
        <f t="shared" si="37"/>
        <v>6.372669179248797E-7</v>
      </c>
      <c r="AB79" s="1">
        <f t="shared" si="38"/>
        <v>0.99841761471919799</v>
      </c>
      <c r="AC79" s="1">
        <f t="shared" si="39"/>
        <v>0.99841947700882516</v>
      </c>
      <c r="AD79" s="24">
        <f t="shared" si="40"/>
        <v>199.68389540176503</v>
      </c>
      <c r="AE79" s="2">
        <v>10.399999999999901</v>
      </c>
      <c r="AF79" s="1">
        <v>3.9810717055358775E-11</v>
      </c>
      <c r="AG79" s="1">
        <v>2.5370052958240992E-4</v>
      </c>
      <c r="AH79" s="1">
        <v>0.99999601894414336</v>
      </c>
      <c r="AI79" s="1">
        <v>1.0007575047721218</v>
      </c>
      <c r="AJ79" s="44">
        <v>200.15150095442436</v>
      </c>
    </row>
    <row r="80" spans="1:36" ht="15" customHeight="1" x14ac:dyDescent="0.3">
      <c r="A80" s="2">
        <v>7.9</v>
      </c>
      <c r="B80" s="1">
        <f t="shared" si="29"/>
        <v>1.2589254117941638E-8</v>
      </c>
      <c r="C80" s="1">
        <f t="shared" si="30"/>
        <v>8.0227151707152647E-7</v>
      </c>
      <c r="D80" s="1">
        <f t="shared" si="31"/>
        <v>0.99993006459064837</v>
      </c>
      <c r="E80" s="1">
        <f t="shared" si="32"/>
        <v>0.99994743677026832</v>
      </c>
      <c r="F80" s="24">
        <f t="shared" si="41"/>
        <v>499.97371838513413</v>
      </c>
      <c r="G80" s="2">
        <v>10</v>
      </c>
      <c r="H80" s="1">
        <v>1E-10</v>
      </c>
      <c r="I80" s="1">
        <v>1.0099999999999999E-4</v>
      </c>
      <c r="J80" s="1">
        <v>0.99999944444475308</v>
      </c>
      <c r="K80" s="1">
        <v>1.0022259386363466</v>
      </c>
      <c r="L80" s="44">
        <v>501.11296931817327</v>
      </c>
      <c r="M80" s="2">
        <v>7.9</v>
      </c>
      <c r="N80" s="1">
        <f t="shared" si="33"/>
        <v>1.2589254117941638E-8</v>
      </c>
      <c r="O80" s="1">
        <f t="shared" si="27"/>
        <v>8.0227151707152647E-7</v>
      </c>
      <c r="P80" s="1">
        <f t="shared" si="34"/>
        <v>0.76419532860737871</v>
      </c>
      <c r="Q80" s="1">
        <f t="shared" si="35"/>
        <v>0.76418441447036045</v>
      </c>
      <c r="R80" s="24">
        <f t="shared" si="28"/>
        <v>19.104610361759011</v>
      </c>
      <c r="S80" s="2">
        <v>9.3000000000000007</v>
      </c>
      <c r="T80" s="1">
        <v>5.011872336272705E-10</v>
      </c>
      <c r="U80" s="1">
        <v>2.0152149381185755E-5</v>
      </c>
      <c r="V80" s="1">
        <v>0.11427491778644863</v>
      </c>
      <c r="W80" s="1">
        <v>0.11406190862723418</v>
      </c>
      <c r="X80" s="44">
        <v>2.8515477156808546</v>
      </c>
      <c r="Y80" s="2">
        <v>7.8999999999999204</v>
      </c>
      <c r="Z80" s="1">
        <f t="shared" si="36"/>
        <v>1.2589254117943964E-8</v>
      </c>
      <c r="AA80" s="1">
        <f t="shared" si="37"/>
        <v>8.0227151707137824E-7</v>
      </c>
      <c r="AB80" s="1">
        <f t="shared" si="38"/>
        <v>0.99874265748864455</v>
      </c>
      <c r="AC80" s="1">
        <f t="shared" si="39"/>
        <v>0.99874502455336966</v>
      </c>
      <c r="AD80" s="24">
        <f t="shared" si="40"/>
        <v>199.74900491067393</v>
      </c>
      <c r="AE80" s="2">
        <v>10.499999999999901</v>
      </c>
      <c r="AF80" s="1">
        <v>3.1622776601691006E-11</v>
      </c>
      <c r="AG80" s="1">
        <v>3.1939004367693345E-4</v>
      </c>
      <c r="AH80" s="1">
        <v>0.99999683773233983</v>
      </c>
      <c r="AI80" s="1">
        <v>1.0009556181983181</v>
      </c>
      <c r="AJ80" s="44">
        <v>200.19112363966363</v>
      </c>
    </row>
    <row r="81" spans="1:36" ht="15" customHeight="1" x14ac:dyDescent="0.3">
      <c r="A81" s="2">
        <v>8</v>
      </c>
      <c r="B81" s="1">
        <f t="shared" si="29"/>
        <v>1E-8</v>
      </c>
      <c r="C81" s="1">
        <f t="shared" si="30"/>
        <v>1.0099999999999999E-6</v>
      </c>
      <c r="D81" s="1">
        <f t="shared" si="31"/>
        <v>0.99994444753069278</v>
      </c>
      <c r="E81" s="1">
        <f t="shared" si="32"/>
        <v>0.99996644685962999</v>
      </c>
      <c r="F81" s="24">
        <f t="shared" si="41"/>
        <v>499.98322342981498</v>
      </c>
      <c r="G81" s="2">
        <v>10.1</v>
      </c>
      <c r="H81" s="1">
        <v>7.943282347242792E-11</v>
      </c>
      <c r="I81" s="1">
        <v>1.2715146659121124E-4</v>
      </c>
      <c r="J81" s="1">
        <v>0.99999955870673107</v>
      </c>
      <c r="K81" s="1">
        <v>1.0028040199246764</v>
      </c>
      <c r="L81" s="44">
        <v>501.40200996233813</v>
      </c>
      <c r="M81" s="2">
        <v>8</v>
      </c>
      <c r="N81" s="1">
        <f t="shared" si="33"/>
        <v>1E-8</v>
      </c>
      <c r="O81" s="1">
        <f t="shared" si="27"/>
        <v>1.0099999999999999E-6</v>
      </c>
      <c r="P81" s="1">
        <f t="shared" si="34"/>
        <v>0.72022160664819945</v>
      </c>
      <c r="Q81" s="1">
        <f t="shared" si="35"/>
        <v>0.72020800560817144</v>
      </c>
      <c r="R81" s="24">
        <f t="shared" si="28"/>
        <v>18.005200140204288</v>
      </c>
      <c r="S81" s="2">
        <v>9.4</v>
      </c>
      <c r="T81" s="1">
        <v>3.9810717055349621E-10</v>
      </c>
      <c r="U81" s="1">
        <v>2.5370052958246823E-5</v>
      </c>
      <c r="V81" s="1">
        <v>9.2956563360149236E-2</v>
      </c>
      <c r="W81" s="1">
        <v>9.2691109104409766E-2</v>
      </c>
      <c r="X81" s="44">
        <v>2.3172777276102439</v>
      </c>
      <c r="Y81" s="2">
        <v>7.9999999999999201</v>
      </c>
      <c r="Z81" s="1">
        <f t="shared" si="36"/>
        <v>1.000000000000183E-8</v>
      </c>
      <c r="AA81" s="1">
        <f t="shared" si="37"/>
        <v>1.0099999999998152E-6</v>
      </c>
      <c r="AB81" s="1">
        <f t="shared" si="38"/>
        <v>0.99900099900099881</v>
      </c>
      <c r="AC81" s="1">
        <f t="shared" si="39"/>
        <v>0.99900399700899278</v>
      </c>
      <c r="AD81" s="24">
        <f t="shared" si="40"/>
        <v>199.80079940179854</v>
      </c>
      <c r="AE81" s="2">
        <v>10.5999999999999</v>
      </c>
      <c r="AF81" s="1">
        <v>2.5118864315101558E-11</v>
      </c>
      <c r="AG81" s="1">
        <v>4.0208824225894006E-4</v>
      </c>
      <c r="AH81" s="1">
        <v>0.9999974881198781</v>
      </c>
      <c r="AI81" s="1">
        <v>1.0012047215800028</v>
      </c>
      <c r="AJ81" s="44">
        <v>200.24094431600057</v>
      </c>
    </row>
    <row r="82" spans="1:36" ht="15" customHeight="1" x14ac:dyDescent="0.3">
      <c r="A82" s="2">
        <v>8.1</v>
      </c>
      <c r="B82" s="1">
        <f t="shared" si="29"/>
        <v>7.9432823472428087E-9</v>
      </c>
      <c r="C82" s="1">
        <f t="shared" si="30"/>
        <v>1.2715146659121098E-6</v>
      </c>
      <c r="D82" s="1">
        <f t="shared" si="31"/>
        <v>0.99995587260093965</v>
      </c>
      <c r="E82" s="1">
        <f t="shared" si="32"/>
        <v>0.99998367075871486</v>
      </c>
      <c r="F82" s="24">
        <f t="shared" si="41"/>
        <v>499.99183537935738</v>
      </c>
      <c r="G82" s="2">
        <v>10.199999999999999</v>
      </c>
      <c r="H82" s="1">
        <v>6.3095734448019192E-11</v>
      </c>
      <c r="I82" s="1">
        <v>1.600742124385728E-4</v>
      </c>
      <c r="J82" s="1">
        <v>0.99999964946826481</v>
      </c>
      <c r="K82" s="1">
        <v>1.0035325902814929</v>
      </c>
      <c r="L82" s="44">
        <v>501.76629514074648</v>
      </c>
      <c r="M82" s="2">
        <v>8.1</v>
      </c>
      <c r="N82" s="1">
        <f t="shared" si="33"/>
        <v>7.9432823472428087E-9</v>
      </c>
      <c r="O82" s="1">
        <f t="shared" si="27"/>
        <v>1.2715146659121098E-6</v>
      </c>
      <c r="P82" s="1">
        <f t="shared" si="34"/>
        <v>0.67157178116680405</v>
      </c>
      <c r="Q82" s="1">
        <f t="shared" si="35"/>
        <v>0.67155490266518081</v>
      </c>
      <c r="R82" s="24">
        <f t="shared" si="28"/>
        <v>16.788872566629518</v>
      </c>
      <c r="S82" s="2">
        <v>9.5</v>
      </c>
      <c r="T82" s="1">
        <v>3.1622776601683744E-10</v>
      </c>
      <c r="U82" s="1">
        <v>3.193900436770068E-5</v>
      </c>
      <c r="V82" s="1">
        <v>7.5277213330196727E-2</v>
      </c>
      <c r="W82" s="1">
        <v>7.4945858086853293E-2</v>
      </c>
      <c r="X82" s="44">
        <v>1.8736464521713321</v>
      </c>
      <c r="Y82" s="2">
        <v>8.0999999999999197</v>
      </c>
      <c r="Z82" s="1">
        <f t="shared" si="36"/>
        <v>7.9432823472442761E-9</v>
      </c>
      <c r="AA82" s="1">
        <f t="shared" si="37"/>
        <v>1.271514665911875E-6</v>
      </c>
      <c r="AB82" s="1">
        <f t="shared" si="38"/>
        <v>0.99920630222183049</v>
      </c>
      <c r="AC82" s="1">
        <f t="shared" si="39"/>
        <v>0.9992100909397682</v>
      </c>
      <c r="AD82" s="24">
        <f t="shared" si="40"/>
        <v>199.84201818795364</v>
      </c>
      <c r="AE82" s="2">
        <v>10.6999999999999</v>
      </c>
      <c r="AF82" s="1">
        <v>1.9952623149693387E-11</v>
      </c>
      <c r="AG82" s="1">
        <v>5.061991059634285E-4</v>
      </c>
      <c r="AH82" s="1">
        <v>0.99999800474166611</v>
      </c>
      <c r="AI82" s="1">
        <v>1.0015181389608074</v>
      </c>
      <c r="AJ82" s="44">
        <v>200.30362779216148</v>
      </c>
    </row>
    <row r="83" spans="1:36" ht="15" customHeight="1" x14ac:dyDescent="0.3">
      <c r="A83" s="2">
        <v>8.1999999999999993</v>
      </c>
      <c r="B83" s="1">
        <f t="shared" si="29"/>
        <v>6.3095734448019329E-9</v>
      </c>
      <c r="C83" s="1">
        <f t="shared" si="30"/>
        <v>1.6007421243857243E-6</v>
      </c>
      <c r="D83" s="1">
        <f t="shared" si="31"/>
        <v>0.99996494804287828</v>
      </c>
      <c r="E83" s="1">
        <f t="shared" si="32"/>
        <v>1.000000025559814</v>
      </c>
      <c r="F83" s="24">
        <f t="shared" si="41"/>
        <v>500.00001277990702</v>
      </c>
      <c r="G83" s="2">
        <v>10.3</v>
      </c>
      <c r="H83" s="1">
        <v>5.0118723362726993E-11</v>
      </c>
      <c r="I83" s="1">
        <v>2.0152149381185778E-4</v>
      </c>
      <c r="J83" s="1">
        <v>0.99999972156272554</v>
      </c>
      <c r="K83" s="1">
        <v>1.0044511333001489</v>
      </c>
      <c r="L83" s="44">
        <v>502.22556665007443</v>
      </c>
      <c r="M83" s="2">
        <v>8.1999999999999993</v>
      </c>
      <c r="N83" s="1">
        <f t="shared" si="33"/>
        <v>6.3095734448019329E-9</v>
      </c>
      <c r="O83" s="1">
        <f t="shared" si="27"/>
        <v>1.6007421243857243E-6</v>
      </c>
      <c r="P83" s="1">
        <f t="shared" si="34"/>
        <v>0.61893825495898502</v>
      </c>
      <c r="Q83" s="1">
        <f t="shared" si="35"/>
        <v>0.61891737652341827</v>
      </c>
      <c r="R83" s="24">
        <f t="shared" si="28"/>
        <v>15.472934413085456</v>
      </c>
      <c r="S83" s="2">
        <v>9.6</v>
      </c>
      <c r="T83" s="1">
        <v>2.5118864315095784E-10</v>
      </c>
      <c r="U83" s="1">
        <v>4.0208824225903246E-5</v>
      </c>
      <c r="V83" s="1">
        <v>6.0735141574543947E-2</v>
      </c>
      <c r="W83" s="1">
        <v>6.0320928751824376E-2</v>
      </c>
      <c r="X83" s="44">
        <v>1.5080232187956093</v>
      </c>
      <c r="Y83" s="2">
        <v>8.1999999999999194</v>
      </c>
      <c r="Z83" s="1">
        <f t="shared" si="36"/>
        <v>6.3095734448030993E-9</v>
      </c>
      <c r="AA83" s="1">
        <f t="shared" si="37"/>
        <v>1.6007421243854285E-6</v>
      </c>
      <c r="AB83" s="1">
        <f t="shared" si="38"/>
        <v>0.99936944051165999</v>
      </c>
      <c r="AC83" s="1">
        <f t="shared" si="39"/>
        <v>0.99937422181379065</v>
      </c>
      <c r="AD83" s="24">
        <f t="shared" si="40"/>
        <v>199.87484436275813</v>
      </c>
      <c r="AE83" s="2">
        <v>10.799999999999899</v>
      </c>
      <c r="AF83" s="1">
        <v>1.5848931924614743E-11</v>
      </c>
      <c r="AG83" s="1">
        <v>6.3726691792485011E-4</v>
      </c>
      <c r="AH83" s="1">
        <v>0.99999841510931942</v>
      </c>
      <c r="AI83" s="1">
        <v>1.0019126535571614</v>
      </c>
      <c r="AJ83" s="44">
        <v>200.38253071143228</v>
      </c>
    </row>
    <row r="84" spans="1:36" ht="15" customHeight="1" x14ac:dyDescent="0.3">
      <c r="A84" s="2">
        <v>8.3000000000000007</v>
      </c>
      <c r="B84" s="1">
        <f t="shared" si="29"/>
        <v>5.0118723362727114E-9</v>
      </c>
      <c r="C84" s="1">
        <f t="shared" si="30"/>
        <v>2.0152149381185727E-6</v>
      </c>
      <c r="D84" s="1">
        <f t="shared" si="31"/>
        <v>0.99997215704005049</v>
      </c>
      <c r="E84" s="1">
        <f t="shared" si="32"/>
        <v>1.0000163821661274</v>
      </c>
      <c r="F84" s="24">
        <f t="shared" si="41"/>
        <v>500.00819108306371</v>
      </c>
      <c r="G84" s="2">
        <v>10.4</v>
      </c>
      <c r="H84" s="1">
        <v>3.9810717055349579E-11</v>
      </c>
      <c r="I84" s="1">
        <v>2.5370052958246852E-4</v>
      </c>
      <c r="J84" s="1">
        <v>0.99999977882939861</v>
      </c>
      <c r="K84" s="1">
        <v>1.0056096530388454</v>
      </c>
      <c r="L84" s="44">
        <v>502.8048265194227</v>
      </c>
      <c r="M84" s="2">
        <v>8.3000000000000007</v>
      </c>
      <c r="N84" s="1">
        <f t="shared" si="33"/>
        <v>5.0118723362727114E-9</v>
      </c>
      <c r="O84" s="1">
        <f t="shared" si="27"/>
        <v>2.0152149381185727E-6</v>
      </c>
      <c r="P84" s="1">
        <f t="shared" si="34"/>
        <v>0.56335404414770551</v>
      </c>
      <c r="Q84" s="1">
        <f t="shared" si="35"/>
        <v>0.56332828009586922</v>
      </c>
      <c r="R84" s="24">
        <f t="shared" si="28"/>
        <v>14.083207002396732</v>
      </c>
      <c r="S84" s="2">
        <v>9.6999999999999993</v>
      </c>
      <c r="T84" s="1">
        <v>1.9952623149688802E-10</v>
      </c>
      <c r="U84" s="1">
        <v>5.0619910596354482E-5</v>
      </c>
      <c r="V84" s="1">
        <v>4.8853896424585458E-2</v>
      </c>
      <c r="W84" s="1">
        <v>4.8335465677349088E-2</v>
      </c>
      <c r="X84" s="44">
        <v>1.208386641933727</v>
      </c>
      <c r="Y84" s="2">
        <v>8.2999999999999208</v>
      </c>
      <c r="Z84" s="1">
        <f t="shared" si="36"/>
        <v>5.0118723362736362E-9</v>
      </c>
      <c r="AA84" s="1">
        <f t="shared" si="37"/>
        <v>2.0152149381182009E-6</v>
      </c>
      <c r="AB84" s="1">
        <f t="shared" si="38"/>
        <v>0.9994990638291863</v>
      </c>
      <c r="AC84" s="1">
        <f t="shared" si="39"/>
        <v>0.99950509244865426</v>
      </c>
      <c r="AD84" s="24">
        <f t="shared" si="40"/>
        <v>199.90101848973086</v>
      </c>
      <c r="AE84" s="2">
        <v>10.899999999999901</v>
      </c>
      <c r="AF84" s="1">
        <v>1.2589254117944505E-11</v>
      </c>
      <c r="AG84" s="1">
        <v>8.0227151707134377E-4</v>
      </c>
      <c r="AH84" s="1">
        <v>0.99999874107617315</v>
      </c>
      <c r="AI84" s="1">
        <v>1.0024094216102197</v>
      </c>
      <c r="AJ84" s="44">
        <v>200.48188432204395</v>
      </c>
    </row>
    <row r="85" spans="1:36" ht="15" customHeight="1" x14ac:dyDescent="0.3">
      <c r="A85" s="2">
        <v>8.4</v>
      </c>
      <c r="B85" s="1">
        <f t="shared" si="29"/>
        <v>3.9810717055349665E-9</v>
      </c>
      <c r="C85" s="1">
        <f t="shared" si="30"/>
        <v>2.5370052958246796E-6</v>
      </c>
      <c r="D85" s="1">
        <f t="shared" si="31"/>
        <v>0.99997788342412297</v>
      </c>
      <c r="E85" s="1">
        <f t="shared" si="32"/>
        <v>1.0000336116598365</v>
      </c>
      <c r="F85" s="24">
        <f t="shared" si="41"/>
        <v>500.01680582991821</v>
      </c>
      <c r="G85" s="2">
        <v>10.5</v>
      </c>
      <c r="H85" s="1">
        <v>3.162277660168371E-11</v>
      </c>
      <c r="I85" s="1">
        <v>3.1939004367700712E-4</v>
      </c>
      <c r="J85" s="1">
        <v>0.99999982431793855</v>
      </c>
      <c r="K85" s="1">
        <v>1.007071576400568</v>
      </c>
      <c r="L85" s="44">
        <v>503.535788200284</v>
      </c>
      <c r="M85" s="2">
        <v>8.4</v>
      </c>
      <c r="N85" s="1">
        <f t="shared" si="33"/>
        <v>3.9810717055349665E-9</v>
      </c>
      <c r="O85" s="1">
        <f t="shared" si="27"/>
        <v>2.5370052958246796E-6</v>
      </c>
      <c r="P85" s="1">
        <f t="shared" si="34"/>
        <v>0.50613146186811631</v>
      </c>
      <c r="Q85" s="1">
        <f t="shared" si="35"/>
        <v>0.50609972181159935</v>
      </c>
      <c r="R85" s="24">
        <f t="shared" si="28"/>
        <v>12.652493045289985</v>
      </c>
      <c r="S85" s="2">
        <v>9.8000000000000007</v>
      </c>
      <c r="T85" s="1">
        <v>1.5848931924611098E-10</v>
      </c>
      <c r="U85" s="1">
        <v>6.3726691792499661E-5</v>
      </c>
      <c r="V85" s="1">
        <v>3.9199904740221239E-2</v>
      </c>
      <c r="W85" s="1">
        <v>3.8550356004460599E-2</v>
      </c>
      <c r="X85" s="44">
        <v>0.96375890011151499</v>
      </c>
      <c r="Y85" s="2">
        <v>8.3999999999999204</v>
      </c>
      <c r="Z85" s="1">
        <f t="shared" si="36"/>
        <v>3.9810717055356878E-9</v>
      </c>
      <c r="AA85" s="1">
        <f t="shared" si="37"/>
        <v>2.5370052958242201E-6</v>
      </c>
      <c r="AB85" s="1">
        <f t="shared" si="38"/>
        <v>0.99960205125569512</v>
      </c>
      <c r="AC85" s="1">
        <f t="shared" si="39"/>
        <v>0.99960964835082711</v>
      </c>
      <c r="AD85" s="24">
        <f t="shared" si="40"/>
        <v>199.92192967016541</v>
      </c>
      <c r="AE85" s="2">
        <v>10.999999999999901</v>
      </c>
      <c r="AF85" s="1">
        <v>1.0000000000002258E-11</v>
      </c>
      <c r="AG85" s="1">
        <v>1.0099999999997719E-3</v>
      </c>
      <c r="AH85" s="1">
        <v>0.99999900000099995</v>
      </c>
      <c r="AI85" s="1">
        <v>1.0030351309354282</v>
      </c>
      <c r="AJ85" s="44">
        <v>200.60702618708564</v>
      </c>
    </row>
    <row r="86" spans="1:36" ht="15" customHeight="1" x14ac:dyDescent="0.3">
      <c r="A86" s="2">
        <v>8.5</v>
      </c>
      <c r="B86" s="1">
        <f t="shared" si="29"/>
        <v>3.1622776601683779E-9</v>
      </c>
      <c r="C86" s="1">
        <f t="shared" si="30"/>
        <v>3.1939004367700643E-6</v>
      </c>
      <c r="D86" s="1">
        <f t="shared" si="31"/>
        <v>0.9999824320994134</v>
      </c>
      <c r="E86" s="1">
        <f t="shared" si="32"/>
        <v>1.0000526316975931</v>
      </c>
      <c r="F86" s="24">
        <f t="shared" si="41"/>
        <v>500.02631584879651</v>
      </c>
      <c r="G86" s="2">
        <v>10.6</v>
      </c>
      <c r="H86" s="1">
        <v>2.5118864315095759E-11</v>
      </c>
      <c r="I86" s="1">
        <v>4.0208824225903287E-4</v>
      </c>
      <c r="J86" s="1">
        <v>0.99999986045077327</v>
      </c>
      <c r="K86" s="1">
        <v>1.0089175137721362</v>
      </c>
      <c r="L86" s="44">
        <v>504.4587568860681</v>
      </c>
      <c r="M86" s="2">
        <v>8.5</v>
      </c>
      <c r="N86" s="1">
        <f t="shared" si="33"/>
        <v>3.1622776601683779E-9</v>
      </c>
      <c r="O86" s="1">
        <f t="shared" si="27"/>
        <v>3.1939004367700643E-6</v>
      </c>
      <c r="P86" s="1">
        <f t="shared" si="34"/>
        <v>0.44874778715552566</v>
      </c>
      <c r="Q86" s="1">
        <f t="shared" si="35"/>
        <v>0.44870872121373906</v>
      </c>
      <c r="R86" s="24">
        <f t="shared" si="28"/>
        <v>11.217718030343477</v>
      </c>
      <c r="S86" s="2">
        <v>9.9</v>
      </c>
      <c r="T86" s="1">
        <v>1.2589254117941656E-10</v>
      </c>
      <c r="U86" s="1">
        <v>8.0227151707152526E-5</v>
      </c>
      <c r="V86" s="1">
        <v>3.1390672580323409E-2</v>
      </c>
      <c r="W86" s="1">
        <v>3.0576137159451282E-2</v>
      </c>
      <c r="X86" s="44">
        <v>0.764403428986282</v>
      </c>
      <c r="Y86" s="2">
        <v>8.4999999999999094</v>
      </c>
      <c r="Z86" s="1">
        <f t="shared" si="36"/>
        <v>3.1622776601690293E-9</v>
      </c>
      <c r="AA86" s="1">
        <f t="shared" si="37"/>
        <v>3.1939004367694065E-6</v>
      </c>
      <c r="AB86" s="1">
        <f t="shared" si="38"/>
        <v>0.99968387220237032</v>
      </c>
      <c r="AC86" s="1">
        <f t="shared" si="39"/>
        <v>0.99969344246055802</v>
      </c>
      <c r="AD86" s="24">
        <f t="shared" si="40"/>
        <v>199.93868849211159</v>
      </c>
      <c r="AE86" s="2">
        <v>11.0999999999999</v>
      </c>
      <c r="AF86" s="1">
        <v>7.9432823472446163E-12</v>
      </c>
      <c r="AG86" s="1">
        <v>1.2715146659118205E-3</v>
      </c>
      <c r="AH86" s="1">
        <v>0.9999992056723962</v>
      </c>
      <c r="AI86" s="1">
        <v>1.0038234728498476</v>
      </c>
      <c r="AJ86" s="44">
        <v>200.76469456996952</v>
      </c>
    </row>
    <row r="87" spans="1:36" ht="15" customHeight="1" x14ac:dyDescent="0.3">
      <c r="A87" s="2">
        <v>8.6</v>
      </c>
      <c r="B87" s="1">
        <f t="shared" si="29"/>
        <v>2.5118864315095812E-9</v>
      </c>
      <c r="C87" s="1">
        <f t="shared" si="30"/>
        <v>4.02088242259032E-6</v>
      </c>
      <c r="D87" s="1">
        <f t="shared" si="31"/>
        <v>0.99998604527011759</v>
      </c>
      <c r="E87" s="1">
        <f t="shared" si="32"/>
        <v>1.0000744554057013</v>
      </c>
      <c r="F87" s="24">
        <f t="shared" si="41"/>
        <v>500.03722770285066</v>
      </c>
      <c r="G87" s="2">
        <v>10.7</v>
      </c>
      <c r="H87" s="1">
        <v>1.995262314968878E-11</v>
      </c>
      <c r="I87" s="1">
        <v>5.0619910596354538E-4</v>
      </c>
      <c r="J87" s="1">
        <v>0.9999998891521058</v>
      </c>
      <c r="K87" s="1">
        <v>1.0112501655143629</v>
      </c>
      <c r="L87" s="44">
        <v>505.62508275718142</v>
      </c>
      <c r="M87" s="2">
        <v>8.6</v>
      </c>
      <c r="N87" s="1">
        <f t="shared" si="33"/>
        <v>2.5118864315095812E-9</v>
      </c>
      <c r="O87" s="1">
        <f t="shared" si="27"/>
        <v>4.02088242259032E-6</v>
      </c>
      <c r="P87" s="1">
        <f t="shared" si="34"/>
        <v>0.39269689960493048</v>
      </c>
      <c r="Q87" s="1">
        <f t="shared" si="35"/>
        <v>0.39264882685718444</v>
      </c>
      <c r="R87" s="24">
        <f t="shared" si="28"/>
        <v>9.8162206714296119</v>
      </c>
      <c r="S87" s="2">
        <v>10</v>
      </c>
      <c r="T87" s="1">
        <v>1E-10</v>
      </c>
      <c r="U87" s="1">
        <v>1.0099999999999999E-4</v>
      </c>
      <c r="V87" s="1">
        <v>2.5096525096525102E-2</v>
      </c>
      <c r="W87" s="1">
        <v>2.4074368552443302E-2</v>
      </c>
      <c r="X87" s="44">
        <v>0.60185921381108254</v>
      </c>
      <c r="Y87" s="2">
        <v>8.5999999999999108</v>
      </c>
      <c r="Z87" s="1">
        <f t="shared" si="36"/>
        <v>2.5118864315100899E-9</v>
      </c>
      <c r="AA87" s="1">
        <f t="shared" si="37"/>
        <v>4.020882422589506E-6</v>
      </c>
      <c r="AB87" s="1">
        <f t="shared" si="38"/>
        <v>0.99974887443673854</v>
      </c>
      <c r="AC87" s="1">
        <f t="shared" si="39"/>
        <v>0.99976092762698432</v>
      </c>
      <c r="AD87" s="24">
        <f t="shared" si="40"/>
        <v>199.95218552539686</v>
      </c>
      <c r="AE87" s="2">
        <v>11.1999999999999</v>
      </c>
      <c r="AF87" s="1">
        <v>6.3095734448033692E-12</v>
      </c>
      <c r="AG87" s="1">
        <v>1.6007421243853599E-3</v>
      </c>
      <c r="AH87" s="1">
        <v>0.99999936904305353</v>
      </c>
      <c r="AI87" s="1">
        <v>1.0048170170012756</v>
      </c>
      <c r="AJ87" s="44">
        <v>200.96340340025512</v>
      </c>
    </row>
    <row r="88" spans="1:36" ht="15" customHeight="1" x14ac:dyDescent="0.3">
      <c r="A88" s="2">
        <v>8.6999999999999993</v>
      </c>
      <c r="B88" s="1">
        <f t="shared" si="29"/>
        <v>1.9952623149688824E-9</v>
      </c>
      <c r="C88" s="1">
        <f t="shared" si="30"/>
        <v>5.0619910596354431E-6</v>
      </c>
      <c r="D88" s="1">
        <f t="shared" si="31"/>
        <v>0.99998891533223255</v>
      </c>
      <c r="E88" s="1">
        <f t="shared" si="32"/>
        <v>1.000100245384598</v>
      </c>
      <c r="F88" s="24">
        <f t="shared" si="41"/>
        <v>500.050122692299</v>
      </c>
      <c r="G88" s="2">
        <v>10.8</v>
      </c>
      <c r="H88" s="1">
        <v>1.5848931924611082E-11</v>
      </c>
      <c r="I88" s="1">
        <v>6.3726691792499724E-4</v>
      </c>
      <c r="J88" s="1">
        <v>0.99999991195038596</v>
      </c>
      <c r="K88" s="1">
        <v>1.0142007775058237</v>
      </c>
      <c r="L88" s="44">
        <v>507.10038875291178</v>
      </c>
      <c r="M88" s="2">
        <v>8.6999999999999993</v>
      </c>
      <c r="N88" s="1">
        <f t="shared" si="33"/>
        <v>1.9952623149688824E-9</v>
      </c>
      <c r="O88" s="1">
        <f t="shared" si="27"/>
        <v>5.0619910596354431E-6</v>
      </c>
      <c r="P88" s="1">
        <f t="shared" si="34"/>
        <v>0.33933738368571104</v>
      </c>
      <c r="Q88" s="1">
        <f t="shared" si="35"/>
        <v>0.33927819999640729</v>
      </c>
      <c r="R88" s="24">
        <f t="shared" si="28"/>
        <v>8.4819549999101813</v>
      </c>
      <c r="S88" s="2">
        <v>10.1</v>
      </c>
      <c r="T88" s="1">
        <v>7.943282347242792E-11</v>
      </c>
      <c r="U88" s="1">
        <v>1.2715146659121124E-4</v>
      </c>
      <c r="V88" s="1">
        <v>2.0038309148299925E-2</v>
      </c>
      <c r="W88" s="1">
        <v>1.8754871736929406E-2</v>
      </c>
      <c r="X88" s="44">
        <v>0.46887179342323515</v>
      </c>
      <c r="Y88" s="2">
        <v>8.6999999999999105</v>
      </c>
      <c r="Z88" s="1">
        <f t="shared" si="36"/>
        <v>1.9952623149692864E-9</v>
      </c>
      <c r="AA88" s="1">
        <f t="shared" si="37"/>
        <v>5.0619910596344174E-6</v>
      </c>
      <c r="AB88" s="1">
        <f t="shared" si="38"/>
        <v>0.99980051357127842</v>
      </c>
      <c r="AC88" s="1">
        <f t="shared" si="39"/>
        <v>0.99981569169347184</v>
      </c>
      <c r="AD88" s="24">
        <f t="shared" si="40"/>
        <v>199.96313833869436</v>
      </c>
      <c r="AE88" s="2">
        <v>11.299999999999899</v>
      </c>
      <c r="AF88" s="1">
        <v>5.011872336273869E-12</v>
      </c>
      <c r="AG88" s="1">
        <v>2.0152149381181075E-3</v>
      </c>
      <c r="AH88" s="1">
        <v>0.99999949881301764</v>
      </c>
      <c r="AI88" s="1">
        <v>1.0060696067366037</v>
      </c>
      <c r="AJ88" s="44">
        <v>201.21392134732073</v>
      </c>
    </row>
    <row r="89" spans="1:36" ht="15" customHeight="1" x14ac:dyDescent="0.3">
      <c r="A89" s="2">
        <v>8.8000000000000007</v>
      </c>
      <c r="B89" s="1">
        <f t="shared" si="29"/>
        <v>1.584893192461106E-9</v>
      </c>
      <c r="C89" s="1">
        <f t="shared" si="30"/>
        <v>6.3726691792499815E-6</v>
      </c>
      <c r="D89" s="1">
        <f t="shared" si="31"/>
        <v>0.99999119511534629</v>
      </c>
      <c r="E89" s="1">
        <f t="shared" si="32"/>
        <v>1.0001313757097539</v>
      </c>
      <c r="F89" s="24">
        <f t="shared" si="41"/>
        <v>500.0656878548769</v>
      </c>
      <c r="G89" s="2">
        <v>10.9</v>
      </c>
      <c r="H89" s="1">
        <v>1.2589254117941641E-11</v>
      </c>
      <c r="I89" s="1">
        <v>8.0227151707152624E-4</v>
      </c>
      <c r="J89" s="1">
        <v>0.99999993005970422</v>
      </c>
      <c r="K89" s="1">
        <v>1.0179377216164791</v>
      </c>
      <c r="L89" s="44">
        <v>508.96886080823953</v>
      </c>
      <c r="M89" s="2">
        <v>8.8000000000000007</v>
      </c>
      <c r="N89" s="1">
        <f t="shared" si="33"/>
        <v>1.584893192461106E-9</v>
      </c>
      <c r="O89" s="1">
        <f t="shared" si="27"/>
        <v>6.3726691792499815E-6</v>
      </c>
      <c r="P89" s="1">
        <f t="shared" si="34"/>
        <v>0.28976884671204739</v>
      </c>
      <c r="Q89" s="1">
        <f t="shared" si="35"/>
        <v>0.28969590748396734</v>
      </c>
      <c r="R89" s="24">
        <f t="shared" si="28"/>
        <v>7.2423976870991842</v>
      </c>
      <c r="S89" s="2">
        <v>10.199999999999999</v>
      </c>
      <c r="T89" s="1">
        <v>6.3095734448019192E-11</v>
      </c>
      <c r="U89" s="1">
        <v>1.600742124385728E-4</v>
      </c>
      <c r="V89" s="1">
        <v>1.598286514515497E-2</v>
      </c>
      <c r="W89" s="1">
        <v>1.4370621826404641E-2</v>
      </c>
      <c r="X89" s="44">
        <v>0.35926554566011604</v>
      </c>
      <c r="Y89" s="2">
        <v>8.7999999999999101</v>
      </c>
      <c r="Z89" s="1">
        <f t="shared" si="36"/>
        <v>1.5848931924614381E-9</v>
      </c>
      <c r="AA89" s="1">
        <f t="shared" si="37"/>
        <v>6.3726691792486458E-6</v>
      </c>
      <c r="AB89" s="1">
        <f t="shared" si="38"/>
        <v>0.99984153579563773</v>
      </c>
      <c r="AC89" s="1">
        <f t="shared" si="39"/>
        <v>0.99986064727283996</v>
      </c>
      <c r="AD89" s="24">
        <f t="shared" si="40"/>
        <v>199.97212945456801</v>
      </c>
      <c r="AE89" s="2">
        <v>11.399999999999901</v>
      </c>
      <c r="AF89" s="1">
        <v>3.9810717055358726E-12</v>
      </c>
      <c r="AG89" s="1">
        <v>2.5370052958241019E-3</v>
      </c>
      <c r="AH89" s="1">
        <v>0.99999960189298787</v>
      </c>
      <c r="AI89" s="1">
        <v>1.0076494310626882</v>
      </c>
      <c r="AJ89" s="44">
        <v>201.52988621253763</v>
      </c>
    </row>
    <row r="90" spans="1:36" ht="15" customHeight="1" x14ac:dyDescent="0.3">
      <c r="A90" s="2">
        <v>8.9</v>
      </c>
      <c r="B90" s="1">
        <f t="shared" si="29"/>
        <v>1.2589254117941623E-9</v>
      </c>
      <c r="C90" s="1">
        <f t="shared" si="30"/>
        <v>8.0227151707152736E-6</v>
      </c>
      <c r="D90" s="1">
        <f t="shared" si="31"/>
        <v>0.99999300601885055</v>
      </c>
      <c r="E90" s="1">
        <f t="shared" si="32"/>
        <v>1.0001695052498261</v>
      </c>
      <c r="F90" s="24">
        <f t="shared" si="41"/>
        <v>500.08475262491299</v>
      </c>
      <c r="G90" s="2">
        <v>11</v>
      </c>
      <c r="H90" s="1">
        <v>9.9999999999999994E-12</v>
      </c>
      <c r="I90" s="1">
        <v>1.01E-3</v>
      </c>
      <c r="J90" s="1">
        <v>0.99999994444444762</v>
      </c>
      <c r="K90" s="1">
        <v>1.0226780406408573</v>
      </c>
      <c r="L90" s="44">
        <v>511.33902032042869</v>
      </c>
      <c r="M90" s="2">
        <v>8.9</v>
      </c>
      <c r="N90" s="1">
        <f t="shared" si="33"/>
        <v>1.2589254117941623E-9</v>
      </c>
      <c r="O90" s="1">
        <f t="shared" si="27"/>
        <v>8.0227151707152736E-6</v>
      </c>
      <c r="P90" s="1">
        <f t="shared" si="34"/>
        <v>0.24475851589880585</v>
      </c>
      <c r="Q90" s="1">
        <f t="shared" si="35"/>
        <v>0.24466848834848334</v>
      </c>
      <c r="R90" s="24">
        <f t="shared" si="28"/>
        <v>6.1167122087120838</v>
      </c>
      <c r="S90" s="2">
        <v>10.3</v>
      </c>
      <c r="T90" s="1">
        <v>5.0118723362726993E-11</v>
      </c>
      <c r="U90" s="1">
        <v>2.0152149381185778E-4</v>
      </c>
      <c r="V90" s="1">
        <v>1.273751211323421E-2</v>
      </c>
      <c r="W90" s="1">
        <v>1.0711504686859757E-2</v>
      </c>
      <c r="X90" s="44">
        <v>0.26778761717149391</v>
      </c>
      <c r="Y90" s="2">
        <v>8.8999999999999098</v>
      </c>
      <c r="Z90" s="1">
        <f t="shared" si="36"/>
        <v>1.2589254117944264E-9</v>
      </c>
      <c r="AA90" s="1">
        <f t="shared" si="37"/>
        <v>8.0227151707135914E-6</v>
      </c>
      <c r="AB90" s="1">
        <f t="shared" si="38"/>
        <v>0.99987412330575753</v>
      </c>
      <c r="AC90" s="1">
        <f t="shared" si="39"/>
        <v>0.99989818604110103</v>
      </c>
      <c r="AD90" s="24">
        <f t="shared" si="40"/>
        <v>199.9796372082202</v>
      </c>
      <c r="AE90" s="2">
        <v>11.499999999999901</v>
      </c>
      <c r="AF90" s="1">
        <v>3.1622776601690975E-12</v>
      </c>
      <c r="AG90" s="1">
        <v>3.1939004367693377E-3</v>
      </c>
      <c r="AH90" s="1">
        <v>0.99999968377233395</v>
      </c>
      <c r="AI90" s="1">
        <v>1.0096429825252926</v>
      </c>
      <c r="AJ90" s="44">
        <v>201.92859650505852</v>
      </c>
    </row>
    <row r="91" spans="1:36" ht="15" customHeight="1" x14ac:dyDescent="0.3">
      <c r="A91" s="2">
        <v>9</v>
      </c>
      <c r="B91" s="1">
        <f t="shared" si="29"/>
        <v>1.0000000000000001E-9</v>
      </c>
      <c r="C91" s="1">
        <f t="shared" si="30"/>
        <v>1.0099999999999998E-5</v>
      </c>
      <c r="D91" s="1">
        <f t="shared" si="31"/>
        <v>0.9999944444753085</v>
      </c>
      <c r="E91" s="1">
        <f t="shared" si="32"/>
        <v>1.0002166662375551</v>
      </c>
      <c r="F91" s="24">
        <f t="shared" si="41"/>
        <v>500.10833311877752</v>
      </c>
      <c r="G91" s="2">
        <v>11.1</v>
      </c>
      <c r="H91" s="1">
        <v>7.9432823472428101E-12</v>
      </c>
      <c r="I91" s="1">
        <v>1.2715146659121096E-3</v>
      </c>
      <c r="J91" s="1">
        <v>0.9999999558706556</v>
      </c>
      <c r="K91" s="1">
        <v>1.0287032093749908</v>
      </c>
      <c r="L91" s="44">
        <v>514.35160468749541</v>
      </c>
      <c r="M91" s="2">
        <v>9</v>
      </c>
      <c r="N91" s="1">
        <f t="shared" si="33"/>
        <v>1.0000000000000001E-9</v>
      </c>
      <c r="O91" s="1">
        <f t="shared" si="27"/>
        <v>1.0099999999999998E-5</v>
      </c>
      <c r="P91" s="1">
        <f t="shared" si="34"/>
        <v>0.20472440944881895</v>
      </c>
      <c r="Q91" s="1">
        <f t="shared" si="35"/>
        <v>0.2046130875109651</v>
      </c>
      <c r="R91" s="24">
        <f t="shared" si="28"/>
        <v>5.1153271877741275</v>
      </c>
      <c r="S91" s="2">
        <v>10.4</v>
      </c>
      <c r="T91" s="1">
        <v>3.9810717055349579E-11</v>
      </c>
      <c r="U91" s="1">
        <v>2.5370052958246852E-4</v>
      </c>
      <c r="V91" s="1">
        <v>1.0144341114845069E-2</v>
      </c>
      <c r="W91" s="1">
        <v>7.597698517951842E-3</v>
      </c>
      <c r="X91" s="44">
        <v>0.18994246294879605</v>
      </c>
      <c r="Y91" s="2">
        <v>8.9999999999999094</v>
      </c>
      <c r="Z91" s="1">
        <f t="shared" si="36"/>
        <v>1.0000000000002067E-9</v>
      </c>
      <c r="AA91" s="1">
        <f t="shared" si="37"/>
        <v>1.0099999999997913E-5</v>
      </c>
      <c r="AB91" s="1">
        <f t="shared" si="38"/>
        <v>0.99990000999900008</v>
      </c>
      <c r="AC91" s="1">
        <f t="shared" si="39"/>
        <v>0.99993030559131246</v>
      </c>
      <c r="AD91" s="24">
        <f t="shared" si="40"/>
        <v>199.98606111826248</v>
      </c>
      <c r="AE91" s="2">
        <v>11.5999999999999</v>
      </c>
      <c r="AF91" s="1">
        <v>2.511886431510153E-12</v>
      </c>
      <c r="AG91" s="1">
        <v>4.0208824225894052E-3</v>
      </c>
      <c r="AH91" s="1">
        <v>0.99999974881141984</v>
      </c>
      <c r="AI91" s="1">
        <v>1.0121601854232389</v>
      </c>
      <c r="AJ91" s="44">
        <v>202.43203708464779</v>
      </c>
    </row>
    <row r="92" spans="1:36" ht="15" customHeight="1" x14ac:dyDescent="0.3">
      <c r="A92" s="2">
        <v>9.1</v>
      </c>
      <c r="B92" s="1">
        <f t="shared" si="29"/>
        <v>7.9432823472428E-10</v>
      </c>
      <c r="C92" s="1">
        <f t="shared" si="30"/>
        <v>1.2715146659121113E-5</v>
      </c>
      <c r="D92" s="1">
        <f t="shared" si="31"/>
        <v>0.99999558708483649</v>
      </c>
      <c r="E92" s="1">
        <f t="shared" si="32"/>
        <v>1.0002753728598672</v>
      </c>
      <c r="F92" s="24">
        <f t="shared" si="41"/>
        <v>500.13768642993358</v>
      </c>
      <c r="G92" s="2">
        <v>11.2</v>
      </c>
      <c r="H92" s="1">
        <v>6.3095734448019345E-12</v>
      </c>
      <c r="I92" s="1">
        <v>1.600742124385724E-3</v>
      </c>
      <c r="J92" s="1">
        <v>0.99999996494681542</v>
      </c>
      <c r="K92" s="1">
        <v>1.0363810243024856</v>
      </c>
      <c r="L92" s="44">
        <v>518.19051215124273</v>
      </c>
      <c r="M92" s="2">
        <v>9.1</v>
      </c>
      <c r="N92" s="1">
        <f t="shared" si="33"/>
        <v>7.9432823472428E-10</v>
      </c>
      <c r="O92" s="1">
        <f t="shared" si="27"/>
        <v>1.2715146659121113E-5</v>
      </c>
      <c r="P92" s="1">
        <f t="shared" si="34"/>
        <v>0.16976657539557677</v>
      </c>
      <c r="Q92" s="1">
        <f t="shared" si="35"/>
        <v>0.16962864828026966</v>
      </c>
      <c r="R92" s="24">
        <f t="shared" si="28"/>
        <v>4.2407162070067415</v>
      </c>
      <c r="S92" s="2">
        <v>10.5</v>
      </c>
      <c r="T92" s="1">
        <v>3.162277660168371E-11</v>
      </c>
      <c r="U92" s="1">
        <v>3.1939004367700712E-4</v>
      </c>
      <c r="V92" s="1">
        <v>8.0747838358880986E-3</v>
      </c>
      <c r="W92" s="1">
        <v>4.8731016154273301E-3</v>
      </c>
      <c r="X92" s="44">
        <v>0.12182754038568326</v>
      </c>
      <c r="Y92" s="2">
        <v>9.0999999999999108</v>
      </c>
      <c r="Z92" s="1">
        <f t="shared" si="36"/>
        <v>7.9432823472444358E-10</v>
      </c>
      <c r="AA92" s="1">
        <f t="shared" si="37"/>
        <v>1.2715146659118494E-5</v>
      </c>
      <c r="AB92" s="1">
        <f t="shared" si="38"/>
        <v>0.99992057348559993</v>
      </c>
      <c r="AC92" s="1">
        <f t="shared" si="39"/>
        <v>0.99995871549278104</v>
      </c>
      <c r="AD92" s="24">
        <f t="shared" si="40"/>
        <v>199.99174309855621</v>
      </c>
      <c r="AE92" s="2">
        <v>11.6999999999999</v>
      </c>
      <c r="AF92" s="1">
        <v>1.9952623149693363E-12</v>
      </c>
      <c r="AG92" s="1">
        <v>5.0619910596342906E-3</v>
      </c>
      <c r="AH92" s="1">
        <v>0.99999980047380832</v>
      </c>
      <c r="AI92" s="1">
        <v>1.0153410865324084</v>
      </c>
      <c r="AJ92" s="44">
        <v>203.06821730648167</v>
      </c>
    </row>
    <row r="93" spans="1:36" ht="15" customHeight="1" x14ac:dyDescent="0.3">
      <c r="A93" s="2">
        <v>9.1999999999999993</v>
      </c>
      <c r="B93" s="1">
        <f t="shared" si="29"/>
        <v>6.309573444801927E-10</v>
      </c>
      <c r="C93" s="1">
        <f t="shared" si="30"/>
        <v>1.6007421243857258E-5</v>
      </c>
      <c r="D93" s="1">
        <f t="shared" si="31"/>
        <v>0.99999649469370677</v>
      </c>
      <c r="E93" s="1">
        <f t="shared" si="32"/>
        <v>1.0003487557292063</v>
      </c>
      <c r="F93" s="24">
        <f t="shared" si="41"/>
        <v>500.17437786460317</v>
      </c>
      <c r="G93" s="2">
        <v>11.3</v>
      </c>
      <c r="H93" s="1">
        <v>5.0118723362726945E-12</v>
      </c>
      <c r="I93" s="1">
        <v>2.0152149381185798E-3</v>
      </c>
      <c r="J93" s="1">
        <v>0.99999997215626557</v>
      </c>
      <c r="K93" s="1">
        <v>1.0461966231825446</v>
      </c>
      <c r="L93" s="44">
        <v>523.09831159127225</v>
      </c>
      <c r="M93" s="2">
        <v>9.1999999999999993</v>
      </c>
      <c r="N93" s="1">
        <f t="shared" si="33"/>
        <v>6.309573444801927E-10</v>
      </c>
      <c r="O93" s="1">
        <f t="shared" si="27"/>
        <v>1.6007421243857258E-5</v>
      </c>
      <c r="P93" s="1">
        <f t="shared" si="34"/>
        <v>0.13972919546056498</v>
      </c>
      <c r="Q93" s="1">
        <f t="shared" si="35"/>
        <v>0.1395579581828526</v>
      </c>
      <c r="R93" s="24">
        <f t="shared" si="28"/>
        <v>3.488948954571315</v>
      </c>
      <c r="S93" s="2">
        <v>10.6</v>
      </c>
      <c r="T93" s="1">
        <v>2.5118864315095759E-11</v>
      </c>
      <c r="U93" s="1">
        <v>4.0208824225903287E-4</v>
      </c>
      <c r="V93" s="1">
        <v>6.4246986408263177E-3</v>
      </c>
      <c r="W93" s="1">
        <v>2.3989934344596678E-3</v>
      </c>
      <c r="X93" s="44">
        <v>5.9974835861491695E-2</v>
      </c>
      <c r="Y93" s="2">
        <v>9.1999999999999105</v>
      </c>
      <c r="Z93" s="1">
        <f t="shared" si="36"/>
        <v>6.3095734448032267E-10</v>
      </c>
      <c r="AA93" s="1">
        <f t="shared" si="37"/>
        <v>1.6007421243853961E-5</v>
      </c>
      <c r="AB93" s="1">
        <f t="shared" si="38"/>
        <v>0.99993690824637249</v>
      </c>
      <c r="AC93" s="1">
        <f t="shared" si="39"/>
        <v>0.99998492813472761</v>
      </c>
      <c r="AD93" s="24">
        <f t="shared" si="40"/>
        <v>199.99698562694553</v>
      </c>
      <c r="AE93" s="2">
        <v>11.799999999999899</v>
      </c>
      <c r="AF93" s="1">
        <v>1.5848931924614781E-12</v>
      </c>
      <c r="AG93" s="1">
        <v>6.3726691792484851E-3</v>
      </c>
      <c r="AH93" s="1">
        <v>0.99999984151070598</v>
      </c>
      <c r="AI93" s="1">
        <v>1.019364658164134</v>
      </c>
      <c r="AJ93" s="44">
        <v>203.87293163282681</v>
      </c>
    </row>
    <row r="94" spans="1:36" ht="15" customHeight="1" x14ac:dyDescent="0.3">
      <c r="A94" s="2">
        <v>9.3000000000000007</v>
      </c>
      <c r="B94" s="1">
        <f t="shared" si="29"/>
        <v>5.011872336272705E-10</v>
      </c>
      <c r="C94" s="1">
        <f t="shared" si="30"/>
        <v>2.0152149381185755E-5</v>
      </c>
      <c r="D94" s="1">
        <f t="shared" si="31"/>
        <v>0.99999721563423261</v>
      </c>
      <c r="E94" s="1">
        <f t="shared" si="32"/>
        <v>1.0004407295230255</v>
      </c>
      <c r="F94" s="24">
        <f t="shared" si="41"/>
        <v>500.22036476151277</v>
      </c>
      <c r="G94" s="2">
        <v>11.4</v>
      </c>
      <c r="H94" s="1">
        <v>3.9810717055349533E-12</v>
      </c>
      <c r="I94" s="1">
        <v>2.5370052958246878E-3</v>
      </c>
      <c r="J94" s="1">
        <v>0.99999997788293538</v>
      </c>
      <c r="K94" s="1">
        <v>1.0587974849108115</v>
      </c>
      <c r="L94" s="44">
        <v>529.39874245540568</v>
      </c>
      <c r="M94" s="2">
        <v>9.3000000000000007</v>
      </c>
      <c r="N94" s="1">
        <f t="shared" si="33"/>
        <v>5.011872336272705E-10</v>
      </c>
      <c r="O94" s="1">
        <f t="shared" si="27"/>
        <v>2.0152149381185755E-5</v>
      </c>
      <c r="P94" s="1">
        <f t="shared" si="34"/>
        <v>0.11427491778644863</v>
      </c>
      <c r="Q94" s="1">
        <f t="shared" si="35"/>
        <v>0.11406190862723418</v>
      </c>
      <c r="R94" s="24">
        <f t="shared" si="28"/>
        <v>2.8515477156808546</v>
      </c>
      <c r="S94" s="2">
        <v>10.7</v>
      </c>
      <c r="T94" s="1">
        <v>1.995262314968878E-11</v>
      </c>
      <c r="U94" s="1">
        <v>5.0619910596354538E-4</v>
      </c>
      <c r="V94" s="1">
        <v>5.1100718722298351E-3</v>
      </c>
      <c r="W94" s="1">
        <v>4.7959626525050813E-5</v>
      </c>
      <c r="X94" s="44">
        <v>1.1989906631262703E-3</v>
      </c>
      <c r="Y94" s="2">
        <v>9.2999999999999101</v>
      </c>
      <c r="Z94" s="1">
        <f t="shared" si="36"/>
        <v>5.0118723362737555E-10</v>
      </c>
      <c r="AA94" s="1">
        <f t="shared" si="37"/>
        <v>2.015214938118153E-5</v>
      </c>
      <c r="AB94" s="1">
        <f t="shared" si="38"/>
        <v>0.99994988378839778</v>
      </c>
      <c r="AC94" s="1">
        <f t="shared" si="39"/>
        <v>1.0000103391496815</v>
      </c>
      <c r="AD94" s="24">
        <f t="shared" si="40"/>
        <v>200.00206782993629</v>
      </c>
      <c r="AE94" s="2">
        <v>11.899999999999901</v>
      </c>
      <c r="AF94" s="1">
        <v>1.2589254117944535E-12</v>
      </c>
      <c r="AG94" s="1">
        <v>8.0227151707134188E-3</v>
      </c>
      <c r="AH94" s="1">
        <v>0.99999987410747471</v>
      </c>
      <c r="AI94" s="1">
        <v>1.0244604988461288</v>
      </c>
      <c r="AJ94" s="44">
        <v>204.89209976922575</v>
      </c>
    </row>
    <row r="95" spans="1:36" ht="15" customHeight="1" x14ac:dyDescent="0.3">
      <c r="A95" s="2">
        <v>9.4</v>
      </c>
      <c r="B95" s="1">
        <f t="shared" si="29"/>
        <v>3.9810717055349621E-10</v>
      </c>
      <c r="C95" s="1">
        <f t="shared" si="30"/>
        <v>2.5370052958246823E-5</v>
      </c>
      <c r="D95" s="1">
        <f t="shared" si="31"/>
        <v>0.99999778829838859</v>
      </c>
      <c r="E95" s="1">
        <f t="shared" si="32"/>
        <v>1.0005562029186339</v>
      </c>
      <c r="F95" s="24">
        <f t="shared" si="41"/>
        <v>500.27810145931693</v>
      </c>
      <c r="G95" s="2">
        <v>11.5</v>
      </c>
      <c r="H95" s="1">
        <v>3.1622776601683669E-12</v>
      </c>
      <c r="I95" s="1">
        <v>3.1939004367700754E-3</v>
      </c>
      <c r="J95" s="1">
        <v>0.99999998243179111</v>
      </c>
      <c r="K95" s="1">
        <v>1.0750605077352087</v>
      </c>
      <c r="L95" s="44">
        <v>537.5302538676043</v>
      </c>
      <c r="M95" s="2">
        <v>9.4</v>
      </c>
      <c r="N95" s="1">
        <f t="shared" si="33"/>
        <v>3.9810717055349621E-10</v>
      </c>
      <c r="O95" s="1">
        <f t="shared" si="27"/>
        <v>2.5370052958246823E-5</v>
      </c>
      <c r="P95" s="1">
        <f t="shared" si="34"/>
        <v>9.2956563360149236E-2</v>
      </c>
      <c r="Q95" s="1">
        <f t="shared" si="35"/>
        <v>9.2691109104409766E-2</v>
      </c>
      <c r="R95" s="24">
        <f t="shared" si="28"/>
        <v>2.3172777276102439</v>
      </c>
      <c r="Y95" s="2">
        <v>9.3999999999999098</v>
      </c>
      <c r="Z95" s="1">
        <f t="shared" si="36"/>
        <v>3.9810717055357971E-10</v>
      </c>
      <c r="AA95" s="1">
        <f t="shared" si="37"/>
        <v>2.5370052958241504E-5</v>
      </c>
      <c r="AB95" s="1">
        <f t="shared" si="38"/>
        <v>0.99996019086777466</v>
      </c>
      <c r="AC95" s="1">
        <f t="shared" si="39"/>
        <v>1.0000363016742497</v>
      </c>
      <c r="AD95" s="24">
        <f t="shared" si="40"/>
        <v>200.00726033484995</v>
      </c>
      <c r="AE95" s="2">
        <v>11.999999999999901</v>
      </c>
      <c r="AF95" s="1">
        <v>1.0000000000002247E-12</v>
      </c>
      <c r="AG95" s="1">
        <v>1.0099999999997729E-2</v>
      </c>
      <c r="AH95" s="1">
        <v>0.99999990000001004</v>
      </c>
      <c r="AI95" s="1">
        <v>1.0309245764410506</v>
      </c>
      <c r="AJ95" s="44">
        <v>206.18491528821014</v>
      </c>
    </row>
    <row r="96" spans="1:36" ht="15" customHeight="1" x14ac:dyDescent="0.3">
      <c r="A96" s="2">
        <v>9.5</v>
      </c>
      <c r="B96" s="1">
        <f t="shared" si="29"/>
        <v>3.1622776601683744E-10</v>
      </c>
      <c r="C96" s="1">
        <f t="shared" si="30"/>
        <v>3.193900436770068E-5</v>
      </c>
      <c r="D96" s="1">
        <f t="shared" si="31"/>
        <v>0.99999824318216413</v>
      </c>
      <c r="E96" s="1">
        <f t="shared" si="32"/>
        <v>1.0007013423203155</v>
      </c>
      <c r="F96" s="24">
        <f t="shared" si="41"/>
        <v>500.35067116015773</v>
      </c>
      <c r="G96" s="2">
        <v>11.6</v>
      </c>
      <c r="H96" s="1">
        <v>2.5118864315095726E-12</v>
      </c>
      <c r="I96" s="1">
        <v>4.0208824225903342E-3</v>
      </c>
      <c r="J96" s="1">
        <v>0.99999998604507567</v>
      </c>
      <c r="K96" s="1">
        <v>1.0961951902763687</v>
      </c>
      <c r="L96" s="44">
        <v>548.09759513818426</v>
      </c>
      <c r="M96" s="2">
        <v>9.5</v>
      </c>
      <c r="N96" s="1">
        <f t="shared" si="33"/>
        <v>3.1622776601683744E-10</v>
      </c>
      <c r="O96" s="1">
        <f t="shared" si="27"/>
        <v>3.193900436770068E-5</v>
      </c>
      <c r="P96" s="1">
        <f t="shared" si="34"/>
        <v>7.5277213330196727E-2</v>
      </c>
      <c r="Q96" s="1">
        <f t="shared" si="35"/>
        <v>7.4945858086853293E-2</v>
      </c>
      <c r="R96" s="24">
        <f t="shared" si="28"/>
        <v>1.8736464521713321</v>
      </c>
      <c r="Y96" s="2">
        <v>9.4999999999999094</v>
      </c>
      <c r="Z96" s="1">
        <f t="shared" si="36"/>
        <v>3.1622776601690371E-10</v>
      </c>
      <c r="AA96" s="1">
        <f t="shared" si="37"/>
        <v>3.1939004367693985E-5</v>
      </c>
      <c r="AB96" s="1">
        <f t="shared" si="38"/>
        <v>0.99996837822336671</v>
      </c>
      <c r="AC96" s="1">
        <f t="shared" si="39"/>
        <v>1.0000641983886112</v>
      </c>
      <c r="AD96" s="24">
        <f t="shared" si="40"/>
        <v>200.01283967772224</v>
      </c>
      <c r="AE96" s="2">
        <v>12.0999999999999</v>
      </c>
      <c r="AF96" s="1">
        <v>7.9432823472446079E-13</v>
      </c>
      <c r="AG96" s="1">
        <v>1.2715146659118218E-2</v>
      </c>
      <c r="AH96" s="1">
        <v>0.99999992056718279</v>
      </c>
      <c r="AI96" s="1">
        <v>1.0391407205462713</v>
      </c>
      <c r="AJ96" s="44">
        <v>207.82814410925425</v>
      </c>
    </row>
    <row r="97" spans="1:36" ht="15" customHeight="1" x14ac:dyDescent="0.3">
      <c r="A97" s="2">
        <v>9.6</v>
      </c>
      <c r="B97" s="1">
        <f t="shared" si="29"/>
        <v>2.5118864315095784E-10</v>
      </c>
      <c r="C97" s="1">
        <f t="shared" si="30"/>
        <v>4.0208824225903246E-5</v>
      </c>
      <c r="D97" s="1">
        <f t="shared" si="31"/>
        <v>0.99999860450948541</v>
      </c>
      <c r="E97" s="1">
        <f t="shared" si="32"/>
        <v>1.0008839039266169</v>
      </c>
      <c r="F97" s="24">
        <f t="shared" si="41"/>
        <v>500.44195196330838</v>
      </c>
      <c r="G97" s="2">
        <v>11.7</v>
      </c>
      <c r="H97" s="1">
        <v>1.9952623149688759E-12</v>
      </c>
      <c r="I97" s="1">
        <v>5.061991059635459E-3</v>
      </c>
      <c r="J97" s="1">
        <v>0.99999998891520947</v>
      </c>
      <c r="K97" s="1">
        <v>1.1239082402673155</v>
      </c>
      <c r="L97" s="44">
        <v>561.95412013365774</v>
      </c>
      <c r="M97" s="2">
        <v>9.6</v>
      </c>
      <c r="N97" s="1">
        <f t="shared" si="33"/>
        <v>2.5118864315095784E-10</v>
      </c>
      <c r="O97" s="1">
        <f t="shared" si="27"/>
        <v>4.0208824225903246E-5</v>
      </c>
      <c r="P97" s="1">
        <f t="shared" si="34"/>
        <v>6.0735141574543947E-2</v>
      </c>
      <c r="Q97" s="1">
        <f t="shared" si="35"/>
        <v>6.0320928751824376E-2</v>
      </c>
      <c r="R97" s="24">
        <f t="shared" si="28"/>
        <v>1.5080232187956093</v>
      </c>
      <c r="Y97" s="2">
        <v>9.5999999999999108</v>
      </c>
      <c r="Z97" s="1">
        <f t="shared" si="36"/>
        <v>2.5118864315100871E-10</v>
      </c>
      <c r="AA97" s="1">
        <f t="shared" si="37"/>
        <v>4.0208824225895101E-5</v>
      </c>
      <c r="AB97" s="1">
        <f t="shared" si="38"/>
        <v>0.9999748817666263</v>
      </c>
      <c r="AC97" s="1">
        <f t="shared" si="39"/>
        <v>1.0000955151667952</v>
      </c>
      <c r="AD97" s="24">
        <f t="shared" si="40"/>
        <v>200.01910303335904</v>
      </c>
      <c r="AE97" s="2">
        <v>12.1999999999999</v>
      </c>
      <c r="AF97" s="1">
        <v>6.3095734448033631E-13</v>
      </c>
      <c r="AG97" s="1">
        <v>1.6007421243853615E-2</v>
      </c>
      <c r="AH97" s="1">
        <v>0.99999993690426958</v>
      </c>
      <c r="AI97" s="1">
        <v>1.0496104720833646</v>
      </c>
      <c r="AJ97" s="44">
        <v>209.92209441667291</v>
      </c>
    </row>
    <row r="98" spans="1:36" ht="15" customHeight="1" x14ac:dyDescent="0.3">
      <c r="A98" s="2">
        <v>9.6999999999999993</v>
      </c>
      <c r="B98" s="1">
        <f t="shared" si="29"/>
        <v>1.9952623149688802E-10</v>
      </c>
      <c r="C98" s="1">
        <f t="shared" si="30"/>
        <v>5.0619910596354482E-5</v>
      </c>
      <c r="D98" s="1">
        <f t="shared" si="31"/>
        <v>0.99999889152216481</v>
      </c>
      <c r="E98" s="1">
        <f t="shared" si="32"/>
        <v>1.0011136526211859</v>
      </c>
      <c r="F98" s="24">
        <f t="shared" si="41"/>
        <v>500.55682631059295</v>
      </c>
      <c r="G98" s="2">
        <v>11.8</v>
      </c>
      <c r="H98" s="1">
        <v>1.5848931924611065E-12</v>
      </c>
      <c r="I98" s="1">
        <v>6.3726691792499795E-3</v>
      </c>
      <c r="J98" s="1">
        <v>0.99999999119503791</v>
      </c>
      <c r="K98" s="1">
        <v>1.16067761935128</v>
      </c>
      <c r="L98" s="44">
        <v>580.33880967563994</v>
      </c>
      <c r="M98" s="2">
        <v>9.6999999999999993</v>
      </c>
      <c r="N98" s="1">
        <f t="shared" si="33"/>
        <v>1.9952623149688802E-10</v>
      </c>
      <c r="O98" s="1">
        <f t="shared" si="27"/>
        <v>5.0619910596354482E-5</v>
      </c>
      <c r="P98" s="1">
        <f t="shared" si="34"/>
        <v>4.8853896424585458E-2</v>
      </c>
      <c r="Q98" s="1">
        <f t="shared" si="35"/>
        <v>4.8335465677349088E-2</v>
      </c>
      <c r="R98" s="24">
        <f t="shared" si="28"/>
        <v>1.208386641933727</v>
      </c>
      <c r="Y98" s="2">
        <v>9.6999999999998998</v>
      </c>
      <c r="Z98" s="1">
        <f t="shared" si="36"/>
        <v>1.9952623149693339E-10</v>
      </c>
      <c r="AA98" s="1">
        <f t="shared" si="37"/>
        <v>5.0619910596342969E-5</v>
      </c>
      <c r="AB98" s="1">
        <f t="shared" si="38"/>
        <v>0.99998004777494953</v>
      </c>
      <c r="AC98" s="1">
        <f t="shared" si="39"/>
        <v>1.0001319202636911</v>
      </c>
      <c r="AD98" s="24">
        <f t="shared" si="40"/>
        <v>200.02638405273822</v>
      </c>
      <c r="AE98" s="2">
        <v>12.299999999999899</v>
      </c>
      <c r="AF98" s="1">
        <v>5.0118723362738637E-13</v>
      </c>
      <c r="AG98" s="1">
        <v>2.0152149381181095E-2</v>
      </c>
      <c r="AH98" s="1">
        <v>0.99999994988127916</v>
      </c>
      <c r="AI98" s="1">
        <v>1.0629953827502721</v>
      </c>
      <c r="AJ98" s="44">
        <v>212.59907655005441</v>
      </c>
    </row>
    <row r="99" spans="1:36" ht="15" customHeight="1" x14ac:dyDescent="0.3">
      <c r="A99" s="2">
        <v>9.8000000000000007</v>
      </c>
      <c r="B99" s="1">
        <f t="shared" si="29"/>
        <v>1.5848931924611098E-10</v>
      </c>
      <c r="C99" s="1">
        <f t="shared" si="30"/>
        <v>6.3726691792499661E-5</v>
      </c>
      <c r="D99" s="1">
        <f t="shared" si="31"/>
        <v>0.99999911950455722</v>
      </c>
      <c r="E99" s="1">
        <f t="shared" si="32"/>
        <v>1.001402891265166</v>
      </c>
      <c r="F99" s="24">
        <f t="shared" si="41"/>
        <v>500.70144563258299</v>
      </c>
      <c r="G99" s="2">
        <v>11.9</v>
      </c>
      <c r="H99" s="1">
        <v>1.2589254117941629E-12</v>
      </c>
      <c r="I99" s="1">
        <v>8.0227151707152698E-3</v>
      </c>
      <c r="J99" s="1">
        <v>0.99999999300596998</v>
      </c>
      <c r="K99" s="1">
        <v>1.210232423853179</v>
      </c>
      <c r="L99" s="44">
        <v>605.11621192658947</v>
      </c>
      <c r="M99" s="2">
        <v>9.8000000000000007</v>
      </c>
      <c r="N99" s="1">
        <f t="shared" si="33"/>
        <v>1.5848931924611098E-10</v>
      </c>
      <c r="O99" s="1">
        <f t="shared" si="27"/>
        <v>6.3726691792499661E-5</v>
      </c>
      <c r="P99" s="1">
        <f t="shared" si="34"/>
        <v>3.9199904740221239E-2</v>
      </c>
      <c r="Q99" s="1">
        <f t="shared" si="35"/>
        <v>3.8550356004460599E-2</v>
      </c>
      <c r="R99" s="24">
        <f t="shared" si="28"/>
        <v>0.96375890011151499</v>
      </c>
      <c r="Y99" s="2">
        <v>9.7999999999998995</v>
      </c>
      <c r="Z99" s="1">
        <f t="shared" si="36"/>
        <v>1.5848931924614756E-10</v>
      </c>
      <c r="AA99" s="1">
        <f t="shared" si="37"/>
        <v>6.3726691792484957E-5</v>
      </c>
      <c r="AB99" s="1">
        <f t="shared" si="38"/>
        <v>0.99998415131926</v>
      </c>
      <c r="AC99" s="1">
        <f t="shared" si="39"/>
        <v>1.0001753532684814</v>
      </c>
      <c r="AD99" s="24">
        <f t="shared" si="40"/>
        <v>200.03507065369627</v>
      </c>
      <c r="AE99" s="2">
        <v>12.399999999999901</v>
      </c>
      <c r="AF99" s="1">
        <v>3.9810717055358689E-13</v>
      </c>
      <c r="AG99" s="1">
        <v>2.5370052958241046E-2</v>
      </c>
      <c r="AH99" s="1">
        <v>0.9999999601892845</v>
      </c>
      <c r="AI99" s="1">
        <v>1.0801783784789851</v>
      </c>
      <c r="AJ99" s="44">
        <v>216.03567569579701</v>
      </c>
    </row>
    <row r="100" spans="1:36" ht="15" customHeight="1" x14ac:dyDescent="0.3">
      <c r="A100" s="2">
        <v>9.9</v>
      </c>
      <c r="B100" s="1">
        <f t="shared" si="29"/>
        <v>1.2589254117941656E-10</v>
      </c>
      <c r="C100" s="1">
        <f t="shared" si="30"/>
        <v>8.0227151707152526E-5</v>
      </c>
      <c r="D100" s="1">
        <f t="shared" si="31"/>
        <v>0.99999930059748254</v>
      </c>
      <c r="E100" s="1">
        <f t="shared" si="32"/>
        <v>1.001767130598046</v>
      </c>
      <c r="F100" s="24">
        <f t="shared" si="41"/>
        <v>500.88356529902296</v>
      </c>
      <c r="G100" s="2">
        <v>12</v>
      </c>
      <c r="H100" s="1">
        <v>9.9999999999999998E-13</v>
      </c>
      <c r="I100" s="1">
        <v>1.01E-2</v>
      </c>
      <c r="J100" s="1">
        <v>0.99999999444444454</v>
      </c>
      <c r="K100" s="1">
        <v>1.2784461082918239</v>
      </c>
      <c r="L100" s="44">
        <v>639.22305414591187</v>
      </c>
      <c r="M100" s="2">
        <v>9.9</v>
      </c>
      <c r="N100" s="1">
        <f t="shared" si="33"/>
        <v>1.2589254117941656E-10</v>
      </c>
      <c r="O100" s="1">
        <f t="shared" si="27"/>
        <v>8.0227151707152526E-5</v>
      </c>
      <c r="P100" s="1">
        <f t="shared" si="34"/>
        <v>3.1390672580323409E-2</v>
      </c>
      <c r="Q100" s="1">
        <f t="shared" si="35"/>
        <v>3.0576137159451282E-2</v>
      </c>
      <c r="R100" s="24">
        <f t="shared" si="28"/>
        <v>0.764403428986282</v>
      </c>
      <c r="Y100" s="2">
        <v>9.8999999999999009</v>
      </c>
      <c r="Z100" s="1">
        <f t="shared" si="36"/>
        <v>1.2589254117944518E-10</v>
      </c>
      <c r="AA100" s="1">
        <f t="shared" si="37"/>
        <v>8.0227151707134285E-5</v>
      </c>
      <c r="AB100" s="1">
        <f t="shared" si="38"/>
        <v>0.99998741090436927</v>
      </c>
      <c r="AC100" s="1">
        <f t="shared" si="39"/>
        <v>1.0002281285859689</v>
      </c>
      <c r="AD100" s="24">
        <f t="shared" si="40"/>
        <v>200.04562571719379</v>
      </c>
      <c r="AE100" s="2">
        <v>12.499999999999901</v>
      </c>
      <c r="AF100" s="1">
        <v>3.1622776601690941E-13</v>
      </c>
      <c r="AG100" s="1">
        <v>3.193900436769341E-2</v>
      </c>
      <c r="AH100" s="1">
        <v>0.99999996837722449</v>
      </c>
      <c r="AI100" s="1">
        <v>1.1023552297386494</v>
      </c>
      <c r="AJ100" s="44">
        <v>220.47104594772989</v>
      </c>
    </row>
    <row r="101" spans="1:36" ht="15" customHeight="1" x14ac:dyDescent="0.3">
      <c r="A101" s="2">
        <v>10</v>
      </c>
      <c r="B101" s="1">
        <f t="shared" si="29"/>
        <v>1E-10</v>
      </c>
      <c r="C101" s="1">
        <f t="shared" si="30"/>
        <v>1.0099999999999999E-4</v>
      </c>
      <c r="D101" s="1">
        <f t="shared" si="31"/>
        <v>0.99999944444475308</v>
      </c>
      <c r="E101" s="1">
        <f t="shared" si="32"/>
        <v>1.0022259386363466</v>
      </c>
      <c r="F101" s="24">
        <f t="shared" si="41"/>
        <v>501.11296931817327</v>
      </c>
      <c r="G101" s="2">
        <v>12.1</v>
      </c>
      <c r="H101" s="1">
        <v>7.9432823472428024E-13</v>
      </c>
      <c r="I101" s="1">
        <v>1.2715146659121108E-2</v>
      </c>
      <c r="J101" s="1">
        <v>0.99999999558706543</v>
      </c>
      <c r="K101" s="1">
        <v>1.3751298409394537</v>
      </c>
      <c r="L101" s="44">
        <v>687.56492046972676</v>
      </c>
      <c r="M101" s="2">
        <v>10</v>
      </c>
      <c r="N101" s="1">
        <f t="shared" si="33"/>
        <v>1E-10</v>
      </c>
      <c r="O101" s="1">
        <f t="shared" si="27"/>
        <v>1.0099999999999999E-4</v>
      </c>
      <c r="P101" s="1">
        <f t="shared" si="34"/>
        <v>2.5096525096525102E-2</v>
      </c>
      <c r="Q101" s="1">
        <f t="shared" si="35"/>
        <v>2.4074368552443302E-2</v>
      </c>
      <c r="R101" s="24">
        <f t="shared" si="28"/>
        <v>0.60185921381108254</v>
      </c>
      <c r="Y101" s="2">
        <v>9.9999999999999005</v>
      </c>
      <c r="Z101" s="1">
        <f t="shared" si="36"/>
        <v>1.000000000000227E-10</v>
      </c>
      <c r="AA101" s="1">
        <f t="shared" si="37"/>
        <v>1.0099999999997707E-4</v>
      </c>
      <c r="AB101" s="1">
        <f t="shared" si="38"/>
        <v>0.99999000009999894</v>
      </c>
      <c r="AC101" s="1">
        <f t="shared" si="39"/>
        <v>1.0002930589978578</v>
      </c>
      <c r="AD101" s="24">
        <f t="shared" si="40"/>
        <v>200.05861179957157</v>
      </c>
      <c r="AE101" s="2">
        <v>12.5999999999999</v>
      </c>
      <c r="AF101" s="1">
        <v>2.5118864315101505E-13</v>
      </c>
      <c r="AG101" s="1">
        <v>4.0208824225894092E-2</v>
      </c>
      <c r="AH101" s="1">
        <v>0.99999997488113623</v>
      </c>
      <c r="AI101" s="1">
        <v>1.1311752529340218</v>
      </c>
      <c r="AJ101" s="44">
        <v>226.23505058680436</v>
      </c>
    </row>
    <row r="102" spans="1:36" ht="15" customHeight="1" x14ac:dyDescent="0.3">
      <c r="A102" s="2">
        <v>10.1</v>
      </c>
      <c r="B102" s="1">
        <f t="shared" si="29"/>
        <v>7.943282347242792E-11</v>
      </c>
      <c r="C102" s="1">
        <f t="shared" si="30"/>
        <v>1.2715146659121124E-4</v>
      </c>
      <c r="D102" s="1">
        <f t="shared" si="31"/>
        <v>0.99999955870673107</v>
      </c>
      <c r="E102" s="1">
        <f t="shared" si="32"/>
        <v>1.0028040199246764</v>
      </c>
      <c r="F102" s="24">
        <f t="shared" si="41"/>
        <v>501.40200996233813</v>
      </c>
      <c r="G102" s="2">
        <v>12.2</v>
      </c>
      <c r="H102" s="1">
        <v>6.3095734448019283E-13</v>
      </c>
      <c r="I102" s="1">
        <v>1.6007421243857255E-2</v>
      </c>
      <c r="J102" s="1">
        <v>0.99999999649468152</v>
      </c>
      <c r="K102" s="1">
        <v>1.5180002175849698</v>
      </c>
      <c r="L102" s="44">
        <v>759.00010879248498</v>
      </c>
      <c r="M102" s="2">
        <v>10.1</v>
      </c>
      <c r="N102" s="1">
        <f t="shared" si="33"/>
        <v>7.943282347242792E-11</v>
      </c>
      <c r="O102" s="1">
        <f t="shared" si="27"/>
        <v>1.2715146659121124E-4</v>
      </c>
      <c r="P102" s="1">
        <f t="shared" si="34"/>
        <v>2.0038309148299925E-2</v>
      </c>
      <c r="Q102" s="1">
        <f t="shared" si="35"/>
        <v>1.8754871736929406E-2</v>
      </c>
      <c r="R102" s="24">
        <f t="shared" si="28"/>
        <v>0.46887179342323515</v>
      </c>
      <c r="Y102" s="2">
        <v>10.0999999999999</v>
      </c>
      <c r="Z102" s="1">
        <f t="shared" si="36"/>
        <v>7.943282347244626E-11</v>
      </c>
      <c r="AA102" s="1">
        <f t="shared" si="37"/>
        <v>1.2715146659118189E-4</v>
      </c>
      <c r="AB102" s="1">
        <f t="shared" si="38"/>
        <v>0.99999205678074798</v>
      </c>
      <c r="AC102" s="1">
        <f t="shared" si="39"/>
        <v>1.0003736059512531</v>
      </c>
      <c r="AD102" s="24">
        <f t="shared" si="40"/>
        <v>200.07472119025061</v>
      </c>
      <c r="AE102" s="2">
        <v>12.6999999999999</v>
      </c>
      <c r="AF102" s="1">
        <v>1.9952623149693341E-13</v>
      </c>
      <c r="AG102" s="1">
        <v>5.0619910596342965E-2</v>
      </c>
      <c r="AH102" s="1">
        <v>0.99999998004737711</v>
      </c>
      <c r="AI102" s="1">
        <v>1.1689657768741635</v>
      </c>
      <c r="AJ102" s="44">
        <v>233.79315537483271</v>
      </c>
    </row>
    <row r="103" spans="1:36" ht="15" customHeight="1" x14ac:dyDescent="0.3">
      <c r="A103" s="2">
        <v>10.199999999999999</v>
      </c>
      <c r="B103" s="1">
        <f t="shared" si="29"/>
        <v>6.3095734448019192E-11</v>
      </c>
      <c r="C103" s="1">
        <f t="shared" si="30"/>
        <v>1.600742124385728E-4</v>
      </c>
      <c r="D103" s="1">
        <f t="shared" si="31"/>
        <v>0.99999964946826481</v>
      </c>
      <c r="E103" s="1">
        <f t="shared" si="32"/>
        <v>1.0035325902814929</v>
      </c>
      <c r="F103" s="24">
        <f t="shared" si="41"/>
        <v>501.76629514074648</v>
      </c>
      <c r="G103" s="2">
        <v>12.3</v>
      </c>
      <c r="H103" s="1">
        <v>5.0118723362727066E-13</v>
      </c>
      <c r="I103" s="1">
        <v>2.0152149381185747E-2</v>
      </c>
      <c r="J103" s="1">
        <v>0.99999999721562649</v>
      </c>
      <c r="K103" s="1">
        <v>1.7426787430110353</v>
      </c>
      <c r="L103" s="44">
        <v>871.33937150551753</v>
      </c>
      <c r="M103" s="2">
        <v>10.199999999999999</v>
      </c>
      <c r="N103" s="1">
        <f t="shared" si="33"/>
        <v>6.3095734448019192E-11</v>
      </c>
      <c r="O103" s="1">
        <f t="shared" si="27"/>
        <v>1.600742124385728E-4</v>
      </c>
      <c r="P103" s="1">
        <f t="shared" si="34"/>
        <v>1.598286514515497E-2</v>
      </c>
      <c r="Q103" s="1">
        <f t="shared" si="35"/>
        <v>1.4370621826404641E-2</v>
      </c>
      <c r="R103" s="24">
        <f t="shared" si="28"/>
        <v>0.35926554566011604</v>
      </c>
      <c r="Y103" s="2">
        <v>10.1999999999999</v>
      </c>
      <c r="Z103" s="1">
        <f t="shared" si="36"/>
        <v>6.3095734448033771E-11</v>
      </c>
      <c r="AA103" s="1">
        <f t="shared" si="37"/>
        <v>1.600742124385358E-4</v>
      </c>
      <c r="AB103" s="1">
        <f t="shared" si="38"/>
        <v>0.99999369046636566</v>
      </c>
      <c r="AC103" s="1">
        <f t="shared" si="39"/>
        <v>1.0004740646853965</v>
      </c>
      <c r="AD103" s="24">
        <f t="shared" si="40"/>
        <v>200.0948129370793</v>
      </c>
      <c r="AE103" s="2">
        <v>12.799999999999899</v>
      </c>
      <c r="AF103" s="1">
        <v>1.5848931924614762E-13</v>
      </c>
      <c r="AG103" s="1">
        <v>6.3726691792484927E-2</v>
      </c>
      <c r="AH103" s="1">
        <v>0.99999998415106839</v>
      </c>
      <c r="AI103" s="1">
        <v>1.2191058402283033</v>
      </c>
      <c r="AJ103" s="44">
        <v>243.82116804566064</v>
      </c>
    </row>
    <row r="104" spans="1:36" ht="15" customHeight="1" x14ac:dyDescent="0.3">
      <c r="A104" s="2">
        <v>10.3</v>
      </c>
      <c r="B104" s="1">
        <f t="shared" si="29"/>
        <v>5.0118723362726993E-11</v>
      </c>
      <c r="C104" s="1">
        <f t="shared" si="30"/>
        <v>2.0152149381185778E-4</v>
      </c>
      <c r="D104" s="1">
        <f t="shared" si="31"/>
        <v>0.99999972156272554</v>
      </c>
      <c r="E104" s="1">
        <f t="shared" si="32"/>
        <v>1.0044511333001489</v>
      </c>
      <c r="F104" s="24">
        <f t="shared" si="41"/>
        <v>502.22556665007443</v>
      </c>
      <c r="M104" s="2">
        <v>10.3</v>
      </c>
      <c r="N104" s="1">
        <f t="shared" si="33"/>
        <v>5.0118723362726993E-11</v>
      </c>
      <c r="O104" s="1">
        <f t="shared" si="27"/>
        <v>2.0152149381185778E-4</v>
      </c>
      <c r="P104" s="1">
        <f t="shared" si="34"/>
        <v>1.273751211323421E-2</v>
      </c>
      <c r="Q104" s="1">
        <f t="shared" si="35"/>
        <v>1.0711504686859757E-2</v>
      </c>
      <c r="R104" s="24">
        <f t="shared" si="28"/>
        <v>0.26778761717149391</v>
      </c>
      <c r="Y104" s="2">
        <v>10.299999999999899</v>
      </c>
      <c r="Z104" s="1">
        <f t="shared" si="36"/>
        <v>5.0118723362738742E-11</v>
      </c>
      <c r="AA104" s="1">
        <f t="shared" si="37"/>
        <v>2.0152149381181053E-4</v>
      </c>
      <c r="AB104" s="1">
        <f t="shared" si="38"/>
        <v>0.99999498815278243</v>
      </c>
      <c r="AC104" s="1">
        <f t="shared" si="39"/>
        <v>1.0005997942266587</v>
      </c>
      <c r="AD104" s="24">
        <f t="shared" si="40"/>
        <v>200.11995884533172</v>
      </c>
      <c r="AE104" s="2">
        <v>12.899999999999901</v>
      </c>
      <c r="AF104" s="1">
        <v>1.258925411794452E-13</v>
      </c>
      <c r="AG104" s="1">
        <v>8.0227151707134278E-2</v>
      </c>
      <c r="AH104" s="1">
        <v>0.99999998741074603</v>
      </c>
      <c r="AI104" s="1">
        <v>1.286680574399349</v>
      </c>
      <c r="AJ104" s="44">
        <v>257.3361148798698</v>
      </c>
    </row>
    <row r="105" spans="1:36" ht="15" customHeight="1" x14ac:dyDescent="0.3">
      <c r="A105" s="2">
        <v>10.4</v>
      </c>
      <c r="B105" s="1">
        <f t="shared" si="29"/>
        <v>3.9810717055349579E-11</v>
      </c>
      <c r="C105" s="1">
        <f t="shared" si="30"/>
        <v>2.5370052958246852E-4</v>
      </c>
      <c r="D105" s="1">
        <f t="shared" si="31"/>
        <v>0.99999977882939861</v>
      </c>
      <c r="E105" s="1">
        <f t="shared" si="32"/>
        <v>1.0056096530388454</v>
      </c>
      <c r="F105" s="24">
        <f t="shared" si="41"/>
        <v>502.8048265194227</v>
      </c>
      <c r="M105" s="2">
        <v>10.4</v>
      </c>
      <c r="N105" s="1">
        <f t="shared" si="33"/>
        <v>3.9810717055349579E-11</v>
      </c>
      <c r="O105" s="1">
        <f t="shared" si="27"/>
        <v>2.5370052958246852E-4</v>
      </c>
      <c r="P105" s="1">
        <f t="shared" si="34"/>
        <v>1.0144341114845069E-2</v>
      </c>
      <c r="Q105" s="1">
        <f t="shared" si="35"/>
        <v>7.597698517951842E-3</v>
      </c>
      <c r="R105" s="24">
        <f t="shared" si="28"/>
        <v>0.18994246294879605</v>
      </c>
      <c r="Y105" s="2">
        <v>10.399999999999901</v>
      </c>
      <c r="Z105" s="1">
        <f t="shared" si="36"/>
        <v>3.9810717055358775E-11</v>
      </c>
      <c r="AA105" s="1">
        <f t="shared" si="37"/>
        <v>2.5370052958240992E-4</v>
      </c>
      <c r="AB105" s="1">
        <f t="shared" si="38"/>
        <v>0.99999601894414336</v>
      </c>
      <c r="AC105" s="1">
        <f t="shared" si="39"/>
        <v>1.0007575047721218</v>
      </c>
      <c r="AD105" s="24">
        <f t="shared" si="40"/>
        <v>200.15150095442436</v>
      </c>
      <c r="AE105" s="2">
        <v>12.999999999999901</v>
      </c>
      <c r="AF105" s="1">
        <v>1.0000000000002271E-13</v>
      </c>
      <c r="AG105" s="1">
        <v>0.10099999999997705</v>
      </c>
      <c r="AH105" s="1">
        <v>0.99999999000000006</v>
      </c>
      <c r="AI105" s="1">
        <v>1.3796992355883932</v>
      </c>
      <c r="AJ105" s="44">
        <v>275.93984711767865</v>
      </c>
    </row>
    <row r="106" spans="1:36" ht="15" customHeight="1" x14ac:dyDescent="0.3">
      <c r="A106" s="2">
        <v>10.5</v>
      </c>
      <c r="B106" s="1">
        <f t="shared" si="29"/>
        <v>3.162277660168371E-11</v>
      </c>
      <c r="C106" s="1">
        <f t="shared" si="30"/>
        <v>3.1939004367700712E-4</v>
      </c>
      <c r="D106" s="1">
        <f t="shared" si="31"/>
        <v>0.99999982431793855</v>
      </c>
      <c r="E106" s="1">
        <f t="shared" si="32"/>
        <v>1.007071576400568</v>
      </c>
      <c r="F106" s="24">
        <f t="shared" si="41"/>
        <v>503.535788200284</v>
      </c>
      <c r="M106" s="2">
        <v>10.5</v>
      </c>
      <c r="N106" s="1">
        <f t="shared" si="33"/>
        <v>3.162277660168371E-11</v>
      </c>
      <c r="O106" s="1">
        <f t="shared" si="27"/>
        <v>3.1939004367700712E-4</v>
      </c>
      <c r="P106" s="1">
        <f t="shared" si="34"/>
        <v>8.0747838358880986E-3</v>
      </c>
      <c r="Q106" s="1">
        <f t="shared" si="35"/>
        <v>4.8731016154273301E-3</v>
      </c>
      <c r="R106" s="24">
        <f t="shared" si="28"/>
        <v>0.12182754038568326</v>
      </c>
      <c r="Y106" s="2">
        <v>10.499999999999901</v>
      </c>
      <c r="Z106" s="1">
        <f t="shared" si="36"/>
        <v>3.1622776601691006E-11</v>
      </c>
      <c r="AA106" s="1">
        <f t="shared" si="37"/>
        <v>3.1939004367693345E-4</v>
      </c>
      <c r="AB106" s="1">
        <f t="shared" si="38"/>
        <v>0.99999683773233983</v>
      </c>
      <c r="AC106" s="1">
        <f t="shared" si="39"/>
        <v>1.0009556181983181</v>
      </c>
      <c r="AD106" s="24">
        <f t="shared" si="40"/>
        <v>200.19112363966363</v>
      </c>
      <c r="AE106" s="2">
        <v>13.0999999999999</v>
      </c>
      <c r="AF106" s="1">
        <v>7.9432823472446283E-14</v>
      </c>
      <c r="AG106" s="1">
        <v>0.12715146659118184</v>
      </c>
      <c r="AH106" s="1">
        <v>0.99999999205671775</v>
      </c>
      <c r="AI106" s="1">
        <v>1.5115406896500911</v>
      </c>
      <c r="AJ106" s="44">
        <v>302.30813793001823</v>
      </c>
    </row>
    <row r="107" spans="1:36" ht="15" customHeight="1" x14ac:dyDescent="0.3">
      <c r="A107" s="2">
        <v>10.6</v>
      </c>
      <c r="B107" s="1">
        <f t="shared" si="29"/>
        <v>2.5118864315095759E-11</v>
      </c>
      <c r="C107" s="1">
        <f t="shared" si="30"/>
        <v>4.0208824225903287E-4</v>
      </c>
      <c r="D107" s="1">
        <f t="shared" si="31"/>
        <v>0.99999986045077327</v>
      </c>
      <c r="E107" s="1">
        <f t="shared" si="32"/>
        <v>1.0089175137721362</v>
      </c>
      <c r="F107" s="24">
        <f t="shared" si="41"/>
        <v>504.4587568860681</v>
      </c>
      <c r="M107" s="2">
        <v>10.6</v>
      </c>
      <c r="N107" s="1">
        <f t="shared" si="33"/>
        <v>2.5118864315095759E-11</v>
      </c>
      <c r="O107" s="1">
        <f t="shared" si="27"/>
        <v>4.0208824225903287E-4</v>
      </c>
      <c r="P107" s="1">
        <f t="shared" si="34"/>
        <v>6.4246986408263177E-3</v>
      </c>
      <c r="Q107" s="1">
        <f t="shared" si="35"/>
        <v>2.3989934344596678E-3</v>
      </c>
      <c r="R107" s="24">
        <f t="shared" si="28"/>
        <v>5.9974835861491695E-2</v>
      </c>
      <c r="Y107" s="2">
        <v>10.5999999999999</v>
      </c>
      <c r="Z107" s="1">
        <f t="shared" si="36"/>
        <v>2.5118864315101558E-11</v>
      </c>
      <c r="AA107" s="1">
        <f t="shared" si="37"/>
        <v>4.0208824225894006E-4</v>
      </c>
      <c r="AB107" s="1">
        <f t="shared" si="38"/>
        <v>0.9999974881198781</v>
      </c>
      <c r="AC107" s="1">
        <f t="shared" si="39"/>
        <v>1.0012047215800028</v>
      </c>
      <c r="AD107" s="24">
        <f t="shared" si="40"/>
        <v>200.24094431600057</v>
      </c>
      <c r="AE107" s="2">
        <v>13.1999999999999</v>
      </c>
      <c r="AF107" s="1">
        <v>6.309573444803378E-14</v>
      </c>
      <c r="AG107" s="1">
        <v>0.16007421243853578</v>
      </c>
      <c r="AH107" s="1">
        <v>0.99999999369042658</v>
      </c>
      <c r="AI107" s="1">
        <v>1.7063639308608256</v>
      </c>
      <c r="AJ107" s="44">
        <v>341.27278617216513</v>
      </c>
    </row>
    <row r="108" spans="1:36" ht="15" customHeight="1" x14ac:dyDescent="0.3">
      <c r="A108" s="2">
        <v>10.7</v>
      </c>
      <c r="B108" s="1">
        <f t="shared" si="29"/>
        <v>1.995262314968878E-11</v>
      </c>
      <c r="C108" s="1">
        <f t="shared" si="30"/>
        <v>5.0619910596354538E-4</v>
      </c>
      <c r="D108" s="1">
        <f t="shared" si="31"/>
        <v>0.9999998891521058</v>
      </c>
      <c r="E108" s="1">
        <f t="shared" si="32"/>
        <v>1.0112501655143629</v>
      </c>
      <c r="F108" s="24">
        <f t="shared" si="41"/>
        <v>505.62508275718142</v>
      </c>
      <c r="M108" s="2">
        <v>10.7</v>
      </c>
      <c r="N108" s="1">
        <f t="shared" si="33"/>
        <v>1.995262314968878E-11</v>
      </c>
      <c r="O108" s="1">
        <f t="shared" si="27"/>
        <v>5.0619910596354538E-4</v>
      </c>
      <c r="P108" s="1">
        <f t="shared" si="34"/>
        <v>5.1100718722298351E-3</v>
      </c>
      <c r="Q108" s="1">
        <f t="shared" si="35"/>
        <v>4.7959626525050813E-5</v>
      </c>
      <c r="R108" s="24">
        <f t="shared" si="28"/>
        <v>1.1989906631262703E-3</v>
      </c>
      <c r="Y108" s="2">
        <v>10.6999999999999</v>
      </c>
      <c r="Z108" s="1">
        <f t="shared" si="36"/>
        <v>1.9952623149693387E-11</v>
      </c>
      <c r="AA108" s="1">
        <f t="shared" si="37"/>
        <v>5.061991059634285E-4</v>
      </c>
      <c r="AB108" s="1">
        <f t="shared" si="38"/>
        <v>0.99999800474166611</v>
      </c>
      <c r="AC108" s="1">
        <f t="shared" si="39"/>
        <v>1.0015181389608074</v>
      </c>
      <c r="AD108" s="24">
        <f t="shared" si="40"/>
        <v>200.30362779216148</v>
      </c>
    </row>
    <row r="109" spans="1:36" ht="15" customHeight="1" x14ac:dyDescent="0.3">
      <c r="A109" s="2">
        <v>10.8</v>
      </c>
      <c r="B109" s="1">
        <f t="shared" si="29"/>
        <v>1.5848931924611082E-11</v>
      </c>
      <c r="C109" s="1">
        <f t="shared" si="30"/>
        <v>6.3726691792499724E-4</v>
      </c>
      <c r="D109" s="1">
        <f t="shared" si="31"/>
        <v>0.99999991195038596</v>
      </c>
      <c r="E109" s="1">
        <f t="shared" si="32"/>
        <v>1.0142007775058237</v>
      </c>
      <c r="F109" s="24">
        <f t="shared" si="41"/>
        <v>507.10038875291178</v>
      </c>
      <c r="M109" s="2">
        <v>10.8</v>
      </c>
      <c r="N109" s="1">
        <f t="shared" si="33"/>
        <v>1.5848931924611082E-11</v>
      </c>
      <c r="O109" s="1">
        <f t="shared" si="27"/>
        <v>6.3726691792499724E-4</v>
      </c>
      <c r="P109" s="1">
        <f t="shared" si="34"/>
        <v>4.0633449349615569E-3</v>
      </c>
      <c r="Q109" s="1">
        <f t="shared" si="35"/>
        <v>-2.301989178237953E-3</v>
      </c>
      <c r="R109" s="24">
        <f t="shared" si="28"/>
        <v>-5.7549729455948821E-2</v>
      </c>
      <c r="Y109" s="2">
        <v>10.799999999999899</v>
      </c>
      <c r="Z109" s="1">
        <f t="shared" si="36"/>
        <v>1.5848931924614743E-11</v>
      </c>
      <c r="AA109" s="1">
        <f t="shared" si="37"/>
        <v>6.3726691792485011E-4</v>
      </c>
      <c r="AB109" s="1">
        <f t="shared" si="38"/>
        <v>0.99999841510931942</v>
      </c>
      <c r="AC109" s="1">
        <f t="shared" si="39"/>
        <v>1.0019126535571614</v>
      </c>
      <c r="AD109" s="24">
        <f t="shared" si="40"/>
        <v>200.38253071143228</v>
      </c>
    </row>
    <row r="110" spans="1:36" ht="15" customHeight="1" x14ac:dyDescent="0.3">
      <c r="A110" s="2">
        <v>10.9</v>
      </c>
      <c r="B110" s="1">
        <f t="shared" si="29"/>
        <v>1.2589254117941641E-11</v>
      </c>
      <c r="C110" s="1">
        <f t="shared" si="30"/>
        <v>8.0227151707152624E-4</v>
      </c>
      <c r="D110" s="1">
        <f t="shared" si="31"/>
        <v>0.99999993005970422</v>
      </c>
      <c r="E110" s="1">
        <f t="shared" si="32"/>
        <v>1.0179377216164791</v>
      </c>
      <c r="F110" s="24">
        <f t="shared" si="41"/>
        <v>508.96886080823953</v>
      </c>
      <c r="M110" s="2">
        <v>10.9</v>
      </c>
      <c r="N110" s="1">
        <f t="shared" si="33"/>
        <v>1.2589254117941641E-11</v>
      </c>
      <c r="O110" s="1">
        <f t="shared" si="27"/>
        <v>8.0227151707152624E-4</v>
      </c>
      <c r="P110" s="1">
        <f t="shared" si="34"/>
        <v>3.230329244920897E-3</v>
      </c>
      <c r="Q110" s="1">
        <f t="shared" si="35"/>
        <v>-4.7732386332042563E-3</v>
      </c>
      <c r="R110" s="24">
        <f t="shared" si="28"/>
        <v>-0.11933096583010641</v>
      </c>
      <c r="Y110" s="2">
        <v>10.899999999999901</v>
      </c>
      <c r="Z110" s="1">
        <f t="shared" si="36"/>
        <v>1.2589254117944505E-11</v>
      </c>
      <c r="AA110" s="1">
        <f t="shared" si="37"/>
        <v>8.0227151707134377E-4</v>
      </c>
      <c r="AB110" s="1">
        <f t="shared" si="38"/>
        <v>0.99999874107617315</v>
      </c>
      <c r="AC110" s="1">
        <f t="shared" si="39"/>
        <v>1.0024094216102197</v>
      </c>
      <c r="AD110" s="24">
        <f t="shared" si="40"/>
        <v>200.48188432204395</v>
      </c>
    </row>
    <row r="111" spans="1:36" ht="15" customHeight="1" x14ac:dyDescent="0.3">
      <c r="A111" s="2">
        <v>11</v>
      </c>
      <c r="B111" s="1">
        <f t="shared" si="29"/>
        <v>9.9999999999999994E-12</v>
      </c>
      <c r="C111" s="1">
        <f t="shared" si="30"/>
        <v>1.01E-3</v>
      </c>
      <c r="D111" s="1">
        <f t="shared" si="31"/>
        <v>0.99999994444444762</v>
      </c>
      <c r="E111" s="1">
        <f t="shared" si="32"/>
        <v>1.0226780406408573</v>
      </c>
      <c r="F111" s="24">
        <f t="shared" si="41"/>
        <v>511.33902032042869</v>
      </c>
      <c r="M111" s="2">
        <v>11</v>
      </c>
      <c r="N111" s="1">
        <f t="shared" si="33"/>
        <v>9.9999999999999994E-12</v>
      </c>
      <c r="O111" s="1">
        <f t="shared" si="27"/>
        <v>1.01E-3</v>
      </c>
      <c r="P111" s="1">
        <f t="shared" si="34"/>
        <v>2.5676476397392856E-3</v>
      </c>
      <c r="Q111" s="1">
        <f t="shared" si="35"/>
        <v>-7.4945050103332571E-3</v>
      </c>
      <c r="R111" s="24">
        <f t="shared" si="28"/>
        <v>-0.18736262525833144</v>
      </c>
      <c r="Y111" s="2">
        <v>10.999999999999901</v>
      </c>
      <c r="Z111" s="1">
        <f t="shared" si="36"/>
        <v>1.0000000000002258E-11</v>
      </c>
      <c r="AA111" s="1">
        <f t="shared" si="37"/>
        <v>1.0099999999997719E-3</v>
      </c>
      <c r="AB111" s="1">
        <f t="shared" si="38"/>
        <v>0.99999900000099995</v>
      </c>
      <c r="AC111" s="1">
        <f t="shared" si="39"/>
        <v>1.0030351309354282</v>
      </c>
      <c r="AD111" s="24">
        <f t="shared" si="40"/>
        <v>200.60702618708564</v>
      </c>
    </row>
    <row r="112" spans="1:36" ht="15" customHeight="1" x14ac:dyDescent="0.3">
      <c r="A112" s="2">
        <v>11.1</v>
      </c>
      <c r="B112" s="1">
        <f t="shared" si="29"/>
        <v>7.9432823472428101E-12</v>
      </c>
      <c r="C112" s="1">
        <f t="shared" si="30"/>
        <v>1.2715146659121096E-3</v>
      </c>
      <c r="D112" s="1">
        <f t="shared" si="31"/>
        <v>0.9999999558706556</v>
      </c>
      <c r="E112" s="1">
        <f t="shared" si="32"/>
        <v>1.0287032093749908</v>
      </c>
      <c r="F112" s="24">
        <f t="shared" si="41"/>
        <v>514.35160468749541</v>
      </c>
      <c r="M112" s="2">
        <v>11.1</v>
      </c>
      <c r="N112" s="1">
        <f t="shared" si="33"/>
        <v>7.9432823472428101E-12</v>
      </c>
      <c r="O112" s="1">
        <f t="shared" si="27"/>
        <v>1.2715146659121096E-3</v>
      </c>
      <c r="P112" s="1">
        <f t="shared" si="34"/>
        <v>2.0406326601214654E-3</v>
      </c>
      <c r="Q112" s="1">
        <f t="shared" si="35"/>
        <v>-1.0607078639723622E-2</v>
      </c>
      <c r="R112" s="24">
        <f t="shared" si="28"/>
        <v>-0.26517696599309054</v>
      </c>
      <c r="Y112" s="2">
        <v>11.0999999999999</v>
      </c>
      <c r="Z112" s="1">
        <f t="shared" si="36"/>
        <v>7.9432823472446163E-12</v>
      </c>
      <c r="AA112" s="1">
        <f t="shared" si="37"/>
        <v>1.2715146659118205E-3</v>
      </c>
      <c r="AB112" s="1">
        <f t="shared" si="38"/>
        <v>0.9999992056723962</v>
      </c>
      <c r="AC112" s="1">
        <f t="shared" si="39"/>
        <v>1.0038234728498476</v>
      </c>
      <c r="AD112" s="24">
        <f t="shared" si="40"/>
        <v>200.76469456996952</v>
      </c>
    </row>
    <row r="113" spans="1:30" ht="15" customHeight="1" x14ac:dyDescent="0.3">
      <c r="A113" s="2">
        <v>11.2</v>
      </c>
      <c r="B113" s="1">
        <f t="shared" si="29"/>
        <v>6.3095734448019345E-12</v>
      </c>
      <c r="C113" s="1">
        <f t="shared" si="30"/>
        <v>1.600742124385724E-3</v>
      </c>
      <c r="D113" s="1">
        <f t="shared" si="31"/>
        <v>0.99999996494681542</v>
      </c>
      <c r="E113" s="1">
        <f t="shared" si="32"/>
        <v>1.0363810243024856</v>
      </c>
      <c r="F113" s="24">
        <f t="shared" si="41"/>
        <v>518.19051215124273</v>
      </c>
      <c r="M113" s="2">
        <v>11.2</v>
      </c>
      <c r="N113" s="1">
        <f t="shared" si="33"/>
        <v>6.3095734448019345E-12</v>
      </c>
      <c r="O113" s="1">
        <f t="shared" si="27"/>
        <v>1.600742124385724E-3</v>
      </c>
      <c r="P113" s="1">
        <f t="shared" si="34"/>
        <v>1.621612730343574E-3</v>
      </c>
      <c r="Q113" s="1">
        <f t="shared" si="35"/>
        <v>-1.4271582831765829E-2</v>
      </c>
      <c r="R113" s="24">
        <f t="shared" si="28"/>
        <v>-0.35678957079414575</v>
      </c>
      <c r="Y113" s="2">
        <v>11.1999999999999</v>
      </c>
      <c r="Z113" s="1">
        <f t="shared" si="36"/>
        <v>6.3095734448033692E-12</v>
      </c>
      <c r="AA113" s="1">
        <f t="shared" si="37"/>
        <v>1.6007421243853599E-3</v>
      </c>
      <c r="AB113" s="1">
        <f t="shared" si="38"/>
        <v>0.99999936904305353</v>
      </c>
      <c r="AC113" s="1">
        <f t="shared" si="39"/>
        <v>1.0048170170012756</v>
      </c>
      <c r="AD113" s="24">
        <f t="shared" si="40"/>
        <v>200.96340340025512</v>
      </c>
    </row>
    <row r="114" spans="1:30" ht="15" customHeight="1" x14ac:dyDescent="0.3">
      <c r="A114" s="2">
        <v>11.3</v>
      </c>
      <c r="B114" s="1">
        <f t="shared" si="29"/>
        <v>5.0118723362726945E-12</v>
      </c>
      <c r="C114" s="1">
        <f t="shared" si="30"/>
        <v>2.0152149381185798E-3</v>
      </c>
      <c r="D114" s="1">
        <f t="shared" si="31"/>
        <v>0.99999997215626557</v>
      </c>
      <c r="E114" s="1">
        <f t="shared" si="32"/>
        <v>1.0461966231825446</v>
      </c>
      <c r="F114" s="24">
        <f t="shared" si="41"/>
        <v>523.09831159127225</v>
      </c>
      <c r="M114" s="2">
        <v>11.3</v>
      </c>
      <c r="N114" s="1">
        <f t="shared" si="33"/>
        <v>5.0118723362726945E-12</v>
      </c>
      <c r="O114" s="1">
        <f t="shared" si="27"/>
        <v>2.0152149381185798E-3</v>
      </c>
      <c r="P114" s="1">
        <f t="shared" si="34"/>
        <v>1.2885225254721589E-3</v>
      </c>
      <c r="Q114" s="1">
        <f t="shared" si="35"/>
        <v>-1.8675451561251191E-2</v>
      </c>
      <c r="R114" s="24">
        <f t="shared" si="28"/>
        <v>-0.46688628903127977</v>
      </c>
      <c r="Y114" s="2">
        <v>11.299999999999899</v>
      </c>
      <c r="Z114" s="1">
        <f t="shared" si="36"/>
        <v>5.011872336273869E-12</v>
      </c>
      <c r="AA114" s="1">
        <f t="shared" si="37"/>
        <v>2.0152149381181075E-3</v>
      </c>
      <c r="AB114" s="1">
        <f t="shared" si="38"/>
        <v>0.99999949881301764</v>
      </c>
      <c r="AC114" s="1">
        <f t="shared" si="39"/>
        <v>1.0060696067366037</v>
      </c>
      <c r="AD114" s="24">
        <f t="shared" si="40"/>
        <v>201.21392134732073</v>
      </c>
    </row>
    <row r="115" spans="1:30" ht="15" customHeight="1" x14ac:dyDescent="0.3">
      <c r="A115" s="2">
        <v>11.4</v>
      </c>
      <c r="B115" s="1">
        <f t="shared" si="29"/>
        <v>3.9810717055349533E-12</v>
      </c>
      <c r="C115" s="1">
        <f t="shared" si="30"/>
        <v>2.5370052958246878E-3</v>
      </c>
      <c r="D115" s="1">
        <f t="shared" si="31"/>
        <v>0.99999997788293538</v>
      </c>
      <c r="E115" s="1">
        <f t="shared" si="32"/>
        <v>1.0587974849108115</v>
      </c>
      <c r="F115" s="24">
        <f t="shared" si="41"/>
        <v>529.39874245540568</v>
      </c>
      <c r="M115" s="2">
        <v>11.4</v>
      </c>
      <c r="N115" s="1">
        <f t="shared" si="33"/>
        <v>3.9810717055349533E-12</v>
      </c>
      <c r="O115" s="1">
        <f t="shared" si="27"/>
        <v>2.5370052958246878E-3</v>
      </c>
      <c r="P115" s="1">
        <f t="shared" si="34"/>
        <v>1.0237811380668508E-3</v>
      </c>
      <c r="Q115" s="1">
        <f t="shared" si="35"/>
        <v>-2.4041307162893814E-2</v>
      </c>
      <c r="R115" s="24">
        <f t="shared" si="28"/>
        <v>-0.60103267907234537</v>
      </c>
      <c r="Y115" s="2">
        <v>11.399999999999901</v>
      </c>
      <c r="Z115" s="1">
        <f t="shared" si="36"/>
        <v>3.9810717055358726E-12</v>
      </c>
      <c r="AA115" s="1">
        <f t="shared" si="37"/>
        <v>2.5370052958241019E-3</v>
      </c>
      <c r="AB115" s="1">
        <f t="shared" si="38"/>
        <v>0.99999960189298787</v>
      </c>
      <c r="AC115" s="1">
        <f t="shared" si="39"/>
        <v>1.0076494310626882</v>
      </c>
      <c r="AD115" s="24">
        <f t="shared" si="40"/>
        <v>201.52988621253763</v>
      </c>
    </row>
    <row r="116" spans="1:30" ht="15" customHeight="1" x14ac:dyDescent="0.3">
      <c r="A116" s="2">
        <v>11.5</v>
      </c>
      <c r="B116" s="1">
        <f t="shared" si="29"/>
        <v>3.1622776601683669E-12</v>
      </c>
      <c r="C116" s="1">
        <f t="shared" si="30"/>
        <v>3.1939004367700754E-3</v>
      </c>
      <c r="D116" s="1">
        <f t="shared" si="31"/>
        <v>0.99999998243179111</v>
      </c>
      <c r="E116" s="1">
        <f t="shared" si="32"/>
        <v>1.0750605077352087</v>
      </c>
      <c r="F116" s="24">
        <f t="shared" si="41"/>
        <v>537.5302538676043</v>
      </c>
      <c r="M116" s="2">
        <v>11.5</v>
      </c>
      <c r="N116" s="1">
        <f t="shared" si="33"/>
        <v>3.1622776601683669E-12</v>
      </c>
      <c r="O116" s="1">
        <f t="shared" si="27"/>
        <v>3.1939004367700754E-3</v>
      </c>
      <c r="P116" s="1">
        <f t="shared" si="34"/>
        <v>8.133895337825097E-4</v>
      </c>
      <c r="Q116" s="1">
        <f t="shared" si="35"/>
        <v>-3.0636367268775905E-2</v>
      </c>
      <c r="R116" s="24">
        <f t="shared" si="28"/>
        <v>-0.7659091817193977</v>
      </c>
      <c r="Y116" s="2">
        <v>11.499999999999901</v>
      </c>
      <c r="Z116" s="1">
        <f t="shared" si="36"/>
        <v>3.1622776601690975E-12</v>
      </c>
      <c r="AA116" s="1">
        <f t="shared" si="37"/>
        <v>3.1939004367693377E-3</v>
      </c>
      <c r="AB116" s="1">
        <f t="shared" si="38"/>
        <v>0.99999968377233395</v>
      </c>
      <c r="AC116" s="1">
        <f t="shared" si="39"/>
        <v>1.0096429825252926</v>
      </c>
      <c r="AD116" s="24">
        <f t="shared" si="40"/>
        <v>201.92859650505852</v>
      </c>
    </row>
    <row r="117" spans="1:30" ht="15" customHeight="1" x14ac:dyDescent="0.3">
      <c r="A117" s="2">
        <v>11.6</v>
      </c>
      <c r="B117" s="1">
        <f t="shared" si="29"/>
        <v>2.5118864315095726E-12</v>
      </c>
      <c r="C117" s="1">
        <f t="shared" si="30"/>
        <v>4.0208824225903342E-3</v>
      </c>
      <c r="D117" s="1">
        <f t="shared" si="31"/>
        <v>0.99999998604507567</v>
      </c>
      <c r="E117" s="1">
        <f t="shared" si="32"/>
        <v>1.0961951902763687</v>
      </c>
      <c r="F117" s="24">
        <f t="shared" si="41"/>
        <v>548.09759513818426</v>
      </c>
      <c r="M117" s="2">
        <v>11.6</v>
      </c>
      <c r="N117" s="1">
        <f t="shared" si="33"/>
        <v>2.5118864315095726E-12</v>
      </c>
      <c r="O117" s="1">
        <f t="shared" si="27"/>
        <v>4.0208824225903342E-3</v>
      </c>
      <c r="P117" s="1">
        <f t="shared" si="34"/>
        <v>6.4620637719254898E-4</v>
      </c>
      <c r="Q117" s="1">
        <f t="shared" si="35"/>
        <v>-3.8782910214193278E-2</v>
      </c>
      <c r="R117" s="24">
        <f t="shared" si="28"/>
        <v>-0.96957275535483189</v>
      </c>
      <c r="Y117" s="2">
        <v>11.5999999999999</v>
      </c>
      <c r="Z117" s="1">
        <f t="shared" si="36"/>
        <v>2.511886431510153E-12</v>
      </c>
      <c r="AA117" s="1">
        <f t="shared" si="37"/>
        <v>4.0208824225894052E-3</v>
      </c>
      <c r="AB117" s="1">
        <f t="shared" si="38"/>
        <v>0.99999974881141984</v>
      </c>
      <c r="AC117" s="1">
        <f t="shared" si="39"/>
        <v>1.0121601854232389</v>
      </c>
      <c r="AD117" s="24">
        <f t="shared" si="40"/>
        <v>202.43203708464779</v>
      </c>
    </row>
    <row r="118" spans="1:30" ht="15" customHeight="1" x14ac:dyDescent="0.3">
      <c r="A118" s="2">
        <v>11.7</v>
      </c>
      <c r="B118" s="1">
        <f t="shared" si="29"/>
        <v>1.9952623149688759E-12</v>
      </c>
      <c r="C118" s="1">
        <f t="shared" si="30"/>
        <v>5.061991059635459E-3</v>
      </c>
      <c r="D118" s="1">
        <f t="shared" si="31"/>
        <v>0.99999998891520947</v>
      </c>
      <c r="E118" s="1">
        <f t="shared" si="32"/>
        <v>1.1239082402673155</v>
      </c>
      <c r="F118" s="24">
        <f t="shared" si="41"/>
        <v>561.95412013365774</v>
      </c>
      <c r="M118" s="2">
        <v>11.7</v>
      </c>
      <c r="N118" s="1">
        <f t="shared" si="33"/>
        <v>1.9952623149688759E-12</v>
      </c>
      <c r="O118" s="1">
        <f t="shared" si="27"/>
        <v>5.061991059635459E-3</v>
      </c>
      <c r="P118" s="1">
        <f t="shared" si="34"/>
        <v>5.1336820078562158E-4</v>
      </c>
      <c r="Q118" s="1">
        <f t="shared" si="35"/>
        <v>-4.886965362735804E-2</v>
      </c>
      <c r="R118" s="24">
        <f t="shared" si="28"/>
        <v>-1.221741340683951</v>
      </c>
      <c r="Y118" s="2">
        <v>11.6999999999999</v>
      </c>
      <c r="Z118" s="1">
        <f t="shared" si="36"/>
        <v>1.9952623149693363E-12</v>
      </c>
      <c r="AA118" s="1">
        <f t="shared" si="37"/>
        <v>5.0619910596342906E-3</v>
      </c>
      <c r="AB118" s="1">
        <f t="shared" si="38"/>
        <v>0.99999980047380832</v>
      </c>
      <c r="AC118" s="1">
        <f t="shared" si="39"/>
        <v>1.0153410865324084</v>
      </c>
      <c r="AD118" s="24">
        <f t="shared" si="40"/>
        <v>203.06821730648167</v>
      </c>
    </row>
    <row r="119" spans="1:30" ht="15" customHeight="1" x14ac:dyDescent="0.3">
      <c r="A119" s="2">
        <v>11.8</v>
      </c>
      <c r="B119" s="1">
        <f t="shared" si="29"/>
        <v>1.5848931924611065E-12</v>
      </c>
      <c r="C119" s="1">
        <f t="shared" si="30"/>
        <v>6.3726691792499795E-3</v>
      </c>
      <c r="D119" s="1">
        <f t="shared" si="31"/>
        <v>0.99999999119503791</v>
      </c>
      <c r="E119" s="1">
        <f t="shared" si="32"/>
        <v>1.16067761935128</v>
      </c>
      <c r="F119" s="24">
        <f t="shared" si="41"/>
        <v>580.33880967563994</v>
      </c>
      <c r="M119" s="2">
        <v>11.8</v>
      </c>
      <c r="N119" s="1">
        <f t="shared" si="33"/>
        <v>1.5848931924611065E-12</v>
      </c>
      <c r="O119" s="1">
        <f t="shared" si="27"/>
        <v>6.3726691792499795E-3</v>
      </c>
      <c r="P119" s="1">
        <f t="shared" si="34"/>
        <v>4.0782591713341241E-4</v>
      </c>
      <c r="Q119" s="1">
        <f t="shared" si="35"/>
        <v>-6.1363615746042981E-2</v>
      </c>
      <c r="R119" s="24">
        <f t="shared" si="28"/>
        <v>-1.5340903936510744</v>
      </c>
      <c r="Y119" s="2">
        <v>11.799999999999899</v>
      </c>
      <c r="Z119" s="1">
        <f t="shared" si="36"/>
        <v>1.5848931924614781E-12</v>
      </c>
      <c r="AA119" s="1">
        <f t="shared" si="37"/>
        <v>6.3726691792484851E-3</v>
      </c>
      <c r="AB119" s="1">
        <f t="shared" si="38"/>
        <v>0.99999984151070598</v>
      </c>
      <c r="AC119" s="1">
        <f t="shared" si="39"/>
        <v>1.019364658164134</v>
      </c>
      <c r="AD119" s="24">
        <f t="shared" si="40"/>
        <v>203.87293163282681</v>
      </c>
    </row>
    <row r="120" spans="1:30" ht="15" customHeight="1" x14ac:dyDescent="0.3">
      <c r="A120" s="2">
        <v>11.9</v>
      </c>
      <c r="B120" s="1">
        <f t="shared" si="29"/>
        <v>1.2589254117941629E-12</v>
      </c>
      <c r="C120" s="1">
        <f t="shared" si="30"/>
        <v>8.0227151707152698E-3</v>
      </c>
      <c r="D120" s="1">
        <f t="shared" si="31"/>
        <v>0.99999999300596998</v>
      </c>
      <c r="E120" s="1">
        <f t="shared" si="32"/>
        <v>1.210232423853179</v>
      </c>
      <c r="F120" s="24">
        <f t="shared" si="41"/>
        <v>605.11621192658947</v>
      </c>
      <c r="M120" s="2">
        <v>11.9</v>
      </c>
      <c r="N120" s="1">
        <f t="shared" si="33"/>
        <v>1.2589254117941629E-12</v>
      </c>
      <c r="O120" s="1">
        <f t="shared" si="27"/>
        <v>8.0227151707152698E-3</v>
      </c>
      <c r="P120" s="1">
        <f t="shared" si="34"/>
        <v>3.239748152804659E-4</v>
      </c>
      <c r="Q120" s="1">
        <f t="shared" si="35"/>
        <v>-7.6821588271447611E-2</v>
      </c>
      <c r="R120" s="24">
        <f t="shared" si="28"/>
        <v>-1.9205397067861902</v>
      </c>
      <c r="Y120" s="2">
        <v>11.899999999999901</v>
      </c>
      <c r="Z120" s="1">
        <f t="shared" si="36"/>
        <v>1.2589254117944535E-12</v>
      </c>
      <c r="AA120" s="1">
        <f t="shared" si="37"/>
        <v>8.0227151707134188E-3</v>
      </c>
      <c r="AB120" s="1">
        <f t="shared" si="38"/>
        <v>0.99999987410747471</v>
      </c>
      <c r="AC120" s="1">
        <f t="shared" si="39"/>
        <v>1.0244604988461288</v>
      </c>
      <c r="AD120" s="24">
        <f t="shared" si="40"/>
        <v>204.89209976922575</v>
      </c>
    </row>
    <row r="121" spans="1:30" ht="15" customHeight="1" x14ac:dyDescent="0.3">
      <c r="A121" s="2">
        <v>12</v>
      </c>
      <c r="B121" s="1">
        <f t="shared" si="29"/>
        <v>9.9999999999999998E-13</v>
      </c>
      <c r="C121" s="1">
        <f t="shared" si="30"/>
        <v>1.01E-2</v>
      </c>
      <c r="D121" s="1">
        <f t="shared" si="31"/>
        <v>0.99999999444444454</v>
      </c>
      <c r="E121" s="1">
        <f t="shared" si="32"/>
        <v>1.2784461082918239</v>
      </c>
      <c r="F121" s="24">
        <f t="shared" si="41"/>
        <v>639.22305414591187</v>
      </c>
      <c r="M121" s="2">
        <v>12</v>
      </c>
      <c r="N121" s="1">
        <f t="shared" si="33"/>
        <v>9.9999999999999998E-13</v>
      </c>
      <c r="O121" s="1">
        <f t="shared" si="27"/>
        <v>1.01E-2</v>
      </c>
      <c r="P121" s="1">
        <f t="shared" si="34"/>
        <v>2.5735949161601968E-4</v>
      </c>
      <c r="Q121" s="1">
        <f t="shared" si="35"/>
        <v>-9.5899705377309338E-2</v>
      </c>
      <c r="R121" s="24">
        <f t="shared" si="28"/>
        <v>-2.3974926344327332</v>
      </c>
      <c r="Y121" s="2">
        <v>11.999999999999901</v>
      </c>
      <c r="Z121" s="1">
        <f t="shared" si="36"/>
        <v>1.0000000000002247E-12</v>
      </c>
      <c r="AA121" s="1">
        <f t="shared" si="37"/>
        <v>1.0099999999997729E-2</v>
      </c>
      <c r="AB121" s="1">
        <f t="shared" si="38"/>
        <v>0.99999990000001004</v>
      </c>
      <c r="AC121" s="1">
        <f t="shared" si="39"/>
        <v>1.0309245764410506</v>
      </c>
      <c r="AD121" s="24">
        <f t="shared" si="40"/>
        <v>206.18491528821014</v>
      </c>
    </row>
    <row r="122" spans="1:30" ht="15" customHeight="1" x14ac:dyDescent="0.3">
      <c r="A122" s="2">
        <v>12.1</v>
      </c>
      <c r="B122" s="1">
        <f t="shared" si="29"/>
        <v>7.9432823472428024E-13</v>
      </c>
      <c r="C122" s="1">
        <f t="shared" si="30"/>
        <v>1.2715146659121108E-2</v>
      </c>
      <c r="D122" s="1">
        <f t="shared" si="31"/>
        <v>0.99999999558706543</v>
      </c>
      <c r="E122" s="1">
        <f t="shared" si="32"/>
        <v>1.3751298409394537</v>
      </c>
      <c r="F122" s="24">
        <f t="shared" si="41"/>
        <v>687.56492046972676</v>
      </c>
      <c r="M122" s="2">
        <v>12.1</v>
      </c>
      <c r="N122" s="1">
        <f t="shared" si="33"/>
        <v>7.9432823472428024E-13</v>
      </c>
      <c r="O122" s="1">
        <f t="shared" si="27"/>
        <v>1.2715146659121108E-2</v>
      </c>
      <c r="P122" s="1">
        <f t="shared" si="34"/>
        <v>2.0443873193017983E-4</v>
      </c>
      <c r="Q122" s="1">
        <f t="shared" si="35"/>
        <v>-0.11935871031811945</v>
      </c>
      <c r="R122" s="24">
        <f t="shared" si="28"/>
        <v>-2.9839677579529864</v>
      </c>
      <c r="Y122" s="2">
        <v>12.0999999999999</v>
      </c>
      <c r="Z122" s="1">
        <f t="shared" si="36"/>
        <v>7.9432823472446079E-13</v>
      </c>
      <c r="AA122" s="1">
        <f t="shared" si="37"/>
        <v>1.2715146659118218E-2</v>
      </c>
      <c r="AB122" s="1">
        <f t="shared" si="38"/>
        <v>0.99999992056718279</v>
      </c>
      <c r="AC122" s="1">
        <f t="shared" si="39"/>
        <v>1.0391407205462713</v>
      </c>
      <c r="AD122" s="24">
        <f t="shared" si="40"/>
        <v>207.82814410925425</v>
      </c>
    </row>
    <row r="123" spans="1:30" ht="15" customHeight="1" x14ac:dyDescent="0.3">
      <c r="A123" s="2">
        <v>12.2</v>
      </c>
      <c r="B123" s="1">
        <f t="shared" si="29"/>
        <v>6.3095734448019283E-13</v>
      </c>
      <c r="C123" s="1">
        <f t="shared" si="30"/>
        <v>1.6007421243857255E-2</v>
      </c>
      <c r="D123" s="1">
        <f t="shared" si="31"/>
        <v>0.99999999649468152</v>
      </c>
      <c r="E123" s="1">
        <f t="shared" si="32"/>
        <v>1.5180002175849698</v>
      </c>
      <c r="F123" s="24">
        <f t="shared" si="41"/>
        <v>759.00010879248498</v>
      </c>
      <c r="M123" s="2">
        <v>12.2</v>
      </c>
      <c r="N123" s="1">
        <f t="shared" si="33"/>
        <v>6.3095734448019283E-13</v>
      </c>
      <c r="O123" s="1">
        <f t="shared" si="27"/>
        <v>1.6007421243857255E-2</v>
      </c>
      <c r="P123" s="1">
        <f t="shared" si="34"/>
        <v>1.6239828544871988E-4</v>
      </c>
      <c r="Q123" s="1">
        <f t="shared" si="35"/>
        <v>-0.14806140754465291</v>
      </c>
      <c r="R123" s="24">
        <f t="shared" si="28"/>
        <v>-3.7015351886163228</v>
      </c>
      <c r="Y123" s="2">
        <v>12.1999999999999</v>
      </c>
      <c r="Z123" s="1">
        <f t="shared" si="36"/>
        <v>6.3095734448033631E-13</v>
      </c>
      <c r="AA123" s="1">
        <f t="shared" si="37"/>
        <v>1.6007421243853615E-2</v>
      </c>
      <c r="AB123" s="1">
        <f t="shared" si="38"/>
        <v>0.99999993690426958</v>
      </c>
      <c r="AC123" s="1">
        <f t="shared" si="39"/>
        <v>1.0496104720833646</v>
      </c>
      <c r="AD123" s="24">
        <f t="shared" si="40"/>
        <v>209.92209441667291</v>
      </c>
    </row>
    <row r="124" spans="1:30" ht="15" customHeight="1" x14ac:dyDescent="0.3">
      <c r="A124" s="2">
        <v>12.3</v>
      </c>
      <c r="B124" s="1">
        <f t="shared" si="29"/>
        <v>5.0118723362727066E-13</v>
      </c>
      <c r="C124" s="1">
        <f t="shared" si="30"/>
        <v>2.0152149381185747E-2</v>
      </c>
      <c r="D124" s="1">
        <f t="shared" si="31"/>
        <v>0.99999999721562649</v>
      </c>
      <c r="E124" s="1">
        <f t="shared" si="32"/>
        <v>1.7426787430110353</v>
      </c>
      <c r="F124" s="24">
        <f t="shared" si="41"/>
        <v>871.33937150551753</v>
      </c>
      <c r="M124" s="2">
        <v>12.3</v>
      </c>
      <c r="N124" s="1">
        <f t="shared" si="33"/>
        <v>5.0118723362727066E-13</v>
      </c>
      <c r="O124" s="1">
        <f t="shared" si="27"/>
        <v>2.0152149381185747E-2</v>
      </c>
      <c r="P124" s="1">
        <f t="shared" si="34"/>
        <v>1.290018521603188E-4</v>
      </c>
      <c r="Q124" s="1">
        <f t="shared" si="35"/>
        <v>-0.18295755233026564</v>
      </c>
      <c r="R124" s="24">
        <f t="shared" si="28"/>
        <v>-4.5739388082566403</v>
      </c>
      <c r="Y124" s="2">
        <v>12.299999999999899</v>
      </c>
      <c r="Z124" s="1">
        <f t="shared" si="36"/>
        <v>5.0118723362738637E-13</v>
      </c>
      <c r="AA124" s="1">
        <f t="shared" si="37"/>
        <v>2.0152149381181095E-2</v>
      </c>
      <c r="AB124" s="1">
        <f t="shared" si="38"/>
        <v>0.99999994988127916</v>
      </c>
      <c r="AC124" s="1">
        <f t="shared" si="39"/>
        <v>1.0629953827502721</v>
      </c>
      <c r="AD124" s="24">
        <f t="shared" si="40"/>
        <v>212.59907655005441</v>
      </c>
    </row>
    <row r="125" spans="1:30" ht="15" customHeight="1" x14ac:dyDescent="0.3">
      <c r="A125" s="2">
        <v>12.4</v>
      </c>
      <c r="B125" s="1">
        <f t="shared" si="29"/>
        <v>3.9810717055349631E-13</v>
      </c>
      <c r="C125" s="1">
        <f t="shared" si="30"/>
        <v>2.5370052958246816E-2</v>
      </c>
      <c r="D125" s="1">
        <f t="shared" si="31"/>
        <v>0.99999999778829352</v>
      </c>
      <c r="E125" s="1">
        <f t="shared" si="32"/>
        <v>2.1330539239604764</v>
      </c>
      <c r="F125" s="24">
        <f t="shared" si="41"/>
        <v>1066.5269619802382</v>
      </c>
      <c r="M125" s="2">
        <v>12.4</v>
      </c>
      <c r="N125" s="1">
        <f t="shared" si="33"/>
        <v>3.9810717055349631E-13</v>
      </c>
      <c r="O125" s="1">
        <f t="shared" si="27"/>
        <v>2.5370052958246816E-2</v>
      </c>
      <c r="P125" s="1">
        <f t="shared" si="34"/>
        <v>1.0247253230785738E-4</v>
      </c>
      <c r="Q125" s="1">
        <f t="shared" si="35"/>
        <v>-0.22505035936927253</v>
      </c>
      <c r="R125" s="24">
        <f t="shared" si="28"/>
        <v>-5.6262589842318134</v>
      </c>
      <c r="Y125" s="2">
        <v>12.399999999999901</v>
      </c>
      <c r="Z125" s="1">
        <f t="shared" si="36"/>
        <v>3.9810717055358689E-13</v>
      </c>
      <c r="AA125" s="1">
        <f t="shared" si="37"/>
        <v>2.5370052958241046E-2</v>
      </c>
      <c r="AB125" s="1">
        <f t="shared" si="38"/>
        <v>0.9999999601892845</v>
      </c>
      <c r="AC125" s="1">
        <f t="shared" si="39"/>
        <v>1.0801783784789851</v>
      </c>
      <c r="AD125" s="24">
        <f t="shared" si="40"/>
        <v>216.03567569579701</v>
      </c>
    </row>
    <row r="126" spans="1:30" ht="15" customHeight="1" x14ac:dyDescent="0.3">
      <c r="A126" s="2">
        <v>12.5</v>
      </c>
      <c r="B126" s="1">
        <f t="shared" si="29"/>
        <v>3.1622776601683746E-13</v>
      </c>
      <c r="C126" s="1">
        <f t="shared" si="30"/>
        <v>3.1939004367700675E-2</v>
      </c>
      <c r="D126" s="1">
        <f t="shared" si="31"/>
        <v>0.99999999824317909</v>
      </c>
      <c r="E126" s="1">
        <f t="shared" si="32"/>
        <v>2.9452363220129953</v>
      </c>
      <c r="F126" s="24">
        <f t="shared" si="41"/>
        <v>1472.6181610064975</v>
      </c>
      <c r="M126" s="2">
        <v>12.5</v>
      </c>
      <c r="N126" s="1">
        <f t="shared" si="33"/>
        <v>3.1622776601683746E-13</v>
      </c>
      <c r="O126" s="1">
        <f t="shared" si="27"/>
        <v>3.1939004367700675E-2</v>
      </c>
      <c r="P126" s="1">
        <f t="shared" si="34"/>
        <v>8.1398541227600886E-5</v>
      </c>
      <c r="Q126" s="1">
        <f t="shared" si="35"/>
        <v>-0.27533846323392985</v>
      </c>
      <c r="R126" s="24">
        <f t="shared" si="28"/>
        <v>-6.8834615808482464</v>
      </c>
      <c r="Y126" s="2">
        <v>12.499999999999901</v>
      </c>
      <c r="Z126" s="1">
        <f t="shared" si="36"/>
        <v>3.1622776601690941E-13</v>
      </c>
      <c r="AA126" s="1">
        <f t="shared" si="37"/>
        <v>3.193900436769341E-2</v>
      </c>
      <c r="AB126" s="1">
        <f t="shared" si="38"/>
        <v>0.99999996837722449</v>
      </c>
      <c r="AC126" s="1">
        <f t="shared" si="39"/>
        <v>1.1023552297386494</v>
      </c>
      <c r="AD126" s="24">
        <f t="shared" si="40"/>
        <v>220.47104594772989</v>
      </c>
    </row>
    <row r="127" spans="1:30" ht="15" customHeight="1" x14ac:dyDescent="0.3">
      <c r="A127" s="2">
        <v>12.6</v>
      </c>
      <c r="B127" s="1">
        <f t="shared" si="29"/>
        <v>2.511886431509579E-13</v>
      </c>
      <c r="C127" s="1">
        <f t="shared" si="30"/>
        <v>4.0208824225903238E-2</v>
      </c>
      <c r="D127" s="1">
        <f t="shared" si="31"/>
        <v>0.99999999860450761</v>
      </c>
      <c r="E127" s="1">
        <f t="shared" si="32"/>
        <v>5.5173028855554502</v>
      </c>
      <c r="F127" s="24">
        <f t="shared" si="41"/>
        <v>2758.6514427777252</v>
      </c>
      <c r="M127" s="2">
        <v>12.6</v>
      </c>
      <c r="N127" s="1">
        <f t="shared" si="33"/>
        <v>2.511886431509579E-13</v>
      </c>
      <c r="O127" s="1">
        <f t="shared" si="27"/>
        <v>4.0208824225903238E-2</v>
      </c>
      <c r="P127" s="1">
        <f t="shared" si="34"/>
        <v>6.4658242030759573E-5</v>
      </c>
      <c r="Q127" s="1">
        <f t="shared" si="35"/>
        <v>-0.33472840584476521</v>
      </c>
      <c r="R127" s="24">
        <f t="shared" si="28"/>
        <v>-8.3682101461191287</v>
      </c>
      <c r="Y127" s="2">
        <v>12.5999999999999</v>
      </c>
      <c r="Z127" s="1">
        <f t="shared" si="36"/>
        <v>2.5118864315101505E-13</v>
      </c>
      <c r="AA127" s="1">
        <f t="shared" si="37"/>
        <v>4.0208824225894092E-2</v>
      </c>
      <c r="AB127" s="1">
        <f t="shared" si="38"/>
        <v>0.99999997488113623</v>
      </c>
      <c r="AC127" s="1">
        <f t="shared" si="39"/>
        <v>1.1311752529340218</v>
      </c>
      <c r="AD127" s="24">
        <f t="shared" si="40"/>
        <v>226.23505058680436</v>
      </c>
    </row>
    <row r="128" spans="1:30" ht="15" customHeight="1" x14ac:dyDescent="0.3">
      <c r="A128" s="2">
        <v>12.7</v>
      </c>
      <c r="B128" s="1">
        <f t="shared" si="29"/>
        <v>1.9952623149688807E-13</v>
      </c>
      <c r="C128" s="1">
        <f t="shared" si="30"/>
        <v>5.061991059635447E-2</v>
      </c>
      <c r="D128" s="1">
        <f t="shared" si="31"/>
        <v>0.99999999889152091</v>
      </c>
      <c r="E128" s="1">
        <f t="shared" si="32"/>
        <v>-88.822471088120551</v>
      </c>
      <c r="F128" s="24">
        <f t="shared" si="41"/>
        <v>-44411.23554406027</v>
      </c>
      <c r="M128" s="2">
        <v>12.7</v>
      </c>
      <c r="N128" s="1">
        <f t="shared" si="33"/>
        <v>1.9952623149688807E-13</v>
      </c>
      <c r="O128" s="1">
        <f t="shared" si="27"/>
        <v>5.061991059635447E-2</v>
      </c>
      <c r="P128" s="1">
        <f t="shared" si="34"/>
        <v>5.1360550264514872E-5</v>
      </c>
      <c r="Q128" s="1">
        <f t="shared" si="35"/>
        <v>-0.40391662753952817</v>
      </c>
      <c r="R128" s="24">
        <f t="shared" si="28"/>
        <v>-10.097915688488204</v>
      </c>
      <c r="Y128" s="2">
        <v>12.6999999999999</v>
      </c>
      <c r="Z128" s="1">
        <f t="shared" si="36"/>
        <v>1.9952623149693341E-13</v>
      </c>
      <c r="AA128" s="1">
        <f t="shared" si="37"/>
        <v>5.0619910596342965E-2</v>
      </c>
      <c r="AB128" s="1">
        <f t="shared" si="38"/>
        <v>0.99999998004737711</v>
      </c>
      <c r="AC128" s="1">
        <f t="shared" si="39"/>
        <v>1.1689657768741635</v>
      </c>
      <c r="AD128" s="24">
        <f t="shared" si="40"/>
        <v>233.79315537483271</v>
      </c>
    </row>
    <row r="129" spans="1:30" ht="15" customHeight="1" x14ac:dyDescent="0.3">
      <c r="A129" s="2">
        <v>12.8</v>
      </c>
      <c r="B129" s="1">
        <f t="shared" si="29"/>
        <v>1.5848931924611046E-13</v>
      </c>
      <c r="C129" s="1">
        <f t="shared" si="30"/>
        <v>6.3726691792499873E-2</v>
      </c>
      <c r="D129" s="1">
        <f t="shared" si="31"/>
        <v>0.99999999911950377</v>
      </c>
      <c r="E129" s="1">
        <f t="shared" si="32"/>
        <v>-4.106792079841239</v>
      </c>
      <c r="F129" s="24">
        <f t="shared" si="41"/>
        <v>-2053.3960399206194</v>
      </c>
      <c r="M129" s="2">
        <v>12.8</v>
      </c>
      <c r="N129" s="1">
        <f t="shared" si="33"/>
        <v>1.5848931924611046E-13</v>
      </c>
      <c r="O129" s="1">
        <f t="shared" ref="O129:O141" si="42">Kw/N129</f>
        <v>6.3726691792499873E-2</v>
      </c>
      <c r="P129" s="1">
        <f t="shared" si="34"/>
        <v>4.0797566187703773E-5</v>
      </c>
      <c r="Q129" s="1">
        <f t="shared" si="35"/>
        <v>-0.48324734673347247</v>
      </c>
      <c r="R129" s="24">
        <f t="shared" ref="R129:R141" si="43">(Q129*SAWB_Cb*SAWB_Vb)/SAWB_Ca</f>
        <v>-12.081183668336811</v>
      </c>
      <c r="Y129" s="2">
        <v>12.799999999999899</v>
      </c>
      <c r="Z129" s="1">
        <f t="shared" si="36"/>
        <v>1.5848931924614762E-13</v>
      </c>
      <c r="AA129" s="1">
        <f t="shared" si="37"/>
        <v>6.3726691792484927E-2</v>
      </c>
      <c r="AB129" s="1">
        <f t="shared" si="38"/>
        <v>0.99999998415106839</v>
      </c>
      <c r="AC129" s="1">
        <f t="shared" si="39"/>
        <v>1.2191058402283033</v>
      </c>
      <c r="AD129" s="24">
        <f t="shared" si="40"/>
        <v>243.82116804566064</v>
      </c>
    </row>
    <row r="130" spans="1:30" ht="15" customHeight="1" x14ac:dyDescent="0.3">
      <c r="A130" s="2">
        <v>12.9</v>
      </c>
      <c r="B130" s="1">
        <f t="shared" si="29"/>
        <v>1.2589254117941612E-13</v>
      </c>
      <c r="C130" s="1">
        <f t="shared" si="30"/>
        <v>8.0227151707152805E-2</v>
      </c>
      <c r="D130" s="1">
        <f t="shared" si="31"/>
        <v>0.99999999930059702</v>
      </c>
      <c r="E130" s="1">
        <f t="shared" si="32"/>
        <v>-1.9195561559392316</v>
      </c>
      <c r="F130" s="24">
        <f t="shared" si="41"/>
        <v>-959.77807796961577</v>
      </c>
      <c r="M130" s="2">
        <v>12.9</v>
      </c>
      <c r="N130" s="1">
        <f t="shared" si="33"/>
        <v>1.2589254117941612E-13</v>
      </c>
      <c r="O130" s="1">
        <f t="shared" si="42"/>
        <v>8.0227151707152805E-2</v>
      </c>
      <c r="P130" s="1">
        <f t="shared" si="34"/>
        <v>3.2406930654481879E-5</v>
      </c>
      <c r="Q130" s="1">
        <f t="shared" si="35"/>
        <v>-0.57256344023247474</v>
      </c>
      <c r="R130" s="24">
        <f t="shared" si="43"/>
        <v>-14.314086005811868</v>
      </c>
      <c r="Y130" s="2">
        <v>12.899999999999901</v>
      </c>
      <c r="Z130" s="1">
        <f t="shared" si="36"/>
        <v>1.258925411794452E-13</v>
      </c>
      <c r="AA130" s="1">
        <f t="shared" si="37"/>
        <v>8.0227151707134278E-2</v>
      </c>
      <c r="AB130" s="1">
        <f t="shared" si="38"/>
        <v>0.99999998741074603</v>
      </c>
      <c r="AC130" s="1">
        <f t="shared" si="39"/>
        <v>1.286680574399349</v>
      </c>
      <c r="AD130" s="24">
        <f t="shared" si="40"/>
        <v>257.3361148798698</v>
      </c>
    </row>
    <row r="131" spans="1:30" ht="15" customHeight="1" x14ac:dyDescent="0.3">
      <c r="A131" s="2">
        <v>13</v>
      </c>
      <c r="B131" s="1">
        <f t="shared" ref="B131:B141" si="44">10^(-A131)</f>
        <v>1E-13</v>
      </c>
      <c r="C131" s="1">
        <f t="shared" ref="C131:C141" si="45">Kw/B131</f>
        <v>0.10099999999999999</v>
      </c>
      <c r="D131" s="1">
        <f t="shared" ref="D131:D141" si="46">WASB_Ka/(B131+WASB_Ka)</f>
        <v>0.9999999994444444</v>
      </c>
      <c r="E131" s="1">
        <f t="shared" ref="E131:E141" si="47">(D131-((B131-C131)/WASB_Ca)) / (1 + ((B131-C131)/WASB_Cb))</f>
        <v>-1.1784313720064719</v>
      </c>
      <c r="F131" s="24">
        <f t="shared" si="41"/>
        <v>-589.21568600323587</v>
      </c>
      <c r="M131" s="2">
        <v>13</v>
      </c>
      <c r="N131" s="1">
        <f t="shared" ref="N131:N141" si="48">10^-M131</f>
        <v>1E-13</v>
      </c>
      <c r="O131" s="1">
        <f t="shared" si="42"/>
        <v>0.10099999999999999</v>
      </c>
      <c r="P131" s="1">
        <f t="shared" ref="P131:P141" si="49">N131/(N131+(Kw/SAWB_Kb))</f>
        <v>2.5741911594355005E-5</v>
      </c>
      <c r="Q131" s="1">
        <f t="shared" ref="Q131:Q141" si="50">(P131+((N131-O131)/SAWB_Cb))/(1-((N131-O131)/SAWB_Ca))</f>
        <v>-0.67107924125431306</v>
      </c>
      <c r="R131" s="24">
        <f t="shared" si="43"/>
        <v>-16.776981031357824</v>
      </c>
      <c r="Y131" s="2">
        <v>12.999999999999901</v>
      </c>
      <c r="Z131" s="1">
        <f t="shared" ref="Z131:Z141" si="51">10^(-Y131)</f>
        <v>1.0000000000002271E-13</v>
      </c>
      <c r="AA131" s="1">
        <f t="shared" ref="AA131:AA141" si="52">Kw/Z131</f>
        <v>0.10099999999997705</v>
      </c>
      <c r="AB131" s="1">
        <f t="shared" ref="AB131:AB141" si="53">DEMO_Ka/(Z131+DEMO_Ka)</f>
        <v>0.99999999000000006</v>
      </c>
      <c r="AC131" s="1">
        <f t="shared" ref="AC131:AC141" si="54">(AB131-((Z131-AA131)/DEMO_Ca)) / (1 + ((Z131-AA131)/DEMO_Cb))</f>
        <v>1.3796992355883932</v>
      </c>
      <c r="AD131" s="24">
        <f t="shared" ref="AD131:AD141" si="55">(AC131*(DEMO_Ca * DEMO_Va))/DEMO_Cb</f>
        <v>275.93984711767865</v>
      </c>
    </row>
    <row r="132" spans="1:30" ht="15" customHeight="1" x14ac:dyDescent="0.3">
      <c r="A132" s="2">
        <v>13.1</v>
      </c>
      <c r="B132" s="1">
        <f t="shared" si="44"/>
        <v>7.9432823472427931E-14</v>
      </c>
      <c r="C132" s="1">
        <f t="shared" si="45"/>
        <v>0.12715146659121124</v>
      </c>
      <c r="D132" s="1">
        <f t="shared" si="46"/>
        <v>0.99999999955870655</v>
      </c>
      <c r="E132" s="1">
        <f t="shared" si="47"/>
        <v>-0.81288340206688092</v>
      </c>
      <c r="F132" s="24">
        <f t="shared" ref="F132:F141" si="56">E132*(WASB_Va * WASB_Ca)/WASB_Cb</f>
        <v>-406.44170103344044</v>
      </c>
      <c r="M132" s="2">
        <v>13.1</v>
      </c>
      <c r="N132" s="1">
        <f t="shared" si="48"/>
        <v>7.9432823472427931E-14</v>
      </c>
      <c r="O132" s="1">
        <f t="shared" si="42"/>
        <v>0.12715146659121124</v>
      </c>
      <c r="P132" s="1">
        <f t="shared" si="49"/>
        <v>2.0447635452814608E-5</v>
      </c>
      <c r="Q132" s="1">
        <f t="shared" si="50"/>
        <v>-0.77731225326582831</v>
      </c>
      <c r="R132" s="24">
        <f t="shared" si="43"/>
        <v>-19.432806331645704</v>
      </c>
      <c r="Y132" s="2">
        <v>13.0999999999999</v>
      </c>
      <c r="Z132" s="1">
        <f t="shared" si="51"/>
        <v>7.9432823472446283E-14</v>
      </c>
      <c r="AA132" s="1">
        <f t="shared" si="52"/>
        <v>0.12715146659118184</v>
      </c>
      <c r="AB132" s="1">
        <f t="shared" si="53"/>
        <v>0.99999999205671775</v>
      </c>
      <c r="AC132" s="1">
        <f t="shared" si="54"/>
        <v>1.5115406896500911</v>
      </c>
      <c r="AD132" s="24">
        <f t="shared" si="55"/>
        <v>302.30813793001823</v>
      </c>
    </row>
    <row r="133" spans="1:30" ht="15" customHeight="1" x14ac:dyDescent="0.3">
      <c r="A133" s="2">
        <v>13.2</v>
      </c>
      <c r="B133" s="1">
        <f t="shared" si="44"/>
        <v>6.3095734448019215E-14</v>
      </c>
      <c r="C133" s="1">
        <f t="shared" si="45"/>
        <v>0.16007421243857273</v>
      </c>
      <c r="D133" s="1">
        <f t="shared" si="46"/>
        <v>0.99999999964946806</v>
      </c>
      <c r="E133" s="1">
        <f t="shared" si="47"/>
        <v>-0.59966289800345252</v>
      </c>
      <c r="F133" s="24">
        <f t="shared" si="56"/>
        <v>-299.83144900172624</v>
      </c>
      <c r="M133" s="2">
        <v>13.2</v>
      </c>
      <c r="N133" s="1">
        <f t="shared" si="48"/>
        <v>6.3095734448019215E-14</v>
      </c>
      <c r="O133" s="1">
        <f t="shared" si="42"/>
        <v>0.16007421243857273</v>
      </c>
      <c r="P133" s="1">
        <f t="shared" si="49"/>
        <v>1.6242202480123185E-5</v>
      </c>
      <c r="Q133" s="1">
        <f t="shared" si="50"/>
        <v>-0.8891088708308843</v>
      </c>
      <c r="R133" s="24">
        <f t="shared" si="43"/>
        <v>-22.227721770772106</v>
      </c>
      <c r="Y133" s="2">
        <v>13.1999999999999</v>
      </c>
      <c r="Z133" s="1">
        <f t="shared" si="51"/>
        <v>6.309573444803378E-14</v>
      </c>
      <c r="AA133" s="1">
        <f t="shared" si="52"/>
        <v>0.16007421243853578</v>
      </c>
      <c r="AB133" s="1">
        <f t="shared" si="53"/>
        <v>0.99999999369042658</v>
      </c>
      <c r="AC133" s="1">
        <f t="shared" si="54"/>
        <v>1.7063639308608256</v>
      </c>
      <c r="AD133" s="24">
        <f t="shared" si="55"/>
        <v>341.27278617216513</v>
      </c>
    </row>
    <row r="134" spans="1:30" ht="15" customHeight="1" x14ac:dyDescent="0.3">
      <c r="A134" s="2">
        <v>13.3</v>
      </c>
      <c r="B134" s="1">
        <f t="shared" si="44"/>
        <v>5.0118723362727011E-14</v>
      </c>
      <c r="C134" s="1">
        <f t="shared" si="45"/>
        <v>0.20152149381185769</v>
      </c>
      <c r="D134" s="1">
        <f t="shared" si="46"/>
        <v>0.99999999972156262</v>
      </c>
      <c r="E134" s="1">
        <f t="shared" si="47"/>
        <v>-0.46298480566980899</v>
      </c>
      <c r="F134" s="24">
        <f t="shared" si="56"/>
        <v>-231.49240283490448</v>
      </c>
      <c r="M134" s="2">
        <v>13.3</v>
      </c>
      <c r="N134" s="1">
        <f t="shared" si="48"/>
        <v>5.0118723362727011E-14</v>
      </c>
      <c r="O134" s="1">
        <f t="shared" si="42"/>
        <v>0.20152149381185769</v>
      </c>
      <c r="P134" s="1">
        <f t="shared" si="49"/>
        <v>1.2901683122948827E-5</v>
      </c>
      <c r="Q134" s="1">
        <f t="shared" si="50"/>
        <v>-1.003782894561293</v>
      </c>
      <c r="R134" s="24">
        <f t="shared" si="43"/>
        <v>-25.094572364032327</v>
      </c>
      <c r="Y134" s="2">
        <v>13.299999999999899</v>
      </c>
      <c r="Z134" s="1">
        <f t="shared" si="51"/>
        <v>5.0118723362738756E-14</v>
      </c>
      <c r="AA134" s="1">
        <f t="shared" si="52"/>
        <v>0.20152149381181048</v>
      </c>
      <c r="AB134" s="1">
        <f t="shared" si="53"/>
        <v>0.99999999498812775</v>
      </c>
      <c r="AC134" s="1">
        <f t="shared" si="54"/>
        <v>2.0127437384756472</v>
      </c>
      <c r="AD134" s="24">
        <f t="shared" si="55"/>
        <v>402.54874769512946</v>
      </c>
    </row>
    <row r="135" spans="1:30" ht="15" customHeight="1" x14ac:dyDescent="0.3">
      <c r="A135" s="2">
        <v>13.4</v>
      </c>
      <c r="B135" s="1">
        <f t="shared" si="44"/>
        <v>3.9810717055349592E-14</v>
      </c>
      <c r="C135" s="1">
        <f t="shared" si="45"/>
        <v>0.25370052958246841</v>
      </c>
      <c r="D135" s="1">
        <f t="shared" si="46"/>
        <v>0.99999999977882936</v>
      </c>
      <c r="E135" s="1">
        <f t="shared" si="47"/>
        <v>-0.37000420716474081</v>
      </c>
      <c r="F135" s="24">
        <f t="shared" si="56"/>
        <v>-185.00210358237041</v>
      </c>
      <c r="M135" s="2">
        <v>13.4</v>
      </c>
      <c r="N135" s="1">
        <f t="shared" si="48"/>
        <v>3.9810717055349592E-14</v>
      </c>
      <c r="O135" s="1">
        <f t="shared" si="42"/>
        <v>0.25370052958246841</v>
      </c>
      <c r="P135" s="1">
        <f t="shared" si="49"/>
        <v>1.0248198373740783E-5</v>
      </c>
      <c r="Q135" s="1">
        <f t="shared" si="50"/>
        <v>-1.1183566613690668</v>
      </c>
      <c r="R135" s="24">
        <f t="shared" si="43"/>
        <v>-27.95891653422667</v>
      </c>
      <c r="Y135" s="2">
        <v>13.399999999999901</v>
      </c>
      <c r="Z135" s="1">
        <f t="shared" si="51"/>
        <v>3.9810717055358642E-14</v>
      </c>
      <c r="AA135" s="1">
        <f t="shared" si="52"/>
        <v>0.25370052958241074</v>
      </c>
      <c r="AB135" s="1">
        <f t="shared" si="53"/>
        <v>0.99999999601892842</v>
      </c>
      <c r="AC135" s="1">
        <f t="shared" si="54"/>
        <v>2.5450735307621777</v>
      </c>
      <c r="AD135" s="24">
        <f t="shared" si="55"/>
        <v>509.01470615243556</v>
      </c>
    </row>
    <row r="136" spans="1:30" ht="15" customHeight="1" x14ac:dyDescent="0.3">
      <c r="A136" s="2">
        <v>13.5</v>
      </c>
      <c r="B136" s="1">
        <f t="shared" si="44"/>
        <v>3.1622776601683714E-14</v>
      </c>
      <c r="C136" s="1">
        <f t="shared" si="45"/>
        <v>0.31939004367700707</v>
      </c>
      <c r="D136" s="1">
        <f t="shared" si="46"/>
        <v>0.99999999982431786</v>
      </c>
      <c r="E136" s="1">
        <f t="shared" si="47"/>
        <v>-0.3041649321575009</v>
      </c>
      <c r="F136" s="24">
        <f t="shared" si="56"/>
        <v>-152.08246607875046</v>
      </c>
      <c r="M136" s="2">
        <v>13.5</v>
      </c>
      <c r="N136" s="1">
        <f t="shared" si="48"/>
        <v>3.1622776601683714E-14</v>
      </c>
      <c r="O136" s="1">
        <f t="shared" si="42"/>
        <v>0.31939004367700707</v>
      </c>
      <c r="P136" s="1">
        <f t="shared" si="49"/>
        <v>8.1404504814747955E-6</v>
      </c>
      <c r="Q136" s="1">
        <f t="shared" si="50"/>
        <v>-1.2298627342597475</v>
      </c>
      <c r="R136" s="24">
        <f t="shared" si="43"/>
        <v>-30.746568356493686</v>
      </c>
      <c r="Y136" s="2">
        <v>13.499999999999901</v>
      </c>
      <c r="Z136" s="1">
        <f t="shared" si="51"/>
        <v>3.1622776601690902E-14</v>
      </c>
      <c r="AA136" s="1">
        <f t="shared" si="52"/>
        <v>0.31939004367693452</v>
      </c>
      <c r="AB136" s="1">
        <f t="shared" si="53"/>
        <v>0.99999999683772223</v>
      </c>
      <c r="AC136" s="1">
        <f t="shared" si="54"/>
        <v>3.6525949825112054</v>
      </c>
      <c r="AD136" s="24">
        <f t="shared" si="55"/>
        <v>730.51899650224107</v>
      </c>
    </row>
    <row r="137" spans="1:30" ht="15" customHeight="1" x14ac:dyDescent="0.3">
      <c r="A137" s="2">
        <v>13.6</v>
      </c>
      <c r="B137" s="1">
        <f t="shared" si="44"/>
        <v>2.511886431509576E-14</v>
      </c>
      <c r="C137" s="1">
        <f t="shared" si="45"/>
        <v>0.40208824225903284</v>
      </c>
      <c r="D137" s="1">
        <f t="shared" si="46"/>
        <v>0.99999999986045063</v>
      </c>
      <c r="E137" s="1">
        <f t="shared" si="47"/>
        <v>-0.25621083976034259</v>
      </c>
      <c r="F137" s="24">
        <f t="shared" si="56"/>
        <v>-128.1054198801713</v>
      </c>
      <c r="M137" s="2">
        <v>13.6</v>
      </c>
      <c r="N137" s="1">
        <f t="shared" si="48"/>
        <v>2.511886431509576E-14</v>
      </c>
      <c r="O137" s="1">
        <f t="shared" si="42"/>
        <v>0.40208824225903284</v>
      </c>
      <c r="P137" s="1">
        <f t="shared" si="49"/>
        <v>6.4662004869164408E-6</v>
      </c>
      <c r="Q137" s="1">
        <f t="shared" si="50"/>
        <v>-1.3356434071203405</v>
      </c>
      <c r="R137" s="24">
        <f t="shared" si="43"/>
        <v>-33.39108517800851</v>
      </c>
      <c r="Y137" s="2">
        <v>13.5999999999999</v>
      </c>
      <c r="Z137" s="1">
        <f t="shared" si="51"/>
        <v>2.5118864315101474E-14</v>
      </c>
      <c r="AA137" s="1">
        <f t="shared" si="52"/>
        <v>0.40208824225894141</v>
      </c>
      <c r="AB137" s="1">
        <f t="shared" si="53"/>
        <v>0.99999999748811363</v>
      </c>
      <c r="AC137" s="1">
        <f t="shared" si="54"/>
        <v>7.1599584773806697</v>
      </c>
      <c r="AD137" s="24">
        <f t="shared" si="55"/>
        <v>1431.9916954761338</v>
      </c>
    </row>
    <row r="138" spans="1:30" ht="15" customHeight="1" x14ac:dyDescent="0.3">
      <c r="A138" s="2">
        <v>13.7</v>
      </c>
      <c r="B138" s="1">
        <f t="shared" si="44"/>
        <v>1.9952623149688784E-14</v>
      </c>
      <c r="C138" s="1">
        <f t="shared" si="45"/>
        <v>0.50619910596354523</v>
      </c>
      <c r="D138" s="1">
        <f t="shared" si="46"/>
        <v>0.99999999988915211</v>
      </c>
      <c r="E138" s="1">
        <f t="shared" si="47"/>
        <v>-0.22056139364476321</v>
      </c>
      <c r="F138" s="24">
        <f t="shared" si="56"/>
        <v>-110.28069682238159</v>
      </c>
      <c r="M138" s="2">
        <v>13.7</v>
      </c>
      <c r="N138" s="1">
        <f t="shared" si="48"/>
        <v>1.9952623149688784E-14</v>
      </c>
      <c r="O138" s="1">
        <f t="shared" si="42"/>
        <v>0.50619910596354523</v>
      </c>
      <c r="P138" s="1">
        <f t="shared" si="49"/>
        <v>5.1362924489773295E-6</v>
      </c>
      <c r="Q138" s="1">
        <f t="shared" si="50"/>
        <v>-1.4335860469368116</v>
      </c>
      <c r="R138" s="24">
        <f t="shared" si="43"/>
        <v>-35.839651173420286</v>
      </c>
      <c r="Y138" s="2">
        <v>13.6999999999999</v>
      </c>
      <c r="Z138" s="1">
        <f t="shared" si="51"/>
        <v>1.9952623149693321E-14</v>
      </c>
      <c r="AA138" s="1">
        <f t="shared" si="52"/>
        <v>0.50619910596343021</v>
      </c>
      <c r="AB138" s="1">
        <f t="shared" si="53"/>
        <v>0.99999999800473771</v>
      </c>
      <c r="AC138" s="1">
        <f t="shared" si="54"/>
        <v>-121.48518777210616</v>
      </c>
      <c r="AD138" s="24">
        <f t="shared" si="55"/>
        <v>-24297.037554421233</v>
      </c>
    </row>
    <row r="139" spans="1:30" ht="15" customHeight="1" x14ac:dyDescent="0.3">
      <c r="A139" s="2">
        <v>13.8</v>
      </c>
      <c r="B139" s="1">
        <f t="shared" si="44"/>
        <v>1.5848931924611084E-14</v>
      </c>
      <c r="C139" s="1">
        <f t="shared" si="45"/>
        <v>0.63726691792499712</v>
      </c>
      <c r="D139" s="1">
        <f t="shared" si="46"/>
        <v>0.99999999991195043</v>
      </c>
      <c r="E139" s="1">
        <f t="shared" si="47"/>
        <v>-0.19365417720094244</v>
      </c>
      <c r="F139" s="24">
        <f t="shared" si="56"/>
        <v>-96.827088600471214</v>
      </c>
      <c r="M139" s="2">
        <v>13.8</v>
      </c>
      <c r="N139" s="1">
        <f t="shared" si="48"/>
        <v>1.5848931924611084E-14</v>
      </c>
      <c r="O139" s="1">
        <f t="shared" si="42"/>
        <v>0.63726691792499712</v>
      </c>
      <c r="P139" s="1">
        <f t="shared" si="49"/>
        <v>4.0799064239975225E-6</v>
      </c>
      <c r="Q139" s="1">
        <f t="shared" si="50"/>
        <v>-1.5222541253957385</v>
      </c>
      <c r="R139" s="24">
        <f t="shared" si="43"/>
        <v>-38.056353134893463</v>
      </c>
      <c r="Y139" s="2">
        <v>13.799999999999899</v>
      </c>
      <c r="Z139" s="1">
        <f t="shared" si="51"/>
        <v>1.5848931924614745E-14</v>
      </c>
      <c r="AA139" s="1">
        <f t="shared" si="52"/>
        <v>0.63726691792485002</v>
      </c>
      <c r="AB139" s="1">
        <f t="shared" si="53"/>
        <v>0.99999999841510678</v>
      </c>
      <c r="AC139" s="1">
        <f t="shared" si="54"/>
        <v>-5.9638073801456306</v>
      </c>
      <c r="AD139" s="24">
        <f t="shared" si="55"/>
        <v>-1192.761476029126</v>
      </c>
    </row>
    <row r="140" spans="1:30" ht="15" customHeight="1" x14ac:dyDescent="0.3">
      <c r="A140" s="2">
        <v>13.9</v>
      </c>
      <c r="B140" s="1">
        <f t="shared" si="44"/>
        <v>1.2589254117941644E-14</v>
      </c>
      <c r="C140" s="1">
        <f t="shared" si="45"/>
        <v>0.802271517071526</v>
      </c>
      <c r="D140" s="1">
        <f t="shared" si="46"/>
        <v>0.99999999993005972</v>
      </c>
      <c r="E140" s="1">
        <f t="shared" si="47"/>
        <v>-0.17311190008975777</v>
      </c>
      <c r="F140" s="24">
        <f t="shared" si="56"/>
        <v>-86.555950044878884</v>
      </c>
      <c r="M140" s="2">
        <v>13.9</v>
      </c>
      <c r="N140" s="1">
        <f t="shared" si="48"/>
        <v>1.2589254117941644E-14</v>
      </c>
      <c r="O140" s="1">
        <f t="shared" si="42"/>
        <v>0.802271517071526</v>
      </c>
      <c r="P140" s="1">
        <f t="shared" si="49"/>
        <v>3.240787587028935E-6</v>
      </c>
      <c r="Q140" s="1">
        <f t="shared" si="50"/>
        <v>-1.6009059009017246</v>
      </c>
      <c r="R140" s="24">
        <f t="shared" si="43"/>
        <v>-40.02264752254311</v>
      </c>
      <c r="Y140" s="2">
        <v>13.899999999999901</v>
      </c>
      <c r="Z140" s="1">
        <f t="shared" si="51"/>
        <v>1.2589254117944506E-14</v>
      </c>
      <c r="AA140" s="1">
        <f t="shared" si="52"/>
        <v>0.8022715170713437</v>
      </c>
      <c r="AB140" s="1">
        <f t="shared" si="53"/>
        <v>0.99999999874107459</v>
      </c>
      <c r="AC140" s="1">
        <f t="shared" si="54"/>
        <v>-2.9812129394035813</v>
      </c>
      <c r="AD140" s="24">
        <f t="shared" si="55"/>
        <v>-596.24258788071631</v>
      </c>
    </row>
    <row r="141" spans="1:30" ht="15" customHeight="1" x14ac:dyDescent="0.3">
      <c r="A141" s="2">
        <v>14</v>
      </c>
      <c r="B141" s="1">
        <f t="shared" si="44"/>
        <v>1E-14</v>
      </c>
      <c r="C141" s="1">
        <f t="shared" si="45"/>
        <v>1.01</v>
      </c>
      <c r="D141" s="1">
        <f t="shared" si="46"/>
        <v>0.99999999994444444</v>
      </c>
      <c r="E141" s="1">
        <f t="shared" si="47"/>
        <v>-0.15729166666377375</v>
      </c>
      <c r="F141" s="24">
        <f t="shared" si="56"/>
        <v>-78.645833331886877</v>
      </c>
      <c r="M141" s="2">
        <v>14</v>
      </c>
      <c r="N141" s="1">
        <f t="shared" si="48"/>
        <v>1E-14</v>
      </c>
      <c r="O141" s="1">
        <f t="shared" si="42"/>
        <v>1.01</v>
      </c>
      <c r="P141" s="1">
        <f t="shared" si="49"/>
        <v>2.57425079895834E-6</v>
      </c>
      <c r="Q141" s="1">
        <f t="shared" si="50"/>
        <v>-1.6694210621073033</v>
      </c>
      <c r="R141" s="24">
        <f t="shared" si="43"/>
        <v>-41.735526552682586</v>
      </c>
      <c r="Y141" s="2">
        <v>13.999999999999901</v>
      </c>
      <c r="Z141" s="1">
        <f t="shared" si="51"/>
        <v>1.0000000000002261E-14</v>
      </c>
      <c r="AA141" s="1">
        <f t="shared" si="52"/>
        <v>1.0099999999997715</v>
      </c>
      <c r="AB141" s="1">
        <f t="shared" si="53"/>
        <v>0.99999999900000003</v>
      </c>
      <c r="AC141" s="1">
        <f t="shared" si="54"/>
        <v>-1.9705882343144132</v>
      </c>
      <c r="AD141" s="24">
        <f t="shared" si="55"/>
        <v>-394.11764686288262</v>
      </c>
    </row>
    <row r="1401" spans="1:702" s="10" customFormat="1" ht="15" customHeight="1" x14ac:dyDescent="0.3">
      <c r="A1401" s="2"/>
      <c r="B1401" s="1"/>
      <c r="C1401" s="1"/>
      <c r="D1401" s="1"/>
      <c r="E1401" s="1"/>
      <c r="F1401" s="24"/>
      <c r="G1401" s="45"/>
      <c r="I1401" s="1"/>
      <c r="J1401" s="1"/>
      <c r="K1401" s="1"/>
      <c r="L1401" s="44"/>
      <c r="M1401" s="2"/>
      <c r="N1401" s="1"/>
      <c r="O1401" s="1"/>
      <c r="P1401" s="1"/>
      <c r="Q1401" s="1"/>
      <c r="R1401" s="24"/>
      <c r="S1401" s="45"/>
      <c r="X1401" s="46"/>
      <c r="Y1401" s="45"/>
      <c r="AA1401" s="1"/>
      <c r="AB1401" s="1"/>
      <c r="AC1401" s="1"/>
      <c r="AD1401" s="24"/>
      <c r="AE1401" s="2"/>
      <c r="AF1401" s="1"/>
      <c r="AG1401" s="1"/>
      <c r="AH1401" s="1"/>
      <c r="AI1401" s="1"/>
      <c r="AJ1401" s="44"/>
      <c r="AK1401"/>
      <c r="AL1401"/>
      <c r="AM1401"/>
      <c r="AN1401"/>
      <c r="AO1401"/>
      <c r="AP1401"/>
      <c r="AQ1401"/>
      <c r="AR1401"/>
      <c r="AS1401"/>
      <c r="AT1401"/>
      <c r="AU1401" s="1"/>
      <c r="AV1401" s="1"/>
      <c r="AW1401" s="1"/>
      <c r="AX1401" s="1"/>
      <c r="AY1401" s="1"/>
      <c r="AZ1401" s="1"/>
      <c r="BA1401" s="2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1"/>
      <c r="DL1401" s="1"/>
      <c r="DM1401" s="1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"/>
      <c r="EE1401" s="1"/>
      <c r="EF1401" s="1"/>
      <c r="EG1401" s="1"/>
      <c r="EH1401" s="1"/>
      <c r="EI1401" s="1"/>
      <c r="EJ1401" s="1"/>
      <c r="EK1401" s="1"/>
      <c r="EL1401" s="1"/>
      <c r="EM1401" s="1"/>
      <c r="EN1401" s="1"/>
      <c r="EO1401" s="1"/>
      <c r="EP1401" s="1"/>
      <c r="EQ1401" s="1"/>
      <c r="ER1401" s="1"/>
      <c r="ES1401" s="1"/>
      <c r="ET1401" s="1"/>
      <c r="EU1401" s="1"/>
      <c r="EV1401" s="1"/>
      <c r="EW1401" s="1"/>
      <c r="EX1401" s="1"/>
      <c r="EY1401" s="1"/>
      <c r="EZ1401" s="1"/>
      <c r="FA1401" s="1"/>
      <c r="FB1401" s="1"/>
      <c r="FC1401" s="1"/>
      <c r="FD1401" s="1"/>
      <c r="FE1401" s="1"/>
      <c r="FF1401" s="1"/>
      <c r="FG1401" s="1"/>
      <c r="FH1401" s="1"/>
      <c r="FI1401" s="1"/>
      <c r="FJ1401" s="1"/>
      <c r="FK1401" s="1"/>
      <c r="FL1401" s="1"/>
      <c r="FM1401" s="1"/>
      <c r="FN1401" s="1"/>
      <c r="FO1401" s="1"/>
      <c r="FP1401" s="1"/>
      <c r="FQ1401" s="1"/>
      <c r="FR1401" s="1"/>
      <c r="FS1401" s="1"/>
      <c r="FT1401" s="1"/>
      <c r="FU1401" s="1"/>
      <c r="FV1401" s="1"/>
      <c r="FW1401" s="1"/>
      <c r="FX1401" s="1"/>
      <c r="FY1401" s="1"/>
      <c r="FZ1401" s="1"/>
      <c r="GA1401" s="1"/>
      <c r="GB1401" s="1"/>
      <c r="GC1401" s="1"/>
      <c r="GD1401" s="1"/>
      <c r="GE1401" s="1"/>
      <c r="GF1401" s="1"/>
      <c r="GG1401" s="1"/>
      <c r="GH1401" s="1"/>
      <c r="GI1401" s="1"/>
      <c r="GJ1401" s="1"/>
      <c r="GK1401" s="1"/>
      <c r="GL1401" s="1"/>
      <c r="GM1401" s="1"/>
      <c r="GN1401" s="1"/>
      <c r="GO1401" s="1"/>
      <c r="GP1401" s="1"/>
      <c r="GQ1401" s="1"/>
      <c r="GR1401" s="1"/>
      <c r="GS1401" s="1"/>
      <c r="GT1401" s="1"/>
      <c r="GU1401" s="1"/>
      <c r="GV1401" s="1"/>
      <c r="GW1401" s="1"/>
      <c r="GX1401" s="1"/>
      <c r="GY1401" s="1"/>
      <c r="GZ1401" s="1"/>
      <c r="HA1401" s="1"/>
      <c r="HB1401" s="1"/>
      <c r="HC1401" s="1"/>
      <c r="HD1401" s="1"/>
      <c r="HE1401" s="1"/>
      <c r="HF1401" s="1"/>
      <c r="HG1401" s="1"/>
      <c r="HH1401" s="1"/>
      <c r="HI1401" s="1"/>
      <c r="HJ1401" s="1"/>
      <c r="HK1401" s="1"/>
      <c r="HL1401" s="1"/>
      <c r="HM1401" s="1"/>
      <c r="HN1401" s="1"/>
      <c r="HO1401" s="1"/>
      <c r="HP1401" s="1"/>
      <c r="HQ1401" s="1"/>
      <c r="HR1401" s="1"/>
      <c r="HS1401" s="1"/>
      <c r="HT1401" s="1"/>
      <c r="HU1401" s="1"/>
      <c r="HV1401" s="1"/>
      <c r="HW1401" s="1"/>
      <c r="HX1401" s="1"/>
      <c r="HY1401" s="1"/>
      <c r="HZ1401" s="1"/>
      <c r="IA1401" s="1"/>
      <c r="IB1401" s="1"/>
      <c r="IC1401" s="1"/>
      <c r="ID1401" s="1"/>
      <c r="IE1401" s="1"/>
      <c r="IF1401" s="1"/>
      <c r="IG1401" s="1"/>
      <c r="IH1401" s="1"/>
      <c r="II1401" s="1"/>
      <c r="IJ1401" s="1"/>
      <c r="IK1401" s="1"/>
      <c r="IL1401" s="1"/>
      <c r="IM1401" s="1"/>
      <c r="IN1401" s="1"/>
      <c r="IO1401" s="1"/>
      <c r="IP1401" s="1"/>
      <c r="IQ1401" s="1"/>
      <c r="IR1401" s="1"/>
      <c r="IS1401" s="1"/>
      <c r="IT1401" s="1"/>
      <c r="IU1401" s="1"/>
      <c r="IV1401" s="1"/>
      <c r="IW1401" s="1"/>
      <c r="IX1401" s="1"/>
      <c r="IY1401" s="1"/>
      <c r="IZ1401" s="1"/>
      <c r="JA1401" s="1"/>
      <c r="JB1401" s="1"/>
      <c r="JC1401" s="1"/>
      <c r="JD1401" s="1"/>
      <c r="JE1401" s="1"/>
      <c r="JF1401" s="1"/>
      <c r="JG1401" s="1"/>
      <c r="JH1401" s="1"/>
      <c r="JI1401" s="1"/>
      <c r="JJ1401" s="1"/>
      <c r="JK1401" s="1"/>
      <c r="JL1401" s="1"/>
      <c r="JM1401" s="1"/>
      <c r="JN1401" s="1"/>
      <c r="JO1401" s="1"/>
      <c r="JP1401" s="1"/>
      <c r="JQ1401" s="1"/>
      <c r="JR1401" s="1"/>
      <c r="JS1401" s="1"/>
      <c r="JT1401" s="1"/>
      <c r="JU1401" s="1"/>
      <c r="JV1401" s="1"/>
      <c r="JW1401" s="1"/>
      <c r="JX1401" s="1"/>
      <c r="JY1401" s="1"/>
      <c r="JZ1401" s="1"/>
      <c r="KA1401" s="1"/>
      <c r="KB1401" s="1"/>
      <c r="KC1401" s="1"/>
      <c r="KD1401" s="1"/>
      <c r="KE1401" s="1"/>
      <c r="KF1401" s="1"/>
      <c r="KG1401" s="1"/>
      <c r="KH1401" s="1"/>
      <c r="KI1401" s="1"/>
      <c r="KJ1401" s="1"/>
      <c r="KK1401" s="1"/>
      <c r="KL1401" s="1"/>
      <c r="KM1401" s="1"/>
      <c r="KN1401" s="1"/>
      <c r="KO1401" s="1"/>
      <c r="KP1401" s="1"/>
      <c r="KQ1401" s="1"/>
      <c r="KR1401" s="1"/>
      <c r="KS1401" s="1"/>
      <c r="KT1401" s="1"/>
      <c r="KU1401" s="1"/>
      <c r="KV1401" s="1"/>
      <c r="KW1401" s="1"/>
      <c r="KX1401" s="1"/>
      <c r="KY1401" s="1"/>
      <c r="KZ1401" s="1"/>
      <c r="LA1401" s="1"/>
      <c r="LB1401" s="1"/>
      <c r="LC1401" s="1"/>
      <c r="LD1401" s="1"/>
      <c r="LE1401" s="1"/>
      <c r="LF1401" s="1"/>
      <c r="LG1401" s="1"/>
      <c r="LH1401" s="1"/>
      <c r="LI1401" s="1"/>
      <c r="LJ1401" s="1"/>
      <c r="LK1401" s="1"/>
      <c r="LL1401" s="1"/>
      <c r="LM1401" s="1"/>
      <c r="LN1401" s="1"/>
      <c r="LO1401" s="1"/>
      <c r="LP1401" s="1"/>
      <c r="LQ1401" s="1"/>
      <c r="LR1401" s="1"/>
      <c r="LS1401" s="1"/>
      <c r="LT1401" s="1"/>
      <c r="LU1401" s="1"/>
      <c r="LV1401" s="1"/>
      <c r="LW1401" s="1"/>
      <c r="LX1401" s="1"/>
      <c r="LY1401" s="1"/>
      <c r="LZ1401" s="1"/>
      <c r="MA1401" s="1"/>
      <c r="MB1401" s="1"/>
      <c r="MC1401" s="1"/>
      <c r="MD1401" s="1"/>
      <c r="ME1401" s="1"/>
      <c r="MF1401" s="1"/>
      <c r="MG1401" s="1"/>
      <c r="MH1401" s="1"/>
      <c r="MI1401" s="1"/>
      <c r="MJ1401" s="1"/>
      <c r="MK1401" s="1"/>
      <c r="ML1401" s="1"/>
      <c r="MM1401" s="1"/>
      <c r="MN1401" s="1"/>
      <c r="MO1401" s="1"/>
      <c r="MP1401" s="1"/>
      <c r="MQ1401" s="1"/>
      <c r="MR1401" s="1"/>
      <c r="MS1401" s="1"/>
      <c r="MT1401" s="1"/>
      <c r="MU1401" s="1"/>
      <c r="MV1401" s="1"/>
      <c r="MW1401" s="1"/>
      <c r="MX1401" s="1"/>
      <c r="MY1401" s="1"/>
      <c r="MZ1401" s="1"/>
      <c r="NA1401" s="1"/>
      <c r="NB1401" s="1"/>
      <c r="NC1401" s="1"/>
      <c r="ND1401" s="1"/>
      <c r="NE1401" s="1"/>
      <c r="NF1401" s="1"/>
      <c r="NG1401" s="1"/>
      <c r="NH1401" s="1"/>
      <c r="NI1401" s="1"/>
      <c r="NJ1401" s="1"/>
      <c r="NK1401" s="1"/>
      <c r="NL1401" s="1"/>
      <c r="NM1401" s="1"/>
      <c r="NN1401" s="1"/>
      <c r="NO1401" s="1"/>
      <c r="NP1401" s="1"/>
      <c r="NQ1401" s="1"/>
      <c r="NR1401" s="1"/>
      <c r="NS1401" s="1"/>
      <c r="NT1401" s="1"/>
      <c r="NU1401" s="1"/>
      <c r="NV1401" s="1"/>
      <c r="NW1401" s="1"/>
      <c r="NX1401" s="1"/>
      <c r="NY1401" s="1"/>
      <c r="NZ1401" s="1"/>
      <c r="OA1401" s="1"/>
      <c r="OB1401" s="1"/>
      <c r="OC1401" s="1"/>
      <c r="OD1401" s="1"/>
      <c r="OE1401" s="1"/>
      <c r="OF1401" s="1"/>
      <c r="OG1401" s="1"/>
      <c r="OH1401" s="1"/>
      <c r="OI1401" s="1"/>
      <c r="OJ1401" s="1"/>
      <c r="OK1401" s="1"/>
      <c r="OL1401" s="1"/>
      <c r="OM1401" s="1"/>
      <c r="ON1401" s="1"/>
      <c r="OO1401" s="1"/>
      <c r="OP1401" s="1"/>
      <c r="OQ1401" s="1"/>
      <c r="OR1401" s="1"/>
      <c r="OS1401" s="1"/>
      <c r="OT1401" s="1"/>
      <c r="OU1401" s="1"/>
      <c r="OV1401" s="1"/>
      <c r="OW1401" s="1"/>
      <c r="OX1401" s="1"/>
      <c r="OY1401" s="1"/>
      <c r="OZ1401" s="1"/>
      <c r="PA1401" s="1"/>
      <c r="PB1401" s="1"/>
      <c r="PC1401" s="1"/>
      <c r="PD1401" s="1"/>
      <c r="PE1401" s="1"/>
      <c r="PF1401" s="1"/>
      <c r="PG1401" s="1"/>
      <c r="PH1401" s="1"/>
      <c r="PI1401" s="1"/>
      <c r="PJ1401" s="1"/>
      <c r="PK1401" s="1"/>
      <c r="PL1401" s="1"/>
      <c r="PM1401" s="1"/>
      <c r="PN1401" s="1"/>
      <c r="PO1401" s="1"/>
      <c r="PP1401" s="1"/>
      <c r="PQ1401" s="1"/>
      <c r="PR1401" s="1"/>
      <c r="PS1401" s="1"/>
      <c r="PT1401" s="1"/>
      <c r="PU1401" s="1"/>
      <c r="PV1401" s="1"/>
      <c r="PW1401" s="1"/>
      <c r="PX1401" s="1"/>
      <c r="PY1401" s="1"/>
      <c r="PZ1401" s="1"/>
      <c r="QA1401" s="1"/>
      <c r="QB1401" s="1"/>
      <c r="QC1401" s="1"/>
      <c r="QD1401" s="1"/>
      <c r="QE1401" s="1"/>
      <c r="QF1401" s="1"/>
      <c r="QG1401" s="1"/>
      <c r="QH1401" s="1"/>
      <c r="QI1401" s="1"/>
      <c r="QJ1401" s="1"/>
      <c r="QK1401" s="1"/>
      <c r="QL1401" s="1"/>
      <c r="QM1401" s="1"/>
      <c r="QN1401" s="1"/>
      <c r="QO1401" s="1"/>
      <c r="QP1401" s="1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  <c r="RI1401" s="1"/>
      <c r="RJ1401" s="1"/>
      <c r="RK1401" s="1"/>
      <c r="RL1401" s="1"/>
      <c r="RM1401" s="1"/>
      <c r="RN1401" s="1"/>
      <c r="RO1401" s="1"/>
      <c r="RP1401" s="1"/>
      <c r="RQ1401" s="1"/>
      <c r="RR1401" s="1"/>
      <c r="RS1401" s="1"/>
      <c r="RT1401" s="1"/>
      <c r="RU1401" s="1"/>
      <c r="RV1401" s="1"/>
      <c r="RW1401" s="1"/>
      <c r="RX1401" s="1"/>
      <c r="RY1401" s="1"/>
      <c r="RZ1401" s="1"/>
      <c r="SA1401" s="1"/>
      <c r="SB1401" s="1"/>
      <c r="SC1401" s="1"/>
      <c r="SD1401" s="1"/>
      <c r="SE1401" s="1"/>
      <c r="SF1401" s="1"/>
      <c r="SG1401" s="1"/>
      <c r="SH1401" s="1"/>
      <c r="SI1401" s="1"/>
      <c r="SJ1401" s="1"/>
      <c r="SK1401" s="1"/>
      <c r="SL1401" s="1"/>
      <c r="SM1401" s="1"/>
      <c r="SN1401" s="1"/>
      <c r="SO1401" s="1"/>
      <c r="SP1401" s="1"/>
      <c r="SQ1401" s="1"/>
      <c r="SR1401" s="1"/>
      <c r="SS1401" s="1"/>
      <c r="ST1401" s="1"/>
      <c r="SU1401" s="1"/>
      <c r="SV1401" s="1"/>
      <c r="SW1401" s="1"/>
      <c r="SX1401" s="1"/>
      <c r="SY1401" s="1"/>
      <c r="SZ1401" s="1"/>
      <c r="TA1401" s="1"/>
      <c r="TB1401" s="1"/>
      <c r="TC1401" s="1"/>
      <c r="TD1401" s="1"/>
      <c r="TE1401" s="1"/>
      <c r="TF1401" s="1"/>
      <c r="TG1401" s="1"/>
      <c r="TH1401" s="1"/>
      <c r="TI1401" s="1"/>
      <c r="TJ1401" s="1"/>
      <c r="TK1401" s="1"/>
      <c r="TL1401" s="1"/>
      <c r="TM1401" s="1"/>
      <c r="TN1401" s="1"/>
      <c r="TO1401" s="1"/>
      <c r="TP1401" s="1"/>
      <c r="TQ1401" s="1"/>
      <c r="TR1401" s="1"/>
      <c r="TS1401" s="1"/>
      <c r="TT1401" s="1"/>
      <c r="TU1401" s="1"/>
      <c r="TV1401" s="1"/>
      <c r="TW1401" s="1"/>
      <c r="TX1401" s="1"/>
      <c r="TY1401" s="1"/>
      <c r="TZ1401" s="1"/>
      <c r="UA1401" s="1"/>
      <c r="UB1401" s="1"/>
      <c r="UC1401" s="1"/>
      <c r="UD1401" s="1"/>
      <c r="UE1401" s="1"/>
      <c r="UF1401" s="1"/>
      <c r="UG1401" s="1"/>
      <c r="UH1401" s="1"/>
      <c r="UI1401" s="1"/>
      <c r="UJ1401" s="1"/>
      <c r="UK1401" s="1"/>
      <c r="UL1401" s="1"/>
      <c r="UM1401" s="1"/>
      <c r="UN1401" s="1"/>
      <c r="UO1401" s="1"/>
      <c r="UP1401" s="1"/>
      <c r="UQ1401" s="1"/>
      <c r="UR1401" s="1"/>
      <c r="US1401" s="1"/>
      <c r="UT1401" s="1"/>
      <c r="UU1401" s="1"/>
      <c r="UV1401" s="1"/>
      <c r="UW1401" s="1"/>
      <c r="UX1401" s="1"/>
      <c r="UY1401" s="1"/>
      <c r="UZ1401" s="1"/>
      <c r="VA1401" s="1"/>
      <c r="VB1401" s="1"/>
      <c r="VC1401" s="1"/>
      <c r="VD1401" s="1"/>
      <c r="VE1401" s="1"/>
      <c r="VF1401" s="1"/>
      <c r="VG1401" s="1"/>
      <c r="VH1401" s="1"/>
      <c r="VI1401" s="1"/>
      <c r="VJ1401" s="1"/>
      <c r="VK1401" s="1"/>
      <c r="VL1401" s="1"/>
      <c r="VM1401" s="1"/>
      <c r="VN1401" s="1"/>
      <c r="VO1401" s="1"/>
      <c r="VP1401" s="1"/>
      <c r="VQ1401" s="1"/>
      <c r="VR1401" s="1"/>
      <c r="VS1401" s="1"/>
      <c r="VT1401" s="1"/>
      <c r="VU1401" s="1"/>
      <c r="VV1401" s="1"/>
      <c r="VW1401" s="1"/>
      <c r="VX1401" s="1"/>
      <c r="VY1401" s="1"/>
      <c r="VZ1401" s="1"/>
      <c r="WA1401" s="1"/>
      <c r="WB1401" s="1"/>
      <c r="WC1401" s="1"/>
      <c r="WD1401" s="1"/>
      <c r="WE1401" s="1"/>
      <c r="WF1401" s="1"/>
      <c r="WG1401" s="1"/>
      <c r="WH1401" s="1"/>
      <c r="WI1401" s="1"/>
      <c r="WJ1401" s="1"/>
      <c r="WK1401" s="1"/>
      <c r="WL1401" s="1"/>
      <c r="WM1401" s="1"/>
      <c r="WN1401" s="1"/>
      <c r="WO1401" s="1"/>
      <c r="WP1401" s="1"/>
      <c r="WQ1401" s="1"/>
      <c r="WR1401" s="1"/>
      <c r="WS1401" s="1"/>
      <c r="WT1401" s="1"/>
      <c r="WU1401" s="1"/>
      <c r="WV1401" s="1"/>
      <c r="WW1401" s="1"/>
      <c r="WX1401" s="1"/>
      <c r="WY1401" s="1"/>
      <c r="WZ1401" s="1"/>
      <c r="XA1401" s="1"/>
      <c r="XB1401" s="1"/>
      <c r="XC1401" s="1"/>
      <c r="XD1401" s="1"/>
      <c r="XE1401" s="1"/>
      <c r="XF1401" s="1"/>
      <c r="XG1401" s="1"/>
      <c r="XH1401" s="1"/>
      <c r="XI1401" s="1"/>
      <c r="XJ1401" s="1"/>
      <c r="XK1401" s="1"/>
      <c r="XL1401" s="1"/>
      <c r="XM1401" s="1"/>
      <c r="XN1401" s="1"/>
      <c r="XO1401" s="1"/>
      <c r="XP1401" s="1"/>
      <c r="XQ1401" s="1"/>
      <c r="XR1401" s="1"/>
      <c r="XS1401" s="1"/>
      <c r="XT1401" s="1"/>
      <c r="XU1401" s="1"/>
      <c r="XV1401" s="1"/>
      <c r="XW1401" s="1"/>
      <c r="XX1401" s="1"/>
      <c r="XY1401" s="1"/>
      <c r="XZ1401" s="1"/>
      <c r="YA1401" s="1"/>
      <c r="YB1401" s="1"/>
      <c r="YC1401" s="1"/>
      <c r="YD1401" s="1"/>
      <c r="YE1401" s="1"/>
      <c r="YF1401" s="1"/>
      <c r="YG1401" s="1"/>
      <c r="YH1401" s="1"/>
      <c r="YI1401" s="1"/>
      <c r="YJ1401" s="1"/>
      <c r="YK1401" s="1"/>
      <c r="YL1401" s="1"/>
      <c r="YM1401" s="1"/>
      <c r="YN1401" s="1"/>
      <c r="YO1401" s="1"/>
      <c r="YP1401" s="1"/>
      <c r="YQ1401" s="1"/>
      <c r="YR1401" s="1"/>
      <c r="YS1401" s="1"/>
      <c r="YT1401" s="1"/>
      <c r="YU1401" s="1"/>
      <c r="YV1401" s="1"/>
      <c r="YW1401" s="1"/>
      <c r="YX1401" s="1"/>
      <c r="YY1401" s="1"/>
      <c r="YZ1401" s="1"/>
      <c r="ZA1401" s="1"/>
      <c r="ZB1401" s="1"/>
      <c r="ZC1401" s="1"/>
      <c r="ZD1401" s="1"/>
      <c r="ZE1401" s="1"/>
      <c r="ZF1401" s="1"/>
      <c r="ZG1401" s="1"/>
      <c r="ZH1401" s="1"/>
      <c r="ZI1401" s="1"/>
      <c r="ZJ1401" s="1"/>
      <c r="ZK1401" s="1"/>
      <c r="ZL1401" s="1"/>
      <c r="ZM1401" s="1"/>
      <c r="ZN1401" s="1"/>
      <c r="ZO1401" s="1"/>
      <c r="ZP1401" s="1"/>
      <c r="ZQ1401" s="1"/>
      <c r="ZR1401" s="1"/>
      <c r="ZS1401" s="1"/>
      <c r="ZT1401" s="1"/>
      <c r="ZU1401" s="1"/>
      <c r="ZV1401" s="1"/>
      <c r="ZW1401" s="1"/>
      <c r="ZX1401" s="1"/>
      <c r="ZY1401" s="1"/>
      <c r="ZZ1401" s="1"/>
    </row>
  </sheetData>
  <dataValidations xWindow="120" yWindow="350" count="7">
    <dataValidation allowBlank="1" showInputMessage="1" showErrorMessage="1" prompt="Alpha A-" sqref="AB1:AB141 D1:D1401" xr:uid="{867C8780-7C86-4FF0-9167-2714089A32CD}"/>
    <dataValidation allowBlank="1" showInputMessage="1" showErrorMessage="1" prompt="Alpha BH+" sqref="P1:P1401" xr:uid="{1D4C66E3-CF23-48FC-93BB-A54766D8AA5B}"/>
    <dataValidation allowBlank="1" showInputMessage="1" showErrorMessage="1" prompt="Volume Titrant (Acid)" sqref="R1:R1401" xr:uid="{33E8EB0A-55E3-4C73-B82C-442596175F4B}"/>
    <dataValidation allowBlank="1" showInputMessage="1" showErrorMessage="1" prompt="OH-" sqref="AA1:AA141 C1:C1401 O1:O1401" xr:uid="{756CD598-DE40-4998-BB9A-75DDE261E9C2}"/>
    <dataValidation allowBlank="1" showInputMessage="1" showErrorMessage="1" prompt="Phi" sqref="AC1:AC141 E1:E1401 Q1:Q1401" xr:uid="{88D7A583-2603-44E1-8477-832929CAA046}"/>
    <dataValidation allowBlank="1" showInputMessage="1" showErrorMessage="1" prompt="H+" sqref="Z1:Z141 B1:B1401 N1:N1401" xr:uid="{CBFA251B-C552-407B-A270-34EECE63E996}"/>
    <dataValidation allowBlank="1" showInputMessage="1" showErrorMessage="1" prompt="pH" sqref="Y1:Y141 A1:A1401 M1:M1401" xr:uid="{54C5E4C2-6E56-4770-8377-BC74E943F2BE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Monoprotic</vt:lpstr>
      <vt:lpstr>Demonstration</vt:lpstr>
      <vt:lpstr>CalcSheet</vt:lpstr>
      <vt:lpstr>DEMO_Ca</vt:lpstr>
      <vt:lpstr>DEMO_Cb</vt:lpstr>
      <vt:lpstr>DEMO_Ka</vt:lpstr>
      <vt:lpstr>DEMO_Va</vt:lpstr>
      <vt:lpstr>Kw</vt:lpstr>
      <vt:lpstr>SAWB_Ca</vt:lpstr>
      <vt:lpstr>SAWB_Cb</vt:lpstr>
      <vt:lpstr>SAWB_DVe</vt:lpstr>
      <vt:lpstr>SAWB_Kb</vt:lpstr>
      <vt:lpstr>SAWB_Vb</vt:lpstr>
      <vt:lpstr>WASB_Ca</vt:lpstr>
      <vt:lpstr>WASB_Cb</vt:lpstr>
      <vt:lpstr>WASB_DVe</vt:lpstr>
      <vt:lpstr>WASB_Ka</vt:lpstr>
      <vt:lpstr>WASB_Va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Jackson</cp:lastModifiedBy>
  <dcterms:created xsi:type="dcterms:W3CDTF">2019-12-01T21:13:38Z</dcterms:created>
  <dcterms:modified xsi:type="dcterms:W3CDTF">2019-12-06T18:47:59Z</dcterms:modified>
</cp:coreProperties>
</file>