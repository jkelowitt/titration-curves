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775964DA-0387-4EA8-880A-412E5A09821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CalcSheet" sheetId="13" r:id="rId2"/>
  </sheets>
  <definedNames>
    <definedName name="_xlnm._FilterDatabase" localSheetId="1" hidden="1">CalcSheet!#REF!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a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3" l="1"/>
  <c r="C3" i="13"/>
  <c r="F3" i="13"/>
  <c r="G3" i="13"/>
  <c r="H3" i="13"/>
  <c r="D3" i="13"/>
  <c r="E3" i="13"/>
  <c r="T3" i="13"/>
  <c r="U3" i="13"/>
  <c r="X3" i="13"/>
  <c r="Y3" i="13"/>
  <c r="Z3" i="13"/>
  <c r="V3" i="13"/>
  <c r="W3" i="13"/>
  <c r="B4" i="13"/>
  <c r="C4" i="13"/>
  <c r="F4" i="13"/>
  <c r="G4" i="13"/>
  <c r="H4" i="13"/>
  <c r="D4" i="13"/>
  <c r="E4" i="13"/>
  <c r="T4" i="13"/>
  <c r="U4" i="13"/>
  <c r="X4" i="13"/>
  <c r="Y4" i="13"/>
  <c r="Z4" i="13"/>
  <c r="V4" i="13"/>
  <c r="W4" i="13"/>
  <c r="B5" i="13"/>
  <c r="C5" i="13"/>
  <c r="F5" i="13"/>
  <c r="G5" i="13"/>
  <c r="H5" i="13"/>
  <c r="D5" i="13"/>
  <c r="E5" i="13"/>
  <c r="T5" i="13"/>
  <c r="U5" i="13"/>
  <c r="X5" i="13"/>
  <c r="Y5" i="13"/>
  <c r="Z5" i="13"/>
  <c r="V5" i="13"/>
  <c r="W5" i="13"/>
  <c r="B6" i="13"/>
  <c r="C6" i="13"/>
  <c r="F6" i="13"/>
  <c r="G6" i="13"/>
  <c r="H6" i="13"/>
  <c r="D6" i="13"/>
  <c r="E6" i="13"/>
  <c r="T6" i="13"/>
  <c r="U6" i="13"/>
  <c r="X6" i="13"/>
  <c r="Y6" i="13"/>
  <c r="Z6" i="13"/>
  <c r="V6" i="13"/>
  <c r="W6" i="13"/>
  <c r="B7" i="13"/>
  <c r="C7" i="13"/>
  <c r="F7" i="13"/>
  <c r="G7" i="13"/>
  <c r="H7" i="13"/>
  <c r="D7" i="13"/>
  <c r="E7" i="13"/>
  <c r="T7" i="13"/>
  <c r="U7" i="13"/>
  <c r="X7" i="13"/>
  <c r="Y7" i="13"/>
  <c r="Z7" i="13"/>
  <c r="V7" i="13"/>
  <c r="W7" i="13"/>
  <c r="B8" i="13"/>
  <c r="C8" i="13"/>
  <c r="F8" i="13"/>
  <c r="G8" i="13"/>
  <c r="H8" i="13"/>
  <c r="D8" i="13"/>
  <c r="E8" i="13"/>
  <c r="T8" i="13"/>
  <c r="U8" i="13"/>
  <c r="X8" i="13"/>
  <c r="Y8" i="13"/>
  <c r="Z8" i="13"/>
  <c r="V8" i="13"/>
  <c r="W8" i="13"/>
  <c r="B9" i="13"/>
  <c r="C9" i="13"/>
  <c r="F9" i="13"/>
  <c r="G9" i="13"/>
  <c r="H9" i="13"/>
  <c r="D9" i="13"/>
  <c r="E9" i="13"/>
  <c r="T9" i="13"/>
  <c r="U9" i="13"/>
  <c r="X9" i="13"/>
  <c r="Y9" i="13"/>
  <c r="Z9" i="13"/>
  <c r="V9" i="13"/>
  <c r="W9" i="13"/>
  <c r="B10" i="13"/>
  <c r="C10" i="13"/>
  <c r="F10" i="13"/>
  <c r="G10" i="13"/>
  <c r="H10" i="13"/>
  <c r="D10" i="13"/>
  <c r="E10" i="13"/>
  <c r="T10" i="13"/>
  <c r="U10" i="13"/>
  <c r="X10" i="13"/>
  <c r="Y10" i="13"/>
  <c r="Z10" i="13"/>
  <c r="V10" i="13"/>
  <c r="W10" i="13"/>
  <c r="B11" i="13"/>
  <c r="C11" i="13"/>
  <c r="F11" i="13"/>
  <c r="G11" i="13"/>
  <c r="H11" i="13"/>
  <c r="D11" i="13"/>
  <c r="E11" i="13"/>
  <c r="T11" i="13"/>
  <c r="U11" i="13"/>
  <c r="X11" i="13"/>
  <c r="Y11" i="13"/>
  <c r="Z11" i="13"/>
  <c r="V11" i="13"/>
  <c r="W11" i="13"/>
  <c r="B12" i="13"/>
  <c r="C12" i="13"/>
  <c r="F12" i="13"/>
  <c r="G12" i="13"/>
  <c r="H12" i="13"/>
  <c r="D12" i="13"/>
  <c r="E12" i="13"/>
  <c r="T12" i="13"/>
  <c r="U12" i="13"/>
  <c r="X12" i="13"/>
  <c r="Y12" i="13"/>
  <c r="Z12" i="13"/>
  <c r="V12" i="13"/>
  <c r="W12" i="13"/>
  <c r="B13" i="13"/>
  <c r="C13" i="13"/>
  <c r="F13" i="13"/>
  <c r="G13" i="13"/>
  <c r="H13" i="13"/>
  <c r="D13" i="13"/>
  <c r="E13" i="13"/>
  <c r="T13" i="13"/>
  <c r="U13" i="13"/>
  <c r="X13" i="13"/>
  <c r="Y13" i="13"/>
  <c r="Z13" i="13"/>
  <c r="V13" i="13"/>
  <c r="W13" i="13"/>
  <c r="B14" i="13"/>
  <c r="C14" i="13"/>
  <c r="F14" i="13"/>
  <c r="G14" i="13"/>
  <c r="H14" i="13"/>
  <c r="D14" i="13"/>
  <c r="E14" i="13"/>
  <c r="T14" i="13"/>
  <c r="U14" i="13"/>
  <c r="X14" i="13"/>
  <c r="Y14" i="13"/>
  <c r="Z14" i="13"/>
  <c r="V14" i="13"/>
  <c r="W14" i="13"/>
  <c r="B15" i="13"/>
  <c r="C15" i="13"/>
  <c r="F15" i="13"/>
  <c r="G15" i="13"/>
  <c r="H15" i="13"/>
  <c r="D15" i="13"/>
  <c r="E15" i="13"/>
  <c r="T15" i="13"/>
  <c r="U15" i="13"/>
  <c r="X15" i="13"/>
  <c r="Y15" i="13"/>
  <c r="Z15" i="13"/>
  <c r="V15" i="13"/>
  <c r="W15" i="13"/>
  <c r="B16" i="13"/>
  <c r="C16" i="13"/>
  <c r="F16" i="13"/>
  <c r="G16" i="13"/>
  <c r="H16" i="13"/>
  <c r="D16" i="13"/>
  <c r="E16" i="13"/>
  <c r="T16" i="13"/>
  <c r="U16" i="13"/>
  <c r="X16" i="13"/>
  <c r="Y16" i="13"/>
  <c r="Z16" i="13"/>
  <c r="V16" i="13"/>
  <c r="W16" i="13"/>
  <c r="B17" i="13"/>
  <c r="C17" i="13"/>
  <c r="F17" i="13"/>
  <c r="G17" i="13"/>
  <c r="H17" i="13"/>
  <c r="D17" i="13"/>
  <c r="E17" i="13"/>
  <c r="T17" i="13"/>
  <c r="U17" i="13"/>
  <c r="X17" i="13"/>
  <c r="Y17" i="13"/>
  <c r="Z17" i="13"/>
  <c r="V17" i="13"/>
  <c r="W17" i="13"/>
  <c r="B18" i="13"/>
  <c r="C18" i="13"/>
  <c r="F18" i="13"/>
  <c r="G18" i="13"/>
  <c r="H18" i="13"/>
  <c r="D18" i="13"/>
  <c r="E18" i="13"/>
  <c r="T18" i="13"/>
  <c r="U18" i="13"/>
  <c r="X18" i="13"/>
  <c r="Y18" i="13"/>
  <c r="Z18" i="13"/>
  <c r="V18" i="13"/>
  <c r="W18" i="13"/>
  <c r="B19" i="13"/>
  <c r="C19" i="13"/>
  <c r="F19" i="13"/>
  <c r="G19" i="13"/>
  <c r="H19" i="13"/>
  <c r="D19" i="13"/>
  <c r="E19" i="13"/>
  <c r="T19" i="13"/>
  <c r="U19" i="13"/>
  <c r="X19" i="13"/>
  <c r="Y19" i="13"/>
  <c r="Z19" i="13"/>
  <c r="V19" i="13"/>
  <c r="W19" i="13"/>
  <c r="B20" i="13"/>
  <c r="C20" i="13"/>
  <c r="F20" i="13"/>
  <c r="G20" i="13"/>
  <c r="H20" i="13"/>
  <c r="D20" i="13"/>
  <c r="E20" i="13"/>
  <c r="T20" i="13"/>
  <c r="U20" i="13"/>
  <c r="X20" i="13"/>
  <c r="Y20" i="13"/>
  <c r="Z20" i="13"/>
  <c r="V20" i="13"/>
  <c r="W20" i="13"/>
  <c r="B21" i="13"/>
  <c r="C21" i="13"/>
  <c r="F21" i="13"/>
  <c r="G21" i="13"/>
  <c r="H21" i="13"/>
  <c r="D21" i="13"/>
  <c r="E21" i="13"/>
  <c r="T21" i="13"/>
  <c r="U21" i="13"/>
  <c r="X21" i="13"/>
  <c r="Y21" i="13"/>
  <c r="Z21" i="13"/>
  <c r="V21" i="13"/>
  <c r="W21" i="13"/>
  <c r="B22" i="13"/>
  <c r="C22" i="13"/>
  <c r="F22" i="13"/>
  <c r="G22" i="13"/>
  <c r="H22" i="13"/>
  <c r="D22" i="13"/>
  <c r="E22" i="13"/>
  <c r="T22" i="13"/>
  <c r="U22" i="13"/>
  <c r="X22" i="13"/>
  <c r="Y22" i="13"/>
  <c r="Z22" i="13"/>
  <c r="V22" i="13"/>
  <c r="W22" i="13"/>
  <c r="B23" i="13"/>
  <c r="C23" i="13"/>
  <c r="F23" i="13"/>
  <c r="G23" i="13"/>
  <c r="H23" i="13"/>
  <c r="D23" i="13"/>
  <c r="E23" i="13"/>
  <c r="T23" i="13"/>
  <c r="U23" i="13"/>
  <c r="X23" i="13"/>
  <c r="Y23" i="13"/>
  <c r="Z23" i="13"/>
  <c r="V23" i="13"/>
  <c r="W23" i="13"/>
  <c r="B24" i="13"/>
  <c r="C24" i="13"/>
  <c r="F24" i="13"/>
  <c r="G24" i="13"/>
  <c r="H24" i="13"/>
  <c r="D24" i="13"/>
  <c r="E24" i="13"/>
  <c r="T24" i="13"/>
  <c r="U24" i="13"/>
  <c r="X24" i="13"/>
  <c r="Y24" i="13"/>
  <c r="Z24" i="13"/>
  <c r="V24" i="13"/>
  <c r="W24" i="13"/>
  <c r="B25" i="13"/>
  <c r="C25" i="13"/>
  <c r="F25" i="13"/>
  <c r="G25" i="13"/>
  <c r="H25" i="13"/>
  <c r="D25" i="13"/>
  <c r="E25" i="13"/>
  <c r="T25" i="13"/>
  <c r="U25" i="13"/>
  <c r="X25" i="13"/>
  <c r="Y25" i="13"/>
  <c r="Z25" i="13"/>
  <c r="V25" i="13"/>
  <c r="W25" i="13"/>
  <c r="B26" i="13"/>
  <c r="C26" i="13"/>
  <c r="F26" i="13"/>
  <c r="G26" i="13"/>
  <c r="H26" i="13"/>
  <c r="D26" i="13"/>
  <c r="E26" i="13"/>
  <c r="T26" i="13"/>
  <c r="U26" i="13"/>
  <c r="X26" i="13"/>
  <c r="Y26" i="13"/>
  <c r="Z26" i="13"/>
  <c r="V26" i="13"/>
  <c r="W26" i="13"/>
  <c r="B27" i="13"/>
  <c r="C27" i="13"/>
  <c r="F27" i="13"/>
  <c r="G27" i="13"/>
  <c r="H27" i="13"/>
  <c r="D27" i="13"/>
  <c r="E27" i="13"/>
  <c r="T27" i="13"/>
  <c r="U27" i="13"/>
  <c r="X27" i="13"/>
  <c r="Y27" i="13"/>
  <c r="Z27" i="13"/>
  <c r="V27" i="13"/>
  <c r="W27" i="13"/>
  <c r="B28" i="13"/>
  <c r="C28" i="13"/>
  <c r="F28" i="13"/>
  <c r="G28" i="13"/>
  <c r="H28" i="13"/>
  <c r="D28" i="13"/>
  <c r="E28" i="13"/>
  <c r="T28" i="13"/>
  <c r="U28" i="13"/>
  <c r="X28" i="13"/>
  <c r="Y28" i="13"/>
  <c r="Z28" i="13"/>
  <c r="V28" i="13"/>
  <c r="W28" i="13"/>
  <c r="B29" i="13"/>
  <c r="C29" i="13"/>
  <c r="F29" i="13"/>
  <c r="G29" i="13"/>
  <c r="H29" i="13"/>
  <c r="D29" i="13"/>
  <c r="E29" i="13"/>
  <c r="T29" i="13"/>
  <c r="U29" i="13"/>
  <c r="X29" i="13"/>
  <c r="Y29" i="13"/>
  <c r="Z29" i="13"/>
  <c r="V29" i="13"/>
  <c r="W29" i="13"/>
  <c r="B30" i="13"/>
  <c r="C30" i="13"/>
  <c r="F30" i="13"/>
  <c r="G30" i="13"/>
  <c r="H30" i="13"/>
  <c r="D30" i="13"/>
  <c r="E30" i="13"/>
  <c r="T30" i="13"/>
  <c r="U30" i="13"/>
  <c r="X30" i="13"/>
  <c r="Y30" i="13"/>
  <c r="Z30" i="13"/>
  <c r="V30" i="13"/>
  <c r="W30" i="13"/>
  <c r="B31" i="13"/>
  <c r="C31" i="13"/>
  <c r="F31" i="13"/>
  <c r="G31" i="13"/>
  <c r="H31" i="13"/>
  <c r="D31" i="13"/>
  <c r="E31" i="13"/>
  <c r="T31" i="13"/>
  <c r="U31" i="13"/>
  <c r="X31" i="13"/>
  <c r="Y31" i="13"/>
  <c r="Z31" i="13"/>
  <c r="V31" i="13"/>
  <c r="W31" i="13"/>
  <c r="B32" i="13"/>
  <c r="C32" i="13"/>
  <c r="F32" i="13"/>
  <c r="G32" i="13"/>
  <c r="H32" i="13"/>
  <c r="D32" i="13"/>
  <c r="E32" i="13"/>
  <c r="T32" i="13"/>
  <c r="U32" i="13"/>
  <c r="X32" i="13"/>
  <c r="Y32" i="13"/>
  <c r="Z32" i="13"/>
  <c r="V32" i="13"/>
  <c r="W32" i="13"/>
  <c r="B33" i="13"/>
  <c r="C33" i="13"/>
  <c r="F33" i="13"/>
  <c r="G33" i="13"/>
  <c r="H33" i="13"/>
  <c r="D33" i="13"/>
  <c r="E33" i="13"/>
  <c r="T33" i="13"/>
  <c r="U33" i="13"/>
  <c r="X33" i="13"/>
  <c r="Y33" i="13"/>
  <c r="Z33" i="13"/>
  <c r="V33" i="13"/>
  <c r="W33" i="13"/>
  <c r="B34" i="13"/>
  <c r="C34" i="13"/>
  <c r="F34" i="13"/>
  <c r="G34" i="13"/>
  <c r="H34" i="13"/>
  <c r="D34" i="13"/>
  <c r="E34" i="13"/>
  <c r="T34" i="13"/>
  <c r="U34" i="13"/>
  <c r="X34" i="13"/>
  <c r="Y34" i="13"/>
  <c r="Z34" i="13"/>
  <c r="V34" i="13"/>
  <c r="W34" i="13"/>
  <c r="B35" i="13"/>
  <c r="C35" i="13"/>
  <c r="F35" i="13"/>
  <c r="G35" i="13"/>
  <c r="H35" i="13"/>
  <c r="D35" i="13"/>
  <c r="E35" i="13"/>
  <c r="T35" i="13"/>
  <c r="U35" i="13"/>
  <c r="X35" i="13"/>
  <c r="Y35" i="13"/>
  <c r="Z35" i="13"/>
  <c r="V35" i="13"/>
  <c r="W35" i="13"/>
  <c r="B36" i="13"/>
  <c r="C36" i="13"/>
  <c r="F36" i="13"/>
  <c r="G36" i="13"/>
  <c r="H36" i="13"/>
  <c r="D36" i="13"/>
  <c r="E36" i="13"/>
  <c r="T36" i="13"/>
  <c r="U36" i="13"/>
  <c r="X36" i="13"/>
  <c r="Y36" i="13"/>
  <c r="Z36" i="13"/>
  <c r="V36" i="13"/>
  <c r="W36" i="13"/>
  <c r="B37" i="13"/>
  <c r="C37" i="13"/>
  <c r="F37" i="13"/>
  <c r="G37" i="13"/>
  <c r="H37" i="13"/>
  <c r="D37" i="13"/>
  <c r="E37" i="13"/>
  <c r="T37" i="13"/>
  <c r="U37" i="13"/>
  <c r="X37" i="13"/>
  <c r="Y37" i="13"/>
  <c r="Z37" i="13"/>
  <c r="V37" i="13"/>
  <c r="W37" i="13"/>
  <c r="B38" i="13"/>
  <c r="C38" i="13"/>
  <c r="F38" i="13"/>
  <c r="G38" i="13"/>
  <c r="H38" i="13"/>
  <c r="D38" i="13"/>
  <c r="E38" i="13"/>
  <c r="T38" i="13"/>
  <c r="U38" i="13"/>
  <c r="X38" i="13"/>
  <c r="Y38" i="13"/>
  <c r="Z38" i="13"/>
  <c r="V38" i="13"/>
  <c r="W38" i="13"/>
  <c r="B39" i="13"/>
  <c r="C39" i="13"/>
  <c r="F39" i="13"/>
  <c r="G39" i="13"/>
  <c r="H39" i="13"/>
  <c r="D39" i="13"/>
  <c r="E39" i="13"/>
  <c r="T39" i="13"/>
  <c r="U39" i="13"/>
  <c r="X39" i="13"/>
  <c r="Y39" i="13"/>
  <c r="Z39" i="13"/>
  <c r="V39" i="13"/>
  <c r="W39" i="13"/>
  <c r="B40" i="13"/>
  <c r="C40" i="13"/>
  <c r="F40" i="13"/>
  <c r="G40" i="13"/>
  <c r="H40" i="13"/>
  <c r="D40" i="13"/>
  <c r="E40" i="13"/>
  <c r="T40" i="13"/>
  <c r="U40" i="13"/>
  <c r="X40" i="13"/>
  <c r="Y40" i="13"/>
  <c r="Z40" i="13"/>
  <c r="V40" i="13"/>
  <c r="W40" i="13"/>
  <c r="B41" i="13"/>
  <c r="C41" i="13"/>
  <c r="F41" i="13"/>
  <c r="G41" i="13"/>
  <c r="H41" i="13"/>
  <c r="D41" i="13"/>
  <c r="E41" i="13"/>
  <c r="T41" i="13"/>
  <c r="U41" i="13"/>
  <c r="X41" i="13"/>
  <c r="Y41" i="13"/>
  <c r="Z41" i="13"/>
  <c r="V41" i="13"/>
  <c r="W41" i="13"/>
  <c r="B42" i="13"/>
  <c r="C42" i="13"/>
  <c r="F42" i="13"/>
  <c r="G42" i="13"/>
  <c r="H42" i="13"/>
  <c r="D42" i="13"/>
  <c r="E42" i="13"/>
  <c r="T42" i="13"/>
  <c r="U42" i="13"/>
  <c r="X42" i="13"/>
  <c r="Y42" i="13"/>
  <c r="Z42" i="13"/>
  <c r="V42" i="13"/>
  <c r="W42" i="13"/>
  <c r="B43" i="13"/>
  <c r="C43" i="13"/>
  <c r="F43" i="13"/>
  <c r="G43" i="13"/>
  <c r="H43" i="13"/>
  <c r="D43" i="13"/>
  <c r="E43" i="13"/>
  <c r="T43" i="13"/>
  <c r="U43" i="13"/>
  <c r="X43" i="13"/>
  <c r="Y43" i="13"/>
  <c r="Z43" i="13"/>
  <c r="V43" i="13"/>
  <c r="W43" i="13"/>
  <c r="B44" i="13"/>
  <c r="C44" i="13"/>
  <c r="F44" i="13"/>
  <c r="G44" i="13"/>
  <c r="H44" i="13"/>
  <c r="D44" i="13"/>
  <c r="E44" i="13"/>
  <c r="T44" i="13"/>
  <c r="U44" i="13"/>
  <c r="X44" i="13"/>
  <c r="Y44" i="13"/>
  <c r="Z44" i="13"/>
  <c r="V44" i="13"/>
  <c r="W44" i="13"/>
  <c r="B45" i="13"/>
  <c r="C45" i="13"/>
  <c r="F45" i="13"/>
  <c r="G45" i="13"/>
  <c r="H45" i="13"/>
  <c r="D45" i="13"/>
  <c r="E45" i="13"/>
  <c r="T45" i="13"/>
  <c r="U45" i="13"/>
  <c r="X45" i="13"/>
  <c r="Y45" i="13"/>
  <c r="Z45" i="13"/>
  <c r="V45" i="13"/>
  <c r="W45" i="13"/>
  <c r="B46" i="13"/>
  <c r="C46" i="13"/>
  <c r="F46" i="13"/>
  <c r="G46" i="13"/>
  <c r="H46" i="13"/>
  <c r="D46" i="13"/>
  <c r="E46" i="13"/>
  <c r="T46" i="13"/>
  <c r="U46" i="13"/>
  <c r="X46" i="13"/>
  <c r="Y46" i="13"/>
  <c r="Z46" i="13"/>
  <c r="V46" i="13"/>
  <c r="W46" i="13"/>
  <c r="B47" i="13"/>
  <c r="C47" i="13"/>
  <c r="F47" i="13"/>
  <c r="G47" i="13"/>
  <c r="H47" i="13"/>
  <c r="D47" i="13"/>
  <c r="E47" i="13"/>
  <c r="T47" i="13"/>
  <c r="U47" i="13"/>
  <c r="X47" i="13"/>
  <c r="Y47" i="13"/>
  <c r="Z47" i="13"/>
  <c r="V47" i="13"/>
  <c r="W47" i="13"/>
  <c r="B48" i="13"/>
  <c r="C48" i="13"/>
  <c r="F48" i="13"/>
  <c r="G48" i="13"/>
  <c r="H48" i="13"/>
  <c r="D48" i="13"/>
  <c r="E48" i="13"/>
  <c r="T48" i="13"/>
  <c r="U48" i="13"/>
  <c r="X48" i="13"/>
  <c r="Y48" i="13"/>
  <c r="Z48" i="13"/>
  <c r="V48" i="13"/>
  <c r="W48" i="13"/>
  <c r="B49" i="13"/>
  <c r="C49" i="13"/>
  <c r="F49" i="13"/>
  <c r="G49" i="13"/>
  <c r="H49" i="13"/>
  <c r="D49" i="13"/>
  <c r="E49" i="13"/>
  <c r="T49" i="13"/>
  <c r="U49" i="13"/>
  <c r="X49" i="13"/>
  <c r="Y49" i="13"/>
  <c r="Z49" i="13"/>
  <c r="V49" i="13"/>
  <c r="W49" i="13"/>
  <c r="B50" i="13"/>
  <c r="C50" i="13"/>
  <c r="F50" i="13"/>
  <c r="G50" i="13"/>
  <c r="H50" i="13"/>
  <c r="D50" i="13"/>
  <c r="E50" i="13"/>
  <c r="T50" i="13"/>
  <c r="U50" i="13"/>
  <c r="X50" i="13"/>
  <c r="Y50" i="13"/>
  <c r="Z50" i="13"/>
  <c r="V50" i="13"/>
  <c r="W50" i="13"/>
  <c r="B51" i="13"/>
  <c r="C51" i="13"/>
  <c r="F51" i="13"/>
  <c r="G51" i="13"/>
  <c r="H51" i="13"/>
  <c r="D51" i="13"/>
  <c r="E51" i="13"/>
  <c r="T51" i="13"/>
  <c r="U51" i="13"/>
  <c r="X51" i="13"/>
  <c r="Y51" i="13"/>
  <c r="Z51" i="13"/>
  <c r="V51" i="13"/>
  <c r="W51" i="13"/>
  <c r="B52" i="13"/>
  <c r="C52" i="13"/>
  <c r="F52" i="13"/>
  <c r="G52" i="13"/>
  <c r="H52" i="13"/>
  <c r="D52" i="13"/>
  <c r="E52" i="13"/>
  <c r="T52" i="13"/>
  <c r="U52" i="13"/>
  <c r="X52" i="13"/>
  <c r="Y52" i="13"/>
  <c r="Z52" i="13"/>
  <c r="V52" i="13"/>
  <c r="W52" i="13"/>
  <c r="B53" i="13"/>
  <c r="C53" i="13"/>
  <c r="F53" i="13"/>
  <c r="G53" i="13"/>
  <c r="H53" i="13"/>
  <c r="D53" i="13"/>
  <c r="E53" i="13"/>
  <c r="T53" i="13"/>
  <c r="U53" i="13"/>
  <c r="X53" i="13"/>
  <c r="Y53" i="13"/>
  <c r="Z53" i="13"/>
  <c r="V53" i="13"/>
  <c r="W53" i="13"/>
  <c r="B54" i="13"/>
  <c r="C54" i="13"/>
  <c r="F54" i="13"/>
  <c r="G54" i="13"/>
  <c r="H54" i="13"/>
  <c r="D54" i="13"/>
  <c r="E54" i="13"/>
  <c r="T54" i="13"/>
  <c r="U54" i="13"/>
  <c r="X54" i="13"/>
  <c r="Y54" i="13"/>
  <c r="Z54" i="13"/>
  <c r="V54" i="13"/>
  <c r="W54" i="13"/>
  <c r="B55" i="13"/>
  <c r="C55" i="13"/>
  <c r="F55" i="13"/>
  <c r="G55" i="13"/>
  <c r="H55" i="13"/>
  <c r="D55" i="13"/>
  <c r="E55" i="13"/>
  <c r="T55" i="13"/>
  <c r="U55" i="13"/>
  <c r="X55" i="13"/>
  <c r="Y55" i="13"/>
  <c r="Z55" i="13"/>
  <c r="V55" i="13"/>
  <c r="W55" i="13"/>
  <c r="B56" i="13"/>
  <c r="C56" i="13"/>
  <c r="F56" i="13"/>
  <c r="G56" i="13"/>
  <c r="H56" i="13"/>
  <c r="D56" i="13"/>
  <c r="E56" i="13"/>
  <c r="T56" i="13"/>
  <c r="U56" i="13"/>
  <c r="X56" i="13"/>
  <c r="Y56" i="13"/>
  <c r="Z56" i="13"/>
  <c r="V56" i="13"/>
  <c r="W56" i="13"/>
  <c r="B57" i="13"/>
  <c r="C57" i="13"/>
  <c r="F57" i="13"/>
  <c r="G57" i="13"/>
  <c r="H57" i="13"/>
  <c r="D57" i="13"/>
  <c r="E57" i="13"/>
  <c r="T57" i="13"/>
  <c r="U57" i="13"/>
  <c r="X57" i="13"/>
  <c r="Y57" i="13"/>
  <c r="Z57" i="13"/>
  <c r="V57" i="13"/>
  <c r="W57" i="13"/>
  <c r="B58" i="13"/>
  <c r="C58" i="13"/>
  <c r="F58" i="13"/>
  <c r="G58" i="13"/>
  <c r="H58" i="13"/>
  <c r="D58" i="13"/>
  <c r="E58" i="13"/>
  <c r="T58" i="13"/>
  <c r="U58" i="13"/>
  <c r="X58" i="13"/>
  <c r="Y58" i="13"/>
  <c r="Z58" i="13"/>
  <c r="V58" i="13"/>
  <c r="W58" i="13"/>
  <c r="B59" i="13"/>
  <c r="C59" i="13"/>
  <c r="F59" i="13"/>
  <c r="G59" i="13"/>
  <c r="H59" i="13"/>
  <c r="D59" i="13"/>
  <c r="E59" i="13"/>
  <c r="T59" i="13"/>
  <c r="U59" i="13"/>
  <c r="X59" i="13"/>
  <c r="Y59" i="13"/>
  <c r="Z59" i="13"/>
  <c r="V59" i="13"/>
  <c r="W59" i="13"/>
  <c r="B60" i="13"/>
  <c r="C60" i="13"/>
  <c r="F60" i="13"/>
  <c r="G60" i="13"/>
  <c r="H60" i="13"/>
  <c r="D60" i="13"/>
  <c r="E60" i="13"/>
  <c r="T60" i="13"/>
  <c r="U60" i="13"/>
  <c r="X60" i="13"/>
  <c r="Y60" i="13"/>
  <c r="Z60" i="13"/>
  <c r="V60" i="13"/>
  <c r="W60" i="13"/>
  <c r="B61" i="13"/>
  <c r="C61" i="13"/>
  <c r="F61" i="13"/>
  <c r="G61" i="13"/>
  <c r="H61" i="13"/>
  <c r="D61" i="13"/>
  <c r="E61" i="13"/>
  <c r="T61" i="13"/>
  <c r="U61" i="13"/>
  <c r="X61" i="13"/>
  <c r="Y61" i="13"/>
  <c r="Z61" i="13"/>
  <c r="V61" i="13"/>
  <c r="W61" i="13"/>
  <c r="B62" i="13"/>
  <c r="C62" i="13"/>
  <c r="F62" i="13"/>
  <c r="G62" i="13"/>
  <c r="H62" i="13"/>
  <c r="D62" i="13"/>
  <c r="E62" i="13"/>
  <c r="T62" i="13"/>
  <c r="U62" i="13"/>
  <c r="X62" i="13"/>
  <c r="Y62" i="13"/>
  <c r="Z62" i="13"/>
  <c r="V62" i="13"/>
  <c r="W62" i="13"/>
  <c r="B63" i="13"/>
  <c r="C63" i="13"/>
  <c r="F63" i="13"/>
  <c r="G63" i="13"/>
  <c r="H63" i="13"/>
  <c r="D63" i="13"/>
  <c r="E63" i="13"/>
  <c r="T63" i="13"/>
  <c r="U63" i="13"/>
  <c r="X63" i="13"/>
  <c r="Y63" i="13"/>
  <c r="Z63" i="13"/>
  <c r="V63" i="13"/>
  <c r="W63" i="13"/>
  <c r="B64" i="13"/>
  <c r="C64" i="13"/>
  <c r="F64" i="13"/>
  <c r="G64" i="13"/>
  <c r="H64" i="13"/>
  <c r="D64" i="13"/>
  <c r="E64" i="13"/>
  <c r="T64" i="13"/>
  <c r="U64" i="13"/>
  <c r="X64" i="13"/>
  <c r="Y64" i="13"/>
  <c r="Z64" i="13"/>
  <c r="V64" i="13"/>
  <c r="W64" i="13"/>
  <c r="B65" i="13"/>
  <c r="C65" i="13"/>
  <c r="F65" i="13"/>
  <c r="G65" i="13"/>
  <c r="H65" i="13"/>
  <c r="D65" i="13"/>
  <c r="E65" i="13"/>
  <c r="T65" i="13"/>
  <c r="U65" i="13"/>
  <c r="X65" i="13"/>
  <c r="Y65" i="13"/>
  <c r="Z65" i="13"/>
  <c r="V65" i="13"/>
  <c r="W65" i="13"/>
  <c r="B66" i="13"/>
  <c r="C66" i="13"/>
  <c r="F66" i="13"/>
  <c r="G66" i="13"/>
  <c r="H66" i="13"/>
  <c r="D66" i="13"/>
  <c r="E66" i="13"/>
  <c r="T66" i="13"/>
  <c r="U66" i="13"/>
  <c r="X66" i="13"/>
  <c r="Y66" i="13"/>
  <c r="Z66" i="13"/>
  <c r="V66" i="13"/>
  <c r="W66" i="13"/>
  <c r="B67" i="13"/>
  <c r="C67" i="13"/>
  <c r="F67" i="13"/>
  <c r="G67" i="13"/>
  <c r="H67" i="13"/>
  <c r="D67" i="13"/>
  <c r="E67" i="13"/>
  <c r="T67" i="13"/>
  <c r="U67" i="13"/>
  <c r="X67" i="13"/>
  <c r="Y67" i="13"/>
  <c r="Z67" i="13"/>
  <c r="V67" i="13"/>
  <c r="W67" i="13"/>
  <c r="B68" i="13"/>
  <c r="C68" i="13"/>
  <c r="F68" i="13"/>
  <c r="G68" i="13"/>
  <c r="H68" i="13"/>
  <c r="D68" i="13"/>
  <c r="E68" i="13"/>
  <c r="T68" i="13"/>
  <c r="U68" i="13"/>
  <c r="X68" i="13"/>
  <c r="Y68" i="13"/>
  <c r="Z68" i="13"/>
  <c r="V68" i="13"/>
  <c r="W68" i="13"/>
  <c r="B69" i="13"/>
  <c r="C69" i="13"/>
  <c r="F69" i="13"/>
  <c r="G69" i="13"/>
  <c r="H69" i="13"/>
  <c r="D69" i="13"/>
  <c r="E69" i="13"/>
  <c r="T69" i="13"/>
  <c r="U69" i="13"/>
  <c r="X69" i="13"/>
  <c r="Y69" i="13"/>
  <c r="Z69" i="13"/>
  <c r="V69" i="13"/>
  <c r="W69" i="13"/>
  <c r="B70" i="13"/>
  <c r="C70" i="13"/>
  <c r="F70" i="13"/>
  <c r="G70" i="13"/>
  <c r="H70" i="13"/>
  <c r="D70" i="13"/>
  <c r="E70" i="13"/>
  <c r="T70" i="13"/>
  <c r="U70" i="13"/>
  <c r="X70" i="13"/>
  <c r="Y70" i="13"/>
  <c r="Z70" i="13"/>
  <c r="V70" i="13"/>
  <c r="W70" i="13"/>
  <c r="B71" i="13"/>
  <c r="C71" i="13"/>
  <c r="F71" i="13"/>
  <c r="G71" i="13"/>
  <c r="H71" i="13"/>
  <c r="D71" i="13"/>
  <c r="E71" i="13"/>
  <c r="T71" i="13"/>
  <c r="U71" i="13"/>
  <c r="X71" i="13"/>
  <c r="Y71" i="13"/>
  <c r="Z71" i="13"/>
  <c r="V71" i="13"/>
  <c r="W71" i="13"/>
  <c r="B72" i="13"/>
  <c r="C72" i="13"/>
  <c r="F72" i="13"/>
  <c r="G72" i="13"/>
  <c r="H72" i="13"/>
  <c r="D72" i="13"/>
  <c r="E72" i="13"/>
  <c r="T72" i="13"/>
  <c r="U72" i="13"/>
  <c r="X72" i="13"/>
  <c r="Y72" i="13"/>
  <c r="Z72" i="13"/>
  <c r="V72" i="13"/>
  <c r="W72" i="13"/>
  <c r="B73" i="13"/>
  <c r="C73" i="13"/>
  <c r="F73" i="13"/>
  <c r="G73" i="13"/>
  <c r="H73" i="13"/>
  <c r="D73" i="13"/>
  <c r="E73" i="13"/>
  <c r="T73" i="13"/>
  <c r="U73" i="13"/>
  <c r="X73" i="13"/>
  <c r="Y73" i="13"/>
  <c r="Z73" i="13"/>
  <c r="V73" i="13"/>
  <c r="W73" i="13"/>
  <c r="B74" i="13"/>
  <c r="C74" i="13"/>
  <c r="F74" i="13"/>
  <c r="G74" i="13"/>
  <c r="H74" i="13"/>
  <c r="D74" i="13"/>
  <c r="E74" i="13"/>
  <c r="T74" i="13"/>
  <c r="U74" i="13"/>
  <c r="X74" i="13"/>
  <c r="Y74" i="13"/>
  <c r="Z74" i="13"/>
  <c r="V74" i="13"/>
  <c r="W74" i="13"/>
  <c r="B75" i="13"/>
  <c r="C75" i="13"/>
  <c r="F75" i="13"/>
  <c r="G75" i="13"/>
  <c r="H75" i="13"/>
  <c r="D75" i="13"/>
  <c r="E75" i="13"/>
  <c r="T75" i="13"/>
  <c r="U75" i="13"/>
  <c r="X75" i="13"/>
  <c r="Y75" i="13"/>
  <c r="Z75" i="13"/>
  <c r="V75" i="13"/>
  <c r="W75" i="13"/>
  <c r="B76" i="13"/>
  <c r="C76" i="13"/>
  <c r="F76" i="13"/>
  <c r="G76" i="13"/>
  <c r="H76" i="13"/>
  <c r="D76" i="13"/>
  <c r="E76" i="13"/>
  <c r="T76" i="13"/>
  <c r="U76" i="13"/>
  <c r="X76" i="13"/>
  <c r="Y76" i="13"/>
  <c r="Z76" i="13"/>
  <c r="V76" i="13"/>
  <c r="W76" i="13"/>
  <c r="B77" i="13"/>
  <c r="C77" i="13"/>
  <c r="F77" i="13"/>
  <c r="G77" i="13"/>
  <c r="H77" i="13"/>
  <c r="D77" i="13"/>
  <c r="E77" i="13"/>
  <c r="T77" i="13"/>
  <c r="U77" i="13"/>
  <c r="X77" i="13"/>
  <c r="Y77" i="13"/>
  <c r="Z77" i="13"/>
  <c r="V77" i="13"/>
  <c r="W77" i="13"/>
  <c r="B78" i="13"/>
  <c r="C78" i="13"/>
  <c r="F78" i="13"/>
  <c r="G78" i="13"/>
  <c r="H78" i="13"/>
  <c r="D78" i="13"/>
  <c r="E78" i="13"/>
  <c r="T78" i="13"/>
  <c r="U78" i="13"/>
  <c r="X78" i="13"/>
  <c r="Y78" i="13"/>
  <c r="Z78" i="13"/>
  <c r="V78" i="13"/>
  <c r="W78" i="13"/>
  <c r="B79" i="13"/>
  <c r="C79" i="13"/>
  <c r="F79" i="13"/>
  <c r="G79" i="13"/>
  <c r="H79" i="13"/>
  <c r="D79" i="13"/>
  <c r="E79" i="13"/>
  <c r="T79" i="13"/>
  <c r="U79" i="13"/>
  <c r="X79" i="13"/>
  <c r="Y79" i="13"/>
  <c r="Z79" i="13"/>
  <c r="V79" i="13"/>
  <c r="W79" i="13"/>
  <c r="B80" i="13"/>
  <c r="C80" i="13"/>
  <c r="F80" i="13"/>
  <c r="G80" i="13"/>
  <c r="H80" i="13"/>
  <c r="D80" i="13"/>
  <c r="E80" i="13"/>
  <c r="T80" i="13"/>
  <c r="U80" i="13"/>
  <c r="X80" i="13"/>
  <c r="Y80" i="13"/>
  <c r="Z80" i="13"/>
  <c r="V80" i="13"/>
  <c r="W80" i="13"/>
  <c r="B81" i="13"/>
  <c r="C81" i="13"/>
  <c r="F81" i="13"/>
  <c r="G81" i="13"/>
  <c r="H81" i="13"/>
  <c r="D81" i="13"/>
  <c r="E81" i="13"/>
  <c r="T81" i="13"/>
  <c r="U81" i="13"/>
  <c r="X81" i="13"/>
  <c r="Y81" i="13"/>
  <c r="Z81" i="13"/>
  <c r="V81" i="13"/>
  <c r="W81" i="13"/>
  <c r="B82" i="13"/>
  <c r="C82" i="13"/>
  <c r="F82" i="13"/>
  <c r="G82" i="13"/>
  <c r="H82" i="13"/>
  <c r="D82" i="13"/>
  <c r="E82" i="13"/>
  <c r="T82" i="13"/>
  <c r="U82" i="13"/>
  <c r="X82" i="13"/>
  <c r="Y82" i="13"/>
  <c r="Z82" i="13"/>
  <c r="V82" i="13"/>
  <c r="W82" i="13"/>
  <c r="B83" i="13"/>
  <c r="C83" i="13"/>
  <c r="F83" i="13"/>
  <c r="G83" i="13"/>
  <c r="H83" i="13"/>
  <c r="D83" i="13"/>
  <c r="E83" i="13"/>
  <c r="T83" i="13"/>
  <c r="U83" i="13"/>
  <c r="X83" i="13"/>
  <c r="Y83" i="13"/>
  <c r="Z83" i="13"/>
  <c r="V83" i="13"/>
  <c r="W83" i="13"/>
  <c r="B84" i="13"/>
  <c r="C84" i="13"/>
  <c r="F84" i="13"/>
  <c r="G84" i="13"/>
  <c r="H84" i="13"/>
  <c r="D84" i="13"/>
  <c r="E84" i="13"/>
  <c r="T84" i="13"/>
  <c r="U84" i="13"/>
  <c r="X84" i="13"/>
  <c r="Y84" i="13"/>
  <c r="Z84" i="13"/>
  <c r="V84" i="13"/>
  <c r="W84" i="13"/>
  <c r="B85" i="13"/>
  <c r="C85" i="13"/>
  <c r="F85" i="13"/>
  <c r="G85" i="13"/>
  <c r="H85" i="13"/>
  <c r="D85" i="13"/>
  <c r="E85" i="13"/>
  <c r="T85" i="13"/>
  <c r="U85" i="13"/>
  <c r="X85" i="13"/>
  <c r="Y85" i="13"/>
  <c r="Z85" i="13"/>
  <c r="V85" i="13"/>
  <c r="W85" i="13"/>
  <c r="B86" i="13"/>
  <c r="C86" i="13"/>
  <c r="F86" i="13"/>
  <c r="G86" i="13"/>
  <c r="H86" i="13"/>
  <c r="D86" i="13"/>
  <c r="E86" i="13"/>
  <c r="T86" i="13"/>
  <c r="U86" i="13"/>
  <c r="X86" i="13"/>
  <c r="Y86" i="13"/>
  <c r="Z86" i="13"/>
  <c r="V86" i="13"/>
  <c r="W86" i="13"/>
  <c r="B87" i="13"/>
  <c r="C87" i="13"/>
  <c r="F87" i="13"/>
  <c r="G87" i="13"/>
  <c r="H87" i="13"/>
  <c r="D87" i="13"/>
  <c r="E87" i="13"/>
  <c r="T87" i="13"/>
  <c r="U87" i="13"/>
  <c r="X87" i="13"/>
  <c r="Y87" i="13"/>
  <c r="Z87" i="13"/>
  <c r="V87" i="13"/>
  <c r="W87" i="13"/>
  <c r="B88" i="13"/>
  <c r="C88" i="13"/>
  <c r="F88" i="13"/>
  <c r="G88" i="13"/>
  <c r="H88" i="13"/>
  <c r="D88" i="13"/>
  <c r="E88" i="13"/>
  <c r="T88" i="13"/>
  <c r="U88" i="13"/>
  <c r="X88" i="13"/>
  <c r="Y88" i="13"/>
  <c r="Z88" i="13"/>
  <c r="V88" i="13"/>
  <c r="W88" i="13"/>
  <c r="B89" i="13"/>
  <c r="C89" i="13"/>
  <c r="F89" i="13"/>
  <c r="G89" i="13"/>
  <c r="H89" i="13"/>
  <c r="D89" i="13"/>
  <c r="E89" i="13"/>
  <c r="T89" i="13"/>
  <c r="U89" i="13"/>
  <c r="X89" i="13"/>
  <c r="Y89" i="13"/>
  <c r="Z89" i="13"/>
  <c r="V89" i="13"/>
  <c r="W89" i="13"/>
  <c r="B90" i="13"/>
  <c r="C90" i="13"/>
  <c r="F90" i="13"/>
  <c r="G90" i="13"/>
  <c r="H90" i="13"/>
  <c r="D90" i="13"/>
  <c r="E90" i="13"/>
  <c r="T90" i="13"/>
  <c r="U90" i="13"/>
  <c r="X90" i="13"/>
  <c r="Y90" i="13"/>
  <c r="Z90" i="13"/>
  <c r="V90" i="13"/>
  <c r="W90" i="13"/>
  <c r="B91" i="13"/>
  <c r="C91" i="13"/>
  <c r="F91" i="13"/>
  <c r="G91" i="13"/>
  <c r="H91" i="13"/>
  <c r="D91" i="13"/>
  <c r="E91" i="13"/>
  <c r="T91" i="13"/>
  <c r="U91" i="13"/>
  <c r="X91" i="13"/>
  <c r="Y91" i="13"/>
  <c r="Z91" i="13"/>
  <c r="V91" i="13"/>
  <c r="W91" i="13"/>
  <c r="B92" i="13"/>
  <c r="C92" i="13"/>
  <c r="F92" i="13"/>
  <c r="G92" i="13"/>
  <c r="H92" i="13"/>
  <c r="D92" i="13"/>
  <c r="E92" i="13"/>
  <c r="T92" i="13"/>
  <c r="U92" i="13"/>
  <c r="X92" i="13"/>
  <c r="Y92" i="13"/>
  <c r="Z92" i="13"/>
  <c r="V92" i="13"/>
  <c r="W92" i="13"/>
  <c r="B93" i="13"/>
  <c r="C93" i="13"/>
  <c r="F93" i="13"/>
  <c r="G93" i="13"/>
  <c r="H93" i="13"/>
  <c r="D93" i="13"/>
  <c r="E93" i="13"/>
  <c r="T93" i="13"/>
  <c r="U93" i="13"/>
  <c r="X93" i="13"/>
  <c r="Y93" i="13"/>
  <c r="Z93" i="13"/>
  <c r="V93" i="13"/>
  <c r="W93" i="13"/>
  <c r="B94" i="13"/>
  <c r="C94" i="13"/>
  <c r="F94" i="13"/>
  <c r="G94" i="13"/>
  <c r="H94" i="13"/>
  <c r="D94" i="13"/>
  <c r="E94" i="13"/>
  <c r="T94" i="13"/>
  <c r="U94" i="13"/>
  <c r="X94" i="13"/>
  <c r="Y94" i="13"/>
  <c r="Z94" i="13"/>
  <c r="V94" i="13"/>
  <c r="W94" i="13"/>
  <c r="B95" i="13"/>
  <c r="C95" i="13"/>
  <c r="F95" i="13"/>
  <c r="G95" i="13"/>
  <c r="H95" i="13"/>
  <c r="D95" i="13"/>
  <c r="E95" i="13"/>
  <c r="T95" i="13"/>
  <c r="U95" i="13"/>
  <c r="X95" i="13"/>
  <c r="Y95" i="13"/>
  <c r="Z95" i="13"/>
  <c r="V95" i="13"/>
  <c r="W95" i="13"/>
  <c r="B96" i="13"/>
  <c r="C96" i="13"/>
  <c r="F96" i="13"/>
  <c r="G96" i="13"/>
  <c r="H96" i="13"/>
  <c r="D96" i="13"/>
  <c r="E96" i="13"/>
  <c r="T96" i="13"/>
  <c r="U96" i="13"/>
  <c r="X96" i="13"/>
  <c r="Y96" i="13"/>
  <c r="Z96" i="13"/>
  <c r="V96" i="13"/>
  <c r="W96" i="13"/>
  <c r="B97" i="13"/>
  <c r="C97" i="13"/>
  <c r="F97" i="13"/>
  <c r="G97" i="13"/>
  <c r="H97" i="13"/>
  <c r="D97" i="13"/>
  <c r="E97" i="13"/>
  <c r="T97" i="13"/>
  <c r="U97" i="13"/>
  <c r="X97" i="13"/>
  <c r="Y97" i="13"/>
  <c r="Z97" i="13"/>
  <c r="V97" i="13"/>
  <c r="W97" i="13"/>
  <c r="B98" i="13"/>
  <c r="C98" i="13"/>
  <c r="F98" i="13"/>
  <c r="G98" i="13"/>
  <c r="H98" i="13"/>
  <c r="D98" i="13"/>
  <c r="E98" i="13"/>
  <c r="T98" i="13"/>
  <c r="U98" i="13"/>
  <c r="X98" i="13"/>
  <c r="Y98" i="13"/>
  <c r="Z98" i="13"/>
  <c r="V98" i="13"/>
  <c r="W98" i="13"/>
  <c r="B99" i="13"/>
  <c r="C99" i="13"/>
  <c r="F99" i="13"/>
  <c r="G99" i="13"/>
  <c r="H99" i="13"/>
  <c r="D99" i="13"/>
  <c r="E99" i="13"/>
  <c r="T99" i="13"/>
  <c r="U99" i="13"/>
  <c r="X99" i="13"/>
  <c r="Y99" i="13"/>
  <c r="Z99" i="13"/>
  <c r="V99" i="13"/>
  <c r="W99" i="13"/>
  <c r="B100" i="13"/>
  <c r="C100" i="13"/>
  <c r="F100" i="13"/>
  <c r="G100" i="13"/>
  <c r="H100" i="13"/>
  <c r="D100" i="13"/>
  <c r="E100" i="13"/>
  <c r="T100" i="13"/>
  <c r="U100" i="13"/>
  <c r="X100" i="13"/>
  <c r="Y100" i="13"/>
  <c r="Z100" i="13"/>
  <c r="V100" i="13"/>
  <c r="W100" i="13"/>
  <c r="B101" i="13"/>
  <c r="C101" i="13"/>
  <c r="F101" i="13"/>
  <c r="G101" i="13"/>
  <c r="H101" i="13"/>
  <c r="D101" i="13"/>
  <c r="E101" i="13"/>
  <c r="T101" i="13"/>
  <c r="U101" i="13"/>
  <c r="X101" i="13"/>
  <c r="Y101" i="13"/>
  <c r="Z101" i="13"/>
  <c r="V101" i="13"/>
  <c r="W101" i="13"/>
  <c r="B102" i="13"/>
  <c r="C102" i="13"/>
  <c r="F102" i="13"/>
  <c r="G102" i="13"/>
  <c r="H102" i="13"/>
  <c r="D102" i="13"/>
  <c r="E102" i="13"/>
  <c r="T102" i="13"/>
  <c r="U102" i="13"/>
  <c r="X102" i="13"/>
  <c r="Y102" i="13"/>
  <c r="Z102" i="13"/>
  <c r="V102" i="13"/>
  <c r="W102" i="13"/>
  <c r="B103" i="13"/>
  <c r="C103" i="13"/>
  <c r="F103" i="13"/>
  <c r="G103" i="13"/>
  <c r="H103" i="13"/>
  <c r="D103" i="13"/>
  <c r="E103" i="13"/>
  <c r="T103" i="13"/>
  <c r="U103" i="13"/>
  <c r="X103" i="13"/>
  <c r="Y103" i="13"/>
  <c r="Z103" i="13"/>
  <c r="V103" i="13"/>
  <c r="W103" i="13"/>
  <c r="B104" i="13"/>
  <c r="C104" i="13"/>
  <c r="F104" i="13"/>
  <c r="G104" i="13"/>
  <c r="H104" i="13"/>
  <c r="D104" i="13"/>
  <c r="E104" i="13"/>
  <c r="T104" i="13"/>
  <c r="U104" i="13"/>
  <c r="X104" i="13"/>
  <c r="Y104" i="13"/>
  <c r="Z104" i="13"/>
  <c r="V104" i="13"/>
  <c r="W104" i="13"/>
  <c r="B105" i="13"/>
  <c r="C105" i="13"/>
  <c r="F105" i="13"/>
  <c r="G105" i="13"/>
  <c r="H105" i="13"/>
  <c r="D105" i="13"/>
  <c r="E105" i="13"/>
  <c r="T105" i="13"/>
  <c r="U105" i="13"/>
  <c r="X105" i="13"/>
  <c r="Y105" i="13"/>
  <c r="Z105" i="13"/>
  <c r="V105" i="13"/>
  <c r="W105" i="13"/>
  <c r="B106" i="13"/>
  <c r="C106" i="13"/>
  <c r="F106" i="13"/>
  <c r="G106" i="13"/>
  <c r="H106" i="13"/>
  <c r="D106" i="13"/>
  <c r="E106" i="13"/>
  <c r="T106" i="13"/>
  <c r="U106" i="13"/>
  <c r="X106" i="13"/>
  <c r="Y106" i="13"/>
  <c r="Z106" i="13"/>
  <c r="V106" i="13"/>
  <c r="W106" i="13"/>
  <c r="B107" i="13"/>
  <c r="C107" i="13"/>
  <c r="F107" i="13"/>
  <c r="G107" i="13"/>
  <c r="H107" i="13"/>
  <c r="D107" i="13"/>
  <c r="E107" i="13"/>
  <c r="T107" i="13"/>
  <c r="U107" i="13"/>
  <c r="X107" i="13"/>
  <c r="Y107" i="13"/>
  <c r="Z107" i="13"/>
  <c r="V107" i="13"/>
  <c r="W107" i="13"/>
  <c r="B108" i="13"/>
  <c r="C108" i="13"/>
  <c r="F108" i="13"/>
  <c r="G108" i="13"/>
  <c r="H108" i="13"/>
  <c r="D108" i="13"/>
  <c r="E108" i="13"/>
  <c r="T108" i="13"/>
  <c r="U108" i="13"/>
  <c r="X108" i="13"/>
  <c r="Y108" i="13"/>
  <c r="Z108" i="13"/>
  <c r="V108" i="13"/>
  <c r="W108" i="13"/>
  <c r="B109" i="13"/>
  <c r="C109" i="13"/>
  <c r="F109" i="13"/>
  <c r="G109" i="13"/>
  <c r="H109" i="13"/>
  <c r="D109" i="13"/>
  <c r="E109" i="13"/>
  <c r="T109" i="13"/>
  <c r="U109" i="13"/>
  <c r="X109" i="13"/>
  <c r="Y109" i="13"/>
  <c r="Z109" i="13"/>
  <c r="V109" i="13"/>
  <c r="W109" i="13"/>
  <c r="B110" i="13"/>
  <c r="C110" i="13"/>
  <c r="F110" i="13"/>
  <c r="G110" i="13"/>
  <c r="H110" i="13"/>
  <c r="D110" i="13"/>
  <c r="E110" i="13"/>
  <c r="T110" i="13"/>
  <c r="U110" i="13"/>
  <c r="X110" i="13"/>
  <c r="Y110" i="13"/>
  <c r="Z110" i="13"/>
  <c r="V110" i="13"/>
  <c r="W110" i="13"/>
  <c r="B111" i="13"/>
  <c r="C111" i="13"/>
  <c r="F111" i="13"/>
  <c r="G111" i="13"/>
  <c r="H111" i="13"/>
  <c r="D111" i="13"/>
  <c r="E111" i="13"/>
  <c r="T111" i="13"/>
  <c r="U111" i="13"/>
  <c r="X111" i="13"/>
  <c r="Y111" i="13"/>
  <c r="Z111" i="13"/>
  <c r="V111" i="13"/>
  <c r="W111" i="13"/>
  <c r="B112" i="13"/>
  <c r="C112" i="13"/>
  <c r="F112" i="13"/>
  <c r="G112" i="13"/>
  <c r="H112" i="13"/>
  <c r="D112" i="13"/>
  <c r="E112" i="13"/>
  <c r="T112" i="13"/>
  <c r="U112" i="13"/>
  <c r="X112" i="13"/>
  <c r="Y112" i="13"/>
  <c r="Z112" i="13"/>
  <c r="V112" i="13"/>
  <c r="W112" i="13"/>
  <c r="B113" i="13"/>
  <c r="C113" i="13"/>
  <c r="F113" i="13"/>
  <c r="G113" i="13"/>
  <c r="H113" i="13"/>
  <c r="D113" i="13"/>
  <c r="E113" i="13"/>
  <c r="T113" i="13"/>
  <c r="U113" i="13"/>
  <c r="X113" i="13"/>
  <c r="Y113" i="13"/>
  <c r="Z113" i="13"/>
  <c r="V113" i="13"/>
  <c r="W113" i="13"/>
  <c r="B114" i="13"/>
  <c r="C114" i="13"/>
  <c r="F114" i="13"/>
  <c r="G114" i="13"/>
  <c r="H114" i="13"/>
  <c r="D114" i="13"/>
  <c r="E114" i="13"/>
  <c r="T114" i="13"/>
  <c r="U114" i="13"/>
  <c r="X114" i="13"/>
  <c r="Y114" i="13"/>
  <c r="Z114" i="13"/>
  <c r="V114" i="13"/>
  <c r="W114" i="13"/>
  <c r="B115" i="13"/>
  <c r="C115" i="13"/>
  <c r="F115" i="13"/>
  <c r="G115" i="13"/>
  <c r="H115" i="13"/>
  <c r="D115" i="13"/>
  <c r="E115" i="13"/>
  <c r="T115" i="13"/>
  <c r="U115" i="13"/>
  <c r="X115" i="13"/>
  <c r="Y115" i="13"/>
  <c r="Z115" i="13"/>
  <c r="V115" i="13"/>
  <c r="W115" i="13"/>
  <c r="B116" i="13"/>
  <c r="C116" i="13"/>
  <c r="F116" i="13"/>
  <c r="G116" i="13"/>
  <c r="H116" i="13"/>
  <c r="D116" i="13"/>
  <c r="E116" i="13"/>
  <c r="T116" i="13"/>
  <c r="U116" i="13"/>
  <c r="X116" i="13"/>
  <c r="Y116" i="13"/>
  <c r="Z116" i="13"/>
  <c r="V116" i="13"/>
  <c r="W116" i="13"/>
  <c r="B117" i="13"/>
  <c r="C117" i="13"/>
  <c r="F117" i="13"/>
  <c r="G117" i="13"/>
  <c r="H117" i="13"/>
  <c r="D117" i="13"/>
  <c r="E117" i="13"/>
  <c r="T117" i="13"/>
  <c r="U117" i="13"/>
  <c r="X117" i="13"/>
  <c r="Y117" i="13"/>
  <c r="Z117" i="13"/>
  <c r="V117" i="13"/>
  <c r="W117" i="13"/>
  <c r="B118" i="13"/>
  <c r="C118" i="13"/>
  <c r="F118" i="13"/>
  <c r="G118" i="13"/>
  <c r="H118" i="13"/>
  <c r="D118" i="13"/>
  <c r="E118" i="13"/>
  <c r="T118" i="13"/>
  <c r="U118" i="13"/>
  <c r="X118" i="13"/>
  <c r="Y118" i="13"/>
  <c r="Z118" i="13"/>
  <c r="V118" i="13"/>
  <c r="W118" i="13"/>
  <c r="B119" i="13"/>
  <c r="C119" i="13"/>
  <c r="F119" i="13"/>
  <c r="G119" i="13"/>
  <c r="H119" i="13"/>
  <c r="D119" i="13"/>
  <c r="E119" i="13"/>
  <c r="T119" i="13"/>
  <c r="U119" i="13"/>
  <c r="X119" i="13"/>
  <c r="Y119" i="13"/>
  <c r="Z119" i="13"/>
  <c r="V119" i="13"/>
  <c r="W119" i="13"/>
  <c r="B120" i="13"/>
  <c r="C120" i="13"/>
  <c r="F120" i="13"/>
  <c r="G120" i="13"/>
  <c r="H120" i="13"/>
  <c r="D120" i="13"/>
  <c r="E120" i="13"/>
  <c r="T120" i="13"/>
  <c r="U120" i="13"/>
  <c r="X120" i="13"/>
  <c r="Y120" i="13"/>
  <c r="Z120" i="13"/>
  <c r="V120" i="13"/>
  <c r="W120" i="13"/>
  <c r="B121" i="13"/>
  <c r="C121" i="13"/>
  <c r="F121" i="13"/>
  <c r="G121" i="13"/>
  <c r="H121" i="13"/>
  <c r="D121" i="13"/>
  <c r="E121" i="13"/>
  <c r="T121" i="13"/>
  <c r="U121" i="13"/>
  <c r="X121" i="13"/>
  <c r="Y121" i="13"/>
  <c r="Z121" i="13"/>
  <c r="V121" i="13"/>
  <c r="W121" i="13"/>
  <c r="B122" i="13"/>
  <c r="C122" i="13"/>
  <c r="F122" i="13"/>
  <c r="G122" i="13"/>
  <c r="H122" i="13"/>
  <c r="D122" i="13"/>
  <c r="E122" i="13"/>
  <c r="T122" i="13"/>
  <c r="U122" i="13"/>
  <c r="X122" i="13"/>
  <c r="Y122" i="13"/>
  <c r="Z122" i="13"/>
  <c r="V122" i="13"/>
  <c r="W122" i="13"/>
  <c r="B123" i="13"/>
  <c r="C123" i="13"/>
  <c r="F123" i="13"/>
  <c r="G123" i="13"/>
  <c r="H123" i="13"/>
  <c r="D123" i="13"/>
  <c r="E123" i="13"/>
  <c r="T123" i="13"/>
  <c r="U123" i="13"/>
  <c r="X123" i="13"/>
  <c r="Y123" i="13"/>
  <c r="Z123" i="13"/>
  <c r="V123" i="13"/>
  <c r="W123" i="13"/>
  <c r="B124" i="13"/>
  <c r="C124" i="13"/>
  <c r="F124" i="13"/>
  <c r="G124" i="13"/>
  <c r="H124" i="13"/>
  <c r="D124" i="13"/>
  <c r="E124" i="13"/>
  <c r="T124" i="13"/>
  <c r="U124" i="13"/>
  <c r="X124" i="13"/>
  <c r="Y124" i="13"/>
  <c r="Z124" i="13"/>
  <c r="V124" i="13"/>
  <c r="W124" i="13"/>
  <c r="B125" i="13"/>
  <c r="C125" i="13"/>
  <c r="F125" i="13"/>
  <c r="G125" i="13"/>
  <c r="H125" i="13"/>
  <c r="D125" i="13"/>
  <c r="E125" i="13"/>
  <c r="T125" i="13"/>
  <c r="U125" i="13"/>
  <c r="X125" i="13"/>
  <c r="Y125" i="13"/>
  <c r="Z125" i="13"/>
  <c r="V125" i="13"/>
  <c r="W125" i="13"/>
  <c r="B126" i="13"/>
  <c r="C126" i="13"/>
  <c r="F126" i="13"/>
  <c r="G126" i="13"/>
  <c r="H126" i="13"/>
  <c r="D126" i="13"/>
  <c r="E126" i="13"/>
  <c r="T126" i="13"/>
  <c r="U126" i="13"/>
  <c r="X126" i="13"/>
  <c r="Y126" i="13"/>
  <c r="Z126" i="13"/>
  <c r="V126" i="13"/>
  <c r="W126" i="13"/>
  <c r="B127" i="13"/>
  <c r="C127" i="13"/>
  <c r="F127" i="13"/>
  <c r="G127" i="13"/>
  <c r="H127" i="13"/>
  <c r="D127" i="13"/>
  <c r="E127" i="13"/>
  <c r="T127" i="13"/>
  <c r="U127" i="13"/>
  <c r="X127" i="13"/>
  <c r="Y127" i="13"/>
  <c r="Z127" i="13"/>
  <c r="V127" i="13"/>
  <c r="W127" i="13"/>
  <c r="B128" i="13"/>
  <c r="C128" i="13"/>
  <c r="F128" i="13"/>
  <c r="G128" i="13"/>
  <c r="H128" i="13"/>
  <c r="D128" i="13"/>
  <c r="E128" i="13"/>
  <c r="T128" i="13"/>
  <c r="U128" i="13"/>
  <c r="X128" i="13"/>
  <c r="Y128" i="13"/>
  <c r="Z128" i="13"/>
  <c r="V128" i="13"/>
  <c r="W128" i="13"/>
  <c r="B129" i="13"/>
  <c r="C129" i="13"/>
  <c r="F129" i="13"/>
  <c r="G129" i="13"/>
  <c r="H129" i="13"/>
  <c r="D129" i="13"/>
  <c r="E129" i="13"/>
  <c r="T129" i="13"/>
  <c r="U129" i="13"/>
  <c r="X129" i="13"/>
  <c r="Y129" i="13"/>
  <c r="Z129" i="13"/>
  <c r="V129" i="13"/>
  <c r="W129" i="13"/>
  <c r="B130" i="13"/>
  <c r="C130" i="13"/>
  <c r="F130" i="13"/>
  <c r="G130" i="13"/>
  <c r="H130" i="13"/>
  <c r="D130" i="13"/>
  <c r="E130" i="13"/>
  <c r="T130" i="13"/>
  <c r="U130" i="13"/>
  <c r="X130" i="13"/>
  <c r="Y130" i="13"/>
  <c r="Z130" i="13"/>
  <c r="V130" i="13"/>
  <c r="W130" i="13"/>
  <c r="B131" i="13"/>
  <c r="C131" i="13"/>
  <c r="F131" i="13"/>
  <c r="G131" i="13"/>
  <c r="H131" i="13"/>
  <c r="D131" i="13"/>
  <c r="E131" i="13"/>
  <c r="T131" i="13"/>
  <c r="U131" i="13"/>
  <c r="X131" i="13"/>
  <c r="Y131" i="13"/>
  <c r="Z131" i="13"/>
  <c r="V131" i="13"/>
  <c r="W131" i="13"/>
  <c r="B132" i="13"/>
  <c r="C132" i="13"/>
  <c r="F132" i="13"/>
  <c r="G132" i="13"/>
  <c r="H132" i="13"/>
  <c r="D132" i="13"/>
  <c r="E132" i="13"/>
  <c r="T132" i="13"/>
  <c r="U132" i="13"/>
  <c r="X132" i="13"/>
  <c r="Y132" i="13"/>
  <c r="Z132" i="13"/>
  <c r="V132" i="13"/>
  <c r="W132" i="13"/>
  <c r="B133" i="13"/>
  <c r="C133" i="13"/>
  <c r="F133" i="13"/>
  <c r="G133" i="13"/>
  <c r="H133" i="13"/>
  <c r="D133" i="13"/>
  <c r="E133" i="13"/>
  <c r="T133" i="13"/>
  <c r="U133" i="13"/>
  <c r="X133" i="13"/>
  <c r="Y133" i="13"/>
  <c r="Z133" i="13"/>
  <c r="V133" i="13"/>
  <c r="W133" i="13"/>
  <c r="B134" i="13"/>
  <c r="C134" i="13"/>
  <c r="F134" i="13"/>
  <c r="G134" i="13"/>
  <c r="H134" i="13"/>
  <c r="D134" i="13"/>
  <c r="E134" i="13"/>
  <c r="T134" i="13"/>
  <c r="U134" i="13"/>
  <c r="X134" i="13"/>
  <c r="Y134" i="13"/>
  <c r="Z134" i="13"/>
  <c r="V134" i="13"/>
  <c r="W134" i="13"/>
  <c r="B135" i="13"/>
  <c r="C135" i="13"/>
  <c r="F135" i="13"/>
  <c r="G135" i="13"/>
  <c r="H135" i="13"/>
  <c r="D135" i="13"/>
  <c r="E135" i="13"/>
  <c r="T135" i="13"/>
  <c r="U135" i="13"/>
  <c r="X135" i="13"/>
  <c r="Y135" i="13"/>
  <c r="Z135" i="13"/>
  <c r="V135" i="13"/>
  <c r="W135" i="13"/>
  <c r="B136" i="13"/>
  <c r="C136" i="13"/>
  <c r="F136" i="13"/>
  <c r="G136" i="13"/>
  <c r="H136" i="13"/>
  <c r="D136" i="13"/>
  <c r="E136" i="13"/>
  <c r="T136" i="13"/>
  <c r="U136" i="13"/>
  <c r="X136" i="13"/>
  <c r="Y136" i="13"/>
  <c r="Z136" i="13"/>
  <c r="V136" i="13"/>
  <c r="W136" i="13"/>
  <c r="B137" i="13"/>
  <c r="C137" i="13"/>
  <c r="F137" i="13"/>
  <c r="G137" i="13"/>
  <c r="H137" i="13"/>
  <c r="D137" i="13"/>
  <c r="E137" i="13"/>
  <c r="T137" i="13"/>
  <c r="U137" i="13"/>
  <c r="X137" i="13"/>
  <c r="Y137" i="13"/>
  <c r="Z137" i="13"/>
  <c r="V137" i="13"/>
  <c r="W137" i="13"/>
  <c r="B138" i="13"/>
  <c r="C138" i="13"/>
  <c r="F138" i="13"/>
  <c r="G138" i="13"/>
  <c r="H138" i="13"/>
  <c r="D138" i="13"/>
  <c r="E138" i="13"/>
  <c r="T138" i="13"/>
  <c r="U138" i="13"/>
  <c r="X138" i="13"/>
  <c r="Y138" i="13"/>
  <c r="Z138" i="13"/>
  <c r="V138" i="13"/>
  <c r="W138" i="13"/>
  <c r="B139" i="13"/>
  <c r="C139" i="13"/>
  <c r="F139" i="13"/>
  <c r="G139" i="13"/>
  <c r="H139" i="13"/>
  <c r="D139" i="13"/>
  <c r="E139" i="13"/>
  <c r="T139" i="13"/>
  <c r="U139" i="13"/>
  <c r="X139" i="13"/>
  <c r="Y139" i="13"/>
  <c r="Z139" i="13"/>
  <c r="V139" i="13"/>
  <c r="W139" i="13"/>
  <c r="B140" i="13"/>
  <c r="C140" i="13"/>
  <c r="F140" i="13"/>
  <c r="G140" i="13"/>
  <c r="H140" i="13"/>
  <c r="D140" i="13"/>
  <c r="E140" i="13"/>
  <c r="T140" i="13"/>
  <c r="U140" i="13"/>
  <c r="X140" i="13"/>
  <c r="Y140" i="13"/>
  <c r="Z140" i="13"/>
  <c r="V140" i="13"/>
  <c r="W140" i="13"/>
  <c r="B141" i="13"/>
  <c r="C141" i="13"/>
  <c r="F141" i="13"/>
  <c r="G141" i="13"/>
  <c r="H141" i="13"/>
  <c r="D141" i="13"/>
  <c r="E141" i="13"/>
  <c r="T141" i="13"/>
  <c r="U141" i="13"/>
  <c r="X141" i="13"/>
  <c r="Y141" i="13"/>
  <c r="Z141" i="13"/>
  <c r="V141" i="13"/>
  <c r="W141" i="13"/>
  <c r="I25" i="11"/>
  <c r="I24" i="11"/>
  <c r="I26" i="11"/>
  <c r="I11" i="11"/>
  <c r="I12" i="11"/>
  <c r="I10" i="11"/>
  <c r="B1" i="13"/>
  <c r="F1" i="13"/>
  <c r="C1" i="13"/>
  <c r="G1" i="13"/>
  <c r="H1" i="13"/>
  <c r="T2" i="13"/>
  <c r="X2" i="13"/>
  <c r="U2" i="13"/>
  <c r="Y2" i="13"/>
  <c r="Z2" i="13"/>
  <c r="W2" i="13"/>
  <c r="V2" i="13"/>
  <c r="B2" i="13"/>
  <c r="F2" i="13"/>
  <c r="C2" i="13"/>
  <c r="G2" i="13"/>
  <c r="H2" i="13"/>
  <c r="E2" i="13"/>
  <c r="D2" i="13"/>
  <c r="T1" i="13"/>
  <c r="X1" i="13"/>
  <c r="U1" i="13"/>
  <c r="Y1" i="13"/>
  <c r="Z1" i="13"/>
  <c r="W1" i="13"/>
  <c r="V1" i="13"/>
  <c r="E1" i="13"/>
  <c r="D1" i="13"/>
</calcChain>
</file>

<file path=xl/sharedStrings.xml><?xml version="1.0" encoding="utf-8"?>
<sst xmlns="http://schemas.openxmlformats.org/spreadsheetml/2006/main" count="40" uniqueCount="34">
  <si>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</si>
  <si>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</si>
  <si>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</si>
  <si>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</si>
  <si>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</si>
  <si>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</si>
  <si>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</si>
  <si>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</si>
  <si>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</si>
  <si>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NaOH</t>
  </si>
  <si>
    <t>Ve:</t>
  </si>
  <si>
    <t>Strong Acid / Weak Base</t>
  </si>
  <si>
    <t>Kw:</t>
  </si>
  <si>
    <t>1/2 Ve</t>
  </si>
  <si>
    <t>2Ve:</t>
  </si>
  <si>
    <t>1/2 Ve:</t>
  </si>
  <si>
    <t>MES</t>
  </si>
  <si>
    <t>Cocaine</t>
  </si>
  <si>
    <t>HNO3</t>
  </si>
  <si>
    <t>Instructions:</t>
  </si>
  <si>
    <t>Enter your data into the appropriate Box.</t>
  </si>
  <si>
    <t>INFO:</t>
  </si>
  <si>
    <t>The graphs are independent of each other.</t>
  </si>
  <si>
    <t>Wait for the curve to show.</t>
  </si>
  <si>
    <t>Click the "Prepare" button to the right of the box.</t>
  </si>
  <si>
    <t>Future:</t>
  </si>
  <si>
    <t>I plan on adding varying precision for those who either want</t>
  </si>
  <si>
    <t>I plan on adding di and tri functional titrations</t>
  </si>
  <si>
    <t>"Clear All Calculations" will remove all curves from all graphs.</t>
  </si>
  <si>
    <t xml:space="preserve">    this sheet to work faster, or more precise curves.</t>
  </si>
  <si>
    <t>If you break this, email me: jkelowitt@protonmail.com</t>
  </si>
  <si>
    <t>Formulas from: (Quantitative Chemical Analysis, Harris, p.256)</t>
  </si>
  <si>
    <t>Alpha values</t>
  </si>
  <si>
    <t>Make it 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</si>
</sst>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1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CalcSheet!$Q$1:$Q$1401</c:f>
              <c:numCache>
                <c:formatCode>0.00</c:formatCode>
                <c:ptCount val="1401"/>
                <c:pt idx="0">
                  <c:v>0.70125419285708646</c:v>
                </c:pt>
                <c:pt idx="1">
                  <c:v>1.4544160204820347</c:v>
                </c:pt>
                <c:pt idx="2">
                  <c:v>2.2867824694785446</c:v>
                </c:pt>
                <c:pt idx="3">
                  <c:v>3.2392892018306707</c:v>
                </c:pt>
                <c:pt idx="4">
                  <c:v>4.3583770196078424</c:v>
                </c:pt>
                <c:pt idx="5">
                  <c:v>5.6976084338128814</c:v>
                </c:pt>
                <c:pt idx="6">
                  <c:v>7.3193342934795451</c:v>
                </c:pt>
                <c:pt idx="7">
                  <c:v>9.2962958860921621</c:v>
                </c:pt>
                <c:pt idx="8">
                  <c:v>11.712972667769172</c:v>
                </c:pt>
                <c:pt idx="9">
                  <c:v>14.66637876371918</c:v>
                </c:pt>
                <c:pt idx="10">
                  <c:v>18.265874163265995</c:v>
                </c:pt>
                <c:pt idx="11">
                  <c:v>22.631402716437051</c:v>
                </c:pt>
                <c:pt idx="12">
                  <c:v>27.88943428037765</c:v>
                </c:pt>
                <c:pt idx="13">
                  <c:v>34.16584160012961</c:v>
                </c:pt>
                <c:pt idx="14">
                  <c:v>41.575091667490021</c:v>
                </c:pt>
                <c:pt idx="15">
                  <c:v>50.205609866836646</c:v>
                </c:pt>
                <c:pt idx="16">
                  <c:v>60.102090801406774</c:v>
                </c:pt>
                <c:pt idx="17">
                  <c:v>71.246863126524588</c:v>
                </c:pt>
                <c:pt idx="18">
                  <c:v>83.543893846362749</c:v>
                </c:pt>
                <c:pt idx="19">
                  <c:v>96.810046736486726</c:v>
                </c:pt>
                <c:pt idx="20">
                  <c:v>110.77800720842414</c:v>
                </c:pt>
                <c:pt idx="21">
                  <c:v>125.11328941357976</c:v>
                </c:pt>
                <c:pt idx="22">
                  <c:v>139.44414562027376</c:v>
                </c:pt>
                <c:pt idx="23">
                  <c:v>153.39920147391913</c:v>
                </c:pt>
                <c:pt idx="24">
                  <c:v>166.64500435434576</c:v>
                </c:pt>
                <c:pt idx="25">
                  <c:v>178.91570198349933</c:v>
                </c:pt>
                <c:pt idx="26">
                  <c:v>190.0297493209695</c:v>
                </c:pt>
                <c:pt idx="27">
                  <c:v>199.89254713359816</c:v>
                </c:pt>
                <c:pt idx="28">
                  <c:v>208.48748711926751</c:v>
                </c:pt>
                <c:pt idx="29">
                  <c:v>215.8598363911313</c:v>
                </c:pt>
                <c:pt idx="30">
                  <c:v>222.0980635005622</c:v>
                </c:pt>
                <c:pt idx="31">
                  <c:v>227.31616169487782</c:v>
                </c:pt>
                <c:pt idx="32">
                  <c:v>231.63904471560906</c:v>
                </c:pt>
                <c:pt idx="33">
                  <c:v>235.19176357881227</c:v>
                </c:pt>
                <c:pt idx="34">
                  <c:v>238.09238626870641</c:v>
                </c:pt>
                <c:pt idx="35">
                  <c:v>240.44791140719019</c:v>
                </c:pt>
                <c:pt idx="36">
                  <c:v>242.35244277536395</c:v>
                </c:pt>
                <c:pt idx="37">
                  <c:v>243.88690081756766</c:v>
                </c:pt>
                <c:pt idx="38">
                  <c:v>245.11968291253211</c:v>
                </c:pt>
                <c:pt idx="39">
                  <c:v>246.1078382935066</c:v>
                </c:pt>
                <c:pt idx="40">
                  <c:v>246.89846126295299</c:v>
                </c:pt>
                <c:pt idx="41">
                  <c:v>247.53011498766173</c:v>
                </c:pt>
                <c:pt idx="42">
                  <c:v>248.03417694423274</c:v>
                </c:pt>
                <c:pt idx="43">
                  <c:v>248.4360505738052</c:v>
                </c:pt>
                <c:pt idx="44">
                  <c:v>248.75622189303488</c:v>
                </c:pt>
                <c:pt idx="45">
                  <c:v>249.01116027392314</c:v>
                </c:pt>
                <c:pt idx="46">
                  <c:v>249.21407383751139</c:v>
                </c:pt>
                <c:pt idx="47">
                  <c:v>249.37553522553216</c:v>
                </c:pt>
                <c:pt idx="48">
                  <c:v>249.50399523576266</c:v>
                </c:pt>
                <c:pt idx="49">
                  <c:v>249.60620147440514</c:v>
                </c:pt>
                <c:pt idx="50">
                  <c:v>249.68753777999063</c:v>
                </c:pt>
                <c:pt idx="51">
                  <c:v>249.75229831463798</c:v>
                </c:pt>
                <c:pt idx="52">
                  <c:v>249.803908254943</c:v>
                </c:pt>
                <c:pt idx="53">
                  <c:v>249.84510114061763</c:v>
                </c:pt>
                <c:pt idx="54">
                  <c:v>249.87806124937805</c:v>
                </c:pt>
                <c:pt idx="55">
                  <c:v>249.90453789775651</c:v>
                </c:pt>
                <c:pt idx="56">
                  <c:v>249.92593732256429</c:v>
                </c:pt>
                <c:pt idx="57">
                  <c:v>249.94339676251096</c:v>
                </c:pt>
                <c:pt idx="58">
                  <c:v>249.95784451215556</c:v>
                </c:pt>
                <c:pt idx="59">
                  <c:v>249.97004903708037</c:v>
                </c:pt>
                <c:pt idx="60">
                  <c:v>249.98065969703777</c:v>
                </c:pt>
                <c:pt idx="61">
                  <c:v>249.99024120258173</c:v>
                </c:pt>
                <c:pt idx="62">
                  <c:v>249.99930361338969</c:v>
                </c:pt>
                <c:pt idx="63">
                  <c:v>250.00832945972834</c:v>
                </c:pt>
                <c:pt idx="64">
                  <c:v>250.01779942253242</c:v>
                </c:pt>
                <c:pt idx="65">
                  <c:v>250.02821793611909</c:v>
                </c:pt>
                <c:pt idx="66">
                  <c:v>250.0401400780008</c:v>
                </c:pt>
                <c:pt idx="67">
                  <c:v>250.05420118358234</c:v>
                </c:pt>
                <c:pt idx="68">
                  <c:v>250.07115077468109</c:v>
                </c:pt>
                <c:pt idx="69">
                  <c:v>250.0918926291439</c:v>
                </c:pt>
                <c:pt idx="70">
                  <c:v>250.11753315891272</c:v>
                </c:pt>
                <c:pt idx="71">
                  <c:v>250.14944072666211</c:v>
                </c:pt>
                <c:pt idx="72">
                  <c:v>250.18931914564649</c:v>
                </c:pt>
                <c:pt idx="73">
                  <c:v>250.23929941338673</c:v>
                </c:pt>
                <c:pt idx="74">
                  <c:v>250.30205478127698</c:v>
                </c:pt>
                <c:pt idx="75">
                  <c:v>250.38094563278159</c:v>
                </c:pt>
                <c:pt idx="76">
                  <c:v>250.48020243379713</c:v>
                </c:pt>
                <c:pt idx="77">
                  <c:v>250.60515737047689</c:v>
                </c:pt>
                <c:pt idx="78">
                  <c:v>250.76253839999811</c:v>
                </c:pt>
                <c:pt idx="79">
                  <c:v>250.96084359053981</c:v>
                </c:pt>
                <c:pt idx="80">
                  <c:v>251.2108192274554</c:v>
                </c:pt>
                <c:pt idx="81">
                  <c:v>251.52607281714452</c:v>
                </c:pt>
                <c:pt idx="82">
                  <c:v>251.92386273518883</c:v>
                </c:pt>
                <c:pt idx="83">
                  <c:v>252.42612122713894</c:v>
                </c:pt>
                <c:pt idx="84">
                  <c:v>253.06078893803047</c:v>
                </c:pt>
                <c:pt idx="85">
                  <c:v>253.86357054876513</c:v>
                </c:pt>
                <c:pt idx="86">
                  <c:v>254.88026798977259</c:v>
                </c:pt>
                <c:pt idx="87">
                  <c:v>256.16991928573839</c:v>
                </c:pt>
                <c:pt idx="88">
                  <c:v>257.8090829600863</c:v>
                </c:pt>
                <c:pt idx="89">
                  <c:v>259.89778724199869</c:v>
                </c:pt>
                <c:pt idx="90">
                  <c:v>262.56795870374032</c:v>
                </c:pt>
                <c:pt idx="91">
                  <c:v>265.99564642372479</c:v>
                </c:pt>
                <c:pt idx="92">
                  <c:v>270.41923822234099</c:v>
                </c:pt>
                <c:pt idx="93">
                  <c:v>276.16747147531566</c:v>
                </c:pt>
                <c:pt idx="94">
                  <c:v>283.70410177604401</c:v>
                </c:pt>
                <c:pt idx="95">
                  <c:v>293.70223307422992</c:v>
                </c:pt>
                <c:pt idx="96">
                  <c:v>307.17440344554188</c:v>
                </c:pt>
                <c:pt idx="97">
                  <c:v>325.71455137276888</c:v>
                </c:pt>
                <c:pt idx="98">
                  <c:v>351.98339529065896</c:v>
                </c:pt>
                <c:pt idx="99">
                  <c:v>390.7810865220282</c:v>
                </c:pt>
                <c:pt idx="100">
                  <c:v>451.74627438728197</c:v>
                </c:pt>
              </c:numCache>
            </c:numRef>
          </c:xVal>
          <c:yVal>
            <c:numRef>
              <c:f>CalcSheet!$J$1:$J$1401</c:f>
              <c:numCache>
                <c:formatCode>0.00</c:formatCode>
                <c:ptCount val="1401"/>
                <c:pt idx="0">
                  <c:v>2.6</c:v>
                </c:pt>
                <c:pt idx="1">
                  <c:v>2.7</c:v>
                </c:pt>
                <c:pt idx="2">
                  <c:v>2.8</c:v>
                </c:pt>
                <c:pt idx="3">
                  <c:v>2.9</c:v>
                </c:pt>
                <c:pt idx="4">
                  <c:v>3</c:v>
                </c:pt>
                <c:pt idx="5">
                  <c:v>3.1</c:v>
                </c:pt>
                <c:pt idx="6">
                  <c:v>3.2</c:v>
                </c:pt>
                <c:pt idx="7">
                  <c:v>3.3</c:v>
                </c:pt>
                <c:pt idx="8">
                  <c:v>3.4</c:v>
                </c:pt>
                <c:pt idx="9">
                  <c:v>3.5</c:v>
                </c:pt>
                <c:pt idx="10">
                  <c:v>3.6</c:v>
                </c:pt>
                <c:pt idx="11">
                  <c:v>3.7</c:v>
                </c:pt>
                <c:pt idx="12">
                  <c:v>3.8</c:v>
                </c:pt>
                <c:pt idx="13">
                  <c:v>3.9</c:v>
                </c:pt>
                <c:pt idx="14">
                  <c:v>4</c:v>
                </c:pt>
                <c:pt idx="15">
                  <c:v>4.0999999999999996</c:v>
                </c:pt>
                <c:pt idx="16">
                  <c:v>4.2</c:v>
                </c:pt>
                <c:pt idx="17">
                  <c:v>4.3</c:v>
                </c:pt>
                <c:pt idx="18">
                  <c:v>4.4000000000000004</c:v>
                </c:pt>
                <c:pt idx="19">
                  <c:v>4.5</c:v>
                </c:pt>
                <c:pt idx="20">
                  <c:v>4.5999999999999996</c:v>
                </c:pt>
                <c:pt idx="21">
                  <c:v>4.7</c:v>
                </c:pt>
                <c:pt idx="22">
                  <c:v>4.8</c:v>
                </c:pt>
                <c:pt idx="23">
                  <c:v>4.9000000000000004</c:v>
                </c:pt>
                <c:pt idx="24">
                  <c:v>5</c:v>
                </c:pt>
                <c:pt idx="25">
                  <c:v>5.0999999999999996</c:v>
                </c:pt>
                <c:pt idx="26">
                  <c:v>5.2</c:v>
                </c:pt>
                <c:pt idx="27">
                  <c:v>5.3</c:v>
                </c:pt>
                <c:pt idx="28">
                  <c:v>5.4</c:v>
                </c:pt>
                <c:pt idx="29">
                  <c:v>5.5</c:v>
                </c:pt>
                <c:pt idx="30">
                  <c:v>5.6</c:v>
                </c:pt>
                <c:pt idx="31">
                  <c:v>5.7</c:v>
                </c:pt>
                <c:pt idx="32">
                  <c:v>5.8</c:v>
                </c:pt>
                <c:pt idx="33">
                  <c:v>5.9</c:v>
                </c:pt>
                <c:pt idx="34">
                  <c:v>6</c:v>
                </c:pt>
                <c:pt idx="35">
                  <c:v>6.1</c:v>
                </c:pt>
                <c:pt idx="36">
                  <c:v>6.2</c:v>
                </c:pt>
                <c:pt idx="37">
                  <c:v>6.3</c:v>
                </c:pt>
                <c:pt idx="38">
                  <c:v>6.4</c:v>
                </c:pt>
                <c:pt idx="39">
                  <c:v>6.5</c:v>
                </c:pt>
                <c:pt idx="40">
                  <c:v>6.6</c:v>
                </c:pt>
                <c:pt idx="41">
                  <c:v>6.7</c:v>
                </c:pt>
                <c:pt idx="42">
                  <c:v>6.8</c:v>
                </c:pt>
                <c:pt idx="43">
                  <c:v>6.9</c:v>
                </c:pt>
                <c:pt idx="44">
                  <c:v>7</c:v>
                </c:pt>
                <c:pt idx="45">
                  <c:v>7.1</c:v>
                </c:pt>
                <c:pt idx="46">
                  <c:v>7.2</c:v>
                </c:pt>
                <c:pt idx="47">
                  <c:v>7.3</c:v>
                </c:pt>
                <c:pt idx="48">
                  <c:v>7.4</c:v>
                </c:pt>
                <c:pt idx="49">
                  <c:v>7.5</c:v>
                </c:pt>
                <c:pt idx="50">
                  <c:v>7.6</c:v>
                </c:pt>
                <c:pt idx="51">
                  <c:v>7.7</c:v>
                </c:pt>
                <c:pt idx="52">
                  <c:v>7.8</c:v>
                </c:pt>
                <c:pt idx="53">
                  <c:v>7.9</c:v>
                </c:pt>
                <c:pt idx="54">
                  <c:v>8</c:v>
                </c:pt>
                <c:pt idx="55">
                  <c:v>8.1</c:v>
                </c:pt>
                <c:pt idx="56">
                  <c:v>8.1999999999999993</c:v>
                </c:pt>
                <c:pt idx="57">
                  <c:v>8.3000000000000007</c:v>
                </c:pt>
                <c:pt idx="58">
                  <c:v>8.4</c:v>
                </c:pt>
                <c:pt idx="59">
                  <c:v>8.5</c:v>
                </c:pt>
                <c:pt idx="60">
                  <c:v>8.6</c:v>
                </c:pt>
                <c:pt idx="61">
                  <c:v>8.6999999999999993</c:v>
                </c:pt>
                <c:pt idx="62">
                  <c:v>8.8000000000000007</c:v>
                </c:pt>
                <c:pt idx="63">
                  <c:v>8.9</c:v>
                </c:pt>
                <c:pt idx="64">
                  <c:v>9</c:v>
                </c:pt>
                <c:pt idx="65">
                  <c:v>9.1</c:v>
                </c:pt>
                <c:pt idx="66">
                  <c:v>9.1999999999999993</c:v>
                </c:pt>
                <c:pt idx="67">
                  <c:v>9.3000000000000007</c:v>
                </c:pt>
                <c:pt idx="68">
                  <c:v>9.4</c:v>
                </c:pt>
                <c:pt idx="69">
                  <c:v>9.5</c:v>
                </c:pt>
                <c:pt idx="70">
                  <c:v>9.6</c:v>
                </c:pt>
                <c:pt idx="71">
                  <c:v>9.6999999999999993</c:v>
                </c:pt>
                <c:pt idx="72">
                  <c:v>9.8000000000000007</c:v>
                </c:pt>
                <c:pt idx="73">
                  <c:v>9.9</c:v>
                </c:pt>
                <c:pt idx="74">
                  <c:v>10</c:v>
                </c:pt>
                <c:pt idx="75">
                  <c:v>10.1</c:v>
                </c:pt>
                <c:pt idx="76">
                  <c:v>10.199999999999999</c:v>
                </c:pt>
                <c:pt idx="77">
                  <c:v>10.3</c:v>
                </c:pt>
                <c:pt idx="78">
                  <c:v>10.4</c:v>
                </c:pt>
                <c:pt idx="79">
                  <c:v>10.5</c:v>
                </c:pt>
                <c:pt idx="80">
                  <c:v>10.6</c:v>
                </c:pt>
                <c:pt idx="81">
                  <c:v>10.7</c:v>
                </c:pt>
                <c:pt idx="82">
                  <c:v>10.8</c:v>
                </c:pt>
                <c:pt idx="83">
                  <c:v>10.9</c:v>
                </c:pt>
                <c:pt idx="84">
                  <c:v>11</c:v>
                </c:pt>
                <c:pt idx="85">
                  <c:v>11.1</c:v>
                </c:pt>
                <c:pt idx="86">
                  <c:v>11.2</c:v>
                </c:pt>
                <c:pt idx="87">
                  <c:v>11.3</c:v>
                </c:pt>
                <c:pt idx="88">
                  <c:v>11.4</c:v>
                </c:pt>
                <c:pt idx="89">
                  <c:v>11.5</c:v>
                </c:pt>
                <c:pt idx="90">
                  <c:v>11.6</c:v>
                </c:pt>
                <c:pt idx="91">
                  <c:v>11.7</c:v>
                </c:pt>
                <c:pt idx="92">
                  <c:v>11.8</c:v>
                </c:pt>
                <c:pt idx="93">
                  <c:v>11.9</c:v>
                </c:pt>
                <c:pt idx="94">
                  <c:v>12</c:v>
                </c:pt>
                <c:pt idx="95">
                  <c:v>12.1</c:v>
                </c:pt>
                <c:pt idx="96">
                  <c:v>12.2</c:v>
                </c:pt>
                <c:pt idx="97">
                  <c:v>12.3</c:v>
                </c:pt>
                <c:pt idx="98">
                  <c:v>12.4</c:v>
                </c:pt>
                <c:pt idx="99">
                  <c:v>12.5</c:v>
                </c:pt>
                <c:pt idx="100">
                  <c:v>12.6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CalcSheet!$AI:$AI</c:f>
              <c:strCache>
                <c:ptCount val="1048576"/>
                <c:pt idx="0">
                  <c:v>87.27436943</c:v>
                </c:pt>
                <c:pt idx="1">
                  <c:v>78.16648398</c:v>
                </c:pt>
                <c:pt idx="2">
                  <c:v>71.53917094</c:v>
                </c:pt>
                <c:pt idx="3">
                  <c:v>66.61557423</c:v>
                </c:pt>
                <c:pt idx="4">
                  <c:v>62.90081884</c:v>
                </c:pt>
                <c:pt idx="5">
                  <c:v>60.06518213</c:v>
                </c:pt>
                <c:pt idx="6">
                  <c:v>57.88105619</c:v>
                </c:pt>
                <c:pt idx="7">
                  <c:v>56.18681935</c:v>
                </c:pt>
                <c:pt idx="8">
                  <c:v>54.86506746</c:v>
                </c:pt>
                <c:pt idx="9">
                  <c:v>53.82892983</c:v>
                </c:pt>
                <c:pt idx="10">
                  <c:v>53.01314836</c:v>
                </c:pt>
                <c:pt idx="11">
                  <c:v>52.36807496</c:v>
                </c:pt>
                <c:pt idx="12">
                  <c:v>51.85551866</c:v>
                </c:pt>
                <c:pt idx="13">
                  <c:v>51.44580094</c:v>
                </c:pt>
                <c:pt idx="14">
                  <c:v>51.11562047</c:v>
                </c:pt>
                <c:pt idx="15">
                  <c:v>50.84647243</c:v>
                </c:pt>
                <c:pt idx="16">
                  <c:v>50.62345439</c:v>
                </c:pt>
                <c:pt idx="17">
                  <c:v>50.43434487</c:v>
                </c:pt>
                <c:pt idx="18">
                  <c:v>50.26887566</c:v>
                </c:pt>
                <c:pt idx="19">
                  <c:v>50.11814102</c:v>
                </c:pt>
                <c:pt idx="20">
                  <c:v>49.97410237</c:v>
                </c:pt>
                <c:pt idx="21">
                  <c:v>49.82915701</c:v>
                </c:pt>
                <c:pt idx="22">
                  <c:v>49.67574695</c:v>
                </c:pt>
                <c:pt idx="23">
                  <c:v>49.50598936</c:v>
                </c:pt>
                <c:pt idx="24">
                  <c:v>49.31131549</c:v>
                </c:pt>
                <c:pt idx="25">
                  <c:v>49.08210969</c:v>
                </c:pt>
                <c:pt idx="26">
                  <c:v>48.80734707</c:v>
                </c:pt>
                <c:pt idx="27">
                  <c:v>48.47423704</c:v>
                </c:pt>
                <c:pt idx="28">
                  <c:v>48.06789265</c:v>
                </c:pt>
                <c:pt idx="29">
                  <c:v>47.57106314</c:v>
                </c:pt>
                <c:pt idx="30">
                  <c:v>46.96399057</c:v>
                </c:pt>
                <c:pt idx="31">
                  <c:v>46.22448012</c:v>
                </c:pt>
                <c:pt idx="32">
                  <c:v>45.32830528</c:v>
                </c:pt>
                <c:pt idx="33">
                  <c:v>44.25009427</c:v>
                </c:pt>
                <c:pt idx="34">
                  <c:v>42.96485036</c:v>
                </c:pt>
                <c:pt idx="35">
                  <c:v>41.45022092</c:v>
                </c:pt>
                <c:pt idx="36">
                  <c:v>39.68952345</c:v>
                </c:pt>
                <c:pt idx="37">
                  <c:v>37.67534108</c:v>
                </c:pt>
                <c:pt idx="38">
                  <c:v>35.41322446</c:v>
                </c:pt>
                <c:pt idx="39">
                  <c:v>32.92474581</c:v>
                </c:pt>
                <c:pt idx="40">
                  <c:v>30.24896943</c:v>
                </c:pt>
                <c:pt idx="41">
                  <c:v>27.44148959</c:v>
                </c:pt>
                <c:pt idx="42">
                  <c:v>24.57063712</c:v>
                </c:pt>
                <c:pt idx="43">
                  <c:v>21.71120481</c:v>
                </c:pt>
                <c:pt idx="44">
                  <c:v>18.93682453</c:v>
                </c:pt>
                <c:pt idx="45">
                  <c:v>16.31259254</c:v>
                </c:pt>
                <c:pt idx="46">
                  <c:v>13.88945258</c:v>
                </c:pt>
                <c:pt idx="47">
                  <c:v>11.70125301</c:v>
                </c:pt>
                <c:pt idx="48">
                  <c:v>9.764585014</c:v>
                </c:pt>
                <c:pt idx="49">
                  <c:v>8.080830326</c:v>
                </c:pt>
                <c:pt idx="50">
                  <c:v>6.639507278</c:v>
                </c:pt>
                <c:pt idx="51">
                  <c:v>5.422013152</c:v>
                </c:pt>
                <c:pt idx="52">
                  <c:v>4.405091262</c:v>
                </c:pt>
                <c:pt idx="53">
                  <c:v>3.563648493</c:v>
                </c:pt>
                <c:pt idx="54">
                  <c:v>2.87280446</c:v>
                </c:pt>
                <c:pt idx="55">
                  <c:v>2.309221894</c:v>
                </c:pt>
                <c:pt idx="56">
                  <c:v>1.851851343</c:v>
                </c:pt>
                <c:pt idx="57">
                  <c:v>1.482245146</c:v>
                </c:pt>
                <c:pt idx="58">
                  <c:v>1.184582297</c:v>
                </c:pt>
                <c:pt idx="59">
                  <c:v>0.945517509</c:v>
                </c:pt>
                <c:pt idx="60">
                  <c:v>0.753937166</c:v>
                </c:pt>
                <c:pt idx="61">
                  <c:v>0.600678001</c:v>
                </c:pt>
                <c:pt idx="62">
                  <c:v>0.478243508</c:v>
                </c:pt>
                <c:pt idx="63">
                  <c:v>0.380538088</c:v>
                </c:pt>
                <c:pt idx="64">
                  <c:v>0.302628856</c:v>
                </c:pt>
                <c:pt idx="65">
                  <c:v>0.24053864</c:v>
                </c:pt>
                <c:pt idx="66">
                  <c:v>0.191069926</c:v>
                </c:pt>
                <c:pt idx="67">
                  <c:v>0.151657423</c:v>
                </c:pt>
                <c:pt idx="68">
                  <c:v>0.120246031</c:v>
                </c:pt>
                <c:pt idx="69">
                  <c:v>0.095190669</c:v>
                </c:pt>
                <c:pt idx="70">
                  <c:v>0.07517456</c:v>
                </c:pt>
                <c:pt idx="71">
                  <c:v>0.059142845</c:v>
                </c:pt>
                <c:pt idx="72">
                  <c:v>0.04624877</c:v>
                </c:pt>
                <c:pt idx="73">
                  <c:v>0.035810102</c:v>
                </c:pt>
                <c:pt idx="74">
                  <c:v>0.027273737</c:v>
                </c:pt>
                <c:pt idx="75">
                  <c:v>0.020186849</c:v>
                </c:pt>
                <c:pt idx="76">
                  <c:v>0.01417316</c:v>
                </c:pt>
                <c:pt idx="77">
                  <c:v>0.008913135</c:v>
                </c:pt>
                <c:pt idx="78">
                  <c:v>0.004127126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CalcSheet!$AI$1:$AI$1401</c:f>
              <c:numCache>
                <c:formatCode>General</c:formatCode>
                <c:ptCount val="1401"/>
                <c:pt idx="0">
                  <c:v>87.274369425174399</c:v>
                </c:pt>
                <c:pt idx="1">
                  <c:v>78.16648398090814</c:v>
                </c:pt>
                <c:pt idx="2">
                  <c:v>71.539170939892273</c:v>
                </c:pt>
                <c:pt idx="3">
                  <c:v>66.615574232053987</c:v>
                </c:pt>
                <c:pt idx="4">
                  <c:v>62.900818840735347</c:v>
                </c:pt>
                <c:pt idx="5">
                  <c:v>60.065182130904859</c:v>
                </c:pt>
                <c:pt idx="6">
                  <c:v>57.881056187709611</c:v>
                </c:pt>
                <c:pt idx="7">
                  <c:v>56.186819348869207</c:v>
                </c:pt>
                <c:pt idx="8">
                  <c:v>54.865067459796478</c:v>
                </c:pt>
                <c:pt idx="9">
                  <c:v>53.82892982699255</c:v>
                </c:pt>
                <c:pt idx="10">
                  <c:v>53.013148364533023</c:v>
                </c:pt>
                <c:pt idx="11">
                  <c:v>52.368074958030505</c:v>
                </c:pt>
                <c:pt idx="12">
                  <c:v>51.85551866317315</c:v>
                </c:pt>
                <c:pt idx="13">
                  <c:v>51.445800943985425</c:v>
                </c:pt>
                <c:pt idx="14">
                  <c:v>51.115620471038568</c:v>
                </c:pt>
                <c:pt idx="15">
                  <c:v>50.84647243461896</c:v>
                </c:pt>
                <c:pt idx="16">
                  <c:v>50.623454387811528</c:v>
                </c:pt>
                <c:pt idx="17">
                  <c:v>50.434344871102795</c:v>
                </c:pt>
                <c:pt idx="18">
                  <c:v>50.268875660081008</c:v>
                </c:pt>
                <c:pt idx="19">
                  <c:v>50.118141020711185</c:v>
                </c:pt>
                <c:pt idx="20">
                  <c:v>49.974102370790639</c:v>
                </c:pt>
                <c:pt idx="21">
                  <c:v>49.829157014814676</c:v>
                </c:pt>
                <c:pt idx="22">
                  <c:v>49.675746945643596</c:v>
                </c:pt>
                <c:pt idx="23">
                  <c:v>49.505989356547943</c:v>
                </c:pt>
                <c:pt idx="24">
                  <c:v>49.311315488965924</c:v>
                </c:pt>
                <c:pt idx="25">
                  <c:v>49.082109690336686</c:v>
                </c:pt>
                <c:pt idx="26">
                  <c:v>48.807347068171957</c:v>
                </c:pt>
                <c:pt idx="27">
                  <c:v>48.474237037482858</c:v>
                </c:pt>
                <c:pt idx="28">
                  <c:v>48.067892649640704</c:v>
                </c:pt>
                <c:pt idx="29">
                  <c:v>47.57106314488793</c:v>
                </c:pt>
                <c:pt idx="30">
                  <c:v>46.963990565086867</c:v>
                </c:pt>
                <c:pt idx="31">
                  <c:v>46.224480123813159</c:v>
                </c:pt>
                <c:pt idx="32">
                  <c:v>45.328305281448401</c:v>
                </c:pt>
                <c:pt idx="33">
                  <c:v>44.250094270286858</c:v>
                </c:pt>
                <c:pt idx="34">
                  <c:v>42.964850362165784</c:v>
                </c:pt>
                <c:pt idx="35">
                  <c:v>41.450220920795395</c:v>
                </c:pt>
                <c:pt idx="36">
                  <c:v>39.689523453280259</c:v>
                </c:pt>
                <c:pt idx="37">
                  <c:v>37.675341075814899</c:v>
                </c:pt>
                <c:pt idx="38">
                  <c:v>35.413224462685982</c:v>
                </c:pt>
                <c:pt idx="39">
                  <c:v>32.924745813422881</c:v>
                </c:pt>
                <c:pt idx="40">
                  <c:v>30.248969429641093</c:v>
                </c:pt>
                <c:pt idx="41">
                  <c:v>27.441489589882696</c:v>
                </c:pt>
                <c:pt idx="42">
                  <c:v>24.5706371197317</c:v>
                </c:pt>
                <c:pt idx="43">
                  <c:v>21.711204813713113</c:v>
                </c:pt>
                <c:pt idx="44">
                  <c:v>18.936824531944502</c:v>
                </c:pt>
                <c:pt idx="45">
                  <c:v>16.312592537620183</c:v>
                </c:pt>
                <c:pt idx="46">
                  <c:v>13.889452584734455</c:v>
                </c:pt>
                <c:pt idx="47">
                  <c:v>11.701253012513659</c:v>
                </c:pt>
                <c:pt idx="48">
                  <c:v>9.7645850142649557</c:v>
                </c:pt>
                <c:pt idx="49">
                  <c:v>8.0808303264176313</c:v>
                </c:pt>
                <c:pt idx="50">
                  <c:v>6.6395072779712061</c:v>
                </c:pt>
                <c:pt idx="51">
                  <c:v>5.4220131520968069</c:v>
                </c:pt>
                <c:pt idx="52">
                  <c:v>4.4050912620654712</c:v>
                </c:pt>
                <c:pt idx="53">
                  <c:v>3.5636484930972321</c:v>
                </c:pt>
                <c:pt idx="54">
                  <c:v>2.8728044595434463</c:v>
                </c:pt>
                <c:pt idx="55">
                  <c:v>2.3092218935993301</c:v>
                </c:pt>
                <c:pt idx="56">
                  <c:v>1.8518513425925953</c:v>
                </c:pt>
                <c:pt idx="57">
                  <c:v>1.4822451459835173</c:v>
                </c:pt>
                <c:pt idx="58">
                  <c:v>1.1845822966257629</c:v>
                </c:pt>
                <c:pt idx="59">
                  <c:v>0.94551750889989816</c:v>
                </c:pt>
                <c:pt idx="60">
                  <c:v>0.75393716569397284</c:v>
                </c:pt>
                <c:pt idx="61">
                  <c:v>0.60067800075296696</c:v>
                </c:pt>
                <c:pt idx="62">
                  <c:v>0.47824350805009835</c:v>
                </c:pt>
                <c:pt idx="63">
                  <c:v>0.38053808812508239</c:v>
                </c:pt>
                <c:pt idx="64">
                  <c:v>0.30262885563149883</c:v>
                </c:pt>
                <c:pt idx="65">
                  <c:v>0.24053864032186414</c:v>
                </c:pt>
                <c:pt idx="66">
                  <c:v>0.19106992587642427</c:v>
                </c:pt>
                <c:pt idx="67">
                  <c:v>0.15165742291558015</c:v>
                </c:pt>
                <c:pt idx="68">
                  <c:v>0.12024603084740422</c:v>
                </c:pt>
                <c:pt idx="69">
                  <c:v>9.5190669049240895E-2</c:v>
                </c:pt>
                <c:pt idx="70">
                  <c:v>7.5174560445062696E-2</c:v>
                </c:pt>
                <c:pt idx="71">
                  <c:v>5.9142844653886584E-2</c:v>
                </c:pt>
                <c:pt idx="72">
                  <c:v>4.6248770407401052E-2</c:v>
                </c:pt>
                <c:pt idx="73">
                  <c:v>3.5810102023518718E-2</c:v>
                </c:pt>
                <c:pt idx="74">
                  <c:v>2.7273736556989708E-2</c:v>
                </c:pt>
                <c:pt idx="75">
                  <c:v>2.0186849401234365E-2</c:v>
                </c:pt>
                <c:pt idx="76">
                  <c:v>1.4173159951047981E-2</c:v>
                </c:pt>
                <c:pt idx="77">
                  <c:v>8.9131347674169421E-3</c:v>
                </c:pt>
                <c:pt idx="78">
                  <c:v>4.1271257674592339E-3</c:v>
                </c:pt>
              </c:numCache>
            </c:numRef>
          </c:xVal>
          <c:yVal>
            <c:numRef>
              <c:f>CalcSheet!$AB$1:$AB$1401</c:f>
              <c:numCache>
                <c:formatCode>General</c:formatCode>
                <c:ptCount val="140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8.9</c:v>
                </c:pt>
                <c:pt idx="76">
                  <c:v>9</c:v>
                </c:pt>
                <c:pt idx="77">
                  <c:v>9.1</c:v>
                </c:pt>
                <c:pt idx="78">
                  <c:v>9.1999999999999993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556260</xdr:colOff>
          <xdr:row>19</xdr:row>
          <xdr:rowOff>121920</xdr:rowOff>
        </xdr:from>
        <xdr:to>
          <xdr:col>20</xdr:col>
          <xdr:colOff>297180</xdr:colOff>
          <xdr:row>27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SAWB Titration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14</xdr:row>
      <xdr:rowOff>83820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/>
  <dimension ref="D1:S27"/>
  <sheetViews>
    <sheetView tabSelected="1" workbookViewId="0">
      <selection activeCell="I7" sqref="I7"/>
    </sheetView>
  </sheetViews>
  <sheetFormatPr defaultRowHeight="14.4" x14ac:dyDescent="0.3"/>
  <cols>
    <col min="1" max="7" width="9.33203125" customWidth="1"/>
    <col min="8" max="8" width="21" bestFit="1" customWidth="1"/>
    <col min="9" max="9" width="10.4414062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5" t="s">
        <v>0</v>
      </c>
      <c r="I3" s="26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16</v>
      </c>
      <c r="O4" t="s">
        <v>20</v>
      </c>
    </row>
    <row r="5" spans="4:19" x14ac:dyDescent="0.3">
      <c r="H5" s="3" t="s">
        <v>2</v>
      </c>
      <c r="I5" s="20">
        <v>2.0000000000000002E-5</v>
      </c>
      <c r="O5" t="s">
        <v>24</v>
      </c>
    </row>
    <row r="6" spans="4:19" x14ac:dyDescent="0.3">
      <c r="H6" s="3" t="s">
        <v>4</v>
      </c>
      <c r="I6" s="21">
        <v>0.5</v>
      </c>
      <c r="O6" t="s">
        <v>23</v>
      </c>
    </row>
    <row r="7" spans="4:19" x14ac:dyDescent="0.3">
      <c r="H7" s="3" t="s">
        <v>5</v>
      </c>
      <c r="I7" s="21">
        <v>50</v>
      </c>
    </row>
    <row r="8" spans="4:19" x14ac:dyDescent="0.3">
      <c r="H8" s="3" t="s">
        <v>3</v>
      </c>
      <c r="I8" s="19" t="s">
        <v>9</v>
      </c>
      <c r="N8" t="s">
        <v>21</v>
      </c>
    </row>
    <row r="9" spans="4:19" x14ac:dyDescent="0.3">
      <c r="H9" s="3" t="s">
        <v>6</v>
      </c>
      <c r="I9" s="21">
        <v>0.1</v>
      </c>
      <c r="O9" t="s">
        <v>28</v>
      </c>
    </row>
    <row r="10" spans="4:19" x14ac:dyDescent="0.3">
      <c r="H10" s="16" t="s">
        <v>15</v>
      </c>
      <c r="I10" s="17">
        <f>0.5*I11</f>
        <v>125</v>
      </c>
      <c r="O10" t="s">
        <v>22</v>
      </c>
    </row>
    <row r="11" spans="4:19" x14ac:dyDescent="0.3">
      <c r="H11" s="15" t="s">
        <v>10</v>
      </c>
      <c r="I11" s="14">
        <f>(I6*I7)/I9</f>
        <v>250</v>
      </c>
      <c r="O11" t="s">
        <v>31</v>
      </c>
    </row>
    <row r="12" spans="4:19" ht="15" thickBot="1" x14ac:dyDescent="0.35">
      <c r="H12" s="7" t="s">
        <v>14</v>
      </c>
      <c r="I12" s="6">
        <f>2*I11</f>
        <v>500</v>
      </c>
      <c r="O12" t="s">
        <v>30</v>
      </c>
    </row>
    <row r="13" spans="4:19" x14ac:dyDescent="0.3">
      <c r="H13" s="5"/>
      <c r="I13" s="5"/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25" t="s">
        <v>11</v>
      </c>
      <c r="I17" s="26"/>
      <c r="O17" t="s">
        <v>27</v>
      </c>
    </row>
    <row r="18" spans="8:15" x14ac:dyDescent="0.3">
      <c r="H18" s="3" t="s">
        <v>3</v>
      </c>
      <c r="I18" s="22" t="s">
        <v>17</v>
      </c>
      <c r="O18" t="s">
        <v>32</v>
      </c>
    </row>
    <row r="19" spans="8:15" x14ac:dyDescent="0.3">
      <c r="H19" s="3" t="s">
        <v>8</v>
      </c>
      <c r="I19" s="23">
        <v>2.6000000000000001E-6</v>
      </c>
      <c r="O19" t="s">
        <v>33</v>
      </c>
    </row>
    <row r="20" spans="8:15" x14ac:dyDescent="0.3">
      <c r="H20" s="3" t="s">
        <v>6</v>
      </c>
      <c r="I20" s="24">
        <v>0.1</v>
      </c>
    </row>
    <row r="21" spans="8:15" x14ac:dyDescent="0.3">
      <c r="H21" s="3" t="s">
        <v>7</v>
      </c>
      <c r="I21" s="24">
        <v>100</v>
      </c>
    </row>
    <row r="22" spans="8:15" x14ac:dyDescent="0.3">
      <c r="H22" s="3" t="s">
        <v>1</v>
      </c>
      <c r="I22" s="22" t="s">
        <v>18</v>
      </c>
    </row>
    <row r="23" spans="8:15" x14ac:dyDescent="0.3">
      <c r="H23" s="3" t="s">
        <v>4</v>
      </c>
      <c r="I23" s="24">
        <v>0.2</v>
      </c>
    </row>
    <row r="24" spans="8:15" x14ac:dyDescent="0.3">
      <c r="H24" s="16" t="s">
        <v>13</v>
      </c>
      <c r="I24" s="18">
        <f>0.5*I25</f>
        <v>25</v>
      </c>
    </row>
    <row r="25" spans="8:15" x14ac:dyDescent="0.3">
      <c r="H25" s="15" t="s">
        <v>10</v>
      </c>
      <c r="I25" s="4">
        <f>(I20*I21)/I23</f>
        <v>50</v>
      </c>
    </row>
    <row r="26" spans="8:15" ht="15" thickBot="1" x14ac:dyDescent="0.35">
      <c r="H26" s="7" t="s">
        <v>14</v>
      </c>
      <c r="I26" s="13">
        <f>2*I25</f>
        <v>100</v>
      </c>
    </row>
    <row r="27" spans="8:15" ht="15" thickBot="1" x14ac:dyDescent="0.35">
      <c r="N27" s="8" t="s">
        <v>12</v>
      </c>
      <c r="O27" s="9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I5" val="0.00002" numFmtId="11"/>
      <inputCells r="I6" val="0.05" numFmtId="2"/>
    </scenario>
  </scenarios>
  <mergeCells count="2">
    <mergeCell ref="H3:I3"/>
    <mergeCell ref="H17:I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Extremes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15</xdr:col>
                    <xdr:colOff>556260</xdr:colOff>
                    <xdr:row>19</xdr:row>
                    <xdr:rowOff>121920</xdr:rowOff>
                  </from>
                  <to>
                    <xdr:col>20</xdr:col>
                    <xdr:colOff>297180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/>
  <dimension ref="A1:ZZ1401"/>
  <sheetViews>
    <sheetView topLeftCell="K1" zoomScale="73" zoomScaleNormal="73" workbookViewId="0">
      <selection activeCell="AA17" sqref="AA17"/>
    </sheetView>
  </sheetViews>
  <sheetFormatPr defaultColWidth="9.44140625" defaultRowHeight="15" customHeight="1" x14ac:dyDescent="0.3"/>
  <cols>
    <col min="1" max="1" width="9.6640625" style="2" customWidth="1"/>
    <col min="2" max="8" width="10" style="1" customWidth="1"/>
    <col min="9" max="9" width="9.44140625" style="10"/>
    <col min="10" max="10" width="9.44140625" style="2"/>
    <col min="11" max="16" width="9.44140625" style="1"/>
    <col min="17" max="17" width="9.44140625" style="2"/>
    <col min="18" max="18" width="9.44140625" style="10"/>
    <col min="19" max="19" width="9.44140625" style="2"/>
    <col min="20" max="26" width="9.44140625" style="1"/>
    <col min="27" max="27" width="9.44140625" style="10"/>
    <col min="28" max="28" width="9.44140625" style="2"/>
    <col min="29" max="34" width="9.44140625" style="1"/>
    <col min="35" max="35" width="9.44140625" style="2"/>
    <col min="36" max="36" width="9.44140625" style="10"/>
    <col min="37" max="43" width="9.44140625" style="1"/>
    <col min="44" max="44" width="9.44140625" style="10"/>
    <col min="45" max="16384" width="9.44140625" style="1"/>
  </cols>
  <sheetData>
    <row r="1" spans="1:44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((WASB_Ca*WASB_Va)-(WASB_Cb*H1))/(WASB_Va+H1)</f>
        <v>6.4993400791904321</v>
      </c>
      <c r="E1" s="1">
        <f t="shared" ref="E1:E2" si="2">(WASB_Ca*H1)/(WASB_Va+H1)</f>
        <v>-4.9994500659920273</v>
      </c>
      <c r="F1" s="1">
        <f t="shared" ref="F1:F2" si="3">WASB_Ka/(B1+WASB_Ka)</f>
        <v>1.9999600007999844E-5</v>
      </c>
      <c r="G1" s="1">
        <f t="shared" ref="G1:G2" si="4">(F1-((B1-C1)/WASB_Ca)) / (1 + ((B1-C1)/WASB_Cb))</f>
        <v>-0.18181636367272638</v>
      </c>
      <c r="H1" s="1">
        <f>G1*(WASB_Va * WASB_Ca)/WASB_Cb</f>
        <v>-45.454090918181592</v>
      </c>
      <c r="J1" s="2">
        <v>2.6</v>
      </c>
      <c r="K1" s="1">
        <v>2.5118864315095777E-3</v>
      </c>
      <c r="L1" s="1">
        <v>4.0208824225903259E-12</v>
      </c>
      <c r="M1" s="1">
        <v>0.49170133910072922</v>
      </c>
      <c r="N1" s="1">
        <v>6.9155507493923185E-3</v>
      </c>
      <c r="O1" s="1">
        <v>7.8992484619760262E-3</v>
      </c>
      <c r="P1" s="1">
        <v>2.8050167714283457E-3</v>
      </c>
      <c r="Q1" s="2">
        <v>0.70125419285708646</v>
      </c>
      <c r="S1" s="2">
        <v>0</v>
      </c>
      <c r="T1" s="1">
        <f>10^-S1</f>
        <v>1</v>
      </c>
      <c r="U1" s="1">
        <f t="shared" ref="U1:U2" si="5">Kw/T1</f>
        <v>1.0099999999999999E-14</v>
      </c>
      <c r="V1" s="1">
        <f t="shared" ref="V1:V2" si="6">((SAWB_Cb*SAWB_Vb)-(SAWB_Ca*Z1))/(Z1+SAWB_Vb)</f>
        <v>-1.0000006933321215</v>
      </c>
      <c r="W1" s="1">
        <f t="shared" ref="W1:W2" si="7">(SAWB_Cb*Z1)/(Z1+SAWB_Vb)</f>
        <v>0.36666689777737382</v>
      </c>
      <c r="X1" s="1">
        <f t="shared" ref="X1:X2" si="8">T1/(T1+SAWB_Ka)</f>
        <v>0.99999740000676007</v>
      </c>
      <c r="Y1" s="1">
        <f t="shared" ref="Y1:Y2" si="9">(X1+((T1-U1)/SAWB_Cb))/(1-((T1-U1)/SAWB_Ca))</f>
        <v>-2.7499993500016995</v>
      </c>
      <c r="Z1" s="1">
        <f t="shared" ref="Z1:Z2" si="10">(Y1*SAWB_Cb*SAWB_Vb)/SAWB_Ca</f>
        <v>-137.49996750008498</v>
      </c>
      <c r="AB1">
        <v>1.4</v>
      </c>
      <c r="AC1">
        <v>3.9810717055349727E-2</v>
      </c>
      <c r="AD1">
        <v>2.5370052958246757E-13</v>
      </c>
      <c r="AE1">
        <v>-3.98072299371083E-2</v>
      </c>
      <c r="AF1">
        <v>4.66024099790361E-2</v>
      </c>
      <c r="AG1">
        <v>0.99993469521777389</v>
      </c>
      <c r="AH1">
        <v>1.7454873885034883</v>
      </c>
      <c r="AI1">
        <v>87.274369425174399</v>
      </c>
      <c r="AJ1"/>
      <c r="AK1"/>
      <c r="AL1"/>
      <c r="AM1"/>
      <c r="AN1"/>
      <c r="AO1"/>
      <c r="AP1"/>
      <c r="AQ1"/>
      <c r="AR1"/>
    </row>
    <row r="2" spans="1:44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5.2652939748593504</v>
      </c>
      <c r="E2" s="1">
        <f t="shared" si="2"/>
        <v>-3.9710783123827915</v>
      </c>
      <c r="F2" s="1">
        <f t="shared" si="3"/>
        <v>2.5177874294568058E-5</v>
      </c>
      <c r="G2" s="1">
        <f t="shared" si="4"/>
        <v>-0.17763403076098069</v>
      </c>
      <c r="H2" s="1">
        <f t="shared" ref="H2:H3" si="11">G2*(WASB_Va * WASB_Ca)/WASB_Cb</f>
        <v>-44.408507690245166</v>
      </c>
      <c r="J2" s="2">
        <v>2.7</v>
      </c>
      <c r="K2" s="1">
        <v>1.9952623149688781E-3</v>
      </c>
      <c r="L2" s="1">
        <v>5.0619910596354535E-12</v>
      </c>
      <c r="M2" s="1">
        <v>0.48304033589766415</v>
      </c>
      <c r="N2" s="1">
        <v>1.4133053418613159E-2</v>
      </c>
      <c r="O2" s="1">
        <v>9.9242663604856146E-3</v>
      </c>
      <c r="P2" s="1">
        <v>5.8176640819281389E-3</v>
      </c>
      <c r="Q2" s="2">
        <v>1.4544160204820347</v>
      </c>
      <c r="S2" s="2">
        <v>0.1</v>
      </c>
      <c r="T2" s="1">
        <f>10^-S2</f>
        <v>0.79432823472428149</v>
      </c>
      <c r="U2" s="1">
        <f t="shared" si="5"/>
        <v>1.2715146659121089E-14</v>
      </c>
      <c r="V2" s="1">
        <f t="shared" si="6"/>
        <v>-0.79432888317578232</v>
      </c>
      <c r="W2" s="1">
        <f t="shared" si="7"/>
        <v>0.29810962772526078</v>
      </c>
      <c r="X2" s="1">
        <f t="shared" si="8"/>
        <v>0.99999672680464324</v>
      </c>
      <c r="Y2" s="1">
        <f t="shared" si="9"/>
        <v>-3.009542051521902</v>
      </c>
      <c r="Z2" s="1">
        <f t="shared" si="10"/>
        <v>-150.47710257609509</v>
      </c>
      <c r="AB2">
        <v>1.5</v>
      </c>
      <c r="AC2">
        <v>3.1622776601683784E-2</v>
      </c>
      <c r="AD2">
        <v>3.193900436770064E-13</v>
      </c>
      <c r="AE2">
        <v>-3.1618162239679594E-2</v>
      </c>
      <c r="AF2">
        <v>4.3872720746559866E-2</v>
      </c>
      <c r="AG2">
        <v>0.99991778754027993</v>
      </c>
      <c r="AH2">
        <v>1.5633296796181626</v>
      </c>
      <c r="AI2">
        <v>78.16648398090814</v>
      </c>
      <c r="AJ2"/>
      <c r="AK2"/>
      <c r="AL2"/>
      <c r="AM2"/>
      <c r="AN2"/>
      <c r="AO2"/>
      <c r="AP2"/>
      <c r="AQ2"/>
      <c r="AR2"/>
    </row>
    <row r="3" spans="1:44" ht="15" customHeight="1" x14ac:dyDescent="0.3">
      <c r="A3" s="2">
        <v>0.2</v>
      </c>
      <c r="B3" s="1">
        <f t="shared" ref="B3:B66" si="12">10^(-A3)</f>
        <v>0.63095734448019325</v>
      </c>
      <c r="C3" s="1">
        <f t="shared" ref="C3:C66" si="13">Kw/B3</f>
        <v>1.6007421243857246E-14</v>
      </c>
      <c r="D3" s="1">
        <f t="shared" ref="D3:D66" si="14">((WASB_Ca*WASB_Va)-(WASB_Cb*H3))/(WASB_Va+H3)</f>
        <v>4.2850491054622664</v>
      </c>
      <c r="E3" s="1">
        <f t="shared" ref="E3:E66" si="15">(WASB_Ca*H3)/(WASB_Va+H3)</f>
        <v>-3.1542075878852218</v>
      </c>
      <c r="F3" s="1">
        <f t="shared" ref="F3:F66" si="16">WASB_Ka/(B3+WASB_Ka)</f>
        <v>3.1696859126497234E-5</v>
      </c>
      <c r="G3" s="1">
        <f t="shared" ref="G3:G66" si="17">(F3-((B3-C3)/WASB_Ca)) / (1 + ((B3-C3)/WASB_Cb))</f>
        <v>-0.17263428593068181</v>
      </c>
      <c r="H3" s="1">
        <f t="shared" si="11"/>
        <v>-43.158571482670446</v>
      </c>
      <c r="J3" s="2">
        <v>2.8</v>
      </c>
      <c r="K3" s="1">
        <v>1.5848931924611134E-3</v>
      </c>
      <c r="L3" s="1">
        <v>6.3726691792499515E-12</v>
      </c>
      <c r="M3" s="1">
        <v>0.47375877005841682</v>
      </c>
      <c r="N3" s="1">
        <v>2.186769161798598E-2</v>
      </c>
      <c r="O3" s="1">
        <v>1.2461888488248791E-2</v>
      </c>
      <c r="P3" s="1">
        <v>9.1471298779141792E-3</v>
      </c>
      <c r="Q3" s="2">
        <v>2.2867824694785446</v>
      </c>
      <c r="S3" s="2">
        <v>0.2</v>
      </c>
      <c r="T3" s="1">
        <f t="shared" ref="T3:T66" si="18">10^-S3</f>
        <v>0.63095734448019325</v>
      </c>
      <c r="U3" s="1">
        <f t="shared" ref="U3:U66" si="19">Kw/T3</f>
        <v>1.6007421243857246E-14</v>
      </c>
      <c r="V3" s="1">
        <f t="shared" ref="V3:V66" si="20">((SAWB_Cb*SAWB_Vb)-(SAWB_Ca*Z3))/(Z3+SAWB_Vb)</f>
        <v>-0.63095793643039799</v>
      </c>
      <c r="W3" s="1">
        <f t="shared" ref="W3:W66" si="21">(SAWB_Cb*Z3)/(Z3+SAWB_Vb)</f>
        <v>0.24365264547679935</v>
      </c>
      <c r="X3" s="1">
        <f t="shared" ref="X3:X66" si="22">T3/(T3+SAWB_Ka)</f>
        <v>0.99999587929467992</v>
      </c>
      <c r="Y3" s="1">
        <f t="shared" ref="Y3:Y66" si="23">(X3+((T3-U3)/SAWB_Cb))/(1-((T3-U3)/SAWB_Ca))</f>
        <v>-3.3922472456819541</v>
      </c>
      <c r="Z3" s="1">
        <f t="shared" ref="Z3:Z66" si="24">(Y3*SAWB_Cb*SAWB_Vb)/SAWB_Ca</f>
        <v>-169.61236228409769</v>
      </c>
      <c r="AB3">
        <v>1.6</v>
      </c>
      <c r="AC3">
        <v>2.511886431509578E-2</v>
      </c>
      <c r="AD3">
        <v>4.0208824225903255E-13</v>
      </c>
      <c r="AE3">
        <v>-2.5112830873409847E-2</v>
      </c>
      <c r="AF3">
        <v>4.170427695780328E-2</v>
      </c>
      <c r="AG3">
        <v>0.99989650284842524</v>
      </c>
      <c r="AH3">
        <v>1.4307834187978454</v>
      </c>
      <c r="AI3">
        <v>71.539170939892273</v>
      </c>
      <c r="AJ3"/>
      <c r="AK3"/>
      <c r="AL3"/>
      <c r="AM3"/>
      <c r="AN3"/>
      <c r="AO3"/>
      <c r="AP3"/>
      <c r="AQ3"/>
      <c r="AR3"/>
    </row>
    <row r="4" spans="1:44" ht="15" customHeight="1" x14ac:dyDescent="0.3">
      <c r="A4" s="2">
        <v>0.3</v>
      </c>
      <c r="B4" s="1">
        <f t="shared" si="12"/>
        <v>0.50118723362727224</v>
      </c>
      <c r="C4" s="1">
        <f t="shared" si="13"/>
        <v>2.0152149381185686E-14</v>
      </c>
      <c r="D4" s="1">
        <f t="shared" si="14"/>
        <v>3.5064038583059669</v>
      </c>
      <c r="E4" s="1">
        <f t="shared" si="15"/>
        <v>-2.5053365485883057</v>
      </c>
      <c r="F4" s="1">
        <f t="shared" si="16"/>
        <v>3.9903653934239109E-5</v>
      </c>
      <c r="G4" s="1">
        <f t="shared" si="17"/>
        <v>-0.16672585636142051</v>
      </c>
      <c r="H4" s="1">
        <f t="shared" ref="H4:H67" si="25">G4*(WASB_Va * WASB_Ca)/WASB_Cb</f>
        <v>-41.681464090355128</v>
      </c>
      <c r="J4" s="2">
        <v>2.9</v>
      </c>
      <c r="K4" s="1">
        <v>1.2589254117941662E-3</v>
      </c>
      <c r="L4" s="1">
        <v>8.0227151707152493E-12</v>
      </c>
      <c r="M4" s="1">
        <v>0.46349362378355019</v>
      </c>
      <c r="N4" s="1">
        <v>3.042198018037481E-2</v>
      </c>
      <c r="O4" s="1">
        <v>1.5638128553519474E-2</v>
      </c>
      <c r="P4" s="1">
        <v>1.2957156807322684E-2</v>
      </c>
      <c r="Q4" s="2">
        <v>3.2392892018306707</v>
      </c>
      <c r="S4" s="2">
        <v>0.3</v>
      </c>
      <c r="T4" s="1">
        <f t="shared" si="18"/>
        <v>0.50118723362727224</v>
      </c>
      <c r="U4" s="1">
        <f t="shared" si="19"/>
        <v>2.0152149381185686E-14</v>
      </c>
      <c r="V4" s="1">
        <f t="shared" si="20"/>
        <v>-0.50118775444664954</v>
      </c>
      <c r="W4" s="1">
        <f t="shared" si="21"/>
        <v>0.20039591814888319</v>
      </c>
      <c r="X4" s="1">
        <f t="shared" si="22"/>
        <v>0.99999481234489307</v>
      </c>
      <c r="Y4" s="1">
        <f t="shared" si="23"/>
        <v>-3.9921128636266654</v>
      </c>
      <c r="Z4" s="1">
        <f t="shared" si="24"/>
        <v>-199.60564318133328</v>
      </c>
      <c r="AB4">
        <v>1.7</v>
      </c>
      <c r="AC4">
        <v>1.9952623149688792E-2</v>
      </c>
      <c r="AD4">
        <v>5.0619910596354508E-13</v>
      </c>
      <c r="AE4">
        <v>-1.9944803249800209E-2</v>
      </c>
      <c r="AF4">
        <v>3.9981601083266739E-2</v>
      </c>
      <c r="AG4">
        <v>0.99986970829739685</v>
      </c>
      <c r="AH4">
        <v>1.33231148464108</v>
      </c>
      <c r="AI4">
        <v>66.615574232053987</v>
      </c>
      <c r="AJ4"/>
      <c r="AK4"/>
      <c r="AL4"/>
      <c r="AM4"/>
      <c r="AN4"/>
      <c r="AO4"/>
      <c r="AP4"/>
      <c r="AQ4"/>
      <c r="AR4"/>
    </row>
    <row r="5" spans="1:44" ht="15" customHeight="1" x14ac:dyDescent="0.3">
      <c r="A5" s="2">
        <v>0.4</v>
      </c>
      <c r="B5" s="1">
        <f t="shared" si="12"/>
        <v>0.3981071705534972</v>
      </c>
      <c r="C5" s="1">
        <f t="shared" si="13"/>
        <v>2.537005295824676E-14</v>
      </c>
      <c r="D5" s="1">
        <f t="shared" si="14"/>
        <v>2.8878925363515013</v>
      </c>
      <c r="E5" s="1">
        <f t="shared" si="15"/>
        <v>-1.9899104469595843</v>
      </c>
      <c r="F5" s="1">
        <f t="shared" si="16"/>
        <v>5.0235204927598778E-5</v>
      </c>
      <c r="G5" s="1">
        <f t="shared" si="17"/>
        <v>-0.15983791299718855</v>
      </c>
      <c r="H5" s="1">
        <f t="shared" si="25"/>
        <v>-39.959478249297135</v>
      </c>
      <c r="J5" s="2">
        <v>3</v>
      </c>
      <c r="K5" s="1">
        <v>1E-3</v>
      </c>
      <c r="L5" s="1">
        <v>1.0099999999999999E-11</v>
      </c>
      <c r="M5" s="1">
        <v>0.45189285708766785</v>
      </c>
      <c r="N5" s="1">
        <v>4.0089285760276781E-2</v>
      </c>
      <c r="O5" s="1">
        <v>1.9607843137254902E-2</v>
      </c>
      <c r="P5" s="1">
        <v>1.7433508078431373E-2</v>
      </c>
      <c r="Q5" s="2">
        <v>4.3583770196078424</v>
      </c>
      <c r="S5" s="2">
        <v>0.4</v>
      </c>
      <c r="T5" s="1">
        <f t="shared" si="18"/>
        <v>0.3981071705534972</v>
      </c>
      <c r="U5" s="1">
        <f t="shared" si="19"/>
        <v>2.537005295824676E-14</v>
      </c>
      <c r="V5" s="1">
        <f t="shared" si="20"/>
        <v>-0.39810760182461263</v>
      </c>
      <c r="W5" s="1">
        <f t="shared" si="21"/>
        <v>0.16603586727487088</v>
      </c>
      <c r="X5" s="1">
        <f t="shared" si="22"/>
        <v>0.99999346913793041</v>
      </c>
      <c r="Y5" s="1">
        <f t="shared" si="23"/>
        <v>-5.028657126096495</v>
      </c>
      <c r="Z5" s="1">
        <f t="shared" si="24"/>
        <v>-251.43285630482475</v>
      </c>
      <c r="AB5">
        <v>1.8</v>
      </c>
      <c r="AC5">
        <v>1.5848931924611124E-2</v>
      </c>
      <c r="AD5">
        <v>6.3726691792499559E-13</v>
      </c>
      <c r="AE5">
        <v>-1.5838863097856131E-2</v>
      </c>
      <c r="AF5">
        <v>3.8612954365952044E-2</v>
      </c>
      <c r="AG5">
        <v>0.99983597799806578</v>
      </c>
      <c r="AH5">
        <v>1.258016376814707</v>
      </c>
      <c r="AI5">
        <v>62.900818840735347</v>
      </c>
      <c r="AJ5"/>
      <c r="AK5"/>
      <c r="AL5"/>
      <c r="AM5"/>
      <c r="AN5"/>
      <c r="AO5"/>
      <c r="AP5"/>
      <c r="AQ5"/>
      <c r="AR5"/>
    </row>
    <row r="6" spans="1:44" ht="15" customHeight="1" x14ac:dyDescent="0.3">
      <c r="A6" s="2">
        <v>0.5</v>
      </c>
      <c r="B6" s="1">
        <f t="shared" si="12"/>
        <v>0.31622776601683794</v>
      </c>
      <c r="C6" s="1">
        <f t="shared" si="13"/>
        <v>3.193900436770063E-14</v>
      </c>
      <c r="D6" s="1">
        <f t="shared" si="14"/>
        <v>2.3965771590115375</v>
      </c>
      <c r="E6" s="1">
        <f t="shared" si="15"/>
        <v>-1.5804809658429479</v>
      </c>
      <c r="F6" s="1">
        <f t="shared" si="16"/>
        <v>6.3241553456333795E-5</v>
      </c>
      <c r="G6" s="1">
        <f t="shared" si="17"/>
        <v>-0.15193419135200642</v>
      </c>
      <c r="H6" s="1">
        <f t="shared" si="25"/>
        <v>-37.983547838001606</v>
      </c>
      <c r="J6" s="2">
        <v>3.1</v>
      </c>
      <c r="K6" s="1">
        <v>7.9432823472428099E-4</v>
      </c>
      <c r="L6" s="1">
        <v>1.2715146659121097E-11</v>
      </c>
      <c r="M6" s="1">
        <v>0.43862276754036733</v>
      </c>
      <c r="N6" s="1">
        <v>5.1147693716360534E-2</v>
      </c>
      <c r="O6" s="1">
        <v>2.4560121026347186E-2</v>
      </c>
      <c r="P6" s="1">
        <v>2.2790433735251525E-2</v>
      </c>
      <c r="Q6" s="2">
        <v>5.6976084338128814</v>
      </c>
      <c r="S6" s="2">
        <v>0.5</v>
      </c>
      <c r="T6" s="1">
        <f t="shared" si="18"/>
        <v>0.31622776601683794</v>
      </c>
      <c r="U6" s="1">
        <f t="shared" si="19"/>
        <v>3.193900436770063E-14</v>
      </c>
      <c r="V6" s="1">
        <f t="shared" si="20"/>
        <v>-0.31622808455359896</v>
      </c>
      <c r="W6" s="1">
        <f t="shared" si="21"/>
        <v>0.13874269485119967</v>
      </c>
      <c r="X6" s="1">
        <f t="shared" si="22"/>
        <v>0.99999177814568296</v>
      </c>
      <c r="Y6" s="1">
        <f t="shared" si="23"/>
        <v>-7.1622635123381739</v>
      </c>
      <c r="Z6" s="1">
        <f t="shared" si="24"/>
        <v>-358.11317561690868</v>
      </c>
      <c r="AB6">
        <v>1.9</v>
      </c>
      <c r="AC6">
        <v>1.2589254117941664E-2</v>
      </c>
      <c r="AD6">
        <v>8.0227151707152477E-13</v>
      </c>
      <c r="AE6">
        <v>-1.2576354203843449E-2</v>
      </c>
      <c r="AF6">
        <v>3.7525451401281149E-2</v>
      </c>
      <c r="AG6">
        <v>0.99979351730288113</v>
      </c>
      <c r="AH6">
        <v>1.2013036426180972</v>
      </c>
      <c r="AI6">
        <v>60.065182130904859</v>
      </c>
      <c r="AJ6"/>
      <c r="AK6"/>
      <c r="AL6"/>
      <c r="AM6"/>
      <c r="AN6"/>
      <c r="AO6"/>
      <c r="AP6"/>
      <c r="AQ6"/>
      <c r="AR6"/>
    </row>
    <row r="7" spans="1:44" ht="15" customHeight="1" x14ac:dyDescent="0.3">
      <c r="A7" s="2">
        <v>0.6</v>
      </c>
      <c r="B7" s="1">
        <f t="shared" si="12"/>
        <v>0.25118864315095801</v>
      </c>
      <c r="C7" s="1">
        <f t="shared" si="13"/>
        <v>4.0208824225903217E-14</v>
      </c>
      <c r="D7" s="1">
        <f t="shared" si="14"/>
        <v>2.0062933951612898</v>
      </c>
      <c r="E7" s="1">
        <f t="shared" si="15"/>
        <v>-1.2552444959677413</v>
      </c>
      <c r="F7" s="1">
        <f t="shared" si="16"/>
        <v>7.9615095042655294E-5</v>
      </c>
      <c r="G7" s="1">
        <f t="shared" si="17"/>
        <v>-0.14302788003054487</v>
      </c>
      <c r="H7" s="1">
        <f t="shared" si="25"/>
        <v>-35.756970007636212</v>
      </c>
      <c r="J7" s="2">
        <v>3.2</v>
      </c>
      <c r="K7" s="1">
        <v>6.3095734448019244E-4</v>
      </c>
      <c r="L7" s="1">
        <v>1.6007421243857267E-11</v>
      </c>
      <c r="M7" s="1">
        <v>0.42338360816260739</v>
      </c>
      <c r="N7" s="1">
        <v>6.3846993197827218E-2</v>
      </c>
      <c r="O7" s="1">
        <v>3.0723979335344247E-2</v>
      </c>
      <c r="P7" s="1">
        <v>2.9277337173918182E-2</v>
      </c>
      <c r="Q7" s="2">
        <v>7.3193342934795451</v>
      </c>
      <c r="S7" s="2">
        <v>0.6</v>
      </c>
      <c r="T7" s="1">
        <f t="shared" si="18"/>
        <v>0.25118864315095801</v>
      </c>
      <c r="U7" s="1">
        <f t="shared" si="19"/>
        <v>4.0208824225903217E-14</v>
      </c>
      <c r="V7" s="1">
        <f t="shared" si="20"/>
        <v>-0.25118881976393681</v>
      </c>
      <c r="W7" s="1">
        <f t="shared" si="21"/>
        <v>0.11706293992131227</v>
      </c>
      <c r="X7" s="1">
        <f t="shared" si="22"/>
        <v>0.99998964932070322</v>
      </c>
      <c r="Y7" s="1">
        <f t="shared" si="23"/>
        <v>-13.72130951186157</v>
      </c>
      <c r="Z7" s="1">
        <f t="shared" si="24"/>
        <v>-686.06547559307853</v>
      </c>
      <c r="AB7">
        <v>2</v>
      </c>
      <c r="AC7">
        <v>0.01</v>
      </c>
      <c r="AD7">
        <v>1.0099999999999999E-12</v>
      </c>
      <c r="AE7">
        <v>-9.983536186050827E-3</v>
      </c>
      <c r="AF7">
        <v>3.6661178728683609E-2</v>
      </c>
      <c r="AG7">
        <v>0.9997400675824285</v>
      </c>
      <c r="AH7">
        <v>1.1576211237541922</v>
      </c>
      <c r="AI7">
        <v>57.881056187709611</v>
      </c>
      <c r="AJ7"/>
      <c r="AK7"/>
      <c r="AL7"/>
      <c r="AM7"/>
      <c r="AN7"/>
      <c r="AO7"/>
      <c r="AP7"/>
      <c r="AQ7"/>
      <c r="AR7"/>
    </row>
    <row r="8" spans="1:44" ht="15" customHeight="1" x14ac:dyDescent="0.3">
      <c r="A8" s="2">
        <v>0.7</v>
      </c>
      <c r="B8" s="1">
        <f t="shared" si="12"/>
        <v>0.19952623149688795</v>
      </c>
      <c r="C8" s="1">
        <f t="shared" si="13"/>
        <v>5.0619910596354503E-14</v>
      </c>
      <c r="D8" s="1">
        <f t="shared" si="14"/>
        <v>1.6962572180258764</v>
      </c>
      <c r="E8" s="1">
        <f t="shared" si="15"/>
        <v>-0.99688101502156368</v>
      </c>
      <c r="F8" s="1">
        <f t="shared" si="16"/>
        <v>1.0022740018676783E-4</v>
      </c>
      <c r="G8" s="1">
        <f t="shared" si="17"/>
        <v>-0.13319442293911424</v>
      </c>
      <c r="H8" s="1">
        <f t="shared" si="25"/>
        <v>-33.298605734778555</v>
      </c>
      <c r="J8" s="2">
        <v>3.3</v>
      </c>
      <c r="K8" s="1">
        <v>5.0118723362727209E-4</v>
      </c>
      <c r="L8" s="1">
        <v>2.0152149381185689E-11</v>
      </c>
      <c r="M8" s="1">
        <v>0.40593379488037201</v>
      </c>
      <c r="N8" s="1">
        <v>7.8388504266356643E-2</v>
      </c>
      <c r="O8" s="1">
        <v>3.8373925356550528E-2</v>
      </c>
      <c r="P8" s="1">
        <v>3.7185183544368651E-2</v>
      </c>
      <c r="Q8" s="2">
        <v>9.2962958860921621</v>
      </c>
      <c r="S8" s="2">
        <v>0.7</v>
      </c>
      <c r="T8" s="1">
        <f t="shared" si="18"/>
        <v>0.19952623149688795</v>
      </c>
      <c r="U8" s="1">
        <f t="shared" si="19"/>
        <v>5.0619910596354503E-14</v>
      </c>
      <c r="V8" s="1">
        <f t="shared" si="20"/>
        <v>-0.19952622943898357</v>
      </c>
      <c r="W8" s="1">
        <f t="shared" si="21"/>
        <v>9.9842076479661201E-2</v>
      </c>
      <c r="X8" s="1">
        <f t="shared" si="22"/>
        <v>0.99998696930172704</v>
      </c>
      <c r="Y8" s="1">
        <f t="shared" si="23"/>
        <v>1264.4358011454808</v>
      </c>
      <c r="Z8" s="1">
        <f t="shared" si="24"/>
        <v>63221.790057274033</v>
      </c>
      <c r="AB8">
        <v>2.1</v>
      </c>
      <c r="AC8">
        <v>7.9432823472428121E-3</v>
      </c>
      <c r="AD8">
        <v>1.2715146659121093E-12</v>
      </c>
      <c r="AE8">
        <v>-7.9223322104407835E-3</v>
      </c>
      <c r="AF8">
        <v>3.5974110736813593E-2</v>
      </c>
      <c r="AG8">
        <v>0.99967278649665603</v>
      </c>
      <c r="AH8">
        <v>1.1237363869773842</v>
      </c>
      <c r="AI8">
        <v>56.186819348869207</v>
      </c>
      <c r="AJ8"/>
      <c r="AK8"/>
      <c r="AL8"/>
      <c r="AM8"/>
      <c r="AN8"/>
      <c r="AO8"/>
      <c r="AP8"/>
      <c r="AQ8"/>
      <c r="AR8"/>
    </row>
    <row r="9" spans="1:44" ht="15" customHeight="1" x14ac:dyDescent="0.3">
      <c r="A9" s="2">
        <v>0.8</v>
      </c>
      <c r="B9" s="1">
        <f t="shared" si="12"/>
        <v>0.15848931924611132</v>
      </c>
      <c r="C9" s="1">
        <f t="shared" si="13"/>
        <v>6.3726691792499529E-14</v>
      </c>
      <c r="D9" s="1">
        <f t="shared" si="14"/>
        <v>1.4499580814354809</v>
      </c>
      <c r="E9" s="1">
        <f t="shared" si="15"/>
        <v>-0.79163173452956748</v>
      </c>
      <c r="F9" s="1">
        <f t="shared" si="16"/>
        <v>1.2617554661847216E-4</v>
      </c>
      <c r="G9" s="1">
        <f t="shared" si="17"/>
        <v>-0.12257855135742576</v>
      </c>
      <c r="H9" s="1">
        <f t="shared" si="25"/>
        <v>-30.644637839356438</v>
      </c>
      <c r="J9" s="2">
        <v>3.4</v>
      </c>
      <c r="K9" s="1">
        <v>3.9810717055349708E-4</v>
      </c>
      <c r="L9" s="1">
        <v>2.537005295824677E-11</v>
      </c>
      <c r="M9" s="1">
        <v>0.38612145393650915</v>
      </c>
      <c r="N9" s="1">
        <v>9.4898788386242369E-2</v>
      </c>
      <c r="O9" s="1">
        <v>4.7834625685858667E-2</v>
      </c>
      <c r="P9" s="1">
        <v>4.6851890671076687E-2</v>
      </c>
      <c r="Q9" s="2">
        <v>11.712972667769172</v>
      </c>
      <c r="S9" s="2">
        <v>0.8</v>
      </c>
      <c r="T9" s="1">
        <f t="shared" si="18"/>
        <v>0.15848931924611132</v>
      </c>
      <c r="U9" s="1">
        <f t="shared" si="19"/>
        <v>6.3726691792499529E-14</v>
      </c>
      <c r="V9" s="1">
        <f t="shared" si="20"/>
        <v>-0.15848909225579966</v>
      </c>
      <c r="W9" s="1">
        <f t="shared" si="21"/>
        <v>8.6163030751933226E-2</v>
      </c>
      <c r="X9" s="1">
        <f t="shared" si="22"/>
        <v>0.99998359537815962</v>
      </c>
      <c r="Y9" s="1">
        <f t="shared" si="23"/>
        <v>12.454032267791794</v>
      </c>
      <c r="Z9" s="1">
        <f t="shared" si="24"/>
        <v>622.70161338958962</v>
      </c>
      <c r="AB9">
        <v>2.2000000000000002</v>
      </c>
      <c r="AC9">
        <v>6.3095734448019251E-3</v>
      </c>
      <c r="AD9">
        <v>1.6007421243857264E-12</v>
      </c>
      <c r="AE9">
        <v>-6.2829759345947667E-3</v>
      </c>
      <c r="AF9">
        <v>3.5427658644864926E-2</v>
      </c>
      <c r="AG9">
        <v>0.99958809750354038</v>
      </c>
      <c r="AH9">
        <v>1.0973013491959296</v>
      </c>
      <c r="AI9">
        <v>54.865067459796478</v>
      </c>
      <c r="AJ9"/>
      <c r="AK9"/>
      <c r="AL9"/>
      <c r="AM9"/>
      <c r="AN9"/>
      <c r="AO9"/>
      <c r="AP9"/>
      <c r="AQ9"/>
      <c r="AR9"/>
    </row>
    <row r="10" spans="1:44" ht="15" customHeight="1" x14ac:dyDescent="0.3">
      <c r="A10" s="2">
        <v>0.9</v>
      </c>
      <c r="B10" s="1">
        <f t="shared" si="12"/>
        <v>0.12589254117941667</v>
      </c>
      <c r="C10" s="1">
        <f t="shared" si="13"/>
        <v>8.0227151707152451E-14</v>
      </c>
      <c r="D10" s="1">
        <f t="shared" si="14"/>
        <v>1.2542796753635601</v>
      </c>
      <c r="E10" s="1">
        <f t="shared" si="15"/>
        <v>-0.62856639613630017</v>
      </c>
      <c r="F10" s="1">
        <f t="shared" si="16"/>
        <v>1.5884041265993817E-4</v>
      </c>
      <c r="G10" s="1">
        <f t="shared" si="17"/>
        <v>-0.11139200994965412</v>
      </c>
      <c r="H10" s="1">
        <f t="shared" si="25"/>
        <v>-27.848002487413527</v>
      </c>
      <c r="J10" s="2">
        <v>3.5</v>
      </c>
      <c r="K10" s="1">
        <v>3.1622776601683783E-4</v>
      </c>
      <c r="L10" s="1">
        <v>3.1939004367700641E-11</v>
      </c>
      <c r="M10" s="1">
        <v>0.36391959119305722</v>
      </c>
      <c r="N10" s="1">
        <v>0.1134003406724523</v>
      </c>
      <c r="O10" s="1">
        <v>5.948348715197551E-2</v>
      </c>
      <c r="P10" s="1">
        <v>5.8665515054876723E-2</v>
      </c>
      <c r="Q10" s="2">
        <v>14.66637876371918</v>
      </c>
      <c r="S10" s="2">
        <v>0.9</v>
      </c>
      <c r="T10" s="1">
        <f t="shared" si="18"/>
        <v>0.12589254117941667</v>
      </c>
      <c r="U10" s="1">
        <f t="shared" si="19"/>
        <v>8.0227151707152451E-14</v>
      </c>
      <c r="V10" s="1">
        <f t="shared" si="20"/>
        <v>-0.12589203101742036</v>
      </c>
      <c r="W10" s="1">
        <f t="shared" si="21"/>
        <v>7.5297343672473455E-2</v>
      </c>
      <c r="X10" s="1">
        <f t="shared" si="22"/>
        <v>0.9999793478924156</v>
      </c>
      <c r="Y10" s="1">
        <f t="shared" si="23"/>
        <v>6.0962952869621949</v>
      </c>
      <c r="Z10" s="1">
        <f t="shared" si="24"/>
        <v>304.81476434810975</v>
      </c>
      <c r="AB10">
        <v>2.2999999999999998</v>
      </c>
      <c r="AC10">
        <v>5.0118723362727212E-3</v>
      </c>
      <c r="AD10">
        <v>2.015214938118569E-12</v>
      </c>
      <c r="AE10">
        <v>-4.9781661112754958E-3</v>
      </c>
      <c r="AF10">
        <v>3.4992722037091833E-2</v>
      </c>
      <c r="AG10">
        <v>0.99948150077901665</v>
      </c>
      <c r="AH10">
        <v>1.0765785965398511</v>
      </c>
      <c r="AI10">
        <v>53.82892982699255</v>
      </c>
      <c r="AJ10"/>
      <c r="AK10"/>
      <c r="AL10"/>
      <c r="AM10"/>
      <c r="AN10"/>
      <c r="AO10"/>
      <c r="AP10"/>
      <c r="AQ10"/>
      <c r="AR10"/>
    </row>
    <row r="11" spans="1:44" ht="15" customHeight="1" x14ac:dyDescent="0.3">
      <c r="A11" s="2">
        <v>1</v>
      </c>
      <c r="B11" s="1">
        <f t="shared" si="12"/>
        <v>0.1</v>
      </c>
      <c r="C11" s="1">
        <f t="shared" si="13"/>
        <v>1.0099999999999999E-13</v>
      </c>
      <c r="D11" s="1">
        <f t="shared" si="14"/>
        <v>1.0988014382734659</v>
      </c>
      <c r="E11" s="1">
        <f t="shared" si="15"/>
        <v>-0.49900119856122155</v>
      </c>
      <c r="F11" s="1">
        <f t="shared" si="16"/>
        <v>1.9996000799840031E-4</v>
      </c>
      <c r="G11" s="1">
        <f t="shared" si="17"/>
        <v>-9.9900019995950259E-2</v>
      </c>
      <c r="H11" s="1">
        <f t="shared" si="25"/>
        <v>-24.975004998987565</v>
      </c>
      <c r="J11" s="2">
        <v>3.6</v>
      </c>
      <c r="K11" s="1">
        <v>2.5118864315095774E-4</v>
      </c>
      <c r="L11" s="1">
        <v>4.020882422590326E-11</v>
      </c>
      <c r="M11" s="1">
        <v>0.33945822664266212</v>
      </c>
      <c r="N11" s="1">
        <v>0.1337848111311149</v>
      </c>
      <c r="O11" s="1">
        <v>7.3749401035451759E-2</v>
      </c>
      <c r="P11" s="1">
        <v>7.3063496653063983E-2</v>
      </c>
      <c r="Q11" s="2">
        <v>18.265874163265995</v>
      </c>
      <c r="S11" s="2">
        <v>1</v>
      </c>
      <c r="T11" s="1">
        <f t="shared" si="18"/>
        <v>0.1</v>
      </c>
      <c r="U11" s="1">
        <f t="shared" si="19"/>
        <v>1.0099999999999999E-13</v>
      </c>
      <c r="V11" s="1">
        <f t="shared" si="20"/>
        <v>-9.999913334825429E-2</v>
      </c>
      <c r="W11" s="1">
        <f t="shared" si="21"/>
        <v>6.6666377782751432E-2</v>
      </c>
      <c r="X11" s="1">
        <f t="shared" si="22"/>
        <v>0.99997400067598241</v>
      </c>
      <c r="Y11" s="1">
        <f t="shared" si="23"/>
        <v>3.9999480013459046</v>
      </c>
      <c r="Z11" s="1">
        <f t="shared" si="24"/>
        <v>199.99740006729525</v>
      </c>
      <c r="AB11">
        <v>2.4</v>
      </c>
      <c r="AC11">
        <v>3.9810717055349717E-3</v>
      </c>
      <c r="AD11">
        <v>2.5370052958246762E-12</v>
      </c>
      <c r="AE11">
        <v>-3.9384175761871263E-3</v>
      </c>
      <c r="AF11">
        <v>3.4646139192062372E-2</v>
      </c>
      <c r="AG11">
        <v>0.99934733577659329</v>
      </c>
      <c r="AH11">
        <v>1.0602629672906605</v>
      </c>
      <c r="AI11">
        <v>53.013148364533023</v>
      </c>
      <c r="AJ11"/>
      <c r="AK11"/>
      <c r="AL11"/>
      <c r="AM11"/>
      <c r="AN11"/>
      <c r="AO11"/>
      <c r="AP11"/>
      <c r="AQ11"/>
      <c r="AR11"/>
    </row>
    <row r="12" spans="1:44" ht="15" customHeight="1" x14ac:dyDescent="0.3">
      <c r="A12" s="2">
        <v>1.1000000000000001</v>
      </c>
      <c r="B12" s="1">
        <f t="shared" si="12"/>
        <v>7.9432823472428096E-2</v>
      </c>
      <c r="C12" s="1">
        <f t="shared" si="13"/>
        <v>1.2715146659121095E-13</v>
      </c>
      <c r="D12" s="1">
        <f t="shared" si="14"/>
        <v>0.97524363004753689</v>
      </c>
      <c r="E12" s="1">
        <f t="shared" si="15"/>
        <v>-0.39603635837294732</v>
      </c>
      <c r="F12" s="1">
        <f t="shared" si="16"/>
        <v>2.517217025892157E-4</v>
      </c>
      <c r="G12" s="1">
        <f t="shared" si="17"/>
        <v>-8.8397385814138918E-2</v>
      </c>
      <c r="H12" s="1">
        <f t="shared" si="25"/>
        <v>-22.099346453534729</v>
      </c>
      <c r="J12" s="2">
        <v>3.7</v>
      </c>
      <c r="K12" s="1">
        <v>1.9952623149688758E-4</v>
      </c>
      <c r="L12" s="1">
        <v>5.0619910596354591E-11</v>
      </c>
      <c r="M12" s="1">
        <v>0.3130444804587364</v>
      </c>
      <c r="N12" s="1">
        <v>0.15579626628438631</v>
      </c>
      <c r="O12" s="1">
        <v>9.1105285521578136E-2</v>
      </c>
      <c r="P12" s="1">
        <v>9.0525610865748202E-2</v>
      </c>
      <c r="Q12" s="2">
        <v>22.631402716437051</v>
      </c>
      <c r="S12" s="2">
        <v>1.1000000000000001</v>
      </c>
      <c r="T12" s="1">
        <f t="shared" si="18"/>
        <v>7.9432823472428096E-2</v>
      </c>
      <c r="U12" s="1">
        <f t="shared" si="19"/>
        <v>1.2715146659121095E-13</v>
      </c>
      <c r="V12" s="1">
        <f t="shared" si="20"/>
        <v>-7.9431508030291906E-2</v>
      </c>
      <c r="W12" s="1">
        <f t="shared" si="21"/>
        <v>5.9810502676763973E-2</v>
      </c>
      <c r="X12" s="1">
        <f t="shared" si="22"/>
        <v>0.99996726901064603</v>
      </c>
      <c r="Y12" s="1">
        <f t="shared" si="23"/>
        <v>2.9764245218456029</v>
      </c>
      <c r="Z12" s="1">
        <f t="shared" si="24"/>
        <v>148.82122609228014</v>
      </c>
      <c r="AB12">
        <v>2.5</v>
      </c>
      <c r="AC12">
        <v>3.1622776601683764E-3</v>
      </c>
      <c r="AD12">
        <v>3.1939004367700658E-12</v>
      </c>
      <c r="AE12">
        <v>-3.1083610640651464E-3</v>
      </c>
      <c r="AF12">
        <v>3.4369453688021717E-2</v>
      </c>
      <c r="AG12">
        <v>0.99917848325301084</v>
      </c>
      <c r="AH12">
        <v>1.0473614991606102</v>
      </c>
      <c r="AI12">
        <v>52.368074958030505</v>
      </c>
      <c r="AJ12"/>
      <c r="AK12"/>
      <c r="AL12"/>
      <c r="AM12"/>
      <c r="AN12"/>
      <c r="AO12"/>
      <c r="AP12"/>
      <c r="AQ12"/>
      <c r="AR12"/>
    </row>
    <row r="13" spans="1:44" ht="15" customHeight="1" x14ac:dyDescent="0.3">
      <c r="A13" s="2">
        <v>1.2</v>
      </c>
      <c r="B13" s="1">
        <f t="shared" si="12"/>
        <v>6.3095734448019317E-2</v>
      </c>
      <c r="C13" s="1">
        <f t="shared" si="13"/>
        <v>1.6007421243857248E-13</v>
      </c>
      <c r="D13" s="1">
        <f t="shared" si="14"/>
        <v>0.87702641485374278</v>
      </c>
      <c r="E13" s="1">
        <f t="shared" si="15"/>
        <v>-0.31418867904478565</v>
      </c>
      <c r="F13" s="1">
        <f t="shared" si="16"/>
        <v>3.1687819487344386E-4</v>
      </c>
      <c r="G13" s="1">
        <f t="shared" si="17"/>
        <v>-7.7178346280470267E-2</v>
      </c>
      <c r="H13" s="1">
        <f t="shared" si="25"/>
        <v>-19.294586570117566</v>
      </c>
      <c r="J13" s="2">
        <v>3.8</v>
      </c>
      <c r="K13" s="1">
        <v>1.584893192461112E-4</v>
      </c>
      <c r="L13" s="1">
        <v>6.3726691792499571E-11</v>
      </c>
      <c r="M13" s="1">
        <v>0.28516135438870133</v>
      </c>
      <c r="N13" s="1">
        <v>0.17903220467608219</v>
      </c>
      <c r="O13" s="1">
        <v>0.11205152265958764</v>
      </c>
      <c r="P13" s="1">
        <v>0.1115577371215106</v>
      </c>
      <c r="Q13" s="2">
        <v>27.88943428037765</v>
      </c>
      <c r="S13" s="2">
        <v>1.2</v>
      </c>
      <c r="T13" s="1">
        <f t="shared" si="18"/>
        <v>6.3095734448019317E-2</v>
      </c>
      <c r="U13" s="1">
        <f t="shared" si="19"/>
        <v>1.6007421243857248E-13</v>
      </c>
      <c r="V13" s="1">
        <f t="shared" si="20"/>
        <v>-6.3093854017983828E-2</v>
      </c>
      <c r="W13" s="1">
        <f t="shared" si="21"/>
        <v>5.4364618005994604E-2</v>
      </c>
      <c r="X13" s="1">
        <f t="shared" si="22"/>
        <v>0.99995879447496117</v>
      </c>
      <c r="Y13" s="1">
        <f t="shared" si="23"/>
        <v>2.3825643888829888</v>
      </c>
      <c r="Z13" s="1">
        <f t="shared" si="24"/>
        <v>119.12821944414945</v>
      </c>
      <c r="AB13">
        <v>2.6</v>
      </c>
      <c r="AC13">
        <v>2.5118864315095777E-3</v>
      </c>
      <c r="AD13">
        <v>4.0208824225903259E-12</v>
      </c>
      <c r="AE13">
        <v>-2.4437948380247264E-3</v>
      </c>
      <c r="AF13">
        <v>3.414793161267491E-2</v>
      </c>
      <c r="AG13">
        <v>0.99896599163653499</v>
      </c>
      <c r="AH13">
        <v>1.037110373263463</v>
      </c>
      <c r="AI13">
        <v>51.85551866317315</v>
      </c>
      <c r="AJ13"/>
      <c r="AK13"/>
      <c r="AL13"/>
      <c r="AM13"/>
      <c r="AN13"/>
      <c r="AO13"/>
      <c r="AP13"/>
      <c r="AQ13"/>
      <c r="AR13"/>
    </row>
    <row r="14" spans="1:44" ht="15" customHeight="1" x14ac:dyDescent="0.3">
      <c r="A14" s="2">
        <v>1.3</v>
      </c>
      <c r="B14" s="1">
        <f t="shared" si="12"/>
        <v>5.0118723362727206E-2</v>
      </c>
      <c r="C14" s="1">
        <f t="shared" si="13"/>
        <v>2.0152149381185691E-13</v>
      </c>
      <c r="D14" s="1">
        <f t="shared" si="14"/>
        <v>0.79891947546863684</v>
      </c>
      <c r="E14" s="1">
        <f t="shared" si="15"/>
        <v>-0.24909956289053073</v>
      </c>
      <c r="F14" s="1">
        <f t="shared" si="16"/>
        <v>3.9889328364646536E-4</v>
      </c>
      <c r="G14" s="1">
        <f t="shared" si="17"/>
        <v>-6.6506396540758045E-2</v>
      </c>
      <c r="H14" s="1">
        <f t="shared" si="25"/>
        <v>-16.626599135189508</v>
      </c>
      <c r="J14" s="2">
        <v>3.9</v>
      </c>
      <c r="K14" s="1">
        <v>1.2589254117941672E-4</v>
      </c>
      <c r="L14" s="1">
        <v>8.0227151707152435E-11</v>
      </c>
      <c r="M14" s="1">
        <v>0.25643913765550469</v>
      </c>
      <c r="N14" s="1">
        <v>0.20296738528707944</v>
      </c>
      <c r="O14" s="1">
        <v>0.13708720019760481</v>
      </c>
      <c r="P14" s="1">
        <v>0.13666336640051846</v>
      </c>
      <c r="Q14" s="2">
        <v>34.16584160012961</v>
      </c>
      <c r="S14" s="2">
        <v>1.3</v>
      </c>
      <c r="T14" s="1">
        <f t="shared" si="18"/>
        <v>5.0118723362727206E-2</v>
      </c>
      <c r="U14" s="1">
        <f t="shared" si="19"/>
        <v>2.0152149381185691E-13</v>
      </c>
      <c r="V14" s="1">
        <f t="shared" si="20"/>
        <v>-5.0116131664145781E-2</v>
      </c>
      <c r="W14" s="1">
        <f t="shared" si="21"/>
        <v>5.003871055471526E-2</v>
      </c>
      <c r="X14" s="1">
        <f t="shared" si="22"/>
        <v>0.99994812587087567</v>
      </c>
      <c r="Y14" s="1">
        <f t="shared" si="23"/>
        <v>2.0030992438461905</v>
      </c>
      <c r="Z14" s="1">
        <f t="shared" si="24"/>
        <v>100.15496219230951</v>
      </c>
      <c r="AB14">
        <v>2.7</v>
      </c>
      <c r="AC14">
        <v>1.9952623149688781E-3</v>
      </c>
      <c r="AD14">
        <v>5.0619910596354535E-12</v>
      </c>
      <c r="AE14">
        <v>-1.9093311732296609E-3</v>
      </c>
      <c r="AF14">
        <v>3.396977705774322E-2</v>
      </c>
      <c r="AG14">
        <v>0.99869860901798901</v>
      </c>
      <c r="AH14">
        <v>1.0289160188797084</v>
      </c>
      <c r="AI14">
        <v>51.445800943985425</v>
      </c>
      <c r="AJ14"/>
      <c r="AK14"/>
      <c r="AL14"/>
      <c r="AM14"/>
      <c r="AN14"/>
      <c r="AO14"/>
      <c r="AP14"/>
      <c r="AQ14"/>
      <c r="AR14"/>
    </row>
    <row r="15" spans="1:44" ht="15" customHeight="1" x14ac:dyDescent="0.3">
      <c r="A15" s="2">
        <v>1.4</v>
      </c>
      <c r="B15" s="1">
        <f t="shared" si="12"/>
        <v>3.9810717055349727E-2</v>
      </c>
      <c r="C15" s="1">
        <f t="shared" si="13"/>
        <v>2.5370052958246757E-13</v>
      </c>
      <c r="D15" s="1">
        <f t="shared" si="14"/>
        <v>0.73676350283537106</v>
      </c>
      <c r="E15" s="1">
        <f t="shared" si="15"/>
        <v>-0.19730291902947589</v>
      </c>
      <c r="F15" s="1">
        <f t="shared" si="16"/>
        <v>5.0212503009191417E-4</v>
      </c>
      <c r="G15" s="1">
        <f t="shared" si="17"/>
        <v>-5.6590303480756159E-2</v>
      </c>
      <c r="H15" s="1">
        <f t="shared" si="25"/>
        <v>-14.147575870189039</v>
      </c>
      <c r="J15" s="2">
        <v>4</v>
      </c>
      <c r="K15" s="1">
        <v>1E-4</v>
      </c>
      <c r="L15" s="1">
        <v>1.0099999999999999E-10</v>
      </c>
      <c r="M15" s="1">
        <v>0.22759999966945452</v>
      </c>
      <c r="N15" s="1">
        <v>0.22700000027545453</v>
      </c>
      <c r="O15" s="1">
        <v>0.16666666666666669</v>
      </c>
      <c r="P15" s="1">
        <v>0.16630036666996009</v>
      </c>
      <c r="Q15" s="2">
        <v>41.575091667490021</v>
      </c>
      <c r="S15" s="2">
        <v>1.4</v>
      </c>
      <c r="T15" s="1">
        <f t="shared" si="18"/>
        <v>3.9810717055349727E-2</v>
      </c>
      <c r="U15" s="1">
        <f t="shared" si="19"/>
        <v>2.5370052958246757E-13</v>
      </c>
      <c r="V15" s="1">
        <f t="shared" si="20"/>
        <v>-3.98072299371083E-2</v>
      </c>
      <c r="W15" s="1">
        <f t="shared" si="21"/>
        <v>4.66024099790361E-2</v>
      </c>
      <c r="X15" s="1">
        <f t="shared" si="22"/>
        <v>0.99993469521777389</v>
      </c>
      <c r="Y15" s="1">
        <f t="shared" si="23"/>
        <v>1.7454873885034883</v>
      </c>
      <c r="Z15" s="1">
        <f t="shared" si="24"/>
        <v>87.274369425174399</v>
      </c>
      <c r="AB15">
        <v>2.8</v>
      </c>
      <c r="AC15">
        <v>1.5848931924611134E-3</v>
      </c>
      <c r="AD15">
        <v>6.3726691792499515E-12</v>
      </c>
      <c r="AE15">
        <v>-1.4765124446580681E-3</v>
      </c>
      <c r="AF15">
        <v>3.382550414821936E-2</v>
      </c>
      <c r="AG15">
        <v>0.99836219770116363</v>
      </c>
      <c r="AH15">
        <v>1.0223124094207714</v>
      </c>
      <c r="AI15">
        <v>51.115620471038568</v>
      </c>
      <c r="AJ15"/>
      <c r="AK15"/>
      <c r="AL15"/>
      <c r="AM15"/>
      <c r="AN15"/>
      <c r="AO15"/>
      <c r="AP15"/>
      <c r="AQ15"/>
      <c r="AR15"/>
    </row>
    <row r="16" spans="1:44" ht="15" customHeight="1" x14ac:dyDescent="0.3">
      <c r="A16" s="2">
        <v>1.5</v>
      </c>
      <c r="B16" s="1">
        <f t="shared" si="12"/>
        <v>3.1622776601683784E-2</v>
      </c>
      <c r="C16" s="1">
        <f t="shared" si="13"/>
        <v>3.193900436770064E-13</v>
      </c>
      <c r="D16" s="1">
        <f t="shared" si="14"/>
        <v>0.68724873402587838</v>
      </c>
      <c r="E16" s="1">
        <f t="shared" si="15"/>
        <v>-0.15604061168823194</v>
      </c>
      <c r="F16" s="1">
        <f t="shared" si="16"/>
        <v>6.3205578485599006E-4</v>
      </c>
      <c r="G16" s="1">
        <f t="shared" si="17"/>
        <v>-4.7570412230024138E-2</v>
      </c>
      <c r="H16" s="1">
        <f t="shared" si="25"/>
        <v>-11.892603057506035</v>
      </c>
      <c r="J16" s="2">
        <v>4.0999999999999996</v>
      </c>
      <c r="K16" s="1">
        <v>7.9432823472428153E-5</v>
      </c>
      <c r="L16" s="1">
        <v>1.2715146659121088E-10</v>
      </c>
      <c r="M16" s="1">
        <v>0.199384436059688</v>
      </c>
      <c r="N16" s="1">
        <v>0.25051296995025996</v>
      </c>
      <c r="O16" s="1">
        <v>0.20114082353847496</v>
      </c>
      <c r="P16" s="1">
        <v>0.2008224394673466</v>
      </c>
      <c r="Q16" s="2">
        <v>50.205609866836646</v>
      </c>
      <c r="S16" s="2">
        <v>1.5</v>
      </c>
      <c r="T16" s="1">
        <f t="shared" si="18"/>
        <v>3.1622776601683784E-2</v>
      </c>
      <c r="U16" s="1">
        <f t="shared" si="19"/>
        <v>3.193900436770064E-13</v>
      </c>
      <c r="V16" s="1">
        <f t="shared" si="20"/>
        <v>-3.1618162239679594E-2</v>
      </c>
      <c r="W16" s="1">
        <f t="shared" si="21"/>
        <v>4.3872720746559866E-2</v>
      </c>
      <c r="X16" s="1">
        <f t="shared" si="22"/>
        <v>0.99991778754027993</v>
      </c>
      <c r="Y16" s="1">
        <f t="shared" si="23"/>
        <v>1.5633296796181626</v>
      </c>
      <c r="Z16" s="1">
        <f t="shared" si="24"/>
        <v>78.16648398090814</v>
      </c>
      <c r="AB16">
        <v>2.9</v>
      </c>
      <c r="AC16">
        <v>1.2589254117941662E-3</v>
      </c>
      <c r="AD16">
        <v>8.0227151707152493E-12</v>
      </c>
      <c r="AE16">
        <v>-1.1222966251144494E-3</v>
      </c>
      <c r="AF16">
        <v>3.3707432208371482E-2</v>
      </c>
      <c r="AG16">
        <v>0.99793900307065386</v>
      </c>
      <c r="AH16">
        <v>1.0169294486923792</v>
      </c>
      <c r="AI16">
        <v>50.84647243461896</v>
      </c>
      <c r="AJ16"/>
      <c r="AK16"/>
      <c r="AL16"/>
      <c r="AM16"/>
      <c r="AN16"/>
      <c r="AO16"/>
      <c r="AP16"/>
      <c r="AQ16"/>
      <c r="AR16"/>
    </row>
    <row r="17" spans="1:44" ht="15" customHeight="1" x14ac:dyDescent="0.3">
      <c r="A17" s="2">
        <v>1.6</v>
      </c>
      <c r="B17" s="1">
        <f t="shared" si="12"/>
        <v>2.511886431509578E-2</v>
      </c>
      <c r="C17" s="1">
        <f t="shared" si="13"/>
        <v>4.0208824225903255E-13</v>
      </c>
      <c r="D17" s="1">
        <f t="shared" si="14"/>
        <v>0.6477387525835735</v>
      </c>
      <c r="E17" s="1">
        <f t="shared" si="15"/>
        <v>-0.12311562715297786</v>
      </c>
      <c r="F17" s="1">
        <f t="shared" si="16"/>
        <v>7.9558088819430429E-4</v>
      </c>
      <c r="G17" s="1">
        <f t="shared" si="17"/>
        <v>-3.9516141720115257E-2</v>
      </c>
      <c r="H17" s="1">
        <f t="shared" si="25"/>
        <v>-9.8790354300288143</v>
      </c>
      <c r="J17" s="2">
        <v>4.2</v>
      </c>
      <c r="K17" s="1">
        <v>6.3095734448019279E-5</v>
      </c>
      <c r="L17" s="1">
        <v>1.6007421243857255E-10</v>
      </c>
      <c r="M17" s="1">
        <v>0.17247438973808019</v>
      </c>
      <c r="N17" s="1">
        <v>0.27293800855159989</v>
      </c>
      <c r="O17" s="1">
        <v>0.240686241391982</v>
      </c>
      <c r="P17" s="1">
        <v>0.24040836320562711</v>
      </c>
      <c r="Q17" s="2">
        <v>60.102090801406774</v>
      </c>
      <c r="S17" s="2">
        <v>1.6</v>
      </c>
      <c r="T17" s="1">
        <f t="shared" si="18"/>
        <v>2.511886431509578E-2</v>
      </c>
      <c r="U17" s="1">
        <f t="shared" si="19"/>
        <v>4.0208824225903255E-13</v>
      </c>
      <c r="V17" s="1">
        <f t="shared" si="20"/>
        <v>-2.5112830873409847E-2</v>
      </c>
      <c r="W17" s="1">
        <f t="shared" si="21"/>
        <v>4.170427695780328E-2</v>
      </c>
      <c r="X17" s="1">
        <f t="shared" si="22"/>
        <v>0.99989650284842524</v>
      </c>
      <c r="Y17" s="1">
        <f t="shared" si="23"/>
        <v>1.4307834187978454</v>
      </c>
      <c r="Z17" s="1">
        <f t="shared" si="24"/>
        <v>71.539170939892273</v>
      </c>
      <c r="AB17">
        <v>3</v>
      </c>
      <c r="AC17">
        <v>1E-3</v>
      </c>
      <c r="AD17">
        <v>1.0099999999999999E-11</v>
      </c>
      <c r="AE17">
        <v>-8.2783174817690651E-4</v>
      </c>
      <c r="AF17">
        <v>3.3609277249392298E-2</v>
      </c>
      <c r="AG17">
        <v>0.99740674246957917</v>
      </c>
      <c r="AH17">
        <v>1.0124690877562306</v>
      </c>
      <c r="AI17">
        <v>50.623454387811528</v>
      </c>
      <c r="AJ17"/>
      <c r="AK17"/>
      <c r="AL17"/>
      <c r="AM17"/>
      <c r="AN17"/>
      <c r="AO17"/>
      <c r="AP17"/>
      <c r="AQ17"/>
      <c r="AR17"/>
    </row>
    <row r="18" spans="1:44" ht="15" customHeight="1" x14ac:dyDescent="0.3">
      <c r="A18" s="2">
        <v>1.7</v>
      </c>
      <c r="B18" s="1">
        <f t="shared" si="12"/>
        <v>1.9952623149688792E-2</v>
      </c>
      <c r="C18" s="1">
        <f t="shared" si="13"/>
        <v>5.0619910596354508E-13</v>
      </c>
      <c r="D18" s="1">
        <f t="shared" si="14"/>
        <v>0.6161301799298925</v>
      </c>
      <c r="E18" s="1">
        <f t="shared" si="15"/>
        <v>-9.6775149941577057E-2</v>
      </c>
      <c r="F18" s="1">
        <f t="shared" si="16"/>
        <v>1.0013707188137497E-3</v>
      </c>
      <c r="G18" s="1">
        <f t="shared" si="17"/>
        <v>-3.2432700976590977E-2</v>
      </c>
      <c r="H18" s="1">
        <f t="shared" si="25"/>
        <v>-8.108175244147743</v>
      </c>
      <c r="J18" s="2">
        <v>4.3</v>
      </c>
      <c r="K18" s="1">
        <v>5.0118723362727238E-5</v>
      </c>
      <c r="L18" s="1">
        <v>2.0152149381185678E-10</v>
      </c>
      <c r="M18" s="1">
        <v>0.14742908168019275</v>
      </c>
      <c r="N18" s="1">
        <v>0.29380909859983939</v>
      </c>
      <c r="O18" s="1">
        <v>0.28523052104840985</v>
      </c>
      <c r="P18" s="1">
        <v>0.28498745250609836</v>
      </c>
      <c r="Q18" s="2">
        <v>71.246863126524588</v>
      </c>
      <c r="S18" s="2">
        <v>1.7</v>
      </c>
      <c r="T18" s="1">
        <f t="shared" si="18"/>
        <v>1.9952623149688792E-2</v>
      </c>
      <c r="U18" s="1">
        <f t="shared" si="19"/>
        <v>5.0619910596354508E-13</v>
      </c>
      <c r="V18" s="1">
        <f t="shared" si="20"/>
        <v>-1.9944803249800209E-2</v>
      </c>
      <c r="W18" s="1">
        <f t="shared" si="21"/>
        <v>3.9981601083266739E-2</v>
      </c>
      <c r="X18" s="1">
        <f t="shared" si="22"/>
        <v>0.99986970829739685</v>
      </c>
      <c r="Y18" s="1">
        <f t="shared" si="23"/>
        <v>1.33231148464108</v>
      </c>
      <c r="Z18" s="1">
        <f t="shared" si="24"/>
        <v>66.615574232053987</v>
      </c>
      <c r="AB18">
        <v>3.1</v>
      </c>
      <c r="AC18">
        <v>7.9432823472428099E-4</v>
      </c>
      <c r="AD18">
        <v>1.2715146659121097E-11</v>
      </c>
      <c r="AE18">
        <v>-5.7745439909344864E-4</v>
      </c>
      <c r="AF18">
        <v>3.3525818133031154E-2</v>
      </c>
      <c r="AG18">
        <v>0.99673747285299852</v>
      </c>
      <c r="AH18">
        <v>1.0086868974220558</v>
      </c>
      <c r="AI18">
        <v>50.434344871102795</v>
      </c>
      <c r="AJ18"/>
      <c r="AK18"/>
      <c r="AL18"/>
      <c r="AM18"/>
      <c r="AN18"/>
      <c r="AO18"/>
      <c r="AP18"/>
      <c r="AQ18"/>
      <c r="AR18"/>
    </row>
    <row r="19" spans="1:44" ht="15" customHeight="1" x14ac:dyDescent="0.3">
      <c r="A19" s="2">
        <v>1.8</v>
      </c>
      <c r="B19" s="1">
        <f t="shared" si="12"/>
        <v>1.5848931924611124E-2</v>
      </c>
      <c r="C19" s="1">
        <f t="shared" si="13"/>
        <v>6.3726691792499559E-13</v>
      </c>
      <c r="D19" s="1">
        <f t="shared" si="14"/>
        <v>0.59074080455204325</v>
      </c>
      <c r="E19" s="1">
        <f t="shared" si="15"/>
        <v>-7.5617337126702752E-2</v>
      </c>
      <c r="F19" s="1">
        <f t="shared" si="16"/>
        <v>1.2603242672546856E-3</v>
      </c>
      <c r="G19" s="1">
        <f t="shared" si="17"/>
        <v>-2.627347449406589E-2</v>
      </c>
      <c r="H19" s="1">
        <f t="shared" si="25"/>
        <v>-6.5683686235164727</v>
      </c>
      <c r="J19" s="2">
        <v>4.4000000000000004</v>
      </c>
      <c r="K19" s="1">
        <v>3.9810717055349634E-5</v>
      </c>
      <c r="L19" s="1">
        <v>2.5370052958246817E-10</v>
      </c>
      <c r="M19" s="1">
        <v>0.12464523937360905</v>
      </c>
      <c r="N19" s="1">
        <v>0.31279563385532577</v>
      </c>
      <c r="O19" s="1">
        <v>0.33438823315714028</v>
      </c>
      <c r="P19" s="1">
        <v>0.33417557538545106</v>
      </c>
      <c r="Q19" s="2">
        <v>83.543893846362749</v>
      </c>
      <c r="S19" s="2">
        <v>1.8</v>
      </c>
      <c r="T19" s="1">
        <f t="shared" si="18"/>
        <v>1.5848931924611124E-2</v>
      </c>
      <c r="U19" s="1">
        <f t="shared" si="19"/>
        <v>6.3726691792499559E-13</v>
      </c>
      <c r="V19" s="1">
        <f t="shared" si="20"/>
        <v>-1.5838863097856131E-2</v>
      </c>
      <c r="W19" s="1">
        <f t="shared" si="21"/>
        <v>3.8612954365952044E-2</v>
      </c>
      <c r="X19" s="1">
        <f t="shared" si="22"/>
        <v>0.99983597799806578</v>
      </c>
      <c r="Y19" s="1">
        <f t="shared" si="23"/>
        <v>1.258016376814707</v>
      </c>
      <c r="Z19" s="1">
        <f t="shared" si="24"/>
        <v>62.900818840735347</v>
      </c>
      <c r="AB19">
        <v>3.2</v>
      </c>
      <c r="AC19">
        <v>6.3095734448019244E-4</v>
      </c>
      <c r="AD19">
        <v>1.6007421243857267E-11</v>
      </c>
      <c r="AE19">
        <v>-3.5785941553090166E-4</v>
      </c>
      <c r="AF19">
        <v>3.345261980517697E-2</v>
      </c>
      <c r="AG19">
        <v>0.99589618836771099</v>
      </c>
      <c r="AH19">
        <v>1.0053775132016203</v>
      </c>
      <c r="AI19">
        <v>50.268875660081008</v>
      </c>
      <c r="AJ19"/>
      <c r="AK19"/>
      <c r="AL19"/>
      <c r="AM19"/>
      <c r="AN19"/>
      <c r="AO19"/>
      <c r="AP19"/>
      <c r="AQ19"/>
      <c r="AR19"/>
    </row>
    <row r="20" spans="1:44" ht="15" customHeight="1" x14ac:dyDescent="0.3">
      <c r="A20" s="2">
        <v>1.9</v>
      </c>
      <c r="B20" s="1">
        <f t="shared" si="12"/>
        <v>1.2589254117941664E-2</v>
      </c>
      <c r="C20" s="1">
        <f t="shared" si="13"/>
        <v>8.0227151707152477E-13</v>
      </c>
      <c r="D20" s="1">
        <f t="shared" si="14"/>
        <v>0.57022022044946408</v>
      </c>
      <c r="E20" s="1">
        <f t="shared" si="15"/>
        <v>-5.8516850374553453E-2</v>
      </c>
      <c r="F20" s="1">
        <f t="shared" si="16"/>
        <v>1.586136643208901E-3</v>
      </c>
      <c r="G20" s="1">
        <f t="shared" si="17"/>
        <v>-2.0954372400872345E-2</v>
      </c>
      <c r="H20" s="1">
        <f t="shared" si="25"/>
        <v>-5.2385931002180861</v>
      </c>
      <c r="J20" s="2">
        <v>4.5</v>
      </c>
      <c r="K20" s="1">
        <v>3.1622776601683748E-5</v>
      </c>
      <c r="L20" s="1">
        <v>3.1939004367700672E-10</v>
      </c>
      <c r="M20" s="1">
        <v>0.10434568796131372</v>
      </c>
      <c r="N20" s="1">
        <v>0.32971192669890526</v>
      </c>
      <c r="O20" s="1">
        <v>0.38742588672279349</v>
      </c>
      <c r="P20" s="1">
        <v>0.38724018694594692</v>
      </c>
      <c r="Q20" s="2">
        <v>96.810046736486726</v>
      </c>
      <c r="S20" s="2">
        <v>1.9</v>
      </c>
      <c r="T20" s="1">
        <f t="shared" si="18"/>
        <v>1.2589254117941664E-2</v>
      </c>
      <c r="U20" s="1">
        <f t="shared" si="19"/>
        <v>8.0227151707152477E-13</v>
      </c>
      <c r="V20" s="1">
        <f t="shared" si="20"/>
        <v>-1.2576354203843449E-2</v>
      </c>
      <c r="W20" s="1">
        <f t="shared" si="21"/>
        <v>3.7525451401281149E-2</v>
      </c>
      <c r="X20" s="1">
        <f t="shared" si="22"/>
        <v>0.99979351730288113</v>
      </c>
      <c r="Y20" s="1">
        <f t="shared" si="23"/>
        <v>1.2013036426180972</v>
      </c>
      <c r="Z20" s="1">
        <f t="shared" si="24"/>
        <v>60.065182130904859</v>
      </c>
      <c r="AB20">
        <v>3.3</v>
      </c>
      <c r="AC20">
        <v>5.0118723362727209E-4</v>
      </c>
      <c r="AD20">
        <v>2.0152149381185689E-11</v>
      </c>
      <c r="AE20">
        <v>-1.5739739368993301E-4</v>
      </c>
      <c r="AF20">
        <v>3.3385799131229979E-2</v>
      </c>
      <c r="AG20">
        <v>0.99483909113520019</v>
      </c>
      <c r="AH20">
        <v>1.0023628204142236</v>
      </c>
      <c r="AI20">
        <v>50.118141020711185</v>
      </c>
      <c r="AJ20"/>
      <c r="AK20"/>
      <c r="AL20"/>
      <c r="AM20"/>
      <c r="AN20"/>
      <c r="AO20"/>
      <c r="AP20"/>
      <c r="AQ20"/>
      <c r="AR20"/>
    </row>
    <row r="21" spans="1:44" ht="15" customHeight="1" x14ac:dyDescent="0.3">
      <c r="A21" s="2">
        <v>2</v>
      </c>
      <c r="B21" s="1">
        <f t="shared" si="12"/>
        <v>0.01</v>
      </c>
      <c r="C21" s="1">
        <f t="shared" si="13"/>
        <v>1.0099999999999999E-12</v>
      </c>
      <c r="D21" s="1">
        <f t="shared" si="14"/>
        <v>0.55347826086356511</v>
      </c>
      <c r="E21" s="1">
        <f t="shared" si="15"/>
        <v>-4.456521738630425E-2</v>
      </c>
      <c r="F21" s="1">
        <f t="shared" si="16"/>
        <v>1.9960079840319364E-3</v>
      </c>
      <c r="G21" s="1">
        <f t="shared" si="17"/>
        <v>-1.6367265467375797E-2</v>
      </c>
      <c r="H21" s="1">
        <f t="shared" si="25"/>
        <v>-4.0918163668439487</v>
      </c>
      <c r="J21" s="2">
        <v>4.5999999999999996</v>
      </c>
      <c r="K21" s="1">
        <v>2.5118864315095791E-5</v>
      </c>
      <c r="L21" s="1">
        <v>4.0208824225903234E-10</v>
      </c>
      <c r="M21" s="1">
        <v>8.659268466432464E-2</v>
      </c>
      <c r="N21" s="1">
        <v>0.34450609611306282</v>
      </c>
      <c r="O21" s="1">
        <v>0.44327356868573559</v>
      </c>
      <c r="P21" s="1">
        <v>0.4431120288336966</v>
      </c>
      <c r="Q21" s="2">
        <v>110.77800720842414</v>
      </c>
      <c r="S21" s="2">
        <v>2</v>
      </c>
      <c r="T21" s="1">
        <f t="shared" si="18"/>
        <v>0.01</v>
      </c>
      <c r="U21" s="1">
        <f t="shared" si="19"/>
        <v>1.0099999999999999E-12</v>
      </c>
      <c r="V21" s="1">
        <f t="shared" si="20"/>
        <v>-9.983536186050827E-3</v>
      </c>
      <c r="W21" s="1">
        <f t="shared" si="21"/>
        <v>3.6661178728683609E-2</v>
      </c>
      <c r="X21" s="1">
        <f t="shared" si="22"/>
        <v>0.9997400675824285</v>
      </c>
      <c r="Y21" s="1">
        <f t="shared" si="23"/>
        <v>1.1576211237541922</v>
      </c>
      <c r="Z21" s="1">
        <f t="shared" si="24"/>
        <v>57.881056187709611</v>
      </c>
      <c r="AB21">
        <v>3.4</v>
      </c>
      <c r="AC21">
        <v>3.9810717055349708E-4</v>
      </c>
      <c r="AD21">
        <v>2.537005295824677E-11</v>
      </c>
      <c r="AE21">
        <v>3.4536134972595129E-5</v>
      </c>
      <c r="AF21">
        <v>3.3321821288342469E-2</v>
      </c>
      <c r="AG21">
        <v>0.99351147124118433</v>
      </c>
      <c r="AH21">
        <v>0.99948204741581281</v>
      </c>
      <c r="AI21">
        <v>49.974102370790639</v>
      </c>
      <c r="AJ21"/>
      <c r="AK21"/>
      <c r="AL21"/>
      <c r="AM21"/>
      <c r="AN21"/>
      <c r="AO21"/>
      <c r="AP21"/>
      <c r="AQ21"/>
      <c r="AR21"/>
    </row>
    <row r="22" spans="1:44" ht="15" customHeight="1" x14ac:dyDescent="0.3">
      <c r="A22" s="2">
        <v>2.1</v>
      </c>
      <c r="B22" s="1">
        <f t="shared" si="12"/>
        <v>7.9432823472428121E-3</v>
      </c>
      <c r="C22" s="1">
        <f t="shared" si="13"/>
        <v>1.2715146659121093E-12</v>
      </c>
      <c r="D22" s="1">
        <f t="shared" si="14"/>
        <v>0.53962748503012459</v>
      </c>
      <c r="E22" s="1">
        <f t="shared" si="15"/>
        <v>-3.3022904191770466E-2</v>
      </c>
      <c r="F22" s="1">
        <f t="shared" si="16"/>
        <v>2.5115271728277668E-3</v>
      </c>
      <c r="G22" s="1">
        <f t="shared" si="17"/>
        <v>-1.2390801195248271E-2</v>
      </c>
      <c r="H22" s="1">
        <f t="shared" si="25"/>
        <v>-3.0977002988120677</v>
      </c>
      <c r="J22" s="2">
        <v>4.7</v>
      </c>
      <c r="K22" s="1">
        <v>1.9952623149688769E-5</v>
      </c>
      <c r="L22" s="1">
        <v>5.0619910596354569E-10</v>
      </c>
      <c r="M22" s="1">
        <v>7.1317665840577527E-2</v>
      </c>
      <c r="N22" s="1">
        <v>0.35723527846618541</v>
      </c>
      <c r="O22" s="1">
        <v>0.50059291288751839</v>
      </c>
      <c r="P22" s="1">
        <v>0.50045315765431908</v>
      </c>
      <c r="Q22" s="2">
        <v>125.11328941357976</v>
      </c>
      <c r="S22" s="2">
        <v>2.1</v>
      </c>
      <c r="T22" s="1">
        <f t="shared" si="18"/>
        <v>7.9432823472428121E-3</v>
      </c>
      <c r="U22" s="1">
        <f t="shared" si="19"/>
        <v>1.2715146659121093E-12</v>
      </c>
      <c r="V22" s="1">
        <f t="shared" si="20"/>
        <v>-7.9223322104407835E-3</v>
      </c>
      <c r="W22" s="1">
        <f t="shared" si="21"/>
        <v>3.5974110736813593E-2</v>
      </c>
      <c r="X22" s="1">
        <f t="shared" si="22"/>
        <v>0.99967278649665603</v>
      </c>
      <c r="Y22" s="1">
        <f t="shared" si="23"/>
        <v>1.1237363869773842</v>
      </c>
      <c r="Z22" s="1">
        <f t="shared" si="24"/>
        <v>56.186819348869207</v>
      </c>
      <c r="AB22">
        <v>3.5</v>
      </c>
      <c r="AC22">
        <v>3.1622776601683783E-4</v>
      </c>
      <c r="AD22">
        <v>3.1939004367700641E-11</v>
      </c>
      <c r="AE22">
        <v>2.2805038563813006E-4</v>
      </c>
      <c r="AF22">
        <v>3.325731653812062E-2</v>
      </c>
      <c r="AG22">
        <v>0.99184512681413484</v>
      </c>
      <c r="AH22">
        <v>0.99658314029629347</v>
      </c>
      <c r="AI22">
        <v>49.829157014814676</v>
      </c>
      <c r="AJ22"/>
      <c r="AK22"/>
      <c r="AL22"/>
      <c r="AM22"/>
      <c r="AN22"/>
      <c r="AO22"/>
      <c r="AP22"/>
      <c r="AQ22"/>
      <c r="AR22"/>
    </row>
    <row r="23" spans="1:44" ht="15" customHeight="1" x14ac:dyDescent="0.3">
      <c r="A23" s="2">
        <v>2.2000000000000002</v>
      </c>
      <c r="B23" s="1">
        <f t="shared" si="12"/>
        <v>6.3095734448019251E-3</v>
      </c>
      <c r="C23" s="1">
        <f t="shared" si="13"/>
        <v>1.6007421243857264E-12</v>
      </c>
      <c r="D23" s="1">
        <f t="shared" si="14"/>
        <v>0.5279367601329602</v>
      </c>
      <c r="E23" s="1">
        <f t="shared" si="15"/>
        <v>-2.3280633444133492E-2</v>
      </c>
      <c r="F23" s="1">
        <f t="shared" si="16"/>
        <v>3.1597705871356505E-3</v>
      </c>
      <c r="G23" s="1">
        <f t="shared" si="17"/>
        <v>-8.8979533948752489E-3</v>
      </c>
      <c r="H23" s="1">
        <f t="shared" si="25"/>
        <v>-2.2244883487188121</v>
      </c>
      <c r="J23" s="2">
        <v>4.8</v>
      </c>
      <c r="K23" s="1">
        <v>1.5848931924611131E-5</v>
      </c>
      <c r="L23" s="1">
        <v>6.3726691792499525E-10</v>
      </c>
      <c r="M23" s="1">
        <v>5.8358021050345342E-2</v>
      </c>
      <c r="N23" s="1">
        <v>0.36803498245804556</v>
      </c>
      <c r="O23" s="1">
        <v>0.55789667714673352</v>
      </c>
      <c r="P23" s="1">
        <v>0.55777658248109507</v>
      </c>
      <c r="Q23" s="2">
        <v>139.44414562027376</v>
      </c>
      <c r="S23" s="2">
        <v>2.2000000000000002</v>
      </c>
      <c r="T23" s="1">
        <f t="shared" si="18"/>
        <v>6.3095734448019251E-3</v>
      </c>
      <c r="U23" s="1">
        <f t="shared" si="19"/>
        <v>1.6007421243857264E-12</v>
      </c>
      <c r="V23" s="1">
        <f t="shared" si="20"/>
        <v>-6.2829759345947667E-3</v>
      </c>
      <c r="W23" s="1">
        <f t="shared" si="21"/>
        <v>3.5427658644864926E-2</v>
      </c>
      <c r="X23" s="1">
        <f t="shared" si="22"/>
        <v>0.99958809750354038</v>
      </c>
      <c r="Y23" s="1">
        <f t="shared" si="23"/>
        <v>1.0973013491959296</v>
      </c>
      <c r="Z23" s="1">
        <f t="shared" si="24"/>
        <v>54.865067459796478</v>
      </c>
      <c r="AB23">
        <v>3.6</v>
      </c>
      <c r="AC23">
        <v>2.5118864315095774E-4</v>
      </c>
      <c r="AD23">
        <v>4.020882422590326E-11</v>
      </c>
      <c r="AE23">
        <v>4.332740086129768E-4</v>
      </c>
      <c r="AF23">
        <v>3.3188908663795674E-2</v>
      </c>
      <c r="AG23">
        <v>0.9897552547359123</v>
      </c>
      <c r="AH23">
        <v>0.9935149389128719</v>
      </c>
      <c r="AI23">
        <v>49.675746945643596</v>
      </c>
      <c r="AJ23"/>
      <c r="AK23"/>
      <c r="AL23"/>
      <c r="AM23"/>
      <c r="AN23"/>
      <c r="AO23"/>
      <c r="AP23"/>
      <c r="AQ23"/>
      <c r="AR23"/>
    </row>
    <row r="24" spans="1:44" ht="15" customHeight="1" x14ac:dyDescent="0.3">
      <c r="A24" s="2">
        <v>2.2999999999999998</v>
      </c>
      <c r="B24" s="1">
        <f t="shared" si="12"/>
        <v>5.0118723362727212E-3</v>
      </c>
      <c r="C24" s="1">
        <f t="shared" si="13"/>
        <v>2.015214938118569E-12</v>
      </c>
      <c r="D24" s="1">
        <f t="shared" si="14"/>
        <v>0.51779362472925572</v>
      </c>
      <c r="E24" s="1">
        <f t="shared" si="15"/>
        <v>-1.4828020607713094E-2</v>
      </c>
      <c r="F24" s="1">
        <f t="shared" si="16"/>
        <v>3.9746636367993951E-3</v>
      </c>
      <c r="G24" s="1">
        <f t="shared" si="17"/>
        <v>-5.7603782289121748E-3</v>
      </c>
      <c r="H24" s="1">
        <f t="shared" si="25"/>
        <v>-1.4400945572280437</v>
      </c>
      <c r="J24" s="2">
        <v>4.9000000000000004</v>
      </c>
      <c r="K24" s="1">
        <v>1.2589254117941658E-5</v>
      </c>
      <c r="L24" s="1">
        <v>8.0227151707152515E-10</v>
      </c>
      <c r="M24" s="1">
        <v>4.7493204410867608E-2</v>
      </c>
      <c r="N24" s="1">
        <v>0.377088996324277</v>
      </c>
      <c r="O24" s="1">
        <v>0.61369922513781072</v>
      </c>
      <c r="P24" s="1">
        <v>0.61359680589567656</v>
      </c>
      <c r="Q24" s="2">
        <v>153.39920147391913</v>
      </c>
      <c r="S24" s="2">
        <v>2.2999999999999998</v>
      </c>
      <c r="T24" s="1">
        <f t="shared" si="18"/>
        <v>5.0118723362727212E-3</v>
      </c>
      <c r="U24" s="1">
        <f t="shared" si="19"/>
        <v>2.015214938118569E-12</v>
      </c>
      <c r="V24" s="1">
        <f t="shared" si="20"/>
        <v>-4.9781661112754958E-3</v>
      </c>
      <c r="W24" s="1">
        <f t="shared" si="21"/>
        <v>3.4992722037091833E-2</v>
      </c>
      <c r="X24" s="1">
        <f t="shared" si="22"/>
        <v>0.99948150077901665</v>
      </c>
      <c r="Y24" s="1">
        <f t="shared" si="23"/>
        <v>1.0765785965398511</v>
      </c>
      <c r="Z24" s="1">
        <f t="shared" si="24"/>
        <v>53.82892982699255</v>
      </c>
      <c r="AB24">
        <v>3.7</v>
      </c>
      <c r="AC24">
        <v>1.9952623149688758E-4</v>
      </c>
      <c r="AD24">
        <v>5.0619910596354591E-11</v>
      </c>
      <c r="AE24">
        <v>6.608573282959457E-4</v>
      </c>
      <c r="AF24">
        <v>3.3113047557234682E-2</v>
      </c>
      <c r="AG24">
        <v>0.98713675122350442</v>
      </c>
      <c r="AH24">
        <v>0.99011978713095894</v>
      </c>
      <c r="AI24">
        <v>49.505989356547943</v>
      </c>
      <c r="AJ24"/>
      <c r="AK24"/>
      <c r="AL24"/>
      <c r="AM24"/>
      <c r="AN24"/>
      <c r="AO24"/>
      <c r="AP24"/>
      <c r="AQ24"/>
      <c r="AR24"/>
    </row>
    <row r="25" spans="1:44" ht="15" customHeight="1" x14ac:dyDescent="0.3">
      <c r="A25" s="2">
        <v>2.4</v>
      </c>
      <c r="B25" s="1">
        <f t="shared" si="12"/>
        <v>3.9810717055349717E-3</v>
      </c>
      <c r="C25" s="1">
        <f t="shared" si="13"/>
        <v>2.5370052958246762E-12</v>
      </c>
      <c r="D25" s="1">
        <f t="shared" si="14"/>
        <v>0.50867366450662588</v>
      </c>
      <c r="E25" s="1">
        <f t="shared" si="15"/>
        <v>-7.2280537555216018E-3</v>
      </c>
      <c r="F25" s="1">
        <f t="shared" si="16"/>
        <v>4.9986607269078822E-3</v>
      </c>
      <c r="G25" s="1">
        <f t="shared" si="17"/>
        <v>-2.850021288059688E-3</v>
      </c>
      <c r="H25" s="1">
        <f t="shared" si="25"/>
        <v>-0.712505322014922</v>
      </c>
      <c r="J25" s="2">
        <v>5</v>
      </c>
      <c r="K25" s="1">
        <v>1.0000000000000001E-5</v>
      </c>
      <c r="L25" s="1">
        <v>1.0099999999999998E-9</v>
      </c>
      <c r="M25" s="1">
        <v>3.8475383216923086E-2</v>
      </c>
      <c r="N25" s="1">
        <v>0.38460384731923075</v>
      </c>
      <c r="O25" s="1">
        <v>0.66666666666666663</v>
      </c>
      <c r="P25" s="1">
        <v>0.66658001741738304</v>
      </c>
      <c r="Q25" s="2">
        <v>166.64500435434576</v>
      </c>
      <c r="S25" s="2">
        <v>2.4</v>
      </c>
      <c r="T25" s="1">
        <f t="shared" si="18"/>
        <v>3.9810717055349717E-3</v>
      </c>
      <c r="U25" s="1">
        <f t="shared" si="19"/>
        <v>2.5370052958246762E-12</v>
      </c>
      <c r="V25" s="1">
        <f t="shared" si="20"/>
        <v>-3.9384175761871263E-3</v>
      </c>
      <c r="W25" s="1">
        <f t="shared" si="21"/>
        <v>3.4646139192062372E-2</v>
      </c>
      <c r="X25" s="1">
        <f t="shared" si="22"/>
        <v>0.99934733577659329</v>
      </c>
      <c r="Y25" s="1">
        <f t="shared" si="23"/>
        <v>1.0602629672906605</v>
      </c>
      <c r="Z25" s="1">
        <f t="shared" si="24"/>
        <v>53.013148364533023</v>
      </c>
      <c r="AB25">
        <v>3.8</v>
      </c>
      <c r="AC25">
        <v>1.584893192461112E-4</v>
      </c>
      <c r="AD25">
        <v>6.3726691792499571E-11</v>
      </c>
      <c r="AE25">
        <v>9.2248133877698753E-4</v>
      </c>
      <c r="AF25">
        <v>3.3025839553741006E-2</v>
      </c>
      <c r="AG25">
        <v>0.98385988585607131</v>
      </c>
      <c r="AH25">
        <v>0.98622630977931847</v>
      </c>
      <c r="AI25">
        <v>49.311315488965924</v>
      </c>
      <c r="AJ25"/>
      <c r="AK25"/>
      <c r="AL25"/>
      <c r="AM25"/>
      <c r="AN25"/>
      <c r="AO25"/>
      <c r="AP25"/>
      <c r="AQ25"/>
      <c r="AR25"/>
    </row>
    <row r="26" spans="1:44" ht="15" customHeight="1" x14ac:dyDescent="0.3">
      <c r="A26" s="2">
        <v>2.5</v>
      </c>
      <c r="B26" s="1">
        <f t="shared" si="12"/>
        <v>3.1622776601683764E-3</v>
      </c>
      <c r="C26" s="1">
        <f t="shared" si="13"/>
        <v>3.1939004367700658E-12</v>
      </c>
      <c r="D26" s="1">
        <f t="shared" si="14"/>
        <v>0.5001156127840255</v>
      </c>
      <c r="E26" s="1">
        <f t="shared" si="15"/>
        <v>-9.6343986687928636E-5</v>
      </c>
      <c r="F26" s="1">
        <f t="shared" si="16"/>
        <v>6.2848067126052695E-3</v>
      </c>
      <c r="G26" s="1">
        <f t="shared" si="17"/>
        <v>-3.8530170374728125E-5</v>
      </c>
      <c r="H26" s="1">
        <f t="shared" si="25"/>
        <v>-9.6325425936820298E-3</v>
      </c>
      <c r="J26" s="2">
        <v>5.0999999999999996</v>
      </c>
      <c r="K26" s="1">
        <v>7.9432823472428065E-6</v>
      </c>
      <c r="L26" s="1">
        <v>1.2715146659121102E-9</v>
      </c>
      <c r="M26" s="1">
        <v>3.105260906114013E-2</v>
      </c>
      <c r="N26" s="1">
        <v>0.39078949244904987</v>
      </c>
      <c r="O26" s="1">
        <v>0.71573552997339351</v>
      </c>
      <c r="P26" s="1">
        <v>0.71566280793399739</v>
      </c>
      <c r="Q26" s="2">
        <v>178.91570198349933</v>
      </c>
      <c r="S26" s="2">
        <v>2.5</v>
      </c>
      <c r="T26" s="1">
        <f t="shared" si="18"/>
        <v>3.1622776601683764E-3</v>
      </c>
      <c r="U26" s="1">
        <f t="shared" si="19"/>
        <v>3.1939004367700658E-12</v>
      </c>
      <c r="V26" s="1">
        <f t="shared" si="20"/>
        <v>-3.1083610640651464E-3</v>
      </c>
      <c r="W26" s="1">
        <f t="shared" si="21"/>
        <v>3.4369453688021717E-2</v>
      </c>
      <c r="X26" s="1">
        <f t="shared" si="22"/>
        <v>0.99917848325301084</v>
      </c>
      <c r="Y26" s="1">
        <f t="shared" si="23"/>
        <v>1.0473614991606102</v>
      </c>
      <c r="Z26" s="1">
        <f t="shared" si="24"/>
        <v>52.368074958030505</v>
      </c>
      <c r="AB26">
        <v>3.9</v>
      </c>
      <c r="AC26">
        <v>1.2589254117941672E-4</v>
      </c>
      <c r="AD26">
        <v>8.0227151707152435E-11</v>
      </c>
      <c r="AE26">
        <v>1.2313889460913742E-3</v>
      </c>
      <c r="AF26">
        <v>3.2922870351302876E-2</v>
      </c>
      <c r="AG26">
        <v>0.97976536243944634</v>
      </c>
      <c r="AH26">
        <v>0.98164219380673368</v>
      </c>
      <c r="AI26">
        <v>49.082109690336686</v>
      </c>
      <c r="AJ26"/>
      <c r="AK26"/>
      <c r="AL26"/>
      <c r="AM26"/>
      <c r="AN26"/>
      <c r="AO26"/>
      <c r="AP26"/>
      <c r="AQ26"/>
      <c r="AR26"/>
    </row>
    <row r="27" spans="1:44" ht="15" customHeight="1" x14ac:dyDescent="0.3">
      <c r="A27" s="2">
        <v>2.6</v>
      </c>
      <c r="B27" s="1">
        <f t="shared" si="12"/>
        <v>2.5118864315095777E-3</v>
      </c>
      <c r="C27" s="1">
        <f t="shared" si="13"/>
        <v>4.0208824225903259E-12</v>
      </c>
      <c r="D27" s="1">
        <f t="shared" si="14"/>
        <v>0.49170133910072922</v>
      </c>
      <c r="E27" s="1">
        <f t="shared" si="15"/>
        <v>6.9155507493923185E-3</v>
      </c>
      <c r="F27" s="1">
        <f t="shared" si="16"/>
        <v>7.8992484619760262E-3</v>
      </c>
      <c r="G27" s="1">
        <f t="shared" si="17"/>
        <v>2.8050167714283457E-3</v>
      </c>
      <c r="H27" s="1">
        <f t="shared" si="25"/>
        <v>0.70125419285708646</v>
      </c>
      <c r="J27" s="2">
        <v>5.2</v>
      </c>
      <c r="K27" s="1">
        <v>6.3095734448019212E-6</v>
      </c>
      <c r="L27" s="1">
        <v>1.6007421243857275E-9</v>
      </c>
      <c r="M27" s="1">
        <v>2.498450748237788E-2</v>
      </c>
      <c r="N27" s="1">
        <v>0.39584624376468508</v>
      </c>
      <c r="O27" s="1">
        <v>0.7601795613281398</v>
      </c>
      <c r="P27" s="1">
        <v>0.760118997283878</v>
      </c>
      <c r="Q27" s="2">
        <v>190.0297493209695</v>
      </c>
      <c r="S27" s="2">
        <v>2.6</v>
      </c>
      <c r="T27" s="1">
        <f t="shared" si="18"/>
        <v>2.5118864315095777E-3</v>
      </c>
      <c r="U27" s="1">
        <f t="shared" si="19"/>
        <v>4.0208824225903259E-12</v>
      </c>
      <c r="V27" s="1">
        <f t="shared" si="20"/>
        <v>-2.4437948380247264E-3</v>
      </c>
      <c r="W27" s="1">
        <f t="shared" si="21"/>
        <v>3.414793161267491E-2</v>
      </c>
      <c r="X27" s="1">
        <f t="shared" si="22"/>
        <v>0.99896599163653499</v>
      </c>
      <c r="Y27" s="1">
        <f t="shared" si="23"/>
        <v>1.037110373263463</v>
      </c>
      <c r="Z27" s="1">
        <f t="shared" si="24"/>
        <v>51.85551866317315</v>
      </c>
      <c r="AB27">
        <v>4</v>
      </c>
      <c r="AC27">
        <v>1E-4</v>
      </c>
      <c r="AD27">
        <v>1.0099999999999999E-10</v>
      </c>
      <c r="AE27">
        <v>1.6029489878368127E-3</v>
      </c>
      <c r="AF27">
        <v>3.2799017004054395E-2</v>
      </c>
      <c r="AG27">
        <v>0.97465886939571156</v>
      </c>
      <c r="AH27">
        <v>0.97614694136343916</v>
      </c>
      <c r="AI27">
        <v>48.807347068171957</v>
      </c>
      <c r="AJ27"/>
      <c r="AK27"/>
      <c r="AL27"/>
      <c r="AM27"/>
      <c r="AN27"/>
      <c r="AO27"/>
      <c r="AP27"/>
      <c r="AQ27"/>
      <c r="AR27"/>
    </row>
    <row r="28" spans="1:44" ht="15" customHeight="1" x14ac:dyDescent="0.3">
      <c r="A28" s="2">
        <v>2.7</v>
      </c>
      <c r="B28" s="1">
        <f t="shared" si="12"/>
        <v>1.9952623149688781E-3</v>
      </c>
      <c r="C28" s="1">
        <f t="shared" si="13"/>
        <v>5.0619910596354535E-12</v>
      </c>
      <c r="D28" s="1">
        <f t="shared" si="14"/>
        <v>0.48304033589766415</v>
      </c>
      <c r="E28" s="1">
        <f t="shared" si="15"/>
        <v>1.4133053418613159E-2</v>
      </c>
      <c r="F28" s="1">
        <f t="shared" si="16"/>
        <v>9.9242663604856146E-3</v>
      </c>
      <c r="G28" s="1">
        <f t="shared" si="17"/>
        <v>5.8176640819281389E-3</v>
      </c>
      <c r="H28" s="1">
        <f t="shared" si="25"/>
        <v>1.4544160204820347</v>
      </c>
      <c r="J28" s="2">
        <v>5.3</v>
      </c>
      <c r="K28" s="1">
        <v>5.011872336272719E-6</v>
      </c>
      <c r="L28" s="1">
        <v>2.0152149381185696E-9</v>
      </c>
      <c r="M28" s="1">
        <v>2.005159955395279E-2</v>
      </c>
      <c r="N28" s="1">
        <v>0.39995700037170601</v>
      </c>
      <c r="O28" s="1">
        <v>0.79962026557266563</v>
      </c>
      <c r="P28" s="1">
        <v>0.79957018853439266</v>
      </c>
      <c r="Q28" s="2">
        <v>199.89254713359816</v>
      </c>
      <c r="S28" s="2">
        <v>2.7</v>
      </c>
      <c r="T28" s="1">
        <f t="shared" si="18"/>
        <v>1.9952623149688781E-3</v>
      </c>
      <c r="U28" s="1">
        <f t="shared" si="19"/>
        <v>5.0619910596354535E-12</v>
      </c>
      <c r="V28" s="1">
        <f t="shared" si="20"/>
        <v>-1.9093311732296609E-3</v>
      </c>
      <c r="W28" s="1">
        <f t="shared" si="21"/>
        <v>3.396977705774322E-2</v>
      </c>
      <c r="X28" s="1">
        <f t="shared" si="22"/>
        <v>0.99869860901798901</v>
      </c>
      <c r="Y28" s="1">
        <f t="shared" si="23"/>
        <v>1.0289160188797084</v>
      </c>
      <c r="Z28" s="1">
        <f t="shared" si="24"/>
        <v>51.445800943985425</v>
      </c>
      <c r="AB28">
        <v>4.0999999999999996</v>
      </c>
      <c r="AC28">
        <v>7.9432823472428153E-5</v>
      </c>
      <c r="AD28">
        <v>1.2715146659121088E-10</v>
      </c>
      <c r="AE28">
        <v>2.0552561750251017E-3</v>
      </c>
      <c r="AF28">
        <v>3.2648247941658305E-2</v>
      </c>
      <c r="AG28">
        <v>0.96830536985144888</v>
      </c>
      <c r="AH28">
        <v>0.96948474074965729</v>
      </c>
      <c r="AI28">
        <v>48.474237037482858</v>
      </c>
      <c r="AJ28"/>
      <c r="AK28"/>
      <c r="AL28"/>
      <c r="AM28"/>
      <c r="AN28"/>
      <c r="AO28"/>
      <c r="AP28"/>
      <c r="AQ28"/>
      <c r="AR28"/>
    </row>
    <row r="29" spans="1:44" ht="15" customHeight="1" x14ac:dyDescent="0.3">
      <c r="A29" s="2">
        <v>2.8</v>
      </c>
      <c r="B29" s="1">
        <f t="shared" si="12"/>
        <v>1.5848931924611134E-3</v>
      </c>
      <c r="C29" s="1">
        <f t="shared" si="13"/>
        <v>6.3726691792499515E-12</v>
      </c>
      <c r="D29" s="1">
        <f t="shared" si="14"/>
        <v>0.47375877005841682</v>
      </c>
      <c r="E29" s="1">
        <f t="shared" si="15"/>
        <v>2.186769161798598E-2</v>
      </c>
      <c r="F29" s="1">
        <f t="shared" si="16"/>
        <v>1.2461888488248791E-2</v>
      </c>
      <c r="G29" s="1">
        <f t="shared" si="17"/>
        <v>9.1471298779141792E-3</v>
      </c>
      <c r="H29" s="1">
        <f t="shared" si="25"/>
        <v>2.2867824694785446</v>
      </c>
      <c r="J29" s="2">
        <v>5.4</v>
      </c>
      <c r="K29" s="1">
        <v>3.9810717055349657E-6</v>
      </c>
      <c r="L29" s="1">
        <v>2.53700529582468E-9</v>
      </c>
      <c r="M29" s="1">
        <v>1.6059776565346229E-2</v>
      </c>
      <c r="N29" s="1">
        <v>0.4032835195288782</v>
      </c>
      <c r="O29" s="1">
        <v>0.8339910845345534</v>
      </c>
      <c r="P29" s="1">
        <v>0.83394994847707005</v>
      </c>
      <c r="Q29" s="2">
        <v>208.48748711926751</v>
      </c>
      <c r="S29" s="2">
        <v>2.8</v>
      </c>
      <c r="T29" s="1">
        <f t="shared" si="18"/>
        <v>1.5848931924611134E-3</v>
      </c>
      <c r="U29" s="1">
        <f t="shared" si="19"/>
        <v>6.3726691792499515E-12</v>
      </c>
      <c r="V29" s="1">
        <f t="shared" si="20"/>
        <v>-1.4765124446580681E-3</v>
      </c>
      <c r="W29" s="1">
        <f t="shared" si="21"/>
        <v>3.382550414821936E-2</v>
      </c>
      <c r="X29" s="1">
        <f t="shared" si="22"/>
        <v>0.99836219770116363</v>
      </c>
      <c r="Y29" s="1">
        <f t="shared" si="23"/>
        <v>1.0223124094207714</v>
      </c>
      <c r="Z29" s="1">
        <f t="shared" si="24"/>
        <v>51.115620471038568</v>
      </c>
      <c r="AB29">
        <v>4.2</v>
      </c>
      <c r="AC29">
        <v>6.3095734448019279E-5</v>
      </c>
      <c r="AD29">
        <v>1.6007421243857255E-10</v>
      </c>
      <c r="AE29">
        <v>2.6097586935083378E-3</v>
      </c>
      <c r="AF29">
        <v>3.2463413768830558E-2</v>
      </c>
      <c r="AG29">
        <v>0.96042361011950927</v>
      </c>
      <c r="AH29">
        <v>0.96135785299281407</v>
      </c>
      <c r="AI29">
        <v>48.067892649640704</v>
      </c>
      <c r="AJ29"/>
      <c r="AK29"/>
      <c r="AL29"/>
      <c r="AM29"/>
      <c r="AN29"/>
      <c r="AO29"/>
      <c r="AP29"/>
      <c r="AQ29"/>
      <c r="AR29"/>
    </row>
    <row r="30" spans="1:44" ht="15" customHeight="1" x14ac:dyDescent="0.3">
      <c r="A30" s="2">
        <v>2.9</v>
      </c>
      <c r="B30" s="1">
        <f t="shared" si="12"/>
        <v>1.2589254117941662E-3</v>
      </c>
      <c r="C30" s="1">
        <f t="shared" si="13"/>
        <v>8.0227151707152493E-12</v>
      </c>
      <c r="D30" s="1">
        <f t="shared" si="14"/>
        <v>0.46349362378355019</v>
      </c>
      <c r="E30" s="1">
        <f t="shared" si="15"/>
        <v>3.042198018037481E-2</v>
      </c>
      <c r="F30" s="1">
        <f t="shared" si="16"/>
        <v>1.5638128553519474E-2</v>
      </c>
      <c r="G30" s="1">
        <f t="shared" si="17"/>
        <v>1.2957156807322684E-2</v>
      </c>
      <c r="H30" s="1">
        <f t="shared" si="25"/>
        <v>3.2392892018306707</v>
      </c>
      <c r="J30" s="2">
        <v>5.5</v>
      </c>
      <c r="K30" s="1">
        <v>3.1622776601683767E-6</v>
      </c>
      <c r="L30" s="1">
        <v>3.1939004367700655E-9</v>
      </c>
      <c r="M30" s="1">
        <v>1.2841414510855976E-2</v>
      </c>
      <c r="N30" s="1">
        <v>0.40596548790761999</v>
      </c>
      <c r="O30" s="1">
        <v>0.86347294050418577</v>
      </c>
      <c r="P30" s="1">
        <v>0.86343934556452528</v>
      </c>
      <c r="Q30" s="2">
        <v>215.8598363911313</v>
      </c>
      <c r="S30" s="2">
        <v>2.9</v>
      </c>
      <c r="T30" s="1">
        <f t="shared" si="18"/>
        <v>1.2589254117941662E-3</v>
      </c>
      <c r="U30" s="1">
        <f t="shared" si="19"/>
        <v>8.0227151707152493E-12</v>
      </c>
      <c r="V30" s="1">
        <f t="shared" si="20"/>
        <v>-1.1222966251144494E-3</v>
      </c>
      <c r="W30" s="1">
        <f t="shared" si="21"/>
        <v>3.3707432208371482E-2</v>
      </c>
      <c r="X30" s="1">
        <f t="shared" si="22"/>
        <v>0.99793900307065386</v>
      </c>
      <c r="Y30" s="1">
        <f t="shared" si="23"/>
        <v>1.0169294486923792</v>
      </c>
      <c r="Z30" s="1">
        <f t="shared" si="24"/>
        <v>50.84647243461896</v>
      </c>
      <c r="AB30">
        <v>4.3</v>
      </c>
      <c r="AC30">
        <v>5.0118723362727238E-5</v>
      </c>
      <c r="AD30">
        <v>2.0152149381185678E-10</v>
      </c>
      <c r="AE30">
        <v>3.2918877229030879E-3</v>
      </c>
      <c r="AF30">
        <v>3.2236037425698971E-2</v>
      </c>
      <c r="AG30">
        <v>0.95068165854262254</v>
      </c>
      <c r="AH30">
        <v>0.95142126289775864</v>
      </c>
      <c r="AI30">
        <v>47.57106314488793</v>
      </c>
      <c r="AJ30"/>
      <c r="AK30"/>
      <c r="AL30"/>
      <c r="AM30"/>
      <c r="AN30"/>
      <c r="AO30"/>
      <c r="AP30"/>
      <c r="AQ30"/>
      <c r="AR30"/>
    </row>
    <row r="31" spans="1:44" ht="15" customHeight="1" x14ac:dyDescent="0.3">
      <c r="A31" s="2">
        <v>3</v>
      </c>
      <c r="B31" s="1">
        <f t="shared" si="12"/>
        <v>1E-3</v>
      </c>
      <c r="C31" s="1">
        <f t="shared" si="13"/>
        <v>1.0099999999999999E-11</v>
      </c>
      <c r="D31" s="1">
        <f t="shared" si="14"/>
        <v>0.45189285708766785</v>
      </c>
      <c r="E31" s="1">
        <f t="shared" si="15"/>
        <v>4.0089285760276781E-2</v>
      </c>
      <c r="F31" s="1">
        <f t="shared" si="16"/>
        <v>1.9607843137254902E-2</v>
      </c>
      <c r="G31" s="1">
        <f t="shared" si="17"/>
        <v>1.7433508078431373E-2</v>
      </c>
      <c r="H31" s="1">
        <f t="shared" si="25"/>
        <v>4.3583770196078424</v>
      </c>
      <c r="J31" s="2">
        <v>5.6</v>
      </c>
      <c r="K31" s="1">
        <v>2.5118864315095806E-6</v>
      </c>
      <c r="L31" s="1">
        <v>4.0208824225903214E-9</v>
      </c>
      <c r="M31" s="1">
        <v>1.0254367907098362E-2</v>
      </c>
      <c r="N31" s="1">
        <v>0.40812136007741801</v>
      </c>
      <c r="O31" s="1">
        <v>0.88841954941662604</v>
      </c>
      <c r="P31" s="1">
        <v>0.88839225400224897</v>
      </c>
      <c r="Q31" s="2">
        <v>222.0980635005622</v>
      </c>
      <c r="S31" s="2">
        <v>3</v>
      </c>
      <c r="T31" s="1">
        <f t="shared" si="18"/>
        <v>1E-3</v>
      </c>
      <c r="U31" s="1">
        <f t="shared" si="19"/>
        <v>1.0099999999999999E-11</v>
      </c>
      <c r="V31" s="1">
        <f t="shared" si="20"/>
        <v>-8.2783174817690651E-4</v>
      </c>
      <c r="W31" s="1">
        <f t="shared" si="21"/>
        <v>3.3609277249392298E-2</v>
      </c>
      <c r="X31" s="1">
        <f t="shared" si="22"/>
        <v>0.99740674246957917</v>
      </c>
      <c r="Y31" s="1">
        <f t="shared" si="23"/>
        <v>1.0124690877562306</v>
      </c>
      <c r="Z31" s="1">
        <f t="shared" si="24"/>
        <v>50.623454387811528</v>
      </c>
      <c r="AB31">
        <v>4.4000000000000004</v>
      </c>
      <c r="AC31">
        <v>3.9810717055349634E-5</v>
      </c>
      <c r="AD31">
        <v>2.5370052958246817E-10</v>
      </c>
      <c r="AE31">
        <v>4.1316371762082126E-3</v>
      </c>
      <c r="AF31">
        <v>3.1956120941263925E-2</v>
      </c>
      <c r="AG31">
        <v>0.93869474084565041</v>
      </c>
      <c r="AH31">
        <v>0.93927981130173732</v>
      </c>
      <c r="AI31">
        <v>46.963990565086867</v>
      </c>
      <c r="AJ31"/>
      <c r="AK31"/>
      <c r="AL31"/>
      <c r="AM31"/>
      <c r="AN31"/>
      <c r="AO31"/>
      <c r="AP31"/>
      <c r="AQ31"/>
      <c r="AR31"/>
    </row>
    <row r="32" spans="1:44" ht="15" customHeight="1" x14ac:dyDescent="0.3">
      <c r="A32" s="2">
        <v>3.1</v>
      </c>
      <c r="B32" s="1">
        <f t="shared" si="12"/>
        <v>7.9432823472428099E-4</v>
      </c>
      <c r="C32" s="1">
        <f t="shared" si="13"/>
        <v>1.2715146659121097E-11</v>
      </c>
      <c r="D32" s="1">
        <f t="shared" si="14"/>
        <v>0.43862276754036733</v>
      </c>
      <c r="E32" s="1">
        <f t="shared" si="15"/>
        <v>5.1147693716360534E-2</v>
      </c>
      <c r="F32" s="1">
        <f t="shared" si="16"/>
        <v>2.4560121026347186E-2</v>
      </c>
      <c r="G32" s="1">
        <f t="shared" si="17"/>
        <v>2.2790433735251525E-2</v>
      </c>
      <c r="H32" s="1">
        <f t="shared" si="25"/>
        <v>5.6976084338128814</v>
      </c>
      <c r="J32" s="2">
        <v>5.7</v>
      </c>
      <c r="K32" s="1">
        <v>1.9952623149688749E-6</v>
      </c>
      <c r="L32" s="1">
        <v>5.0619910596354619E-9</v>
      </c>
      <c r="M32" s="1">
        <v>8.1797750864879212E-3</v>
      </c>
      <c r="N32" s="1">
        <v>0.40985018742792678</v>
      </c>
      <c r="O32" s="1">
        <v>0.90928672336810468</v>
      </c>
      <c r="P32" s="1">
        <v>0.90926464677951135</v>
      </c>
      <c r="Q32" s="2">
        <v>227.31616169487782</v>
      </c>
      <c r="S32" s="2">
        <v>3.1</v>
      </c>
      <c r="T32" s="1">
        <f t="shared" si="18"/>
        <v>7.9432823472428099E-4</v>
      </c>
      <c r="U32" s="1">
        <f t="shared" si="19"/>
        <v>1.2715146659121097E-11</v>
      </c>
      <c r="V32" s="1">
        <f t="shared" si="20"/>
        <v>-5.7745439909344864E-4</v>
      </c>
      <c r="W32" s="1">
        <f t="shared" si="21"/>
        <v>3.3525818133031154E-2</v>
      </c>
      <c r="X32" s="1">
        <f t="shared" si="22"/>
        <v>0.99673747285299852</v>
      </c>
      <c r="Y32" s="1">
        <f t="shared" si="23"/>
        <v>1.0086868974220558</v>
      </c>
      <c r="Z32" s="1">
        <f t="shared" si="24"/>
        <v>50.434344871102795</v>
      </c>
      <c r="AB32">
        <v>4.5</v>
      </c>
      <c r="AC32">
        <v>3.1622776601683748E-5</v>
      </c>
      <c r="AD32">
        <v>3.1939004367700672E-10</v>
      </c>
      <c r="AE32">
        <v>5.1640051966537785E-3</v>
      </c>
      <c r="AF32">
        <v>3.1611998267782077E-2</v>
      </c>
      <c r="AG32">
        <v>0.92402720473966204</v>
      </c>
      <c r="AH32">
        <v>0.92448960247626311</v>
      </c>
      <c r="AI32">
        <v>46.224480123813159</v>
      </c>
      <c r="AJ32"/>
      <c r="AK32"/>
      <c r="AL32"/>
      <c r="AM32"/>
      <c r="AN32"/>
      <c r="AO32"/>
      <c r="AP32"/>
      <c r="AQ32"/>
      <c r="AR32"/>
    </row>
    <row r="33" spans="1:44" ht="15" customHeight="1" x14ac:dyDescent="0.3">
      <c r="A33" s="2">
        <v>3.2</v>
      </c>
      <c r="B33" s="1">
        <f t="shared" si="12"/>
        <v>6.3095734448019244E-4</v>
      </c>
      <c r="C33" s="1">
        <f t="shared" si="13"/>
        <v>1.6007421243857267E-11</v>
      </c>
      <c r="D33" s="1">
        <f t="shared" si="14"/>
        <v>0.42338360816260739</v>
      </c>
      <c r="E33" s="1">
        <f t="shared" si="15"/>
        <v>6.3846993197827218E-2</v>
      </c>
      <c r="F33" s="1">
        <f t="shared" si="16"/>
        <v>3.0723979335344247E-2</v>
      </c>
      <c r="G33" s="1">
        <f t="shared" si="17"/>
        <v>2.9277337173918182E-2</v>
      </c>
      <c r="H33" s="1">
        <f t="shared" si="25"/>
        <v>7.3193342934795451</v>
      </c>
      <c r="J33" s="2">
        <v>5.8</v>
      </c>
      <c r="K33" s="1">
        <v>1.5848931924611111E-6</v>
      </c>
      <c r="L33" s="1">
        <v>6.3726691792499607E-9</v>
      </c>
      <c r="M33" s="1">
        <v>6.5193216739288674E-3</v>
      </c>
      <c r="N33" s="1">
        <v>0.41123389860505921</v>
      </c>
      <c r="O33" s="1">
        <v>0.92657396178292595</v>
      </c>
      <c r="P33" s="1">
        <v>0.92655617886243635</v>
      </c>
      <c r="Q33" s="2">
        <v>231.63904471560906</v>
      </c>
      <c r="S33" s="2">
        <v>3.2</v>
      </c>
      <c r="T33" s="1">
        <f t="shared" si="18"/>
        <v>6.3095734448019244E-4</v>
      </c>
      <c r="U33" s="1">
        <f t="shared" si="19"/>
        <v>1.6007421243857267E-11</v>
      </c>
      <c r="V33" s="1">
        <f t="shared" si="20"/>
        <v>-3.5785941553090166E-4</v>
      </c>
      <c r="W33" s="1">
        <f t="shared" si="21"/>
        <v>3.345261980517697E-2</v>
      </c>
      <c r="X33" s="1">
        <f t="shared" si="22"/>
        <v>0.99589618836771099</v>
      </c>
      <c r="Y33" s="1">
        <f t="shared" si="23"/>
        <v>1.0053775132016203</v>
      </c>
      <c r="Z33" s="1">
        <f t="shared" si="24"/>
        <v>50.268875660081008</v>
      </c>
      <c r="AB33">
        <v>4.5999999999999996</v>
      </c>
      <c r="AC33">
        <v>2.5118864315095791E-5</v>
      </c>
      <c r="AD33">
        <v>4.0208824225903234E-10</v>
      </c>
      <c r="AE33">
        <v>6.4291601137221157E-3</v>
      </c>
      <c r="AF33">
        <v>3.1190279962092629E-2</v>
      </c>
      <c r="AG33">
        <v>0.90620106327429761</v>
      </c>
      <c r="AH33">
        <v>0.90656610562896811</v>
      </c>
      <c r="AI33">
        <v>45.328305281448401</v>
      </c>
      <c r="AJ33"/>
      <c r="AK33"/>
      <c r="AL33"/>
      <c r="AM33"/>
      <c r="AN33"/>
      <c r="AO33"/>
      <c r="AP33"/>
      <c r="AQ33"/>
      <c r="AR33"/>
    </row>
    <row r="34" spans="1:44" ht="15" customHeight="1" x14ac:dyDescent="0.3">
      <c r="A34" s="2">
        <v>3.3</v>
      </c>
      <c r="B34" s="1">
        <f t="shared" si="12"/>
        <v>5.0118723362727209E-4</v>
      </c>
      <c r="C34" s="1">
        <f t="shared" si="13"/>
        <v>2.0152149381185689E-11</v>
      </c>
      <c r="D34" s="1">
        <f t="shared" si="14"/>
        <v>0.40593379488037201</v>
      </c>
      <c r="E34" s="1">
        <f t="shared" si="15"/>
        <v>7.8388504266356643E-2</v>
      </c>
      <c r="F34" s="1">
        <f t="shared" si="16"/>
        <v>3.8373925356550528E-2</v>
      </c>
      <c r="G34" s="1">
        <f t="shared" si="17"/>
        <v>3.7185183544368651E-2</v>
      </c>
      <c r="H34" s="1">
        <f t="shared" si="25"/>
        <v>9.2962958860921621</v>
      </c>
      <c r="J34" s="2">
        <v>5.9</v>
      </c>
      <c r="K34" s="1">
        <v>1.2589254117941642E-6</v>
      </c>
      <c r="L34" s="1">
        <v>8.0227151707152622E-9</v>
      </c>
      <c r="M34" s="1">
        <v>5.1923787122609118E-3</v>
      </c>
      <c r="N34" s="1">
        <v>0.4123396844064493</v>
      </c>
      <c r="O34" s="1">
        <v>0.94078132420109384</v>
      </c>
      <c r="P34" s="1">
        <v>0.9407670543152491</v>
      </c>
      <c r="Q34" s="2">
        <v>235.19176357881227</v>
      </c>
      <c r="S34" s="2">
        <v>3.3</v>
      </c>
      <c r="T34" s="1">
        <f t="shared" si="18"/>
        <v>5.0118723362727209E-4</v>
      </c>
      <c r="U34" s="1">
        <f t="shared" si="19"/>
        <v>2.0152149381185689E-11</v>
      </c>
      <c r="V34" s="1">
        <f t="shared" si="20"/>
        <v>-1.5739739368993301E-4</v>
      </c>
      <c r="W34" s="1">
        <f t="shared" si="21"/>
        <v>3.3385799131229979E-2</v>
      </c>
      <c r="X34" s="1">
        <f t="shared" si="22"/>
        <v>0.99483909113520019</v>
      </c>
      <c r="Y34" s="1">
        <f t="shared" si="23"/>
        <v>1.0023628204142236</v>
      </c>
      <c r="Z34" s="1">
        <f t="shared" si="24"/>
        <v>50.118141020711185</v>
      </c>
      <c r="AB34">
        <v>4.7</v>
      </c>
      <c r="AC34">
        <v>1.9952623149688769E-5</v>
      </c>
      <c r="AD34">
        <v>5.0619910596354569E-10</v>
      </c>
      <c r="AE34">
        <v>7.9721344499634368E-3</v>
      </c>
      <c r="AF34">
        <v>3.0675955183345521E-2</v>
      </c>
      <c r="AG34">
        <v>0.884714075930636</v>
      </c>
      <c r="AH34">
        <v>0.88500188540573732</v>
      </c>
      <c r="AI34">
        <v>44.250094270286858</v>
      </c>
      <c r="AJ34"/>
      <c r="AK34"/>
      <c r="AL34"/>
      <c r="AM34"/>
      <c r="AN34"/>
      <c r="AO34"/>
      <c r="AP34"/>
      <c r="AQ34"/>
      <c r="AR34"/>
    </row>
    <row r="35" spans="1:44" ht="15" customHeight="1" x14ac:dyDescent="0.3">
      <c r="A35" s="2">
        <v>3.4</v>
      </c>
      <c r="B35" s="1">
        <f t="shared" si="12"/>
        <v>3.9810717055349708E-4</v>
      </c>
      <c r="C35" s="1">
        <f t="shared" si="13"/>
        <v>2.537005295824677E-11</v>
      </c>
      <c r="D35" s="1">
        <f t="shared" si="14"/>
        <v>0.38612145393650915</v>
      </c>
      <c r="E35" s="1">
        <f t="shared" si="15"/>
        <v>9.4898788386242369E-2</v>
      </c>
      <c r="F35" s="1">
        <f t="shared" si="16"/>
        <v>4.7834625685858667E-2</v>
      </c>
      <c r="G35" s="1">
        <f t="shared" si="17"/>
        <v>4.6851890671076687E-2</v>
      </c>
      <c r="H35" s="1">
        <f t="shared" si="25"/>
        <v>11.712972667769172</v>
      </c>
      <c r="J35" s="2">
        <v>6</v>
      </c>
      <c r="K35" s="1">
        <v>9.9999999999999995E-7</v>
      </c>
      <c r="L35" s="1">
        <v>1.0099999999999999E-8</v>
      </c>
      <c r="M35" s="1">
        <v>4.1332622099173591E-3</v>
      </c>
      <c r="N35" s="1">
        <v>0.41322228149173557</v>
      </c>
      <c r="O35" s="1">
        <v>0.95238095238095233</v>
      </c>
      <c r="P35" s="1">
        <v>0.95236954507482563</v>
      </c>
      <c r="Q35" s="2">
        <v>238.09238626870641</v>
      </c>
      <c r="S35" s="2">
        <v>3.4</v>
      </c>
      <c r="T35" s="1">
        <f t="shared" si="18"/>
        <v>3.9810717055349708E-4</v>
      </c>
      <c r="U35" s="1">
        <f t="shared" si="19"/>
        <v>2.537005295824677E-11</v>
      </c>
      <c r="V35" s="1">
        <f t="shared" si="20"/>
        <v>3.4536134972595129E-5</v>
      </c>
      <c r="W35" s="1">
        <f t="shared" si="21"/>
        <v>3.3321821288342469E-2</v>
      </c>
      <c r="X35" s="1">
        <f t="shared" si="22"/>
        <v>0.99351147124118433</v>
      </c>
      <c r="Y35" s="1">
        <f t="shared" si="23"/>
        <v>0.99948204741581281</v>
      </c>
      <c r="Z35" s="1">
        <f t="shared" si="24"/>
        <v>49.974102370790639</v>
      </c>
      <c r="AB35">
        <v>4.8</v>
      </c>
      <c r="AC35">
        <v>1.5848931924611131E-5</v>
      </c>
      <c r="AD35">
        <v>6.3726691792499525E-10</v>
      </c>
      <c r="AE35">
        <v>9.8417892510115831E-3</v>
      </c>
      <c r="AF35">
        <v>3.0052736916329474E-2</v>
      </c>
      <c r="AG35">
        <v>0.85907043233589242</v>
      </c>
      <c r="AH35">
        <v>0.8592970072433157</v>
      </c>
      <c r="AI35">
        <v>42.964850362165784</v>
      </c>
      <c r="AJ35"/>
      <c r="AK35"/>
      <c r="AL35"/>
      <c r="AM35"/>
      <c r="AN35"/>
      <c r="AO35"/>
      <c r="AP35"/>
      <c r="AQ35"/>
      <c r="AR35"/>
    </row>
    <row r="36" spans="1:44" ht="15" customHeight="1" x14ac:dyDescent="0.3">
      <c r="A36" s="2">
        <v>3.5</v>
      </c>
      <c r="B36" s="1">
        <f t="shared" si="12"/>
        <v>3.1622776601683783E-4</v>
      </c>
      <c r="C36" s="1">
        <f t="shared" si="13"/>
        <v>3.1939004367700641E-11</v>
      </c>
      <c r="D36" s="1">
        <f t="shared" si="14"/>
        <v>0.36391959119305722</v>
      </c>
      <c r="E36" s="1">
        <f t="shared" si="15"/>
        <v>0.1134003406724523</v>
      </c>
      <c r="F36" s="1">
        <f t="shared" si="16"/>
        <v>5.948348715197551E-2</v>
      </c>
      <c r="G36" s="1">
        <f t="shared" si="17"/>
        <v>5.8665515054876723E-2</v>
      </c>
      <c r="H36" s="1">
        <f t="shared" si="25"/>
        <v>14.66637876371918</v>
      </c>
      <c r="J36" s="2">
        <v>6.1</v>
      </c>
      <c r="K36" s="1">
        <v>7.9432823472428114E-7</v>
      </c>
      <c r="L36" s="1">
        <v>1.2715146659121094E-8</v>
      </c>
      <c r="M36" s="1">
        <v>3.2887441147470852E-3</v>
      </c>
      <c r="N36" s="1">
        <v>0.41392604657104409</v>
      </c>
      <c r="O36" s="1">
        <v>0.96180072634431923</v>
      </c>
      <c r="P36" s="1">
        <v>0.96179164562876085</v>
      </c>
      <c r="Q36" s="2">
        <v>240.44791140719019</v>
      </c>
      <c r="S36" s="2">
        <v>3.5</v>
      </c>
      <c r="T36" s="1">
        <f t="shared" si="18"/>
        <v>3.1622776601683783E-4</v>
      </c>
      <c r="U36" s="1">
        <f t="shared" si="19"/>
        <v>3.1939004367700641E-11</v>
      </c>
      <c r="V36" s="1">
        <f t="shared" si="20"/>
        <v>2.2805038563813006E-4</v>
      </c>
      <c r="W36" s="1">
        <f t="shared" si="21"/>
        <v>3.325731653812062E-2</v>
      </c>
      <c r="X36" s="1">
        <f t="shared" si="22"/>
        <v>0.99184512681413484</v>
      </c>
      <c r="Y36" s="1">
        <f t="shared" si="23"/>
        <v>0.99658314029629347</v>
      </c>
      <c r="Z36" s="1">
        <f t="shared" si="24"/>
        <v>49.829157014814676</v>
      </c>
      <c r="AB36">
        <v>4.9000000000000004</v>
      </c>
      <c r="AC36">
        <v>1.2589254117941658E-5</v>
      </c>
      <c r="AD36">
        <v>8.0227151707152515E-10</v>
      </c>
      <c r="AE36">
        <v>1.2088746166033951E-2</v>
      </c>
      <c r="AF36">
        <v>2.930375127798868E-2</v>
      </c>
      <c r="AG36">
        <v>0.82882635448643516</v>
      </c>
      <c r="AH36">
        <v>0.82900441841590788</v>
      </c>
      <c r="AI36">
        <v>41.450220920795395</v>
      </c>
      <c r="AJ36"/>
      <c r="AK36"/>
      <c r="AL36"/>
      <c r="AM36"/>
      <c r="AN36"/>
      <c r="AO36"/>
      <c r="AP36"/>
      <c r="AQ36"/>
      <c r="AR36"/>
    </row>
    <row r="37" spans="1:44" ht="15" customHeight="1" x14ac:dyDescent="0.3">
      <c r="A37" s="2">
        <v>3.6</v>
      </c>
      <c r="B37" s="1">
        <f t="shared" si="12"/>
        <v>2.5118864315095774E-4</v>
      </c>
      <c r="C37" s="1">
        <f t="shared" si="13"/>
        <v>4.020882422590326E-11</v>
      </c>
      <c r="D37" s="1">
        <f t="shared" si="14"/>
        <v>0.33945822664266212</v>
      </c>
      <c r="E37" s="1">
        <f t="shared" si="15"/>
        <v>0.1337848111311149</v>
      </c>
      <c r="F37" s="1">
        <f t="shared" si="16"/>
        <v>7.3749401035451759E-2</v>
      </c>
      <c r="G37" s="1">
        <f t="shared" si="17"/>
        <v>7.3063496653063983E-2</v>
      </c>
      <c r="H37" s="1">
        <f t="shared" si="25"/>
        <v>18.265874163265995</v>
      </c>
      <c r="J37" s="2">
        <v>6.2</v>
      </c>
      <c r="K37" s="1">
        <v>6.3095734448019254E-7</v>
      </c>
      <c r="L37" s="1">
        <v>1.6007421243857263E-8</v>
      </c>
      <c r="M37" s="1">
        <v>2.6158691037557811E-3</v>
      </c>
      <c r="N37" s="1">
        <v>0.41448677574687021</v>
      </c>
      <c r="O37" s="1">
        <v>0.96941696238594544</v>
      </c>
      <c r="P37" s="1">
        <v>0.96940977110145576</v>
      </c>
      <c r="Q37" s="2">
        <v>242.35244277536395</v>
      </c>
      <c r="S37" s="2">
        <v>3.6</v>
      </c>
      <c r="T37" s="1">
        <f t="shared" si="18"/>
        <v>2.5118864315095774E-4</v>
      </c>
      <c r="U37" s="1">
        <f t="shared" si="19"/>
        <v>4.020882422590326E-11</v>
      </c>
      <c r="V37" s="1">
        <f t="shared" si="20"/>
        <v>4.332740086129768E-4</v>
      </c>
      <c r="W37" s="1">
        <f t="shared" si="21"/>
        <v>3.3188908663795674E-2</v>
      </c>
      <c r="X37" s="1">
        <f t="shared" si="22"/>
        <v>0.9897552547359123</v>
      </c>
      <c r="Y37" s="1">
        <f t="shared" si="23"/>
        <v>0.9935149389128719</v>
      </c>
      <c r="Z37" s="1">
        <f t="shared" si="24"/>
        <v>49.675746945643596</v>
      </c>
      <c r="AB37">
        <v>5</v>
      </c>
      <c r="AC37">
        <v>1.0000000000000001E-5</v>
      </c>
      <c r="AD37">
        <v>1.0099999999999998E-9</v>
      </c>
      <c r="AE37">
        <v>1.4761989720965899E-2</v>
      </c>
      <c r="AF37">
        <v>2.8412670093011367E-2</v>
      </c>
      <c r="AG37">
        <v>0.79365079365079361</v>
      </c>
      <c r="AH37">
        <v>0.79379046906560513</v>
      </c>
      <c r="AI37">
        <v>39.689523453280259</v>
      </c>
      <c r="AJ37"/>
      <c r="AK37"/>
      <c r="AL37"/>
      <c r="AM37"/>
      <c r="AN37"/>
      <c r="AO37"/>
      <c r="AP37"/>
      <c r="AQ37"/>
      <c r="AR37"/>
    </row>
    <row r="38" spans="1:44" ht="15" customHeight="1" x14ac:dyDescent="0.3">
      <c r="A38" s="2">
        <v>3.7</v>
      </c>
      <c r="B38" s="1">
        <f t="shared" si="12"/>
        <v>1.9952623149688758E-4</v>
      </c>
      <c r="C38" s="1">
        <f t="shared" si="13"/>
        <v>5.0619910596354591E-11</v>
      </c>
      <c r="D38" s="1">
        <f t="shared" si="14"/>
        <v>0.3130444804587364</v>
      </c>
      <c r="E38" s="1">
        <f t="shared" si="15"/>
        <v>0.15579626628438631</v>
      </c>
      <c r="F38" s="1">
        <f t="shared" si="16"/>
        <v>9.1105285521578136E-2</v>
      </c>
      <c r="G38" s="1">
        <f t="shared" si="17"/>
        <v>9.0525610865748202E-2</v>
      </c>
      <c r="H38" s="1">
        <f t="shared" si="25"/>
        <v>22.631402716437051</v>
      </c>
      <c r="J38" s="2">
        <v>6.3</v>
      </c>
      <c r="K38" s="1">
        <v>5.0118723362727218E-7</v>
      </c>
      <c r="L38" s="1">
        <v>2.0152149381185686E-8</v>
      </c>
      <c r="M38" s="1">
        <v>2.0800856266224256E-3</v>
      </c>
      <c r="N38" s="1">
        <v>0.41493326197781466</v>
      </c>
      <c r="O38" s="1">
        <v>0.97555325806667459</v>
      </c>
      <c r="P38" s="1">
        <v>0.97554760327027068</v>
      </c>
      <c r="Q38" s="2">
        <v>243.88690081756766</v>
      </c>
      <c r="S38" s="2">
        <v>3.7</v>
      </c>
      <c r="T38" s="1">
        <f t="shared" si="18"/>
        <v>1.9952623149688758E-4</v>
      </c>
      <c r="U38" s="1">
        <f t="shared" si="19"/>
        <v>5.0619910596354591E-11</v>
      </c>
      <c r="V38" s="1">
        <f t="shared" si="20"/>
        <v>6.608573282959457E-4</v>
      </c>
      <c r="W38" s="1">
        <f t="shared" si="21"/>
        <v>3.3113047557234682E-2</v>
      </c>
      <c r="X38" s="1">
        <f t="shared" si="22"/>
        <v>0.98713675122350442</v>
      </c>
      <c r="Y38" s="1">
        <f t="shared" si="23"/>
        <v>0.99011978713095894</v>
      </c>
      <c r="Z38" s="1">
        <f t="shared" si="24"/>
        <v>49.505989356547943</v>
      </c>
      <c r="AB38">
        <v>5.0999999999999996</v>
      </c>
      <c r="AC38">
        <v>7.9432823472428065E-6</v>
      </c>
      <c r="AD38">
        <v>1.2715146659121102E-9</v>
      </c>
      <c r="AE38">
        <v>1.7903945365783654E-2</v>
      </c>
      <c r="AF38">
        <v>2.7365351544738778E-2</v>
      </c>
      <c r="AG38">
        <v>0.75339747961127768</v>
      </c>
      <c r="AH38">
        <v>0.753506821516298</v>
      </c>
      <c r="AI38">
        <v>37.675341075814899</v>
      </c>
      <c r="AJ38"/>
      <c r="AK38"/>
      <c r="AL38"/>
      <c r="AM38"/>
      <c r="AN38"/>
      <c r="AO38"/>
      <c r="AP38"/>
      <c r="AQ38"/>
      <c r="AR38"/>
    </row>
    <row r="39" spans="1:44" ht="15" customHeight="1" x14ac:dyDescent="0.3">
      <c r="A39" s="2">
        <v>3.8</v>
      </c>
      <c r="B39" s="1">
        <f t="shared" si="12"/>
        <v>1.584893192461112E-4</v>
      </c>
      <c r="C39" s="1">
        <f t="shared" si="13"/>
        <v>6.3726691792499571E-11</v>
      </c>
      <c r="D39" s="1">
        <f t="shared" si="14"/>
        <v>0.28516135438870133</v>
      </c>
      <c r="E39" s="1">
        <f t="shared" si="15"/>
        <v>0.17903220467608219</v>
      </c>
      <c r="F39" s="1">
        <f t="shared" si="16"/>
        <v>0.11205152265958764</v>
      </c>
      <c r="G39" s="1">
        <f t="shared" si="17"/>
        <v>0.1115577371215106</v>
      </c>
      <c r="H39" s="1">
        <f t="shared" si="25"/>
        <v>27.88943428037765</v>
      </c>
      <c r="J39" s="2">
        <v>6.4</v>
      </c>
      <c r="K39" s="1">
        <v>3.9810717055349618E-7</v>
      </c>
      <c r="L39" s="1">
        <v>2.5370052958246826E-8</v>
      </c>
      <c r="M39" s="1">
        <v>1.6536738720047761E-3</v>
      </c>
      <c r="N39" s="1">
        <v>0.41528860510666271</v>
      </c>
      <c r="O39" s="1">
        <v>0.98048313173252666</v>
      </c>
      <c r="P39" s="1">
        <v>0.98047873165012844</v>
      </c>
      <c r="Q39" s="2">
        <v>245.11968291253211</v>
      </c>
      <c r="S39" s="2">
        <v>3.8</v>
      </c>
      <c r="T39" s="1">
        <f t="shared" si="18"/>
        <v>1.584893192461112E-4</v>
      </c>
      <c r="U39" s="1">
        <f t="shared" si="19"/>
        <v>6.3726691792499571E-11</v>
      </c>
      <c r="V39" s="1">
        <f t="shared" si="20"/>
        <v>9.2248133877698753E-4</v>
      </c>
      <c r="W39" s="1">
        <f t="shared" si="21"/>
        <v>3.3025839553741006E-2</v>
      </c>
      <c r="X39" s="1">
        <f t="shared" si="22"/>
        <v>0.98385988585607131</v>
      </c>
      <c r="Y39" s="1">
        <f t="shared" si="23"/>
        <v>0.98622630977931847</v>
      </c>
      <c r="Z39" s="1">
        <f t="shared" si="24"/>
        <v>49.311315488965924</v>
      </c>
      <c r="AB39">
        <v>5.2</v>
      </c>
      <c r="AC39">
        <v>6.3095734448019212E-6</v>
      </c>
      <c r="AD39">
        <v>1.6007421243857275E-9</v>
      </c>
      <c r="AE39">
        <v>2.1544093045850927E-2</v>
      </c>
      <c r="AF39">
        <v>2.6151968984716358E-2</v>
      </c>
      <c r="AG39">
        <v>0.70817907096137034</v>
      </c>
      <c r="AH39">
        <v>0.70826448925371954</v>
      </c>
      <c r="AI39">
        <v>35.413224462685982</v>
      </c>
      <c r="AJ39"/>
      <c r="AK39"/>
      <c r="AL39"/>
      <c r="AM39"/>
      <c r="AN39"/>
      <c r="AO39"/>
      <c r="AP39"/>
      <c r="AQ39"/>
      <c r="AR39"/>
    </row>
    <row r="40" spans="1:44" ht="15" customHeight="1" x14ac:dyDescent="0.3">
      <c r="A40" s="2">
        <v>3.9</v>
      </c>
      <c r="B40" s="1">
        <f t="shared" si="12"/>
        <v>1.2589254117941672E-4</v>
      </c>
      <c r="C40" s="1">
        <f t="shared" si="13"/>
        <v>8.0227151707152435E-11</v>
      </c>
      <c r="D40" s="1">
        <f t="shared" si="14"/>
        <v>0.25643913765550469</v>
      </c>
      <c r="E40" s="1">
        <f t="shared" si="15"/>
        <v>0.20296738528707944</v>
      </c>
      <c r="F40" s="1">
        <f t="shared" si="16"/>
        <v>0.13708720019760481</v>
      </c>
      <c r="G40" s="1">
        <f t="shared" si="17"/>
        <v>0.13666336640051846</v>
      </c>
      <c r="H40" s="1">
        <f t="shared" si="25"/>
        <v>34.16584160012961</v>
      </c>
      <c r="J40" s="2">
        <v>6.5</v>
      </c>
      <c r="K40" s="1">
        <v>3.1622776601683734E-7</v>
      </c>
      <c r="L40" s="1">
        <v>3.1939004367700689E-8</v>
      </c>
      <c r="M40" s="1">
        <v>1.3144406203240747E-3</v>
      </c>
      <c r="N40" s="1">
        <v>0.41557129948306332</v>
      </c>
      <c r="O40" s="1">
        <v>0.98443472037925295</v>
      </c>
      <c r="P40" s="1">
        <v>0.98443135317402652</v>
      </c>
      <c r="Q40" s="2">
        <v>246.1078382935066</v>
      </c>
      <c r="S40" s="2">
        <v>3.9</v>
      </c>
      <c r="T40" s="1">
        <f t="shared" si="18"/>
        <v>1.2589254117941672E-4</v>
      </c>
      <c r="U40" s="1">
        <f t="shared" si="19"/>
        <v>8.0227151707152435E-11</v>
      </c>
      <c r="V40" s="1">
        <f t="shared" si="20"/>
        <v>1.2313889460913742E-3</v>
      </c>
      <c r="W40" s="1">
        <f t="shared" si="21"/>
        <v>3.2922870351302876E-2</v>
      </c>
      <c r="X40" s="1">
        <f t="shared" si="22"/>
        <v>0.97976536243944634</v>
      </c>
      <c r="Y40" s="1">
        <f t="shared" si="23"/>
        <v>0.98164219380673368</v>
      </c>
      <c r="Z40" s="1">
        <f t="shared" si="24"/>
        <v>49.082109690336686</v>
      </c>
      <c r="AB40">
        <v>5.3</v>
      </c>
      <c r="AC40">
        <v>5.011872336272719E-6</v>
      </c>
      <c r="AD40">
        <v>2.0152149381185696E-9</v>
      </c>
      <c r="AE40">
        <v>2.5691610816460691E-2</v>
      </c>
      <c r="AF40">
        <v>2.4769463061179772E-2</v>
      </c>
      <c r="AG40">
        <v>0.65842832287001629</v>
      </c>
      <c r="AH40">
        <v>0.65849491626845769</v>
      </c>
      <c r="AI40">
        <v>32.924745813422881</v>
      </c>
      <c r="AJ40"/>
      <c r="AK40"/>
      <c r="AL40"/>
      <c r="AM40"/>
      <c r="AN40"/>
      <c r="AO40"/>
      <c r="AP40"/>
      <c r="AQ40"/>
      <c r="AR40"/>
    </row>
    <row r="41" spans="1:44" ht="15" customHeight="1" x14ac:dyDescent="0.3">
      <c r="A41" s="2">
        <v>4</v>
      </c>
      <c r="B41" s="1">
        <f t="shared" si="12"/>
        <v>1E-4</v>
      </c>
      <c r="C41" s="1">
        <f t="shared" si="13"/>
        <v>1.0099999999999999E-10</v>
      </c>
      <c r="D41" s="1">
        <f t="shared" si="14"/>
        <v>0.22759999966945452</v>
      </c>
      <c r="E41" s="1">
        <f t="shared" si="15"/>
        <v>0.22700000027545453</v>
      </c>
      <c r="F41" s="1">
        <f t="shared" si="16"/>
        <v>0.16666666666666669</v>
      </c>
      <c r="G41" s="1">
        <f t="shared" si="17"/>
        <v>0.16630036666996009</v>
      </c>
      <c r="H41" s="1">
        <f t="shared" si="25"/>
        <v>41.575091667490021</v>
      </c>
      <c r="J41" s="2">
        <v>6.6</v>
      </c>
      <c r="K41" s="1">
        <v>2.511886431509578E-7</v>
      </c>
      <c r="L41" s="1">
        <v>4.0208824225903253E-8</v>
      </c>
      <c r="M41" s="1">
        <v>1.044646282049965E-3</v>
      </c>
      <c r="N41" s="1">
        <v>0.4157961280982917</v>
      </c>
      <c r="O41" s="1">
        <v>0.98759635063515594</v>
      </c>
      <c r="P41" s="1">
        <v>0.98759384505181202</v>
      </c>
      <c r="Q41" s="2">
        <v>246.89846126295299</v>
      </c>
      <c r="S41" s="2">
        <v>4</v>
      </c>
      <c r="T41" s="1">
        <f t="shared" si="18"/>
        <v>1E-4</v>
      </c>
      <c r="U41" s="1">
        <f t="shared" si="19"/>
        <v>1.0099999999999999E-10</v>
      </c>
      <c r="V41" s="1">
        <f t="shared" si="20"/>
        <v>1.6029489878368127E-3</v>
      </c>
      <c r="W41" s="1">
        <f t="shared" si="21"/>
        <v>3.2799017004054395E-2</v>
      </c>
      <c r="X41" s="1">
        <f t="shared" si="22"/>
        <v>0.97465886939571156</v>
      </c>
      <c r="Y41" s="1">
        <f t="shared" si="23"/>
        <v>0.97614694136343916</v>
      </c>
      <c r="Z41" s="1">
        <f t="shared" si="24"/>
        <v>48.807347068171957</v>
      </c>
      <c r="AB41">
        <v>5.4</v>
      </c>
      <c r="AC41">
        <v>3.9810717055349657E-6</v>
      </c>
      <c r="AD41">
        <v>2.53700529582468E-9</v>
      </c>
      <c r="AE41">
        <v>3.0328117998704281E-2</v>
      </c>
      <c r="AF41">
        <v>2.3223960667098576E-2</v>
      </c>
      <c r="AG41">
        <v>0.60492756858836716</v>
      </c>
      <c r="AH41">
        <v>0.60497938859282185</v>
      </c>
      <c r="AI41">
        <v>30.248969429641093</v>
      </c>
      <c r="AJ41"/>
      <c r="AK41"/>
      <c r="AL41"/>
      <c r="AM41"/>
      <c r="AN41"/>
      <c r="AO41"/>
      <c r="AP41"/>
      <c r="AQ41"/>
      <c r="AR41"/>
    </row>
    <row r="42" spans="1:44" ht="15" customHeight="1" x14ac:dyDescent="0.3">
      <c r="A42" s="2">
        <v>4.0999999999999996</v>
      </c>
      <c r="B42" s="1">
        <f t="shared" si="12"/>
        <v>7.9432823472428153E-5</v>
      </c>
      <c r="C42" s="1">
        <f t="shared" si="13"/>
        <v>1.2715146659121088E-10</v>
      </c>
      <c r="D42" s="1">
        <f t="shared" si="14"/>
        <v>0.199384436059688</v>
      </c>
      <c r="E42" s="1">
        <f t="shared" si="15"/>
        <v>0.25051296995025996</v>
      </c>
      <c r="F42" s="1">
        <f t="shared" si="16"/>
        <v>0.20114082353847496</v>
      </c>
      <c r="G42" s="1">
        <f t="shared" si="17"/>
        <v>0.2008224394673466</v>
      </c>
      <c r="H42" s="1">
        <f t="shared" si="25"/>
        <v>50.205609866836646</v>
      </c>
      <c r="J42" s="2">
        <v>6.7</v>
      </c>
      <c r="K42" s="1">
        <v>1.9952623149688761E-7</v>
      </c>
      <c r="L42" s="1">
        <v>5.0619910596354589E-8</v>
      </c>
      <c r="M42" s="1">
        <v>8.3012941813997E-4</v>
      </c>
      <c r="N42" s="1">
        <v>0.41597489215155004</v>
      </c>
      <c r="O42" s="1">
        <v>0.99012223211523798</v>
      </c>
      <c r="P42" s="1">
        <v>0.9901204599506469</v>
      </c>
      <c r="Q42" s="2">
        <v>247.53011498766173</v>
      </c>
      <c r="S42" s="2">
        <v>4.0999999999999996</v>
      </c>
      <c r="T42" s="1">
        <f t="shared" si="18"/>
        <v>7.9432823472428153E-5</v>
      </c>
      <c r="U42" s="1">
        <f t="shared" si="19"/>
        <v>1.2715146659121088E-10</v>
      </c>
      <c r="V42" s="1">
        <f t="shared" si="20"/>
        <v>2.0552561750251017E-3</v>
      </c>
      <c r="W42" s="1">
        <f t="shared" si="21"/>
        <v>3.2648247941658305E-2</v>
      </c>
      <c r="X42" s="1">
        <f t="shared" si="22"/>
        <v>0.96830536985144888</v>
      </c>
      <c r="Y42" s="1">
        <f t="shared" si="23"/>
        <v>0.96948474074965729</v>
      </c>
      <c r="Z42" s="1">
        <f t="shared" si="24"/>
        <v>48.474237037482858</v>
      </c>
      <c r="AB42">
        <v>5.5</v>
      </c>
      <c r="AC42">
        <v>3.1622776601683767E-6</v>
      </c>
      <c r="AD42">
        <v>3.1939004367700655E-9</v>
      </c>
      <c r="AE42">
        <v>3.5402144910126936E-2</v>
      </c>
      <c r="AF42">
        <v>2.1532618363291022E-2</v>
      </c>
      <c r="AG42">
        <v>0.54878953196364599</v>
      </c>
      <c r="AH42">
        <v>0.5488297917976539</v>
      </c>
      <c r="AI42">
        <v>27.441489589882696</v>
      </c>
      <c r="AJ42"/>
      <c r="AK42"/>
      <c r="AL42"/>
      <c r="AM42"/>
      <c r="AN42"/>
      <c r="AO42"/>
      <c r="AP42"/>
      <c r="AQ42"/>
      <c r="AR42"/>
    </row>
    <row r="43" spans="1:44" ht="15" customHeight="1" x14ac:dyDescent="0.3">
      <c r="A43" s="2">
        <v>4.2</v>
      </c>
      <c r="B43" s="1">
        <f t="shared" si="12"/>
        <v>6.3095734448019279E-5</v>
      </c>
      <c r="C43" s="1">
        <f t="shared" si="13"/>
        <v>1.6007421243857255E-10</v>
      </c>
      <c r="D43" s="1">
        <f t="shared" si="14"/>
        <v>0.17247438973808019</v>
      </c>
      <c r="E43" s="1">
        <f t="shared" si="15"/>
        <v>0.27293800855159989</v>
      </c>
      <c r="F43" s="1">
        <f t="shared" si="16"/>
        <v>0.240686241391982</v>
      </c>
      <c r="G43" s="1">
        <f t="shared" si="17"/>
        <v>0.24040836320562711</v>
      </c>
      <c r="H43" s="1">
        <f t="shared" si="25"/>
        <v>60.102090801406774</v>
      </c>
      <c r="J43" s="2">
        <v>6.8</v>
      </c>
      <c r="K43" s="1">
        <v>1.5848931924611122E-7</v>
      </c>
      <c r="L43" s="1">
        <v>6.3726691792499566E-8</v>
      </c>
      <c r="M43" s="1">
        <v>6.5959651873586918E-4</v>
      </c>
      <c r="N43" s="1">
        <v>0.41611700290105347</v>
      </c>
      <c r="O43" s="1">
        <v>0.99213783747699813</v>
      </c>
      <c r="P43" s="1">
        <v>0.99213670777693097</v>
      </c>
      <c r="Q43" s="2">
        <v>248.03417694423274</v>
      </c>
      <c r="S43" s="2">
        <v>4.2</v>
      </c>
      <c r="T43" s="1">
        <f t="shared" si="18"/>
        <v>6.3095734448019279E-5</v>
      </c>
      <c r="U43" s="1">
        <f t="shared" si="19"/>
        <v>1.6007421243857255E-10</v>
      </c>
      <c r="V43" s="1">
        <f t="shared" si="20"/>
        <v>2.6097586935083378E-3</v>
      </c>
      <c r="W43" s="1">
        <f t="shared" si="21"/>
        <v>3.2463413768830558E-2</v>
      </c>
      <c r="X43" s="1">
        <f t="shared" si="22"/>
        <v>0.96042361011950927</v>
      </c>
      <c r="Y43" s="1">
        <f t="shared" si="23"/>
        <v>0.96135785299281407</v>
      </c>
      <c r="Z43" s="1">
        <f t="shared" si="24"/>
        <v>48.067892649640704</v>
      </c>
      <c r="AB43">
        <v>5.6</v>
      </c>
      <c r="AC43">
        <v>2.5118864315095806E-6</v>
      </c>
      <c r="AD43">
        <v>4.0208824225903214E-9</v>
      </c>
      <c r="AE43">
        <v>4.0827218144235289E-2</v>
      </c>
      <c r="AF43">
        <v>1.9724260618588237E-2</v>
      </c>
      <c r="AG43">
        <v>0.49138150175370787</v>
      </c>
      <c r="AH43">
        <v>0.49141274239463395</v>
      </c>
      <c r="AI43">
        <v>24.5706371197317</v>
      </c>
      <c r="AJ43"/>
      <c r="AK43"/>
      <c r="AL43"/>
      <c r="AM43"/>
      <c r="AN43"/>
      <c r="AO43"/>
      <c r="AP43"/>
      <c r="AQ43"/>
      <c r="AR43"/>
    </row>
    <row r="44" spans="1:44" ht="15" customHeight="1" x14ac:dyDescent="0.3">
      <c r="A44" s="2">
        <v>4.3</v>
      </c>
      <c r="B44" s="1">
        <f t="shared" si="12"/>
        <v>5.0118723362727238E-5</v>
      </c>
      <c r="C44" s="1">
        <f t="shared" si="13"/>
        <v>2.0152149381185678E-10</v>
      </c>
      <c r="D44" s="1">
        <f t="shared" si="14"/>
        <v>0.14742908168019275</v>
      </c>
      <c r="E44" s="1">
        <f t="shared" si="15"/>
        <v>0.29380909859983939</v>
      </c>
      <c r="F44" s="1">
        <f t="shared" si="16"/>
        <v>0.28523052104840985</v>
      </c>
      <c r="G44" s="1">
        <f t="shared" si="17"/>
        <v>0.28498745250609836</v>
      </c>
      <c r="H44" s="1">
        <f t="shared" si="25"/>
        <v>71.246863126524588</v>
      </c>
      <c r="J44" s="2">
        <v>6.9</v>
      </c>
      <c r="K44" s="1">
        <v>1.2589254117941651E-7</v>
      </c>
      <c r="L44" s="1">
        <v>8.0227151707152563E-8</v>
      </c>
      <c r="M44" s="1">
        <v>5.2404842618301796E-4</v>
      </c>
      <c r="N44" s="1">
        <v>0.41622995964484744</v>
      </c>
      <c r="O44" s="1">
        <v>0.9937447474231601</v>
      </c>
      <c r="P44" s="1">
        <v>0.99374420229522087</v>
      </c>
      <c r="Q44" s="2">
        <v>248.4360505738052</v>
      </c>
      <c r="S44" s="2">
        <v>4.3</v>
      </c>
      <c r="T44" s="1">
        <f t="shared" si="18"/>
        <v>5.0118723362727238E-5</v>
      </c>
      <c r="U44" s="1">
        <f t="shared" si="19"/>
        <v>2.0152149381185678E-10</v>
      </c>
      <c r="V44" s="1">
        <f t="shared" si="20"/>
        <v>3.2918877229030879E-3</v>
      </c>
      <c r="W44" s="1">
        <f t="shared" si="21"/>
        <v>3.2236037425698971E-2</v>
      </c>
      <c r="X44" s="1">
        <f t="shared" si="22"/>
        <v>0.95068165854262254</v>
      </c>
      <c r="Y44" s="1">
        <f t="shared" si="23"/>
        <v>0.95142126289775864</v>
      </c>
      <c r="Z44" s="1">
        <f t="shared" si="24"/>
        <v>47.57106314488793</v>
      </c>
      <c r="AB44">
        <v>5.7</v>
      </c>
      <c r="AC44">
        <v>1.9952623149688749E-6</v>
      </c>
      <c r="AD44">
        <v>5.0619910596354619E-9</v>
      </c>
      <c r="AE44">
        <v>4.6485112409469155E-2</v>
      </c>
      <c r="AF44">
        <v>1.7838295863510285E-2</v>
      </c>
      <c r="AG44">
        <v>0.43419987330633791</v>
      </c>
      <c r="AH44">
        <v>0.43422409627426228</v>
      </c>
      <c r="AI44">
        <v>21.711204813713113</v>
      </c>
      <c r="AJ44"/>
      <c r="AK44"/>
      <c r="AL44"/>
      <c r="AM44"/>
      <c r="AN44"/>
      <c r="AO44"/>
      <c r="AP44"/>
      <c r="AQ44"/>
      <c r="AR44"/>
    </row>
    <row r="45" spans="1:44" ht="15" customHeight="1" x14ac:dyDescent="0.3">
      <c r="A45" s="2">
        <v>4.4000000000000004</v>
      </c>
      <c r="B45" s="1">
        <f t="shared" si="12"/>
        <v>3.9810717055349634E-5</v>
      </c>
      <c r="C45" s="1">
        <f t="shared" si="13"/>
        <v>2.5370052958246817E-10</v>
      </c>
      <c r="D45" s="1">
        <f t="shared" si="14"/>
        <v>0.12464523937360905</v>
      </c>
      <c r="E45" s="1">
        <f t="shared" si="15"/>
        <v>0.31279563385532577</v>
      </c>
      <c r="F45" s="1">
        <f t="shared" si="16"/>
        <v>0.33438823315714028</v>
      </c>
      <c r="G45" s="1">
        <f t="shared" si="17"/>
        <v>0.33417557538545106</v>
      </c>
      <c r="H45" s="1">
        <f t="shared" si="25"/>
        <v>83.543893846362749</v>
      </c>
      <c r="J45" s="2">
        <v>7</v>
      </c>
      <c r="K45" s="1">
        <v>9.9999999999999995E-8</v>
      </c>
      <c r="L45" s="1">
        <v>1.0099999999999999E-7</v>
      </c>
      <c r="M45" s="1">
        <v>4.163187293921639E-4</v>
      </c>
      <c r="N45" s="1">
        <v>0.41631973439217318</v>
      </c>
      <c r="O45" s="1">
        <v>0.99502487562189057</v>
      </c>
      <c r="P45" s="1">
        <v>0.99502488757213958</v>
      </c>
      <c r="Q45" s="2">
        <v>248.75622189303488</v>
      </c>
      <c r="S45" s="2">
        <v>4.4000000000000004</v>
      </c>
      <c r="T45" s="1">
        <f t="shared" si="18"/>
        <v>3.9810717055349634E-5</v>
      </c>
      <c r="U45" s="1">
        <f t="shared" si="19"/>
        <v>2.5370052958246817E-10</v>
      </c>
      <c r="V45" s="1">
        <f t="shared" si="20"/>
        <v>4.1316371762082126E-3</v>
      </c>
      <c r="W45" s="1">
        <f t="shared" si="21"/>
        <v>3.1956120941263925E-2</v>
      </c>
      <c r="X45" s="1">
        <f t="shared" si="22"/>
        <v>0.93869474084565041</v>
      </c>
      <c r="Y45" s="1">
        <f t="shared" si="23"/>
        <v>0.93927981130173732</v>
      </c>
      <c r="Z45" s="1">
        <f t="shared" si="24"/>
        <v>46.963990565086867</v>
      </c>
      <c r="AB45">
        <v>5.8</v>
      </c>
      <c r="AC45">
        <v>1.5848931924611111E-6</v>
      </c>
      <c r="AD45">
        <v>6.3726691792499607E-9</v>
      </c>
      <c r="AE45">
        <v>5.2234748304907763E-2</v>
      </c>
      <c r="AF45">
        <v>1.592175056503075E-2</v>
      </c>
      <c r="AG45">
        <v>0.37871771621704031</v>
      </c>
      <c r="AH45">
        <v>0.37873649063889003</v>
      </c>
      <c r="AI45">
        <v>18.936824531944502</v>
      </c>
      <c r="AJ45"/>
      <c r="AK45"/>
      <c r="AL45"/>
      <c r="AM45"/>
      <c r="AN45"/>
      <c r="AO45"/>
      <c r="AP45"/>
      <c r="AQ45"/>
      <c r="AR45"/>
    </row>
    <row r="46" spans="1:44" ht="15" customHeight="1" x14ac:dyDescent="0.3">
      <c r="A46" s="2">
        <v>4.5</v>
      </c>
      <c r="B46" s="1">
        <f t="shared" si="12"/>
        <v>3.1622776601683748E-5</v>
      </c>
      <c r="C46" s="1">
        <f t="shared" si="13"/>
        <v>3.1939004367700672E-10</v>
      </c>
      <c r="D46" s="1">
        <f t="shared" si="14"/>
        <v>0.10434568796131372</v>
      </c>
      <c r="E46" s="1">
        <f t="shared" si="15"/>
        <v>0.32971192669890526</v>
      </c>
      <c r="F46" s="1">
        <f t="shared" si="16"/>
        <v>0.38742588672279349</v>
      </c>
      <c r="G46" s="1">
        <f t="shared" si="17"/>
        <v>0.38724018694594692</v>
      </c>
      <c r="H46" s="1">
        <f t="shared" si="25"/>
        <v>96.810046736486726</v>
      </c>
      <c r="J46" s="2">
        <v>7.1</v>
      </c>
      <c r="K46" s="1">
        <v>7.943282347242818E-8</v>
      </c>
      <c r="L46" s="1">
        <v>1.2715146659121083E-7</v>
      </c>
      <c r="M46" s="1">
        <v>3.3070328384096674E-4</v>
      </c>
      <c r="N46" s="1">
        <v>0.41639108059679925</v>
      </c>
      <c r="O46" s="1">
        <v>0.996044070359419</v>
      </c>
      <c r="P46" s="1">
        <v>0.99604464109569268</v>
      </c>
      <c r="Q46" s="2">
        <v>249.01116027392314</v>
      </c>
      <c r="S46" s="2">
        <v>4.5</v>
      </c>
      <c r="T46" s="1">
        <f t="shared" si="18"/>
        <v>3.1622776601683748E-5</v>
      </c>
      <c r="U46" s="1">
        <f t="shared" si="19"/>
        <v>3.1939004367700672E-10</v>
      </c>
      <c r="V46" s="1">
        <f t="shared" si="20"/>
        <v>5.1640051966537785E-3</v>
      </c>
      <c r="W46" s="1">
        <f t="shared" si="21"/>
        <v>3.1611998267782077E-2</v>
      </c>
      <c r="X46" s="1">
        <f t="shared" si="22"/>
        <v>0.92402720473966204</v>
      </c>
      <c r="Y46" s="1">
        <f t="shared" si="23"/>
        <v>0.92448960247626311</v>
      </c>
      <c r="Z46" s="1">
        <f t="shared" si="24"/>
        <v>46.224480123813159</v>
      </c>
      <c r="AB46">
        <v>5.9</v>
      </c>
      <c r="AC46">
        <v>1.2589254117941642E-6</v>
      </c>
      <c r="AD46">
        <v>8.0227151707152622E-9</v>
      </c>
      <c r="AE46">
        <v>5.7925641114884352E-2</v>
      </c>
      <c r="AF46">
        <v>1.4024786295038548E-2</v>
      </c>
      <c r="AG46">
        <v>0.32623730117883804</v>
      </c>
      <c r="AH46">
        <v>0.3262518507524037</v>
      </c>
      <c r="AI46">
        <v>16.312592537620183</v>
      </c>
      <c r="AJ46"/>
      <c r="AK46"/>
      <c r="AL46"/>
      <c r="AM46"/>
      <c r="AN46"/>
      <c r="AO46"/>
      <c r="AP46"/>
      <c r="AQ46"/>
      <c r="AR46"/>
    </row>
    <row r="47" spans="1:44" ht="15" customHeight="1" x14ac:dyDescent="0.3">
      <c r="A47" s="2">
        <v>4.5999999999999996</v>
      </c>
      <c r="B47" s="1">
        <f t="shared" si="12"/>
        <v>2.5118864315095791E-5</v>
      </c>
      <c r="C47" s="1">
        <f t="shared" si="13"/>
        <v>4.0208824225903234E-10</v>
      </c>
      <c r="D47" s="1">
        <f t="shared" si="14"/>
        <v>8.659268466432464E-2</v>
      </c>
      <c r="E47" s="1">
        <f t="shared" si="15"/>
        <v>0.34450609611306282</v>
      </c>
      <c r="F47" s="1">
        <f t="shared" si="16"/>
        <v>0.44327356868573559</v>
      </c>
      <c r="G47" s="1">
        <f t="shared" si="17"/>
        <v>0.4431120288336966</v>
      </c>
      <c r="H47" s="1">
        <f t="shared" si="25"/>
        <v>110.77800720842414</v>
      </c>
      <c r="J47" s="2">
        <v>7.2</v>
      </c>
      <c r="K47" s="1">
        <v>6.3095734448019177E-8</v>
      </c>
      <c r="L47" s="1">
        <v>1.6007421243857284E-7</v>
      </c>
      <c r="M47" s="1">
        <v>2.6266350122133104E-4</v>
      </c>
      <c r="N47" s="1">
        <v>0.41644778041564895</v>
      </c>
      <c r="O47" s="1">
        <v>0.99685513465702669</v>
      </c>
      <c r="P47" s="1">
        <v>0.99685629535004561</v>
      </c>
      <c r="Q47" s="2">
        <v>249.21407383751139</v>
      </c>
      <c r="S47" s="2">
        <v>4.5999999999999996</v>
      </c>
      <c r="T47" s="1">
        <f t="shared" si="18"/>
        <v>2.5118864315095791E-5</v>
      </c>
      <c r="U47" s="1">
        <f t="shared" si="19"/>
        <v>4.0208824225903234E-10</v>
      </c>
      <c r="V47" s="1">
        <f t="shared" si="20"/>
        <v>6.4291601137221157E-3</v>
      </c>
      <c r="W47" s="1">
        <f t="shared" si="21"/>
        <v>3.1190279962092629E-2</v>
      </c>
      <c r="X47" s="1">
        <f t="shared" si="22"/>
        <v>0.90620106327429761</v>
      </c>
      <c r="Y47" s="1">
        <f t="shared" si="23"/>
        <v>0.90656610562896811</v>
      </c>
      <c r="Z47" s="1">
        <f t="shared" si="24"/>
        <v>45.328305281448401</v>
      </c>
      <c r="AB47">
        <v>6</v>
      </c>
      <c r="AC47">
        <v>9.9999999999999995E-7</v>
      </c>
      <c r="AD47">
        <v>1.0099999999999999E-8</v>
      </c>
      <c r="AE47">
        <v>6.3413330375609755E-2</v>
      </c>
      <c r="AF47">
        <v>1.2195556541463414E-2</v>
      </c>
      <c r="AG47">
        <v>0.27777777777777773</v>
      </c>
      <c r="AH47">
        <v>0.27778905169468909</v>
      </c>
      <c r="AI47">
        <v>13.889452584734455</v>
      </c>
      <c r="AJ47"/>
      <c r="AK47"/>
      <c r="AL47"/>
      <c r="AM47"/>
      <c r="AN47"/>
      <c r="AO47"/>
      <c r="AP47"/>
      <c r="AQ47"/>
      <c r="AR47"/>
    </row>
    <row r="48" spans="1:44" ht="15" customHeight="1" x14ac:dyDescent="0.3">
      <c r="A48" s="2">
        <v>4.7</v>
      </c>
      <c r="B48" s="1">
        <f t="shared" si="12"/>
        <v>1.9952623149688769E-5</v>
      </c>
      <c r="C48" s="1">
        <f t="shared" si="13"/>
        <v>5.0619910596354569E-10</v>
      </c>
      <c r="D48" s="1">
        <f t="shared" si="14"/>
        <v>7.1317665840577527E-2</v>
      </c>
      <c r="E48" s="1">
        <f t="shared" si="15"/>
        <v>0.35723527846618541</v>
      </c>
      <c r="F48" s="1">
        <f t="shared" si="16"/>
        <v>0.50059291288751839</v>
      </c>
      <c r="G48" s="1">
        <f t="shared" si="17"/>
        <v>0.50045315765431908</v>
      </c>
      <c r="H48" s="1">
        <f t="shared" si="25"/>
        <v>125.11328941357976</v>
      </c>
      <c r="J48" s="2">
        <v>7.3</v>
      </c>
      <c r="K48" s="1">
        <v>5.0118723362727164E-8</v>
      </c>
      <c r="L48" s="1">
        <v>2.0152149381185708E-7</v>
      </c>
      <c r="M48" s="1">
        <v>2.0858911333466285E-4</v>
      </c>
      <c r="N48" s="1">
        <v>0.4164928424055544</v>
      </c>
      <c r="O48" s="1">
        <v>0.99750032785071108</v>
      </c>
      <c r="P48" s="1">
        <v>0.99750214090212863</v>
      </c>
      <c r="Q48" s="2">
        <v>249.37553522553216</v>
      </c>
      <c r="S48" s="2">
        <v>4.7</v>
      </c>
      <c r="T48" s="1">
        <f t="shared" si="18"/>
        <v>1.9952623149688769E-5</v>
      </c>
      <c r="U48" s="1">
        <f t="shared" si="19"/>
        <v>5.0619910596354569E-10</v>
      </c>
      <c r="V48" s="1">
        <f t="shared" si="20"/>
        <v>7.9721344499634368E-3</v>
      </c>
      <c r="W48" s="1">
        <f t="shared" si="21"/>
        <v>3.0675955183345521E-2</v>
      </c>
      <c r="X48" s="1">
        <f t="shared" si="22"/>
        <v>0.884714075930636</v>
      </c>
      <c r="Y48" s="1">
        <f t="shared" si="23"/>
        <v>0.88500188540573732</v>
      </c>
      <c r="Z48" s="1">
        <f t="shared" si="24"/>
        <v>44.250094270286858</v>
      </c>
      <c r="AB48">
        <v>6.1</v>
      </c>
      <c r="AC48">
        <v>7.9432823472428114E-7</v>
      </c>
      <c r="AD48">
        <v>1.2715146659121094E-8</v>
      </c>
      <c r="AE48">
        <v>6.8573531548828393E-2</v>
      </c>
      <c r="AF48">
        <v>1.0475489483723869E-2</v>
      </c>
      <c r="AG48">
        <v>0.23401632953414236</v>
      </c>
      <c r="AH48">
        <v>0.23402506025027317</v>
      </c>
      <c r="AI48">
        <v>11.701253012513659</v>
      </c>
      <c r="AJ48"/>
      <c r="AK48"/>
      <c r="AL48"/>
      <c r="AM48"/>
      <c r="AN48"/>
      <c r="AO48"/>
      <c r="AP48"/>
      <c r="AQ48"/>
      <c r="AR48"/>
    </row>
    <row r="49" spans="1:44" ht="15" customHeight="1" x14ac:dyDescent="0.3">
      <c r="A49" s="2">
        <v>4.8</v>
      </c>
      <c r="B49" s="1">
        <f t="shared" si="12"/>
        <v>1.5848931924611131E-5</v>
      </c>
      <c r="C49" s="1">
        <f t="shared" si="13"/>
        <v>6.3726691792499525E-10</v>
      </c>
      <c r="D49" s="1">
        <f t="shared" si="14"/>
        <v>5.8358021050345342E-2</v>
      </c>
      <c r="E49" s="1">
        <f t="shared" si="15"/>
        <v>0.36803498245804556</v>
      </c>
      <c r="F49" s="1">
        <f t="shared" si="16"/>
        <v>0.55789667714673352</v>
      </c>
      <c r="G49" s="1">
        <f t="shared" si="17"/>
        <v>0.55777658248109507</v>
      </c>
      <c r="H49" s="1">
        <f t="shared" si="25"/>
        <v>139.44414562027376</v>
      </c>
      <c r="J49" s="2">
        <v>7.4</v>
      </c>
      <c r="K49" s="1">
        <v>3.981071705534957E-8</v>
      </c>
      <c r="L49" s="1">
        <v>2.5370052958246857E-7</v>
      </c>
      <c r="M49" s="1">
        <v>1.6560873047683305E-4</v>
      </c>
      <c r="N49" s="1">
        <v>0.41652865939126932</v>
      </c>
      <c r="O49" s="1">
        <v>0.99801341850891501</v>
      </c>
      <c r="P49" s="1">
        <v>0.99801598094305066</v>
      </c>
      <c r="Q49" s="2">
        <v>249.50399523576266</v>
      </c>
      <c r="S49" s="2">
        <v>4.8</v>
      </c>
      <c r="T49" s="1">
        <f t="shared" si="18"/>
        <v>1.5848931924611131E-5</v>
      </c>
      <c r="U49" s="1">
        <f t="shared" si="19"/>
        <v>6.3726691792499525E-10</v>
      </c>
      <c r="V49" s="1">
        <f t="shared" si="20"/>
        <v>9.8417892510115831E-3</v>
      </c>
      <c r="W49" s="1">
        <f t="shared" si="21"/>
        <v>3.0052736916329474E-2</v>
      </c>
      <c r="X49" s="1">
        <f t="shared" si="22"/>
        <v>0.85907043233589242</v>
      </c>
      <c r="Y49" s="1">
        <f t="shared" si="23"/>
        <v>0.8592970072433157</v>
      </c>
      <c r="Z49" s="1">
        <f t="shared" si="24"/>
        <v>42.964850362165784</v>
      </c>
      <c r="AB49">
        <v>6.2</v>
      </c>
      <c r="AC49">
        <v>6.3095734448019254E-7</v>
      </c>
      <c r="AD49">
        <v>1.6007421243857263E-8</v>
      </c>
      <c r="AE49">
        <v>7.3312198065534642E-2</v>
      </c>
      <c r="AF49">
        <v>8.8959339781551176E-3</v>
      </c>
      <c r="AG49">
        <v>0.19528495031298629</v>
      </c>
      <c r="AH49">
        <v>0.19529170028529913</v>
      </c>
      <c r="AI49">
        <v>9.7645850142649557</v>
      </c>
      <c r="AJ49"/>
      <c r="AK49"/>
      <c r="AL49"/>
      <c r="AM49"/>
      <c r="AN49"/>
      <c r="AO49"/>
      <c r="AP49"/>
      <c r="AQ49"/>
      <c r="AR49"/>
    </row>
    <row r="50" spans="1:44" ht="15" customHeight="1" x14ac:dyDescent="0.3">
      <c r="A50" s="2">
        <v>4.9000000000000004</v>
      </c>
      <c r="B50" s="1">
        <f t="shared" si="12"/>
        <v>1.2589254117941658E-5</v>
      </c>
      <c r="C50" s="1">
        <f t="shared" si="13"/>
        <v>8.0227151707152515E-10</v>
      </c>
      <c r="D50" s="1">
        <f t="shared" si="14"/>
        <v>4.7493204410867608E-2</v>
      </c>
      <c r="E50" s="1">
        <f t="shared" si="15"/>
        <v>0.377088996324277</v>
      </c>
      <c r="F50" s="1">
        <f t="shared" si="16"/>
        <v>0.61369922513781072</v>
      </c>
      <c r="G50" s="1">
        <f t="shared" si="17"/>
        <v>0.61359680589567656</v>
      </c>
      <c r="H50" s="1">
        <f t="shared" si="25"/>
        <v>153.39920147391913</v>
      </c>
      <c r="J50" s="2">
        <v>7.5</v>
      </c>
      <c r="K50" s="1">
        <v>3.1622776601683699E-8</v>
      </c>
      <c r="L50" s="1">
        <v>3.1939004367700723E-7</v>
      </c>
      <c r="M50" s="1">
        <v>1.3143870976532098E-4</v>
      </c>
      <c r="N50" s="1">
        <v>0.41655713440852893</v>
      </c>
      <c r="O50" s="1">
        <v>0.99842135722330883</v>
      </c>
      <c r="P50" s="1">
        <v>0.99842480589762062</v>
      </c>
      <c r="Q50" s="2">
        <v>249.60620147440514</v>
      </c>
      <c r="S50" s="2">
        <v>4.9000000000000004</v>
      </c>
      <c r="T50" s="1">
        <f t="shared" si="18"/>
        <v>1.2589254117941658E-5</v>
      </c>
      <c r="U50" s="1">
        <f t="shared" si="19"/>
        <v>8.0227151707152515E-10</v>
      </c>
      <c r="V50" s="1">
        <f t="shared" si="20"/>
        <v>1.2088746166033951E-2</v>
      </c>
      <c r="W50" s="1">
        <f t="shared" si="21"/>
        <v>2.930375127798868E-2</v>
      </c>
      <c r="X50" s="1">
        <f t="shared" si="22"/>
        <v>0.82882635448643516</v>
      </c>
      <c r="Y50" s="1">
        <f t="shared" si="23"/>
        <v>0.82900441841590788</v>
      </c>
      <c r="Z50" s="1">
        <f t="shared" si="24"/>
        <v>41.450220920795395</v>
      </c>
      <c r="AB50">
        <v>6.3</v>
      </c>
      <c r="AC50">
        <v>5.0118723362727218E-7</v>
      </c>
      <c r="AD50">
        <v>2.0152149381185686E-8</v>
      </c>
      <c r="AE50">
        <v>7.7570036327406514E-2</v>
      </c>
      <c r="AF50">
        <v>7.4766545575311672E-3</v>
      </c>
      <c r="AG50">
        <v>0.16161140746122046</v>
      </c>
      <c r="AH50">
        <v>0.16161660652835261</v>
      </c>
      <c r="AI50">
        <v>8.0808303264176313</v>
      </c>
      <c r="AJ50"/>
      <c r="AK50"/>
      <c r="AL50"/>
      <c r="AM50"/>
      <c r="AN50"/>
      <c r="AO50"/>
      <c r="AP50"/>
      <c r="AQ50"/>
      <c r="AR50"/>
    </row>
    <row r="51" spans="1:44" ht="15" customHeight="1" x14ac:dyDescent="0.3">
      <c r="A51" s="2">
        <v>5</v>
      </c>
      <c r="B51" s="1">
        <f t="shared" si="12"/>
        <v>1.0000000000000001E-5</v>
      </c>
      <c r="C51" s="1">
        <f t="shared" si="13"/>
        <v>1.0099999999999998E-9</v>
      </c>
      <c r="D51" s="1">
        <f t="shared" si="14"/>
        <v>3.8475383216923086E-2</v>
      </c>
      <c r="E51" s="1">
        <f t="shared" si="15"/>
        <v>0.38460384731923075</v>
      </c>
      <c r="F51" s="1">
        <f t="shared" si="16"/>
        <v>0.66666666666666663</v>
      </c>
      <c r="G51" s="1">
        <f t="shared" si="17"/>
        <v>0.66658001741738304</v>
      </c>
      <c r="H51" s="1">
        <f t="shared" si="25"/>
        <v>166.64500435434576</v>
      </c>
      <c r="J51" s="2">
        <v>7.6</v>
      </c>
      <c r="K51" s="1">
        <v>2.5118864315095751E-8</v>
      </c>
      <c r="L51" s="1">
        <v>4.02088242259033E-7</v>
      </c>
      <c r="M51" s="1">
        <v>1.042626671512553E-4</v>
      </c>
      <c r="N51" s="1">
        <v>0.41657978111070726</v>
      </c>
      <c r="O51" s="1">
        <v>0.99874563219897494</v>
      </c>
      <c r="P51" s="1">
        <v>0.99875015111996268</v>
      </c>
      <c r="Q51" s="2">
        <v>249.68753777999063</v>
      </c>
      <c r="S51" s="2">
        <v>5</v>
      </c>
      <c r="T51" s="1">
        <f t="shared" si="18"/>
        <v>1.0000000000000001E-5</v>
      </c>
      <c r="U51" s="1">
        <f t="shared" si="19"/>
        <v>1.0099999999999998E-9</v>
      </c>
      <c r="V51" s="1">
        <f t="shared" si="20"/>
        <v>1.4761989720965899E-2</v>
      </c>
      <c r="W51" s="1">
        <f t="shared" si="21"/>
        <v>2.8412670093011367E-2</v>
      </c>
      <c r="X51" s="1">
        <f t="shared" si="22"/>
        <v>0.79365079365079361</v>
      </c>
      <c r="Y51" s="1">
        <f t="shared" si="23"/>
        <v>0.79379046906560513</v>
      </c>
      <c r="Z51" s="1">
        <f t="shared" si="24"/>
        <v>39.689523453280259</v>
      </c>
      <c r="AB51">
        <v>6.4</v>
      </c>
      <c r="AC51">
        <v>3.9810717055349618E-7</v>
      </c>
      <c r="AD51">
        <v>2.5370052958246826E-8</v>
      </c>
      <c r="AE51">
        <v>8.1321629907766618E-2</v>
      </c>
      <c r="AF51">
        <v>6.2261233640777949E-3</v>
      </c>
      <c r="AG51">
        <v>0.13278617070916765</v>
      </c>
      <c r="AH51">
        <v>0.13279014555942412</v>
      </c>
      <c r="AI51">
        <v>6.6395072779712061</v>
      </c>
      <c r="AJ51"/>
      <c r="AK51"/>
      <c r="AL51"/>
      <c r="AM51"/>
      <c r="AN51"/>
      <c r="AO51"/>
      <c r="AP51"/>
      <c r="AQ51"/>
      <c r="AR51"/>
    </row>
    <row r="52" spans="1:44" ht="15" customHeight="1" x14ac:dyDescent="0.3">
      <c r="A52" s="2">
        <v>5.0999999999999996</v>
      </c>
      <c r="B52" s="1">
        <f t="shared" si="12"/>
        <v>7.9432823472428065E-6</v>
      </c>
      <c r="C52" s="1">
        <f t="shared" si="13"/>
        <v>1.2715146659121102E-9</v>
      </c>
      <c r="D52" s="1">
        <f t="shared" si="14"/>
        <v>3.105260906114013E-2</v>
      </c>
      <c r="E52" s="1">
        <f t="shared" si="15"/>
        <v>0.39078949244904987</v>
      </c>
      <c r="F52" s="1">
        <f t="shared" si="16"/>
        <v>0.71573552997339351</v>
      </c>
      <c r="G52" s="1">
        <f t="shared" si="17"/>
        <v>0.71566280793399739</v>
      </c>
      <c r="H52" s="1">
        <f t="shared" si="25"/>
        <v>178.91570198349933</v>
      </c>
      <c r="J52" s="2">
        <v>7.7</v>
      </c>
      <c r="K52" s="1">
        <v>1.9952623149688773E-8</v>
      </c>
      <c r="L52" s="1">
        <v>5.0619910596354556E-7</v>
      </c>
      <c r="M52" s="1">
        <v>8.263545826160783E-5</v>
      </c>
      <c r="N52" s="1">
        <v>0.41659780378478201</v>
      </c>
      <c r="O52" s="1">
        <v>0.99900336311852123</v>
      </c>
      <c r="P52" s="1">
        <v>0.99900919325855198</v>
      </c>
      <c r="Q52" s="2">
        <v>249.75229831463798</v>
      </c>
      <c r="S52" s="2">
        <v>5.0999999999999996</v>
      </c>
      <c r="T52" s="1">
        <f t="shared" si="18"/>
        <v>7.9432823472428065E-6</v>
      </c>
      <c r="U52" s="1">
        <f t="shared" si="19"/>
        <v>1.2715146659121102E-9</v>
      </c>
      <c r="V52" s="1">
        <f t="shared" si="20"/>
        <v>1.7903945365783654E-2</v>
      </c>
      <c r="W52" s="1">
        <f t="shared" si="21"/>
        <v>2.7365351544738778E-2</v>
      </c>
      <c r="X52" s="1">
        <f t="shared" si="22"/>
        <v>0.75339747961127768</v>
      </c>
      <c r="Y52" s="1">
        <f t="shared" si="23"/>
        <v>0.753506821516298</v>
      </c>
      <c r="Z52" s="1">
        <f t="shared" si="24"/>
        <v>37.675341075814899</v>
      </c>
      <c r="AB52">
        <v>6.5</v>
      </c>
      <c r="AC52">
        <v>3.1622776601683734E-7</v>
      </c>
      <c r="AD52">
        <v>3.1939004367700689E-8</v>
      </c>
      <c r="AE52">
        <v>8.4570547488196104E-2</v>
      </c>
      <c r="AF52">
        <v>5.1431508372679615E-3</v>
      </c>
      <c r="AG52">
        <v>0.10843726601257918</v>
      </c>
      <c r="AH52">
        <v>0.10844026304193614</v>
      </c>
      <c r="AI52">
        <v>5.4220131520968069</v>
      </c>
      <c r="AJ52"/>
      <c r="AK52"/>
      <c r="AL52"/>
      <c r="AM52"/>
      <c r="AN52"/>
      <c r="AO52"/>
      <c r="AP52"/>
      <c r="AQ52"/>
      <c r="AR52"/>
    </row>
    <row r="53" spans="1:44" ht="15" customHeight="1" x14ac:dyDescent="0.3">
      <c r="A53" s="2">
        <v>5.2</v>
      </c>
      <c r="B53" s="1">
        <f t="shared" si="12"/>
        <v>6.3095734448019212E-6</v>
      </c>
      <c r="C53" s="1">
        <f t="shared" si="13"/>
        <v>1.6007421243857275E-9</v>
      </c>
      <c r="D53" s="1">
        <f t="shared" si="14"/>
        <v>2.498450748237788E-2</v>
      </c>
      <c r="E53" s="1">
        <f t="shared" si="15"/>
        <v>0.39584624376468508</v>
      </c>
      <c r="F53" s="1">
        <f t="shared" si="16"/>
        <v>0.7601795613281398</v>
      </c>
      <c r="G53" s="1">
        <f t="shared" si="17"/>
        <v>0.760118997283878</v>
      </c>
      <c r="H53" s="1">
        <f t="shared" si="25"/>
        <v>190.0297493209695</v>
      </c>
      <c r="J53" s="2">
        <v>7.8</v>
      </c>
      <c r="K53" s="1">
        <v>1.5848931924611133E-8</v>
      </c>
      <c r="L53" s="1">
        <v>6.3726691792499521E-7</v>
      </c>
      <c r="M53" s="1">
        <v>6.5406667377480228E-5</v>
      </c>
      <c r="N53" s="1">
        <v>0.41661216111051874</v>
      </c>
      <c r="O53" s="1">
        <v>0.99920818087813745</v>
      </c>
      <c r="P53" s="1">
        <v>0.99921563301977201</v>
      </c>
      <c r="Q53" s="2">
        <v>249.803908254943</v>
      </c>
      <c r="S53" s="2">
        <v>5.2</v>
      </c>
      <c r="T53" s="1">
        <f t="shared" si="18"/>
        <v>6.3095734448019212E-6</v>
      </c>
      <c r="U53" s="1">
        <f t="shared" si="19"/>
        <v>1.6007421243857275E-9</v>
      </c>
      <c r="V53" s="1">
        <f t="shared" si="20"/>
        <v>2.1544093045850927E-2</v>
      </c>
      <c r="W53" s="1">
        <f t="shared" si="21"/>
        <v>2.6151968984716358E-2</v>
      </c>
      <c r="X53" s="1">
        <f t="shared" si="22"/>
        <v>0.70817907096137034</v>
      </c>
      <c r="Y53" s="1">
        <f t="shared" si="23"/>
        <v>0.70826448925371954</v>
      </c>
      <c r="Z53" s="1">
        <f t="shared" si="24"/>
        <v>35.413224462685982</v>
      </c>
      <c r="AB53">
        <v>6.6</v>
      </c>
      <c r="AC53">
        <v>2.511886431509578E-7</v>
      </c>
      <c r="AD53">
        <v>4.0208824225903253E-8</v>
      </c>
      <c r="AE53">
        <v>8.7342309051744449E-2</v>
      </c>
      <c r="AF53">
        <v>4.2192303160851858E-3</v>
      </c>
      <c r="AG53">
        <v>8.8099622504584488E-2</v>
      </c>
      <c r="AH53">
        <v>8.8101825241309425E-2</v>
      </c>
      <c r="AI53">
        <v>4.4050912620654712</v>
      </c>
      <c r="AJ53"/>
      <c r="AK53"/>
      <c r="AL53"/>
      <c r="AM53"/>
      <c r="AN53"/>
      <c r="AO53"/>
      <c r="AP53"/>
      <c r="AQ53"/>
      <c r="AR53"/>
    </row>
    <row r="54" spans="1:44" ht="15" customHeight="1" x14ac:dyDescent="0.3">
      <c r="A54" s="2">
        <v>5.3</v>
      </c>
      <c r="B54" s="1">
        <f t="shared" si="12"/>
        <v>5.011872336272719E-6</v>
      </c>
      <c r="C54" s="1">
        <f t="shared" si="13"/>
        <v>2.0152149381185696E-9</v>
      </c>
      <c r="D54" s="1">
        <f t="shared" si="14"/>
        <v>2.005159955395279E-2</v>
      </c>
      <c r="E54" s="1">
        <f t="shared" si="15"/>
        <v>0.39995700037170601</v>
      </c>
      <c r="F54" s="1">
        <f t="shared" si="16"/>
        <v>0.79962026557266563</v>
      </c>
      <c r="G54" s="1">
        <f t="shared" si="17"/>
        <v>0.79957018853439266</v>
      </c>
      <c r="H54" s="1">
        <f t="shared" si="25"/>
        <v>199.89254713359816</v>
      </c>
      <c r="J54" s="2">
        <v>7.9</v>
      </c>
      <c r="K54" s="1">
        <v>1.2589254117941638E-8</v>
      </c>
      <c r="L54" s="1">
        <v>8.0227151707152647E-7</v>
      </c>
      <c r="M54" s="1">
        <v>5.1659626518202892E-5</v>
      </c>
      <c r="N54" s="1">
        <v>0.41662361697790146</v>
      </c>
      <c r="O54" s="1">
        <v>0.99937093326815019</v>
      </c>
      <c r="P54" s="1">
        <v>0.99938040456247046</v>
      </c>
      <c r="Q54" s="2">
        <v>249.84510114061763</v>
      </c>
      <c r="S54" s="2">
        <v>5.3</v>
      </c>
      <c r="T54" s="1">
        <f t="shared" si="18"/>
        <v>5.011872336272719E-6</v>
      </c>
      <c r="U54" s="1">
        <f t="shared" si="19"/>
        <v>2.0152149381185696E-9</v>
      </c>
      <c r="V54" s="1">
        <f t="shared" si="20"/>
        <v>2.5691610816460691E-2</v>
      </c>
      <c r="W54" s="1">
        <f t="shared" si="21"/>
        <v>2.4769463061179772E-2</v>
      </c>
      <c r="X54" s="1">
        <f t="shared" si="22"/>
        <v>0.65842832287001629</v>
      </c>
      <c r="Y54" s="1">
        <f t="shared" si="23"/>
        <v>0.65849491626845769</v>
      </c>
      <c r="Z54" s="1">
        <f t="shared" si="24"/>
        <v>32.924745813422881</v>
      </c>
      <c r="AB54">
        <v>6.7</v>
      </c>
      <c r="AC54">
        <v>1.9952623149688761E-7</v>
      </c>
      <c r="AD54">
        <v>5.0619910596354589E-8</v>
      </c>
      <c r="AE54">
        <v>8.9676932364926992E-2</v>
      </c>
      <c r="AF54">
        <v>3.4410225450243366E-3</v>
      </c>
      <c r="AG54">
        <v>7.127142773375704E-2</v>
      </c>
      <c r="AH54">
        <v>7.1272969861944646E-2</v>
      </c>
      <c r="AI54">
        <v>3.5636484930972321</v>
      </c>
      <c r="AJ54"/>
      <c r="AK54"/>
      <c r="AL54"/>
      <c r="AM54"/>
      <c r="AN54"/>
      <c r="AO54"/>
      <c r="AP54"/>
      <c r="AQ54"/>
      <c r="AR54"/>
    </row>
    <row r="55" spans="1:44" ht="15" customHeight="1" x14ac:dyDescent="0.3">
      <c r="A55" s="2">
        <v>5.4</v>
      </c>
      <c r="B55" s="1">
        <f t="shared" si="12"/>
        <v>3.9810717055349657E-6</v>
      </c>
      <c r="C55" s="1">
        <f t="shared" si="13"/>
        <v>2.53700529582468E-9</v>
      </c>
      <c r="D55" s="1">
        <f t="shared" si="14"/>
        <v>1.6059776565346229E-2</v>
      </c>
      <c r="E55" s="1">
        <f t="shared" si="15"/>
        <v>0.4032835195288782</v>
      </c>
      <c r="F55" s="1">
        <f t="shared" si="16"/>
        <v>0.8339910845345534</v>
      </c>
      <c r="G55" s="1">
        <f t="shared" si="17"/>
        <v>0.83394994847707005</v>
      </c>
      <c r="H55" s="1">
        <f t="shared" si="25"/>
        <v>208.48748711926751</v>
      </c>
      <c r="J55" s="2">
        <v>8</v>
      </c>
      <c r="K55" s="1">
        <v>1E-8</v>
      </c>
      <c r="L55" s="1">
        <v>1.0099999999999999E-6</v>
      </c>
      <c r="M55" s="1">
        <v>4.0662778101845351E-5</v>
      </c>
      <c r="N55" s="1">
        <v>0.41663278101824847</v>
      </c>
      <c r="O55" s="1">
        <v>0.99950024987506236</v>
      </c>
      <c r="P55" s="1">
        <v>0.99951224499751223</v>
      </c>
      <c r="Q55" s="2">
        <v>249.87806124937805</v>
      </c>
      <c r="S55" s="2">
        <v>5.4</v>
      </c>
      <c r="T55" s="1">
        <f t="shared" si="18"/>
        <v>3.9810717055349657E-6</v>
      </c>
      <c r="U55" s="1">
        <f t="shared" si="19"/>
        <v>2.53700529582468E-9</v>
      </c>
      <c r="V55" s="1">
        <f t="shared" si="20"/>
        <v>3.0328117998704281E-2</v>
      </c>
      <c r="W55" s="1">
        <f t="shared" si="21"/>
        <v>2.3223960667098576E-2</v>
      </c>
      <c r="X55" s="1">
        <f t="shared" si="22"/>
        <v>0.60492756858836716</v>
      </c>
      <c r="Y55" s="1">
        <f t="shared" si="23"/>
        <v>0.60497938859282185</v>
      </c>
      <c r="Z55" s="1">
        <f t="shared" si="24"/>
        <v>30.248969429641093</v>
      </c>
      <c r="AB55">
        <v>6.8</v>
      </c>
      <c r="AC55">
        <v>1.5848931924611122E-7</v>
      </c>
      <c r="AD55">
        <v>6.3726691792499566E-8</v>
      </c>
      <c r="AE55">
        <v>9.1622262634028145E-2</v>
      </c>
      <c r="AF55">
        <v>2.7925791219906206E-3</v>
      </c>
      <c r="AG55">
        <v>5.7455114341144517E-2</v>
      </c>
      <c r="AH55">
        <v>5.7456089190868927E-2</v>
      </c>
      <c r="AI55">
        <v>2.8728044595434463</v>
      </c>
      <c r="AJ55"/>
      <c r="AK55"/>
      <c r="AL55"/>
      <c r="AM55"/>
      <c r="AN55"/>
      <c r="AO55"/>
      <c r="AP55"/>
      <c r="AQ55"/>
      <c r="AR55"/>
    </row>
    <row r="56" spans="1:44" ht="15" customHeight="1" x14ac:dyDescent="0.3">
      <c r="A56" s="2">
        <v>5.5</v>
      </c>
      <c r="B56" s="1">
        <f t="shared" si="12"/>
        <v>3.1622776601683767E-6</v>
      </c>
      <c r="C56" s="1">
        <f t="shared" si="13"/>
        <v>3.1939004367700655E-9</v>
      </c>
      <c r="D56" s="1">
        <f t="shared" si="14"/>
        <v>1.2841414510855976E-2</v>
      </c>
      <c r="E56" s="1">
        <f t="shared" si="15"/>
        <v>0.40596548790761999</v>
      </c>
      <c r="F56" s="1">
        <f t="shared" si="16"/>
        <v>0.86347294050418577</v>
      </c>
      <c r="G56" s="1">
        <f t="shared" si="17"/>
        <v>0.86343934556452528</v>
      </c>
      <c r="H56" s="1">
        <f t="shared" si="25"/>
        <v>215.8598363911313</v>
      </c>
      <c r="J56" s="2">
        <v>8.1</v>
      </c>
      <c r="K56" s="1">
        <v>7.9432823472428087E-9</v>
      </c>
      <c r="L56" s="1">
        <v>1.2715146659121098E-6</v>
      </c>
      <c r="M56" s="1">
        <v>3.183082954083591E-5</v>
      </c>
      <c r="N56" s="1">
        <v>0.4166401409753826</v>
      </c>
      <c r="O56" s="1">
        <v>0.99960299355935045</v>
      </c>
      <c r="P56" s="1">
        <v>0.99961815159102607</v>
      </c>
      <c r="Q56" s="2">
        <v>249.90453789775651</v>
      </c>
      <c r="S56" s="2">
        <v>5.5</v>
      </c>
      <c r="T56" s="1">
        <f t="shared" si="18"/>
        <v>3.1622776601683767E-6</v>
      </c>
      <c r="U56" s="1">
        <f t="shared" si="19"/>
        <v>3.1939004367700655E-9</v>
      </c>
      <c r="V56" s="1">
        <f t="shared" si="20"/>
        <v>3.5402144910126936E-2</v>
      </c>
      <c r="W56" s="1">
        <f t="shared" si="21"/>
        <v>2.1532618363291022E-2</v>
      </c>
      <c r="X56" s="1">
        <f t="shared" si="22"/>
        <v>0.54878953196364599</v>
      </c>
      <c r="Y56" s="1">
        <f t="shared" si="23"/>
        <v>0.5488297917976539</v>
      </c>
      <c r="Z56" s="1">
        <f t="shared" si="24"/>
        <v>27.441489589882696</v>
      </c>
      <c r="AB56">
        <v>6.9</v>
      </c>
      <c r="AC56">
        <v>1.2589254117941651E-7</v>
      </c>
      <c r="AD56">
        <v>8.0227151707152563E-8</v>
      </c>
      <c r="AE56">
        <v>9.3228698691499495E-2</v>
      </c>
      <c r="AF56">
        <v>2.2571004361668398E-3</v>
      </c>
      <c r="AG56">
        <v>4.618397067294016E-2</v>
      </c>
      <c r="AH56">
        <v>4.6184437871986603E-2</v>
      </c>
      <c r="AI56">
        <v>2.3092218935993301</v>
      </c>
      <c r="AJ56"/>
      <c r="AK56"/>
      <c r="AL56"/>
      <c r="AM56"/>
      <c r="AN56"/>
      <c r="AO56"/>
      <c r="AP56"/>
      <c r="AQ56"/>
      <c r="AR56"/>
    </row>
    <row r="57" spans="1:44" ht="15" customHeight="1" x14ac:dyDescent="0.3">
      <c r="A57" s="2">
        <v>5.6</v>
      </c>
      <c r="B57" s="1">
        <f t="shared" si="12"/>
        <v>2.5118864315095806E-6</v>
      </c>
      <c r="C57" s="1">
        <f t="shared" si="13"/>
        <v>4.0208824225903214E-9</v>
      </c>
      <c r="D57" s="1">
        <f t="shared" si="14"/>
        <v>1.0254367907098362E-2</v>
      </c>
      <c r="E57" s="1">
        <f t="shared" si="15"/>
        <v>0.40812136007741801</v>
      </c>
      <c r="F57" s="1">
        <f t="shared" si="16"/>
        <v>0.88841954941662604</v>
      </c>
      <c r="G57" s="1">
        <f t="shared" si="17"/>
        <v>0.88839225400224897</v>
      </c>
      <c r="H57" s="1">
        <f t="shared" si="25"/>
        <v>222.0980635005622</v>
      </c>
      <c r="J57" s="2">
        <v>8.1999999999999993</v>
      </c>
      <c r="K57" s="1">
        <v>6.3095734448019329E-9</v>
      </c>
      <c r="L57" s="1">
        <v>1.6007421243857243E-6</v>
      </c>
      <c r="M57" s="1">
        <v>2.4693655406013867E-5</v>
      </c>
      <c r="N57" s="1">
        <v>0.41664608862049496</v>
      </c>
      <c r="O57" s="1">
        <v>0.99968462082316378</v>
      </c>
      <c r="P57" s="1">
        <v>0.99970374929025729</v>
      </c>
      <c r="Q57" s="2">
        <v>249.92593732256429</v>
      </c>
      <c r="S57" s="2">
        <v>5.6</v>
      </c>
      <c r="T57" s="1">
        <f t="shared" si="18"/>
        <v>2.5118864315095806E-6</v>
      </c>
      <c r="U57" s="1">
        <f t="shared" si="19"/>
        <v>4.0208824225903214E-9</v>
      </c>
      <c r="V57" s="1">
        <f t="shared" si="20"/>
        <v>4.0827218144235289E-2</v>
      </c>
      <c r="W57" s="1">
        <f t="shared" si="21"/>
        <v>1.9724260618588237E-2</v>
      </c>
      <c r="X57" s="1">
        <f t="shared" si="22"/>
        <v>0.49138150175370787</v>
      </c>
      <c r="Y57" s="1">
        <f t="shared" si="23"/>
        <v>0.49141274239463395</v>
      </c>
      <c r="Z57" s="1">
        <f t="shared" si="24"/>
        <v>24.5706371197317</v>
      </c>
      <c r="AB57">
        <v>7</v>
      </c>
      <c r="AC57">
        <v>9.9999999999999995E-8</v>
      </c>
      <c r="AD57">
        <v>1.0099999999999999E-7</v>
      </c>
      <c r="AE57">
        <v>9.4545456018181817E-2</v>
      </c>
      <c r="AF57">
        <v>1.8181813272727275E-3</v>
      </c>
      <c r="AG57">
        <v>3.7037037037037035E-2</v>
      </c>
      <c r="AH57">
        <v>3.7037026851851902E-2</v>
      </c>
      <c r="AI57">
        <v>1.8518513425925953</v>
      </c>
      <c r="AJ57"/>
      <c r="AK57"/>
      <c r="AL57"/>
      <c r="AM57"/>
      <c r="AN57"/>
      <c r="AO57"/>
      <c r="AP57"/>
      <c r="AQ57"/>
      <c r="AR57"/>
    </row>
    <row r="58" spans="1:44" ht="15" customHeight="1" x14ac:dyDescent="0.3">
      <c r="A58" s="2">
        <v>5.7</v>
      </c>
      <c r="B58" s="1">
        <f t="shared" si="12"/>
        <v>1.9952623149688749E-6</v>
      </c>
      <c r="C58" s="1">
        <f t="shared" si="13"/>
        <v>5.0619910596354619E-9</v>
      </c>
      <c r="D58" s="1">
        <f t="shared" si="14"/>
        <v>8.1797750864879212E-3</v>
      </c>
      <c r="E58" s="1">
        <f t="shared" si="15"/>
        <v>0.40985018742792678</v>
      </c>
      <c r="F58" s="1">
        <f t="shared" si="16"/>
        <v>0.90928672336810468</v>
      </c>
      <c r="G58" s="1">
        <f t="shared" si="17"/>
        <v>0.90926464677951135</v>
      </c>
      <c r="H58" s="1">
        <f t="shared" si="25"/>
        <v>227.31616169487782</v>
      </c>
      <c r="J58" s="2">
        <v>8.3000000000000007</v>
      </c>
      <c r="K58" s="1">
        <v>5.0118723362727114E-9</v>
      </c>
      <c r="L58" s="1">
        <v>2.0152149381185727E-6</v>
      </c>
      <c r="M58" s="1">
        <v>1.8871306419803796E-5</v>
      </c>
      <c r="N58" s="1">
        <v>0.41665094057798352</v>
      </c>
      <c r="O58" s="1">
        <v>0.9997494691646146</v>
      </c>
      <c r="P58" s="1">
        <v>0.99977358705004393</v>
      </c>
      <c r="Q58" s="2">
        <v>249.94339676251096</v>
      </c>
      <c r="S58" s="2">
        <v>5.7</v>
      </c>
      <c r="T58" s="1">
        <f t="shared" si="18"/>
        <v>1.9952623149688749E-6</v>
      </c>
      <c r="U58" s="1">
        <f t="shared" si="19"/>
        <v>5.0619910596354619E-9</v>
      </c>
      <c r="V58" s="1">
        <f t="shared" si="20"/>
        <v>4.6485112409469155E-2</v>
      </c>
      <c r="W58" s="1">
        <f t="shared" si="21"/>
        <v>1.7838295863510285E-2</v>
      </c>
      <c r="X58" s="1">
        <f t="shared" si="22"/>
        <v>0.43419987330633791</v>
      </c>
      <c r="Y58" s="1">
        <f t="shared" si="23"/>
        <v>0.43422409627426228</v>
      </c>
      <c r="Z58" s="1">
        <f t="shared" si="24"/>
        <v>21.711204813713113</v>
      </c>
      <c r="AB58">
        <v>7.1</v>
      </c>
      <c r="AC58">
        <v>7.943282347242818E-8</v>
      </c>
      <c r="AD58">
        <v>1.2715146659121083E-7</v>
      </c>
      <c r="AE58">
        <v>9.5618213381509387E-2</v>
      </c>
      <c r="AF58">
        <v>1.4605955394968733E-3</v>
      </c>
      <c r="AG58">
        <v>2.9645387179174247E-2</v>
      </c>
      <c r="AH58">
        <v>2.9644902919670344E-2</v>
      </c>
      <c r="AI58">
        <v>1.4822451459835173</v>
      </c>
      <c r="AJ58"/>
      <c r="AK58"/>
      <c r="AL58"/>
      <c r="AM58"/>
      <c r="AN58"/>
      <c r="AO58"/>
      <c r="AP58"/>
      <c r="AQ58"/>
      <c r="AR58"/>
    </row>
    <row r="59" spans="1:44" ht="15" customHeight="1" x14ac:dyDescent="0.3">
      <c r="A59" s="2">
        <v>5.8</v>
      </c>
      <c r="B59" s="1">
        <f t="shared" si="12"/>
        <v>1.5848931924611111E-6</v>
      </c>
      <c r="C59" s="1">
        <f t="shared" si="13"/>
        <v>6.3726691792499607E-9</v>
      </c>
      <c r="D59" s="1">
        <f t="shared" si="14"/>
        <v>6.5193216739288674E-3</v>
      </c>
      <c r="E59" s="1">
        <f t="shared" si="15"/>
        <v>0.41123389860505921</v>
      </c>
      <c r="F59" s="1">
        <f t="shared" si="16"/>
        <v>0.92657396178292595</v>
      </c>
      <c r="G59" s="1">
        <f t="shared" si="17"/>
        <v>0.92655617886243635</v>
      </c>
      <c r="H59" s="1">
        <f t="shared" si="25"/>
        <v>231.63904471560906</v>
      </c>
      <c r="J59" s="2">
        <v>8.4</v>
      </c>
      <c r="K59" s="1">
        <v>3.9810717055349665E-9</v>
      </c>
      <c r="L59" s="1">
        <v>2.5370052958246796E-6</v>
      </c>
      <c r="M59" s="1">
        <v>1.40538040980393E-5</v>
      </c>
      <c r="N59" s="1">
        <v>0.41665495516325157</v>
      </c>
      <c r="O59" s="1">
        <v>0.99980098602916778</v>
      </c>
      <c r="P59" s="1">
        <v>0.99983137804862221</v>
      </c>
      <c r="Q59" s="2">
        <v>249.95784451215556</v>
      </c>
      <c r="S59" s="2">
        <v>5.8</v>
      </c>
      <c r="T59" s="1">
        <f t="shared" si="18"/>
        <v>1.5848931924611111E-6</v>
      </c>
      <c r="U59" s="1">
        <f t="shared" si="19"/>
        <v>6.3726691792499607E-9</v>
      </c>
      <c r="V59" s="1">
        <f t="shared" si="20"/>
        <v>5.2234748304907763E-2</v>
      </c>
      <c r="W59" s="1">
        <f t="shared" si="21"/>
        <v>1.592175056503075E-2</v>
      </c>
      <c r="X59" s="1">
        <f t="shared" si="22"/>
        <v>0.37871771621704031</v>
      </c>
      <c r="Y59" s="1">
        <f t="shared" si="23"/>
        <v>0.37873649063889003</v>
      </c>
      <c r="Z59" s="1">
        <f t="shared" si="24"/>
        <v>18.936824531944502</v>
      </c>
      <c r="AB59">
        <v>7.2</v>
      </c>
      <c r="AC59">
        <v>6.3095734448019177E-8</v>
      </c>
      <c r="AD59">
        <v>1.6007421243857284E-7</v>
      </c>
      <c r="AE59">
        <v>9.64878573304188E-2</v>
      </c>
      <c r="AF59">
        <v>1.1707142231937302E-3</v>
      </c>
      <c r="AG59">
        <v>2.3692627205193977E-2</v>
      </c>
      <c r="AH59">
        <v>2.3691645932515253E-2</v>
      </c>
      <c r="AI59">
        <v>1.1845822966257629</v>
      </c>
      <c r="AJ59"/>
      <c r="AK59"/>
      <c r="AL59"/>
      <c r="AM59"/>
      <c r="AN59"/>
      <c r="AO59"/>
      <c r="AP59"/>
      <c r="AQ59"/>
      <c r="AR59"/>
    </row>
    <row r="60" spans="1:44" ht="15" customHeight="1" x14ac:dyDescent="0.3">
      <c r="A60" s="2">
        <v>5.9</v>
      </c>
      <c r="B60" s="1">
        <f t="shared" si="12"/>
        <v>1.2589254117941642E-6</v>
      </c>
      <c r="C60" s="1">
        <f t="shared" si="13"/>
        <v>8.0227151707152622E-9</v>
      </c>
      <c r="D60" s="1">
        <f t="shared" si="14"/>
        <v>5.1923787122609118E-3</v>
      </c>
      <c r="E60" s="1">
        <f t="shared" si="15"/>
        <v>0.4123396844064493</v>
      </c>
      <c r="F60" s="1">
        <f t="shared" si="16"/>
        <v>0.94078132420109384</v>
      </c>
      <c r="G60" s="1">
        <f t="shared" si="17"/>
        <v>0.9407670543152491</v>
      </c>
      <c r="H60" s="1">
        <f t="shared" si="25"/>
        <v>235.19176357881227</v>
      </c>
      <c r="J60" s="2">
        <v>8.5</v>
      </c>
      <c r="K60" s="1">
        <v>3.1622776601683779E-9</v>
      </c>
      <c r="L60" s="1">
        <v>3.1939004367700643E-6</v>
      </c>
      <c r="M60" s="1">
        <v>9.9846511395914062E-6</v>
      </c>
      <c r="N60" s="1">
        <v>0.41665834612405039</v>
      </c>
      <c r="O60" s="1">
        <v>0.99984191111303944</v>
      </c>
      <c r="P60" s="1">
        <v>0.99988019614832158</v>
      </c>
      <c r="Q60" s="2">
        <v>249.97004903708037</v>
      </c>
      <c r="S60" s="2">
        <v>5.9</v>
      </c>
      <c r="T60" s="1">
        <f t="shared" si="18"/>
        <v>1.2589254117941642E-6</v>
      </c>
      <c r="U60" s="1">
        <f t="shared" si="19"/>
        <v>8.0227151707152622E-9</v>
      </c>
      <c r="V60" s="1">
        <f t="shared" si="20"/>
        <v>5.7925641114884352E-2</v>
      </c>
      <c r="W60" s="1">
        <f t="shared" si="21"/>
        <v>1.4024786295038548E-2</v>
      </c>
      <c r="X60" s="1">
        <f t="shared" si="22"/>
        <v>0.32623730117883804</v>
      </c>
      <c r="Y60" s="1">
        <f t="shared" si="23"/>
        <v>0.3262518507524037</v>
      </c>
      <c r="Z60" s="1">
        <f t="shared" si="24"/>
        <v>16.312592537620183</v>
      </c>
      <c r="AB60">
        <v>7.3</v>
      </c>
      <c r="AC60">
        <v>5.0118723362727164E-8</v>
      </c>
      <c r="AD60">
        <v>2.0152149381185708E-7</v>
      </c>
      <c r="AE60">
        <v>9.7190016360607978E-2</v>
      </c>
      <c r="AF60">
        <v>9.3666121313067347E-4</v>
      </c>
      <c r="AG60">
        <v>1.891187852109949E-2</v>
      </c>
      <c r="AH60">
        <v>1.8910350177997963E-2</v>
      </c>
      <c r="AI60">
        <v>0.94551750889989816</v>
      </c>
      <c r="AJ60"/>
      <c r="AK60"/>
      <c r="AL60"/>
      <c r="AM60"/>
      <c r="AN60"/>
      <c r="AO60"/>
      <c r="AP60"/>
      <c r="AQ60"/>
      <c r="AR60"/>
    </row>
    <row r="61" spans="1:44" ht="15" customHeight="1" x14ac:dyDescent="0.3">
      <c r="A61" s="2">
        <v>6</v>
      </c>
      <c r="B61" s="1">
        <f t="shared" si="12"/>
        <v>9.9999999999999995E-7</v>
      </c>
      <c r="C61" s="1">
        <f t="shared" si="13"/>
        <v>1.0099999999999999E-8</v>
      </c>
      <c r="D61" s="1">
        <f t="shared" si="14"/>
        <v>4.1332622099173591E-3</v>
      </c>
      <c r="E61" s="1">
        <f t="shared" si="15"/>
        <v>0.41322228149173557</v>
      </c>
      <c r="F61" s="1">
        <f t="shared" si="16"/>
        <v>0.95238095238095233</v>
      </c>
      <c r="G61" s="1">
        <f t="shared" si="17"/>
        <v>0.95236954507482563</v>
      </c>
      <c r="H61" s="1">
        <f t="shared" si="25"/>
        <v>238.09238626870641</v>
      </c>
      <c r="J61" s="2">
        <v>8.6</v>
      </c>
      <c r="K61" s="1">
        <v>2.5118864315095812E-9</v>
      </c>
      <c r="L61" s="1">
        <v>4.02088242259032E-6</v>
      </c>
      <c r="M61" s="1">
        <v>6.4471832890026882E-6</v>
      </c>
      <c r="N61" s="1">
        <v>0.41666129401392582</v>
      </c>
      <c r="O61" s="1">
        <v>0.9998744214503773</v>
      </c>
      <c r="P61" s="1">
        <v>0.99992263878815113</v>
      </c>
      <c r="Q61" s="2">
        <v>249.98065969703777</v>
      </c>
      <c r="S61" s="2">
        <v>6</v>
      </c>
      <c r="T61" s="1">
        <f t="shared" si="18"/>
        <v>9.9999999999999995E-7</v>
      </c>
      <c r="U61" s="1">
        <f t="shared" si="19"/>
        <v>1.0099999999999999E-8</v>
      </c>
      <c r="V61" s="1">
        <f t="shared" si="20"/>
        <v>6.3413330375609755E-2</v>
      </c>
      <c r="W61" s="1">
        <f t="shared" si="21"/>
        <v>1.2195556541463414E-2</v>
      </c>
      <c r="X61" s="1">
        <f t="shared" si="22"/>
        <v>0.27777777777777773</v>
      </c>
      <c r="Y61" s="1">
        <f t="shared" si="23"/>
        <v>0.27778905169468909</v>
      </c>
      <c r="Z61" s="1">
        <f t="shared" si="24"/>
        <v>13.889452584734455</v>
      </c>
      <c r="AB61">
        <v>7.4</v>
      </c>
      <c r="AC61">
        <v>3.981071705534957E-8</v>
      </c>
      <c r="AD61">
        <v>2.5370052958246857E-7</v>
      </c>
      <c r="AE61">
        <v>9.7755113536295582E-2</v>
      </c>
      <c r="AF61">
        <v>7.4829548790147275E-4</v>
      </c>
      <c r="AG61">
        <v>1.5080898337952632E-2</v>
      </c>
      <c r="AH61">
        <v>1.5078743313879458E-2</v>
      </c>
      <c r="AI61">
        <v>0.75393716569397284</v>
      </c>
      <c r="AJ61"/>
      <c r="AK61"/>
      <c r="AL61"/>
      <c r="AM61"/>
      <c r="AN61"/>
      <c r="AO61"/>
      <c r="AP61"/>
      <c r="AQ61"/>
      <c r="AR61"/>
    </row>
    <row r="62" spans="1:44" ht="15" customHeight="1" x14ac:dyDescent="0.3">
      <c r="A62" s="2">
        <v>6.1</v>
      </c>
      <c r="B62" s="1">
        <f t="shared" si="12"/>
        <v>7.9432823472428114E-7</v>
      </c>
      <c r="C62" s="1">
        <f t="shared" si="13"/>
        <v>1.2715146659121094E-8</v>
      </c>
      <c r="D62" s="1">
        <f t="shared" si="14"/>
        <v>3.2887441147470852E-3</v>
      </c>
      <c r="E62" s="1">
        <f t="shared" si="15"/>
        <v>0.41392604657104409</v>
      </c>
      <c r="F62" s="1">
        <f t="shared" si="16"/>
        <v>0.96180072634431923</v>
      </c>
      <c r="G62" s="1">
        <f t="shared" si="17"/>
        <v>0.96179164562876085</v>
      </c>
      <c r="H62" s="1">
        <f t="shared" si="25"/>
        <v>240.44791140719019</v>
      </c>
      <c r="J62" s="2">
        <v>8.6999999999999993</v>
      </c>
      <c r="K62" s="1">
        <v>1.9952623149688824E-9</v>
      </c>
      <c r="L62" s="1">
        <v>5.0619910596354431E-6</v>
      </c>
      <c r="M62" s="1">
        <v>3.2530382918937698E-6</v>
      </c>
      <c r="N62" s="1">
        <v>0.4166639558014234</v>
      </c>
      <c r="O62" s="1">
        <v>0.99990024683593803</v>
      </c>
      <c r="P62" s="1">
        <v>0.99996096481032692</v>
      </c>
      <c r="Q62" s="2">
        <v>249.99024120258173</v>
      </c>
      <c r="S62" s="2">
        <v>6.1</v>
      </c>
      <c r="T62" s="1">
        <f t="shared" si="18"/>
        <v>7.9432823472428114E-7</v>
      </c>
      <c r="U62" s="1">
        <f t="shared" si="19"/>
        <v>1.2715146659121094E-8</v>
      </c>
      <c r="V62" s="1">
        <f t="shared" si="20"/>
        <v>6.8573531548828393E-2</v>
      </c>
      <c r="W62" s="1">
        <f t="shared" si="21"/>
        <v>1.0475489483723869E-2</v>
      </c>
      <c r="X62" s="1">
        <f t="shared" si="22"/>
        <v>0.23401632953414236</v>
      </c>
      <c r="Y62" s="1">
        <f t="shared" si="23"/>
        <v>0.23402506025027317</v>
      </c>
      <c r="Z62" s="1">
        <f t="shared" si="24"/>
        <v>11.701253012513659</v>
      </c>
      <c r="AB62">
        <v>7.5</v>
      </c>
      <c r="AC62">
        <v>3.1622776601683699E-8</v>
      </c>
      <c r="AD62">
        <v>3.1939004367700723E-7</v>
      </c>
      <c r="AE62">
        <v>9.8208725787866546E-2</v>
      </c>
      <c r="AF62">
        <v>5.9709140404448473E-4</v>
      </c>
      <c r="AG62">
        <v>1.2016454973276759E-2</v>
      </c>
      <c r="AH62">
        <v>1.2013560015059339E-2</v>
      </c>
      <c r="AI62">
        <v>0.60067800075296696</v>
      </c>
      <c r="AJ62"/>
      <c r="AK62"/>
      <c r="AL62"/>
      <c r="AM62"/>
      <c r="AN62"/>
      <c r="AO62"/>
      <c r="AP62"/>
      <c r="AQ62"/>
      <c r="AR62"/>
    </row>
    <row r="63" spans="1:44" ht="15" customHeight="1" x14ac:dyDescent="0.3">
      <c r="A63" s="2">
        <v>6.2</v>
      </c>
      <c r="B63" s="1">
        <f t="shared" si="12"/>
        <v>6.3095734448019254E-7</v>
      </c>
      <c r="C63" s="1">
        <f t="shared" si="13"/>
        <v>1.6007421243857263E-8</v>
      </c>
      <c r="D63" s="1">
        <f t="shared" si="14"/>
        <v>2.6158691037557811E-3</v>
      </c>
      <c r="E63" s="1">
        <f t="shared" si="15"/>
        <v>0.41448677574687021</v>
      </c>
      <c r="F63" s="1">
        <f t="shared" si="16"/>
        <v>0.96941696238594544</v>
      </c>
      <c r="G63" s="1">
        <f t="shared" si="17"/>
        <v>0.96940977110145576</v>
      </c>
      <c r="H63" s="1">
        <f t="shared" si="25"/>
        <v>242.35244277536395</v>
      </c>
      <c r="J63" s="2">
        <v>8.8000000000000007</v>
      </c>
      <c r="K63" s="1">
        <v>1.584893192461106E-9</v>
      </c>
      <c r="L63" s="1">
        <v>6.3726691792499815E-6</v>
      </c>
      <c r="M63" s="1">
        <v>2.3212940894434186E-7</v>
      </c>
      <c r="N63" s="1">
        <v>0.41666647322549261</v>
      </c>
      <c r="O63" s="1">
        <v>0.99992076161959542</v>
      </c>
      <c r="P63" s="1">
        <v>0.99999721445355871</v>
      </c>
      <c r="Q63" s="2">
        <v>249.99930361338969</v>
      </c>
      <c r="S63" s="2">
        <v>6.2</v>
      </c>
      <c r="T63" s="1">
        <f t="shared" si="18"/>
        <v>6.3095734448019254E-7</v>
      </c>
      <c r="U63" s="1">
        <f t="shared" si="19"/>
        <v>1.6007421243857263E-8</v>
      </c>
      <c r="V63" s="1">
        <f t="shared" si="20"/>
        <v>7.3312198065534642E-2</v>
      </c>
      <c r="W63" s="1">
        <f t="shared" si="21"/>
        <v>8.8959339781551176E-3</v>
      </c>
      <c r="X63" s="1">
        <f t="shared" si="22"/>
        <v>0.19528495031298629</v>
      </c>
      <c r="Y63" s="1">
        <f t="shared" si="23"/>
        <v>0.19529170028529913</v>
      </c>
      <c r="Z63" s="1">
        <f t="shared" si="24"/>
        <v>9.7645850142649557</v>
      </c>
      <c r="AB63">
        <v>7.6</v>
      </c>
      <c r="AC63">
        <v>2.5118864315095751E-8</v>
      </c>
      <c r="AD63">
        <v>4.02088242259033E-7</v>
      </c>
      <c r="AE63">
        <v>9.8572098322921659E-2</v>
      </c>
      <c r="AF63">
        <v>4.7596722569277653E-4</v>
      </c>
      <c r="AG63">
        <v>9.5686578830971782E-3</v>
      </c>
      <c r="AH63">
        <v>9.5648701610019666E-3</v>
      </c>
      <c r="AI63">
        <v>0.47824350805009835</v>
      </c>
      <c r="AJ63"/>
      <c r="AK63"/>
      <c r="AL63"/>
      <c r="AM63"/>
      <c r="AN63"/>
      <c r="AO63"/>
      <c r="AP63"/>
      <c r="AQ63"/>
      <c r="AR63"/>
    </row>
    <row r="64" spans="1:44" ht="15" customHeight="1" x14ac:dyDescent="0.3">
      <c r="A64" s="2">
        <v>6.3</v>
      </c>
      <c r="B64" s="1">
        <f t="shared" si="12"/>
        <v>5.0118723362727218E-7</v>
      </c>
      <c r="C64" s="1">
        <f t="shared" si="13"/>
        <v>2.0152149381185686E-8</v>
      </c>
      <c r="D64" s="1">
        <f t="shared" si="14"/>
        <v>2.0800856266224256E-3</v>
      </c>
      <c r="E64" s="1">
        <f t="shared" si="15"/>
        <v>0.41493326197781466</v>
      </c>
      <c r="F64" s="1">
        <f t="shared" si="16"/>
        <v>0.97555325806667459</v>
      </c>
      <c r="G64" s="1">
        <f t="shared" si="17"/>
        <v>0.97554760327027068</v>
      </c>
      <c r="H64" s="1">
        <f t="shared" si="25"/>
        <v>243.88690081756766</v>
      </c>
      <c r="J64" s="2">
        <v>8.9</v>
      </c>
      <c r="K64" s="1">
        <v>1.2589254117941623E-9</v>
      </c>
      <c r="L64" s="1">
        <v>8.0227151707152736E-6</v>
      </c>
      <c r="M64" s="1">
        <v>-2.7764094894802925E-6</v>
      </c>
      <c r="N64" s="1">
        <v>0.41666898034124128</v>
      </c>
      <c r="O64" s="1">
        <v>0.99993705769139385</v>
      </c>
      <c r="P64" s="1">
        <v>1.0000333178389134</v>
      </c>
      <c r="Q64" s="2">
        <v>250.00832945972834</v>
      </c>
      <c r="S64" s="2">
        <v>6.3</v>
      </c>
      <c r="T64" s="1">
        <f t="shared" si="18"/>
        <v>5.0118723362727218E-7</v>
      </c>
      <c r="U64" s="1">
        <f t="shared" si="19"/>
        <v>2.0152149381185686E-8</v>
      </c>
      <c r="V64" s="1">
        <f t="shared" si="20"/>
        <v>7.7570036327406514E-2</v>
      </c>
      <c r="W64" s="1">
        <f t="shared" si="21"/>
        <v>7.4766545575311672E-3</v>
      </c>
      <c r="X64" s="1">
        <f t="shared" si="22"/>
        <v>0.16161140746122046</v>
      </c>
      <c r="Y64" s="1">
        <f t="shared" si="23"/>
        <v>0.16161660652835261</v>
      </c>
      <c r="Z64" s="1">
        <f t="shared" si="24"/>
        <v>8.0808303264176313</v>
      </c>
      <c r="AB64">
        <v>7.7</v>
      </c>
      <c r="AC64">
        <v>1.9952623149688773E-8</v>
      </c>
      <c r="AD64">
        <v>5.0619910596354556E-7</v>
      </c>
      <c r="AE64">
        <v>9.8862713543761832E-2</v>
      </c>
      <c r="AF64">
        <v>3.7909548541272437E-4</v>
      </c>
      <c r="AG64">
        <v>7.6156427308604786E-3</v>
      </c>
      <c r="AH64">
        <v>7.6107617625016475E-3</v>
      </c>
      <c r="AI64">
        <v>0.38053808812508239</v>
      </c>
      <c r="AJ64"/>
      <c r="AK64"/>
      <c r="AL64"/>
      <c r="AM64"/>
      <c r="AN64"/>
      <c r="AO64"/>
      <c r="AP64"/>
      <c r="AQ64"/>
      <c r="AR64"/>
    </row>
    <row r="65" spans="1:44" ht="15" customHeight="1" x14ac:dyDescent="0.3">
      <c r="A65" s="2">
        <v>6.4</v>
      </c>
      <c r="B65" s="1">
        <f t="shared" si="12"/>
        <v>3.9810717055349618E-7</v>
      </c>
      <c r="C65" s="1">
        <f t="shared" si="13"/>
        <v>2.5370052958246826E-8</v>
      </c>
      <c r="D65" s="1">
        <f t="shared" si="14"/>
        <v>1.6536738720047761E-3</v>
      </c>
      <c r="E65" s="1">
        <f t="shared" si="15"/>
        <v>0.41528860510666271</v>
      </c>
      <c r="F65" s="1">
        <f t="shared" si="16"/>
        <v>0.98048313173252666</v>
      </c>
      <c r="G65" s="1">
        <f t="shared" si="17"/>
        <v>0.98047873165012844</v>
      </c>
      <c r="H65" s="1">
        <f t="shared" si="25"/>
        <v>245.11968291253211</v>
      </c>
      <c r="J65" s="2">
        <v>9</v>
      </c>
      <c r="K65" s="1">
        <v>1.0000000000000001E-9</v>
      </c>
      <c r="L65" s="1">
        <v>1.0099999999999998E-5</v>
      </c>
      <c r="M65" s="1">
        <v>-5.9327888434266171E-6</v>
      </c>
      <c r="N65" s="1">
        <v>0.41667161065736946</v>
      </c>
      <c r="O65" s="1">
        <v>0.99995000249987509</v>
      </c>
      <c r="P65" s="1">
        <v>1.0000711976901298</v>
      </c>
      <c r="Q65" s="2">
        <v>250.01779942253242</v>
      </c>
      <c r="S65" s="2">
        <v>6.4</v>
      </c>
      <c r="T65" s="1">
        <f t="shared" si="18"/>
        <v>3.9810717055349618E-7</v>
      </c>
      <c r="U65" s="1">
        <f t="shared" si="19"/>
        <v>2.5370052958246826E-8</v>
      </c>
      <c r="V65" s="1">
        <f t="shared" si="20"/>
        <v>8.1321629907766618E-2</v>
      </c>
      <c r="W65" s="1">
        <f t="shared" si="21"/>
        <v>6.2261233640777949E-3</v>
      </c>
      <c r="X65" s="1">
        <f t="shared" si="22"/>
        <v>0.13278617070916765</v>
      </c>
      <c r="Y65" s="1">
        <f t="shared" si="23"/>
        <v>0.13279014555942412</v>
      </c>
      <c r="Z65" s="1">
        <f t="shared" si="24"/>
        <v>6.6395072779712061</v>
      </c>
      <c r="AB65">
        <v>7.8</v>
      </c>
      <c r="AC65">
        <v>1.5848931924611133E-8</v>
      </c>
      <c r="AD65">
        <v>6.3726691792499521E-7</v>
      </c>
      <c r="AE65">
        <v>9.9094852670111727E-2</v>
      </c>
      <c r="AF65">
        <v>3.0171577662942552E-4</v>
      </c>
      <c r="AG65">
        <v>6.0588100983913771E-3</v>
      </c>
      <c r="AH65">
        <v>6.0525771126299765E-3</v>
      </c>
      <c r="AI65">
        <v>0.30262885563149883</v>
      </c>
      <c r="AJ65"/>
      <c r="AK65"/>
      <c r="AL65"/>
      <c r="AM65"/>
      <c r="AN65"/>
      <c r="AO65"/>
      <c r="AP65"/>
      <c r="AQ65"/>
      <c r="AR65"/>
    </row>
    <row r="66" spans="1:44" ht="15" customHeight="1" x14ac:dyDescent="0.3">
      <c r="A66" s="2">
        <v>6.5</v>
      </c>
      <c r="B66" s="1">
        <f t="shared" si="12"/>
        <v>3.1622776601683734E-7</v>
      </c>
      <c r="C66" s="1">
        <f t="shared" si="13"/>
        <v>3.1939004367700689E-8</v>
      </c>
      <c r="D66" s="1">
        <f t="shared" si="14"/>
        <v>1.3144406203240747E-3</v>
      </c>
      <c r="E66" s="1">
        <f t="shared" si="15"/>
        <v>0.41557129948306332</v>
      </c>
      <c r="F66" s="1">
        <f t="shared" si="16"/>
        <v>0.98443472037925295</v>
      </c>
      <c r="G66" s="1">
        <f t="shared" si="17"/>
        <v>0.98443135317402652</v>
      </c>
      <c r="H66" s="1">
        <f t="shared" si="25"/>
        <v>246.1078382935066</v>
      </c>
      <c r="J66" s="2">
        <v>9.1</v>
      </c>
      <c r="K66" s="1">
        <v>7.9432823472428E-10</v>
      </c>
      <c r="L66" s="1">
        <v>1.2715146659121113E-5</v>
      </c>
      <c r="M66" s="1">
        <v>-9.4050940652257816E-6</v>
      </c>
      <c r="N66" s="1">
        <v>0.41667450424505437</v>
      </c>
      <c r="O66" s="1">
        <v>0.99996028516559443</v>
      </c>
      <c r="P66" s="1">
        <v>1.0001128717444765</v>
      </c>
      <c r="Q66" s="2">
        <v>250.02821793611909</v>
      </c>
      <c r="S66" s="2">
        <v>6.5</v>
      </c>
      <c r="T66" s="1">
        <f t="shared" si="18"/>
        <v>3.1622776601683734E-7</v>
      </c>
      <c r="U66" s="1">
        <f t="shared" si="19"/>
        <v>3.1939004367700689E-8</v>
      </c>
      <c r="V66" s="1">
        <f t="shared" si="20"/>
        <v>8.4570547488196104E-2</v>
      </c>
      <c r="W66" s="1">
        <f t="shared" si="21"/>
        <v>5.1431508372679615E-3</v>
      </c>
      <c r="X66" s="1">
        <f t="shared" si="22"/>
        <v>0.10843726601257918</v>
      </c>
      <c r="Y66" s="1">
        <f t="shared" si="23"/>
        <v>0.10844026304193614</v>
      </c>
      <c r="Z66" s="1">
        <f t="shared" si="24"/>
        <v>5.4220131520968069</v>
      </c>
      <c r="AB66">
        <v>7.9</v>
      </c>
      <c r="AC66">
        <v>1.2589254117941638E-8</v>
      </c>
      <c r="AD66">
        <v>8.0227151707152647E-7</v>
      </c>
      <c r="AE66">
        <v>9.9280115678992059E-2</v>
      </c>
      <c r="AF66">
        <v>2.3996144033598321E-4</v>
      </c>
      <c r="AG66">
        <v>4.8186886239766011E-3</v>
      </c>
      <c r="AH66">
        <v>4.8107728064372829E-3</v>
      </c>
      <c r="AI66">
        <v>0.24053864032186414</v>
      </c>
      <c r="AJ66"/>
      <c r="AK66"/>
      <c r="AL66"/>
      <c r="AM66"/>
      <c r="AN66"/>
      <c r="AO66"/>
      <c r="AP66"/>
      <c r="AQ66"/>
      <c r="AR66"/>
    </row>
    <row r="67" spans="1:44" ht="15" customHeight="1" x14ac:dyDescent="0.3">
      <c r="A67" s="2">
        <v>6.6</v>
      </c>
      <c r="B67" s="1">
        <f t="shared" ref="B67:B130" si="26">10^(-A67)</f>
        <v>2.511886431509578E-7</v>
      </c>
      <c r="C67" s="1">
        <f t="shared" ref="C67:C130" si="27">Kw/B67</f>
        <v>4.0208824225903253E-8</v>
      </c>
      <c r="D67" s="1">
        <f t="shared" ref="D67:D130" si="28">((WASB_Ca*WASB_Va)-(WASB_Cb*H67))/(WASB_Va+H67)</f>
        <v>1.044646282049965E-3</v>
      </c>
      <c r="E67" s="1">
        <f t="shared" ref="E67:E130" si="29">(WASB_Ca*H67)/(WASB_Va+H67)</f>
        <v>0.4157961280982917</v>
      </c>
      <c r="F67" s="1">
        <f t="shared" ref="F67:F130" si="30">WASB_Ka/(B67+WASB_Ka)</f>
        <v>0.98759635063515594</v>
      </c>
      <c r="G67" s="1">
        <f t="shared" ref="G67:G130" si="31">(F67-((B67-C67)/WASB_Ca)) / (1 + ((B67-C67)/WASB_Cb))</f>
        <v>0.98759384505181202</v>
      </c>
      <c r="H67" s="1">
        <f t="shared" si="25"/>
        <v>246.89846126295299</v>
      </c>
      <c r="J67" s="2">
        <v>9.1999999999999993</v>
      </c>
      <c r="K67" s="1">
        <v>6.309573444801927E-10</v>
      </c>
      <c r="L67" s="1">
        <v>1.6007421243857258E-5</v>
      </c>
      <c r="M67" s="1">
        <v>-1.3378235988814056E-5</v>
      </c>
      <c r="N67" s="1">
        <v>0.41667781519665731</v>
      </c>
      <c r="O67" s="1">
        <v>0.99996845312801252</v>
      </c>
      <c r="P67" s="1">
        <v>1.0001605603120032</v>
      </c>
      <c r="Q67" s="2">
        <v>250.0401400780008</v>
      </c>
      <c r="S67" s="2">
        <v>6.6</v>
      </c>
      <c r="T67" s="1">
        <f t="shared" ref="T67:T130" si="32">10^-S67</f>
        <v>2.511886431509578E-7</v>
      </c>
      <c r="U67" s="1">
        <f t="shared" ref="U67:U130" si="33">Kw/T67</f>
        <v>4.0208824225903253E-8</v>
      </c>
      <c r="V67" s="1">
        <f t="shared" ref="V67:V130" si="34">((SAWB_Cb*SAWB_Vb)-(SAWB_Ca*Z67))/(Z67+SAWB_Vb)</f>
        <v>8.7342309051744449E-2</v>
      </c>
      <c r="W67" s="1">
        <f t="shared" ref="W67:W130" si="35">(SAWB_Cb*Z67)/(Z67+SAWB_Vb)</f>
        <v>4.2192303160851858E-3</v>
      </c>
      <c r="X67" s="1">
        <f t="shared" ref="X67:X130" si="36">T67/(T67+SAWB_Ka)</f>
        <v>8.8099622504584488E-2</v>
      </c>
      <c r="Y67" s="1">
        <f t="shared" ref="Y67:Y130" si="37">(X67+((T67-U67)/SAWB_Cb))/(1-((T67-U67)/SAWB_Ca))</f>
        <v>8.8101825241309425E-2</v>
      </c>
      <c r="Z67" s="1">
        <f t="shared" ref="Z67:Z130" si="38">(Y67*SAWB_Cb*SAWB_Vb)/SAWB_Ca</f>
        <v>4.4050912620654712</v>
      </c>
      <c r="AB67">
        <v>8</v>
      </c>
      <c r="AC67">
        <v>1E-8</v>
      </c>
      <c r="AD67">
        <v>1.0099999999999999E-6</v>
      </c>
      <c r="AE67">
        <v>9.9427883365200781E-2</v>
      </c>
      <c r="AF67">
        <v>1.9070554493307842E-4</v>
      </c>
      <c r="AG67">
        <v>3.831417624521073E-3</v>
      </c>
      <c r="AH67">
        <v>3.8213985175284851E-3</v>
      </c>
      <c r="AI67">
        <v>0.19106992587642427</v>
      </c>
      <c r="AJ67"/>
      <c r="AK67"/>
      <c r="AL67"/>
      <c r="AM67"/>
      <c r="AN67"/>
      <c r="AO67"/>
      <c r="AP67"/>
      <c r="AQ67"/>
      <c r="AR67"/>
    </row>
    <row r="68" spans="1:44" ht="15" customHeight="1" x14ac:dyDescent="0.3">
      <c r="A68" s="2">
        <v>6.7</v>
      </c>
      <c r="B68" s="1">
        <f t="shared" si="26"/>
        <v>1.9952623149688761E-7</v>
      </c>
      <c r="C68" s="1">
        <f t="shared" si="27"/>
        <v>5.0619910596354589E-8</v>
      </c>
      <c r="D68" s="1">
        <f t="shared" si="28"/>
        <v>8.3012941813997E-4</v>
      </c>
      <c r="E68" s="1">
        <f t="shared" si="29"/>
        <v>0.41597489215155004</v>
      </c>
      <c r="F68" s="1">
        <f t="shared" si="30"/>
        <v>0.99012223211523798</v>
      </c>
      <c r="G68" s="1">
        <f t="shared" si="31"/>
        <v>0.9901204599506469</v>
      </c>
      <c r="H68" s="1">
        <f t="shared" ref="H68:H131" si="39">G68*(WASB_Va * WASB_Ca)/WASB_Cb</f>
        <v>247.53011498766173</v>
      </c>
      <c r="J68" s="2">
        <v>9.3000000000000007</v>
      </c>
      <c r="K68" s="1">
        <v>5.011872336272705E-10</v>
      </c>
      <c r="L68" s="1">
        <v>2.0152149381185755E-5</v>
      </c>
      <c r="M68" s="1">
        <v>-1.8063797596748565E-5</v>
      </c>
      <c r="N68" s="1">
        <v>0.41668171983133062</v>
      </c>
      <c r="O68" s="1">
        <v>0.99997494126627451</v>
      </c>
      <c r="P68" s="1">
        <v>1.0002168047343294</v>
      </c>
      <c r="Q68" s="2">
        <v>250.05420118358234</v>
      </c>
      <c r="S68" s="2">
        <v>6.7</v>
      </c>
      <c r="T68" s="1">
        <f t="shared" si="32"/>
        <v>1.9952623149688761E-7</v>
      </c>
      <c r="U68" s="1">
        <f t="shared" si="33"/>
        <v>5.0619910596354589E-8</v>
      </c>
      <c r="V68" s="1">
        <f t="shared" si="34"/>
        <v>8.9676932364926992E-2</v>
      </c>
      <c r="W68" s="1">
        <f t="shared" si="35"/>
        <v>3.4410225450243366E-3</v>
      </c>
      <c r="X68" s="1">
        <f t="shared" si="36"/>
        <v>7.127142773375704E-2</v>
      </c>
      <c r="Y68" s="1">
        <f t="shared" si="37"/>
        <v>7.1272969861944646E-2</v>
      </c>
      <c r="Z68" s="1">
        <f t="shared" si="38"/>
        <v>3.5636484930972321</v>
      </c>
      <c r="AB68">
        <v>8.1</v>
      </c>
      <c r="AC68">
        <v>7.9432823472428087E-9</v>
      </c>
      <c r="AD68">
        <v>1.2715146659121098E-6</v>
      </c>
      <c r="AE68">
        <v>9.9545716685620594E-2</v>
      </c>
      <c r="AF68">
        <v>1.5142777145980574E-4</v>
      </c>
      <c r="AG68">
        <v>3.0458033351452216E-3</v>
      </c>
      <c r="AH68">
        <v>3.0331484583116029E-3</v>
      </c>
      <c r="AI68">
        <v>0.15165742291558015</v>
      </c>
      <c r="AJ68"/>
      <c r="AK68"/>
      <c r="AL68"/>
      <c r="AM68"/>
      <c r="AN68"/>
      <c r="AO68"/>
      <c r="AP68"/>
      <c r="AQ68"/>
      <c r="AR68"/>
    </row>
    <row r="69" spans="1:44" ht="15" customHeight="1" x14ac:dyDescent="0.3">
      <c r="A69" s="2">
        <v>6.8</v>
      </c>
      <c r="B69" s="1">
        <f t="shared" si="26"/>
        <v>1.5848931924611122E-7</v>
      </c>
      <c r="C69" s="1">
        <f t="shared" si="27"/>
        <v>6.3726691792499566E-8</v>
      </c>
      <c r="D69" s="1">
        <f t="shared" si="28"/>
        <v>6.5959651873586918E-4</v>
      </c>
      <c r="E69" s="1">
        <f t="shared" si="29"/>
        <v>0.41611700290105347</v>
      </c>
      <c r="F69" s="1">
        <f t="shared" si="30"/>
        <v>0.99213783747699813</v>
      </c>
      <c r="G69" s="1">
        <f t="shared" si="31"/>
        <v>0.99213670777693097</v>
      </c>
      <c r="H69" s="1">
        <f t="shared" si="39"/>
        <v>248.03417694423274</v>
      </c>
      <c r="J69" s="2">
        <v>9.4</v>
      </c>
      <c r="K69" s="1">
        <v>3.9810717055349621E-10</v>
      </c>
      <c r="L69" s="1">
        <v>2.5370052958246823E-5</v>
      </c>
      <c r="M69" s="1">
        <v>-2.3711301302181502E-5</v>
      </c>
      <c r="N69" s="1">
        <v>0.41668642608441847</v>
      </c>
      <c r="O69" s="1">
        <v>0.9999800950376877</v>
      </c>
      <c r="P69" s="1">
        <v>1.0002846030987245</v>
      </c>
      <c r="Q69" s="2">
        <v>250.07115077468109</v>
      </c>
      <c r="S69" s="2">
        <v>6.8</v>
      </c>
      <c r="T69" s="1">
        <f t="shared" si="32"/>
        <v>1.5848931924611122E-7</v>
      </c>
      <c r="U69" s="1">
        <f t="shared" si="33"/>
        <v>6.3726691792499566E-8</v>
      </c>
      <c r="V69" s="1">
        <f t="shared" si="34"/>
        <v>9.1622262634028145E-2</v>
      </c>
      <c r="W69" s="1">
        <f t="shared" si="35"/>
        <v>2.7925791219906206E-3</v>
      </c>
      <c r="X69" s="1">
        <f t="shared" si="36"/>
        <v>5.7455114341144517E-2</v>
      </c>
      <c r="Y69" s="1">
        <f t="shared" si="37"/>
        <v>5.7456089190868927E-2</v>
      </c>
      <c r="Z69" s="1">
        <f t="shared" si="38"/>
        <v>2.8728044595434463</v>
      </c>
      <c r="AB69">
        <v>8.1999999999999993</v>
      </c>
      <c r="AC69">
        <v>6.3095734448019329E-9</v>
      </c>
      <c r="AD69">
        <v>1.6007421243857243E-6</v>
      </c>
      <c r="AE69">
        <v>9.9639695159727162E-2</v>
      </c>
      <c r="AF69">
        <v>1.2010161342427785E-4</v>
      </c>
      <c r="AG69">
        <v>2.4208841148760643E-3</v>
      </c>
      <c r="AH69">
        <v>2.4049206169480847E-3</v>
      </c>
      <c r="AI69">
        <v>0.12024603084740422</v>
      </c>
      <c r="AJ69"/>
      <c r="AK69"/>
      <c r="AL69"/>
      <c r="AM69"/>
      <c r="AN69"/>
      <c r="AO69"/>
      <c r="AP69"/>
      <c r="AQ69"/>
      <c r="AR69"/>
    </row>
    <row r="70" spans="1:44" ht="15" customHeight="1" x14ac:dyDescent="0.3">
      <c r="A70" s="2">
        <v>6.9</v>
      </c>
      <c r="B70" s="1">
        <f t="shared" si="26"/>
        <v>1.2589254117941651E-7</v>
      </c>
      <c r="C70" s="1">
        <f t="shared" si="27"/>
        <v>8.0227151707152563E-8</v>
      </c>
      <c r="D70" s="1">
        <f t="shared" si="28"/>
        <v>5.2404842618301796E-4</v>
      </c>
      <c r="E70" s="1">
        <f t="shared" si="29"/>
        <v>0.41622995964484744</v>
      </c>
      <c r="F70" s="1">
        <f t="shared" si="30"/>
        <v>0.9937447474231601</v>
      </c>
      <c r="G70" s="1">
        <f t="shared" si="31"/>
        <v>0.99374420229522087</v>
      </c>
      <c r="H70" s="1">
        <f t="shared" si="39"/>
        <v>248.4360505738052</v>
      </c>
      <c r="J70" s="2">
        <v>9.5</v>
      </c>
      <c r="K70" s="1">
        <v>3.1622776601683744E-10</v>
      </c>
      <c r="L70" s="1">
        <v>3.193900436770068E-5</v>
      </c>
      <c r="M70" s="1">
        <v>-3.0621496748484628E-5</v>
      </c>
      <c r="N70" s="1">
        <v>0.41669218458062374</v>
      </c>
      <c r="O70" s="1">
        <v>0.99998418886169527</v>
      </c>
      <c r="P70" s="1">
        <v>1.0003675705165755</v>
      </c>
      <c r="Q70" s="2">
        <v>250.0918926291439</v>
      </c>
      <c r="S70" s="2">
        <v>6.9</v>
      </c>
      <c r="T70" s="1">
        <f t="shared" si="32"/>
        <v>1.2589254117941651E-7</v>
      </c>
      <c r="U70" s="1">
        <f t="shared" si="33"/>
        <v>8.0227151707152563E-8</v>
      </c>
      <c r="V70" s="1">
        <f t="shared" si="34"/>
        <v>9.3228698691499495E-2</v>
      </c>
      <c r="W70" s="1">
        <f t="shared" si="35"/>
        <v>2.2571004361668398E-3</v>
      </c>
      <c r="X70" s="1">
        <f t="shared" si="36"/>
        <v>4.618397067294016E-2</v>
      </c>
      <c r="Y70" s="1">
        <f t="shared" si="37"/>
        <v>4.6184437871986603E-2</v>
      </c>
      <c r="Z70" s="1">
        <f t="shared" si="38"/>
        <v>2.3092218935993301</v>
      </c>
      <c r="AB70">
        <v>8.3000000000000007</v>
      </c>
      <c r="AC70">
        <v>5.0118723362727114E-9</v>
      </c>
      <c r="AD70">
        <v>2.0152149381185727E-6</v>
      </c>
      <c r="AE70">
        <v>9.9714699572238261E-2</v>
      </c>
      <c r="AF70">
        <v>9.5100142587245323E-5</v>
      </c>
      <c r="AG70">
        <v>1.9239345469001165E-3</v>
      </c>
      <c r="AH70">
        <v>1.9038133809848178E-3</v>
      </c>
      <c r="AI70">
        <v>9.5190669049240895E-2</v>
      </c>
      <c r="AJ70"/>
      <c r="AK70"/>
      <c r="AL70"/>
      <c r="AM70"/>
      <c r="AN70"/>
      <c r="AO70"/>
      <c r="AP70"/>
      <c r="AQ70"/>
      <c r="AR70"/>
    </row>
    <row r="71" spans="1:44" ht="15" customHeight="1" x14ac:dyDescent="0.3">
      <c r="A71" s="2">
        <v>7</v>
      </c>
      <c r="B71" s="1">
        <f t="shared" si="26"/>
        <v>9.9999999999999995E-8</v>
      </c>
      <c r="C71" s="1">
        <f t="shared" si="27"/>
        <v>1.0099999999999999E-7</v>
      </c>
      <c r="D71" s="1">
        <f t="shared" si="28"/>
        <v>4.163187293921639E-4</v>
      </c>
      <c r="E71" s="1">
        <f t="shared" si="29"/>
        <v>0.41631973439217318</v>
      </c>
      <c r="F71" s="1">
        <f t="shared" si="30"/>
        <v>0.99502487562189057</v>
      </c>
      <c r="G71" s="1">
        <f t="shared" si="31"/>
        <v>0.99502488757213958</v>
      </c>
      <c r="H71" s="1">
        <f t="shared" si="39"/>
        <v>248.75622189303488</v>
      </c>
      <c r="J71" s="2">
        <v>9.6</v>
      </c>
      <c r="K71" s="1">
        <v>2.5118864315095784E-10</v>
      </c>
      <c r="L71" s="1">
        <v>4.0208824225903246E-5</v>
      </c>
      <c r="M71" s="1">
        <v>-3.9162376711424657E-5</v>
      </c>
      <c r="N71" s="1">
        <v>0.41669930198059291</v>
      </c>
      <c r="O71" s="1">
        <v>0.99998744072557977</v>
      </c>
      <c r="P71" s="1">
        <v>1.0004701326356509</v>
      </c>
      <c r="Q71" s="2">
        <v>250.11753315891272</v>
      </c>
      <c r="S71" s="2">
        <v>7</v>
      </c>
      <c r="T71" s="1">
        <f t="shared" si="32"/>
        <v>9.9999999999999995E-8</v>
      </c>
      <c r="U71" s="1">
        <f t="shared" si="33"/>
        <v>1.0099999999999999E-7</v>
      </c>
      <c r="V71" s="1">
        <f t="shared" si="34"/>
        <v>9.4545456018181817E-2</v>
      </c>
      <c r="W71" s="1">
        <f t="shared" si="35"/>
        <v>1.8181813272727275E-3</v>
      </c>
      <c r="X71" s="1">
        <f t="shared" si="36"/>
        <v>3.7037037037037035E-2</v>
      </c>
      <c r="Y71" s="1">
        <f t="shared" si="37"/>
        <v>3.7037026851851902E-2</v>
      </c>
      <c r="Z71" s="1">
        <f t="shared" si="38"/>
        <v>1.8518513425925953</v>
      </c>
      <c r="AB71">
        <v>8.4</v>
      </c>
      <c r="AC71">
        <v>3.9810717055349665E-9</v>
      </c>
      <c r="AD71">
        <v>2.5370052958246796E-6</v>
      </c>
      <c r="AE71">
        <v>9.9774645727748426E-2</v>
      </c>
      <c r="AF71">
        <v>7.511809075052627E-5</v>
      </c>
      <c r="AG71">
        <v>1.5288404930407099E-3</v>
      </c>
      <c r="AH71">
        <v>1.5034912089012542E-3</v>
      </c>
      <c r="AI71">
        <v>7.5174560445062696E-2</v>
      </c>
      <c r="AJ71"/>
      <c r="AK71"/>
      <c r="AL71"/>
      <c r="AM71"/>
      <c r="AN71"/>
      <c r="AO71"/>
      <c r="AP71"/>
      <c r="AQ71"/>
      <c r="AR71"/>
    </row>
    <row r="72" spans="1:44" ht="15" customHeight="1" x14ac:dyDescent="0.3">
      <c r="A72" s="2">
        <v>7.1</v>
      </c>
      <c r="B72" s="1">
        <f t="shared" si="26"/>
        <v>7.943282347242818E-8</v>
      </c>
      <c r="C72" s="1">
        <f t="shared" si="27"/>
        <v>1.2715146659121083E-7</v>
      </c>
      <c r="D72" s="1">
        <f t="shared" si="28"/>
        <v>3.3070328384096674E-4</v>
      </c>
      <c r="E72" s="1">
        <f t="shared" si="29"/>
        <v>0.41639108059679925</v>
      </c>
      <c r="F72" s="1">
        <f t="shared" si="30"/>
        <v>0.996044070359419</v>
      </c>
      <c r="G72" s="1">
        <f t="shared" si="31"/>
        <v>0.99604464109569268</v>
      </c>
      <c r="H72" s="1">
        <f t="shared" si="39"/>
        <v>249.01116027392314</v>
      </c>
      <c r="J72" s="2">
        <v>9.6999999999999993</v>
      </c>
      <c r="K72" s="1">
        <v>1.9952623149688802E-10</v>
      </c>
      <c r="L72" s="1">
        <v>5.0619910596354482E-5</v>
      </c>
      <c r="M72" s="1">
        <v>-4.9788773985488891E-5</v>
      </c>
      <c r="N72" s="1">
        <v>0.41670815731165461</v>
      </c>
      <c r="O72" s="1">
        <v>0.99999002378795088</v>
      </c>
      <c r="P72" s="1">
        <v>1.0005977629066485</v>
      </c>
      <c r="Q72" s="2">
        <v>250.14944072666211</v>
      </c>
      <c r="S72" s="2">
        <v>7.1</v>
      </c>
      <c r="T72" s="1">
        <f t="shared" si="32"/>
        <v>7.943282347242818E-8</v>
      </c>
      <c r="U72" s="1">
        <f t="shared" si="33"/>
        <v>1.2715146659121083E-7</v>
      </c>
      <c r="V72" s="1">
        <f t="shared" si="34"/>
        <v>9.5618213381509387E-2</v>
      </c>
      <c r="W72" s="1">
        <f t="shared" si="35"/>
        <v>1.4605955394968733E-3</v>
      </c>
      <c r="X72" s="1">
        <f t="shared" si="36"/>
        <v>2.9645387179174247E-2</v>
      </c>
      <c r="Y72" s="1">
        <f t="shared" si="37"/>
        <v>2.9644902919670344E-2</v>
      </c>
      <c r="Z72" s="1">
        <f t="shared" si="38"/>
        <v>1.4822451459835173</v>
      </c>
      <c r="AB72">
        <v>8.5</v>
      </c>
      <c r="AC72">
        <v>3.1622776601683779E-9</v>
      </c>
      <c r="AD72">
        <v>3.1939004367700643E-6</v>
      </c>
      <c r="AE72">
        <v>9.982267634029493E-2</v>
      </c>
      <c r="AF72">
        <v>5.9107886568355264E-5</v>
      </c>
      <c r="AG72">
        <v>1.2147831456019583E-3</v>
      </c>
      <c r="AH72">
        <v>1.1828568930777317E-3</v>
      </c>
      <c r="AI72">
        <v>5.9142844653886584E-2</v>
      </c>
      <c r="AJ72"/>
      <c r="AK72"/>
      <c r="AL72"/>
      <c r="AM72"/>
      <c r="AN72"/>
      <c r="AO72"/>
      <c r="AP72"/>
      <c r="AQ72"/>
      <c r="AR72"/>
    </row>
    <row r="73" spans="1:44" ht="15" customHeight="1" x14ac:dyDescent="0.3">
      <c r="A73" s="2">
        <v>7.2</v>
      </c>
      <c r="B73" s="1">
        <f t="shared" si="26"/>
        <v>6.3095734448019177E-8</v>
      </c>
      <c r="C73" s="1">
        <f t="shared" si="27"/>
        <v>1.6007421243857284E-7</v>
      </c>
      <c r="D73" s="1">
        <f t="shared" si="28"/>
        <v>2.6266350122133104E-4</v>
      </c>
      <c r="E73" s="1">
        <f t="shared" si="29"/>
        <v>0.41644778041564895</v>
      </c>
      <c r="F73" s="1">
        <f t="shared" si="30"/>
        <v>0.99685513465702669</v>
      </c>
      <c r="G73" s="1">
        <f t="shared" si="31"/>
        <v>0.99685629535004561</v>
      </c>
      <c r="H73" s="1">
        <f t="shared" si="39"/>
        <v>249.21407383751139</v>
      </c>
      <c r="J73" s="2">
        <v>9.8000000000000007</v>
      </c>
      <c r="K73" s="1">
        <v>1.5848931924611098E-10</v>
      </c>
      <c r="L73" s="1">
        <v>6.3726691792499661E-5</v>
      </c>
      <c r="M73" s="1">
        <v>-6.3066582843557525E-5</v>
      </c>
      <c r="N73" s="1">
        <v>0.41671922215236962</v>
      </c>
      <c r="O73" s="1">
        <v>0.99999207559683434</v>
      </c>
      <c r="P73" s="1">
        <v>1.0007572765825861</v>
      </c>
      <c r="Q73" s="2">
        <v>250.18931914564649</v>
      </c>
      <c r="S73" s="2">
        <v>7.2</v>
      </c>
      <c r="T73" s="1">
        <f t="shared" si="32"/>
        <v>6.3095734448019177E-8</v>
      </c>
      <c r="U73" s="1">
        <f t="shared" si="33"/>
        <v>1.6007421243857284E-7</v>
      </c>
      <c r="V73" s="1">
        <f t="shared" si="34"/>
        <v>9.64878573304188E-2</v>
      </c>
      <c r="W73" s="1">
        <f t="shared" si="35"/>
        <v>1.1707142231937302E-3</v>
      </c>
      <c r="X73" s="1">
        <f t="shared" si="36"/>
        <v>2.3692627205193977E-2</v>
      </c>
      <c r="Y73" s="1">
        <f t="shared" si="37"/>
        <v>2.3691645932515253E-2</v>
      </c>
      <c r="Z73" s="1">
        <f t="shared" si="38"/>
        <v>1.1845822966257629</v>
      </c>
      <c r="AB73">
        <v>8.6</v>
      </c>
      <c r="AC73">
        <v>2.5118864315095812E-9</v>
      </c>
      <c r="AD73">
        <v>4.02088242259032E-6</v>
      </c>
      <c r="AE73">
        <v>9.9861317827577317E-2</v>
      </c>
      <c r="AF73">
        <v>4.6227390807561127E-5</v>
      </c>
      <c r="AG73">
        <v>9.6517769797924288E-4</v>
      </c>
      <c r="AH73">
        <v>9.24975408148021E-4</v>
      </c>
      <c r="AI73">
        <v>4.6248770407401052E-2</v>
      </c>
      <c r="AJ73"/>
      <c r="AK73"/>
      <c r="AL73"/>
      <c r="AM73"/>
      <c r="AN73"/>
      <c r="AO73"/>
      <c r="AP73"/>
      <c r="AQ73"/>
      <c r="AR73"/>
    </row>
    <row r="74" spans="1:44" ht="15" customHeight="1" x14ac:dyDescent="0.3">
      <c r="A74" s="2">
        <v>7.3</v>
      </c>
      <c r="B74" s="1">
        <f t="shared" si="26"/>
        <v>5.0118723362727164E-8</v>
      </c>
      <c r="C74" s="1">
        <f t="shared" si="27"/>
        <v>2.0152149381185708E-7</v>
      </c>
      <c r="D74" s="1">
        <f t="shared" si="28"/>
        <v>2.0858911333466285E-4</v>
      </c>
      <c r="E74" s="1">
        <f t="shared" si="29"/>
        <v>0.4164928424055544</v>
      </c>
      <c r="F74" s="1">
        <f t="shared" si="30"/>
        <v>0.99750032785071108</v>
      </c>
      <c r="G74" s="1">
        <f t="shared" si="31"/>
        <v>0.99750214090212863</v>
      </c>
      <c r="H74" s="1">
        <f t="shared" si="39"/>
        <v>249.37553522553216</v>
      </c>
      <c r="J74" s="2">
        <v>9.9</v>
      </c>
      <c r="K74" s="1">
        <v>1.2589254117941656E-10</v>
      </c>
      <c r="L74" s="1">
        <v>8.0227151707152526E-5</v>
      </c>
      <c r="M74" s="1">
        <v>-7.970289494223473E-5</v>
      </c>
      <c r="N74" s="1">
        <v>0.41673308574578521</v>
      </c>
      <c r="O74" s="1">
        <v>0.99999370541256305</v>
      </c>
      <c r="P74" s="1">
        <v>1.000957197653547</v>
      </c>
      <c r="Q74" s="2">
        <v>250.23929941338673</v>
      </c>
      <c r="S74" s="2">
        <v>7.3</v>
      </c>
      <c r="T74" s="1">
        <f t="shared" si="32"/>
        <v>5.0118723362727164E-8</v>
      </c>
      <c r="U74" s="1">
        <f t="shared" si="33"/>
        <v>2.0152149381185708E-7</v>
      </c>
      <c r="V74" s="1">
        <f t="shared" si="34"/>
        <v>9.7190016360607978E-2</v>
      </c>
      <c r="W74" s="1">
        <f t="shared" si="35"/>
        <v>9.3666121313067347E-4</v>
      </c>
      <c r="X74" s="1">
        <f t="shared" si="36"/>
        <v>1.891187852109949E-2</v>
      </c>
      <c r="Y74" s="1">
        <f t="shared" si="37"/>
        <v>1.8910350177997963E-2</v>
      </c>
      <c r="Z74" s="1">
        <f t="shared" si="38"/>
        <v>0.94551750889989816</v>
      </c>
      <c r="AB74">
        <v>8.6999999999999993</v>
      </c>
      <c r="AC74">
        <v>1.9952623149688824E-9</v>
      </c>
      <c r="AD74">
        <v>5.0619910596354431E-6</v>
      </c>
      <c r="AE74">
        <v>9.9892608151060117E-2</v>
      </c>
      <c r="AF74">
        <v>3.5797282979961949E-5</v>
      </c>
      <c r="AG74">
        <v>7.6682011834015319E-4</v>
      </c>
      <c r="AH74">
        <v>7.1620204047037432E-4</v>
      </c>
      <c r="AI74">
        <v>3.5810102023518718E-2</v>
      </c>
      <c r="AJ74"/>
      <c r="AK74"/>
      <c r="AL74"/>
      <c r="AM74"/>
      <c r="AN74"/>
      <c r="AO74"/>
      <c r="AP74"/>
      <c r="AQ74"/>
      <c r="AR74"/>
    </row>
    <row r="75" spans="1:44" ht="15" customHeight="1" x14ac:dyDescent="0.3">
      <c r="A75" s="2">
        <v>7.4</v>
      </c>
      <c r="B75" s="1">
        <f t="shared" si="26"/>
        <v>3.981071705534957E-8</v>
      </c>
      <c r="C75" s="1">
        <f t="shared" si="27"/>
        <v>2.5370052958246857E-7</v>
      </c>
      <c r="D75" s="1">
        <f t="shared" si="28"/>
        <v>1.6560873047683305E-4</v>
      </c>
      <c r="E75" s="1">
        <f t="shared" si="29"/>
        <v>0.41652865939126932</v>
      </c>
      <c r="F75" s="1">
        <f t="shared" si="30"/>
        <v>0.99801341850891501</v>
      </c>
      <c r="G75" s="1">
        <f t="shared" si="31"/>
        <v>0.99801598094305066</v>
      </c>
      <c r="H75" s="1">
        <f t="shared" si="39"/>
        <v>249.50399523576266</v>
      </c>
      <c r="J75" s="2">
        <v>10</v>
      </c>
      <c r="K75" s="1">
        <v>1E-10</v>
      </c>
      <c r="L75" s="1">
        <v>1.0099999999999999E-4</v>
      </c>
      <c r="M75" s="1">
        <v>-1.0058365451311306E-4</v>
      </c>
      <c r="N75" s="1">
        <v>0.41675048637876094</v>
      </c>
      <c r="O75" s="1">
        <v>0.99999500002499986</v>
      </c>
      <c r="P75" s="1">
        <v>1.0012082191251079</v>
      </c>
      <c r="Q75" s="2">
        <v>250.30205478127698</v>
      </c>
      <c r="S75" s="2">
        <v>7.4</v>
      </c>
      <c r="T75" s="1">
        <f t="shared" si="32"/>
        <v>3.981071705534957E-8</v>
      </c>
      <c r="U75" s="1">
        <f t="shared" si="33"/>
        <v>2.5370052958246857E-7</v>
      </c>
      <c r="V75" s="1">
        <f t="shared" si="34"/>
        <v>9.7755113536295582E-2</v>
      </c>
      <c r="W75" s="1">
        <f t="shared" si="35"/>
        <v>7.4829548790147275E-4</v>
      </c>
      <c r="X75" s="1">
        <f t="shared" si="36"/>
        <v>1.5080898337952632E-2</v>
      </c>
      <c r="Y75" s="1">
        <f t="shared" si="37"/>
        <v>1.5078743313879458E-2</v>
      </c>
      <c r="Z75" s="1">
        <f t="shared" si="38"/>
        <v>0.75393716569397284</v>
      </c>
      <c r="AB75">
        <v>8.8000000000000007</v>
      </c>
      <c r="AC75">
        <v>1.584893192461106E-9</v>
      </c>
      <c r="AD75">
        <v>6.3726691792499815E-6</v>
      </c>
      <c r="AE75">
        <v>9.991820109994555E-2</v>
      </c>
      <c r="AF75">
        <v>2.7266300018153919E-5</v>
      </c>
      <c r="AG75">
        <v>6.0920295032780927E-4</v>
      </c>
      <c r="AH75">
        <v>5.4547473113979411E-4</v>
      </c>
      <c r="AI75">
        <v>2.7273736556989708E-2</v>
      </c>
      <c r="AJ75"/>
      <c r="AK75"/>
      <c r="AL75"/>
      <c r="AM75"/>
      <c r="AN75"/>
      <c r="AO75"/>
      <c r="AP75"/>
      <c r="AQ75"/>
      <c r="AR75"/>
    </row>
    <row r="76" spans="1:44" ht="15" customHeight="1" x14ac:dyDescent="0.3">
      <c r="A76" s="2">
        <v>7.5</v>
      </c>
      <c r="B76" s="1">
        <f t="shared" si="26"/>
        <v>3.1622776601683699E-8</v>
      </c>
      <c r="C76" s="1">
        <f t="shared" si="27"/>
        <v>3.1939004367700723E-7</v>
      </c>
      <c r="D76" s="1">
        <f t="shared" si="28"/>
        <v>1.3143870976532098E-4</v>
      </c>
      <c r="E76" s="1">
        <f t="shared" si="29"/>
        <v>0.41655713440852893</v>
      </c>
      <c r="F76" s="1">
        <f t="shared" si="30"/>
        <v>0.99842135722330883</v>
      </c>
      <c r="G76" s="1">
        <f t="shared" si="31"/>
        <v>0.99842480589762062</v>
      </c>
      <c r="H76" s="1">
        <f t="shared" si="39"/>
        <v>249.60620147440514</v>
      </c>
      <c r="J76" s="2">
        <v>10.1</v>
      </c>
      <c r="K76" s="1">
        <v>7.943282347242792E-11</v>
      </c>
      <c r="L76" s="1">
        <v>1.2715146659121124E-4</v>
      </c>
      <c r="M76" s="1">
        <v>-1.2682083811245477E-4</v>
      </c>
      <c r="N76" s="1">
        <v>0.416772350698427</v>
      </c>
      <c r="O76" s="1">
        <v>0.99999602837460033</v>
      </c>
      <c r="P76" s="1">
        <v>1.0015237825311265</v>
      </c>
      <c r="Q76" s="2">
        <v>250.38094563278159</v>
      </c>
      <c r="S76" s="2">
        <v>7.5</v>
      </c>
      <c r="T76" s="1">
        <f t="shared" si="32"/>
        <v>3.1622776601683699E-8</v>
      </c>
      <c r="U76" s="1">
        <f t="shared" si="33"/>
        <v>3.1939004367700723E-7</v>
      </c>
      <c r="V76" s="1">
        <f t="shared" si="34"/>
        <v>9.8208725787866546E-2</v>
      </c>
      <c r="W76" s="1">
        <f t="shared" si="35"/>
        <v>5.9709140404448473E-4</v>
      </c>
      <c r="X76" s="1">
        <f t="shared" si="36"/>
        <v>1.2016454973276759E-2</v>
      </c>
      <c r="Y76" s="1">
        <f t="shared" si="37"/>
        <v>1.2013560015059339E-2</v>
      </c>
      <c r="Z76" s="1">
        <f t="shared" si="38"/>
        <v>0.60067800075296696</v>
      </c>
      <c r="AB76">
        <v>8.9</v>
      </c>
      <c r="AC76">
        <v>1.2589254117941623E-9</v>
      </c>
      <c r="AD76">
        <v>8.0227151707152736E-6</v>
      </c>
      <c r="AE76">
        <v>9.9939451674595559E-2</v>
      </c>
      <c r="AF76">
        <v>2.0182775134812914E-5</v>
      </c>
      <c r="AG76">
        <v>4.8396774327064238E-4</v>
      </c>
      <c r="AH76">
        <v>4.0373698802468732E-4</v>
      </c>
      <c r="AI76">
        <v>2.0186849401234365E-2</v>
      </c>
      <c r="AJ76"/>
      <c r="AK76"/>
      <c r="AL76"/>
      <c r="AM76"/>
      <c r="AN76"/>
      <c r="AO76"/>
      <c r="AP76"/>
      <c r="AQ76"/>
      <c r="AR76"/>
    </row>
    <row r="77" spans="1:44" ht="15" customHeight="1" x14ac:dyDescent="0.3">
      <c r="A77" s="2">
        <v>7.6</v>
      </c>
      <c r="B77" s="1">
        <f t="shared" si="26"/>
        <v>2.5118864315095751E-8</v>
      </c>
      <c r="C77" s="1">
        <f t="shared" si="27"/>
        <v>4.02088242259033E-7</v>
      </c>
      <c r="D77" s="1">
        <f t="shared" si="28"/>
        <v>1.042626671512553E-4</v>
      </c>
      <c r="E77" s="1">
        <f t="shared" si="29"/>
        <v>0.41657978111070726</v>
      </c>
      <c r="F77" s="1">
        <f t="shared" si="30"/>
        <v>0.99874563219897494</v>
      </c>
      <c r="G77" s="1">
        <f t="shared" si="31"/>
        <v>0.99875015111996268</v>
      </c>
      <c r="H77" s="1">
        <f t="shared" si="39"/>
        <v>249.68753777999063</v>
      </c>
      <c r="J77" s="2">
        <v>10.199999999999999</v>
      </c>
      <c r="K77" s="1">
        <v>6.3095734448019192E-11</v>
      </c>
      <c r="L77" s="1">
        <v>1.600742124385728E-4</v>
      </c>
      <c r="M77" s="1">
        <v>-1.5981167142049528E-4</v>
      </c>
      <c r="N77" s="1">
        <v>0.41679984305951712</v>
      </c>
      <c r="O77" s="1">
        <v>0.99999684522323029</v>
      </c>
      <c r="P77" s="1">
        <v>1.0019208097351886</v>
      </c>
      <c r="Q77" s="2">
        <v>250.48020243379713</v>
      </c>
      <c r="S77" s="2">
        <v>7.6</v>
      </c>
      <c r="T77" s="1">
        <f t="shared" si="32"/>
        <v>2.5118864315095751E-8</v>
      </c>
      <c r="U77" s="1">
        <f t="shared" si="33"/>
        <v>4.02088242259033E-7</v>
      </c>
      <c r="V77" s="1">
        <f t="shared" si="34"/>
        <v>9.8572098322921659E-2</v>
      </c>
      <c r="W77" s="1">
        <f t="shared" si="35"/>
        <v>4.7596722569277653E-4</v>
      </c>
      <c r="X77" s="1">
        <f t="shared" si="36"/>
        <v>9.5686578830971782E-3</v>
      </c>
      <c r="Y77" s="1">
        <f t="shared" si="37"/>
        <v>9.5648701610019666E-3</v>
      </c>
      <c r="Z77" s="1">
        <f t="shared" si="38"/>
        <v>0.47824350805009835</v>
      </c>
      <c r="AB77">
        <v>9</v>
      </c>
      <c r="AC77">
        <v>1.0000000000000001E-9</v>
      </c>
      <c r="AD77">
        <v>1.0099999999999998E-5</v>
      </c>
      <c r="AE77">
        <v>9.9957486545646748E-2</v>
      </c>
      <c r="AF77">
        <v>1.4171151451085916E-5</v>
      </c>
      <c r="AG77">
        <v>3.8446751249519417E-4</v>
      </c>
      <c r="AH77">
        <v>2.8346319902095962E-4</v>
      </c>
      <c r="AI77">
        <v>1.4173159951047981E-2</v>
      </c>
      <c r="AJ77"/>
      <c r="AK77"/>
      <c r="AL77"/>
      <c r="AM77"/>
      <c r="AN77"/>
      <c r="AO77"/>
      <c r="AP77"/>
      <c r="AQ77"/>
      <c r="AR77"/>
    </row>
    <row r="78" spans="1:44" ht="15" customHeight="1" x14ac:dyDescent="0.3">
      <c r="A78" s="2">
        <v>7.7</v>
      </c>
      <c r="B78" s="1">
        <f t="shared" si="26"/>
        <v>1.9952623149688773E-8</v>
      </c>
      <c r="C78" s="1">
        <f t="shared" si="27"/>
        <v>5.0619910596354556E-7</v>
      </c>
      <c r="D78" s="1">
        <f t="shared" si="28"/>
        <v>8.263545826160783E-5</v>
      </c>
      <c r="E78" s="1">
        <f t="shared" si="29"/>
        <v>0.41659780378478201</v>
      </c>
      <c r="F78" s="1">
        <f t="shared" si="30"/>
        <v>0.99900336311852123</v>
      </c>
      <c r="G78" s="1">
        <f t="shared" si="31"/>
        <v>0.99900919325855198</v>
      </c>
      <c r="H78" s="1">
        <f t="shared" si="39"/>
        <v>249.75229831463798</v>
      </c>
      <c r="J78" s="2">
        <v>10.3</v>
      </c>
      <c r="K78" s="1">
        <v>5.0118723362726993E-11</v>
      </c>
      <c r="L78" s="1">
        <v>2.0152149381185778E-4</v>
      </c>
      <c r="M78" s="1">
        <v>-2.0131303659939921E-4</v>
      </c>
      <c r="N78" s="1">
        <v>0.41683442753049949</v>
      </c>
      <c r="O78" s="1">
        <v>0.99999749407011151</v>
      </c>
      <c r="P78" s="1">
        <v>1.0024206294819076</v>
      </c>
      <c r="Q78" s="2">
        <v>250.60515737047689</v>
      </c>
      <c r="S78" s="2">
        <v>7.7</v>
      </c>
      <c r="T78" s="1">
        <f t="shared" si="32"/>
        <v>1.9952623149688773E-8</v>
      </c>
      <c r="U78" s="1">
        <f t="shared" si="33"/>
        <v>5.0619910596354556E-7</v>
      </c>
      <c r="V78" s="1">
        <f t="shared" si="34"/>
        <v>9.8862713543761832E-2</v>
      </c>
      <c r="W78" s="1">
        <f t="shared" si="35"/>
        <v>3.7909548541272437E-4</v>
      </c>
      <c r="X78" s="1">
        <f t="shared" si="36"/>
        <v>7.6156427308604786E-3</v>
      </c>
      <c r="Y78" s="1">
        <f t="shared" si="37"/>
        <v>7.6107617625016475E-3</v>
      </c>
      <c r="Z78" s="1">
        <f t="shared" si="38"/>
        <v>0.38053808812508239</v>
      </c>
      <c r="AB78">
        <v>9.1</v>
      </c>
      <c r="AC78">
        <v>7.9432823472428E-10</v>
      </c>
      <c r="AD78">
        <v>1.2715146659121113E-5</v>
      </c>
      <c r="AE78">
        <v>9.9973262978804489E-2</v>
      </c>
      <c r="AF78">
        <v>8.9123403985062932E-6</v>
      </c>
      <c r="AG78">
        <v>3.0541755113078326E-4</v>
      </c>
      <c r="AH78">
        <v>1.7826269534833883E-4</v>
      </c>
      <c r="AI78">
        <v>8.9131347674169421E-3</v>
      </c>
      <c r="AJ78"/>
      <c r="AK78"/>
      <c r="AL78"/>
      <c r="AM78"/>
      <c r="AN78"/>
      <c r="AO78"/>
      <c r="AP78"/>
      <c r="AQ78"/>
      <c r="AR78"/>
    </row>
    <row r="79" spans="1:44" ht="15" customHeight="1" x14ac:dyDescent="0.3">
      <c r="A79" s="2">
        <v>7.8</v>
      </c>
      <c r="B79" s="1">
        <f t="shared" si="26"/>
        <v>1.5848931924611133E-8</v>
      </c>
      <c r="C79" s="1">
        <f t="shared" si="27"/>
        <v>6.3726691792499521E-7</v>
      </c>
      <c r="D79" s="1">
        <f t="shared" si="28"/>
        <v>6.5406667377480228E-5</v>
      </c>
      <c r="E79" s="1">
        <f t="shared" si="29"/>
        <v>0.41661216111051874</v>
      </c>
      <c r="F79" s="1">
        <f t="shared" si="30"/>
        <v>0.99920818087813745</v>
      </c>
      <c r="G79" s="1">
        <f t="shared" si="31"/>
        <v>0.99921563301977201</v>
      </c>
      <c r="H79" s="1">
        <f t="shared" si="39"/>
        <v>249.803908254943</v>
      </c>
      <c r="J79" s="2">
        <v>10.4</v>
      </c>
      <c r="K79" s="1">
        <v>3.9810717055349579E-11</v>
      </c>
      <c r="L79" s="1">
        <v>2.5370052958246852E-4</v>
      </c>
      <c r="M79" s="1">
        <v>-2.5353503267218027E-4</v>
      </c>
      <c r="N79" s="1">
        <v>0.41687794586056015</v>
      </c>
      <c r="O79" s="1">
        <v>0.99999800946810935</v>
      </c>
      <c r="P79" s="1">
        <v>1.0030501535999925</v>
      </c>
      <c r="Q79" s="2">
        <v>250.76253839999811</v>
      </c>
      <c r="S79" s="2">
        <v>7.8</v>
      </c>
      <c r="T79" s="1">
        <f t="shared" si="32"/>
        <v>1.5848931924611133E-8</v>
      </c>
      <c r="U79" s="1">
        <f t="shared" si="33"/>
        <v>6.3726691792499521E-7</v>
      </c>
      <c r="V79" s="1">
        <f t="shared" si="34"/>
        <v>9.9094852670111727E-2</v>
      </c>
      <c r="W79" s="1">
        <f t="shared" si="35"/>
        <v>3.0171577662942552E-4</v>
      </c>
      <c r="X79" s="1">
        <f t="shared" si="36"/>
        <v>6.0588100983913771E-3</v>
      </c>
      <c r="Y79" s="1">
        <f t="shared" si="37"/>
        <v>6.0525771126299765E-3</v>
      </c>
      <c r="Z79" s="1">
        <f t="shared" si="38"/>
        <v>0.30262885563149883</v>
      </c>
      <c r="AB79">
        <v>9.1999999999999993</v>
      </c>
      <c r="AC79">
        <v>6.309573444801927E-10</v>
      </c>
      <c r="AD79">
        <v>1.6007421243857258E-5</v>
      </c>
      <c r="AE79">
        <v>9.9987619133671546E-2</v>
      </c>
      <c r="AF79">
        <v>4.1269554428177421E-6</v>
      </c>
      <c r="AG79">
        <v>2.4261702441797701E-4</v>
      </c>
      <c r="AH79">
        <v>8.2542515349184669E-5</v>
      </c>
      <c r="AI79">
        <v>4.1271257674592339E-3</v>
      </c>
      <c r="AJ79"/>
      <c r="AK79"/>
      <c r="AL79"/>
      <c r="AM79"/>
      <c r="AN79"/>
      <c r="AO79"/>
      <c r="AP79"/>
      <c r="AQ79"/>
      <c r="AR79"/>
    </row>
    <row r="80" spans="1:44" ht="15" customHeight="1" x14ac:dyDescent="0.3">
      <c r="A80" s="2">
        <v>7.9</v>
      </c>
      <c r="B80" s="1">
        <f t="shared" si="26"/>
        <v>1.2589254117941638E-8</v>
      </c>
      <c r="C80" s="1">
        <f t="shared" si="27"/>
        <v>8.0227151707152647E-7</v>
      </c>
      <c r="D80" s="1">
        <f t="shared" si="28"/>
        <v>5.1659626518202892E-5</v>
      </c>
      <c r="E80" s="1">
        <f t="shared" si="29"/>
        <v>0.41662361697790146</v>
      </c>
      <c r="F80" s="1">
        <f t="shared" si="30"/>
        <v>0.99937093326815019</v>
      </c>
      <c r="G80" s="1">
        <f t="shared" si="31"/>
        <v>0.99938040456247046</v>
      </c>
      <c r="H80" s="1">
        <f t="shared" si="39"/>
        <v>249.84510114061763</v>
      </c>
      <c r="J80" s="2">
        <v>10.5</v>
      </c>
      <c r="K80" s="1">
        <v>3.162277660168371E-11</v>
      </c>
      <c r="L80" s="1">
        <v>3.1939004367700712E-4</v>
      </c>
      <c r="M80" s="1">
        <v>-3.192586713529621E-4</v>
      </c>
      <c r="N80" s="1">
        <v>0.41693271555946082</v>
      </c>
      <c r="O80" s="1">
        <v>0.99999841886366991</v>
      </c>
      <c r="P80" s="1">
        <v>1.0038433743621593</v>
      </c>
      <c r="Q80" s="2">
        <v>250.96084359053981</v>
      </c>
      <c r="S80" s="2">
        <v>7.9</v>
      </c>
      <c r="T80" s="1">
        <f t="shared" si="32"/>
        <v>1.2589254117941638E-8</v>
      </c>
      <c r="U80" s="1">
        <f t="shared" si="33"/>
        <v>8.0227151707152647E-7</v>
      </c>
      <c r="V80" s="1">
        <f t="shared" si="34"/>
        <v>9.9280115678992059E-2</v>
      </c>
      <c r="W80" s="1">
        <f t="shared" si="35"/>
        <v>2.3996144033598321E-4</v>
      </c>
      <c r="X80" s="1">
        <f t="shared" si="36"/>
        <v>4.8186886239766011E-3</v>
      </c>
      <c r="Y80" s="1">
        <f t="shared" si="37"/>
        <v>4.8107728064372829E-3</v>
      </c>
      <c r="Z80" s="1">
        <f t="shared" si="38"/>
        <v>0.24053864032186414</v>
      </c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 ht="15" customHeight="1" x14ac:dyDescent="0.3">
      <c r="A81" s="2">
        <v>8</v>
      </c>
      <c r="B81" s="1">
        <f t="shared" si="26"/>
        <v>1E-8</v>
      </c>
      <c r="C81" s="1">
        <f t="shared" si="27"/>
        <v>1.0099999999999999E-6</v>
      </c>
      <c r="D81" s="1">
        <f t="shared" si="28"/>
        <v>4.0662778101845351E-5</v>
      </c>
      <c r="E81" s="1">
        <f t="shared" si="29"/>
        <v>0.41663278101824847</v>
      </c>
      <c r="F81" s="1">
        <f t="shared" si="30"/>
        <v>0.99950024987506236</v>
      </c>
      <c r="G81" s="1">
        <f t="shared" si="31"/>
        <v>0.99951224499751223</v>
      </c>
      <c r="H81" s="1">
        <f t="shared" si="39"/>
        <v>249.87806124937805</v>
      </c>
      <c r="J81" s="2">
        <v>10.6</v>
      </c>
      <c r="K81" s="1">
        <v>2.5118864315095759E-11</v>
      </c>
      <c r="L81" s="1">
        <v>4.0208824225903287E-4</v>
      </c>
      <c r="M81" s="1">
        <v>-4.0198397606066395E-4</v>
      </c>
      <c r="N81" s="1">
        <v>0.41700165331338385</v>
      </c>
      <c r="O81" s="1">
        <v>0.99999874405836164</v>
      </c>
      <c r="P81" s="1">
        <v>1.0048432769098217</v>
      </c>
      <c r="Q81" s="2">
        <v>251.2108192274554</v>
      </c>
      <c r="S81" s="2">
        <v>8</v>
      </c>
      <c r="T81" s="1">
        <f t="shared" si="32"/>
        <v>1E-8</v>
      </c>
      <c r="U81" s="1">
        <f t="shared" si="33"/>
        <v>1.0099999999999999E-6</v>
      </c>
      <c r="V81" s="1">
        <f t="shared" si="34"/>
        <v>9.9427883365200781E-2</v>
      </c>
      <c r="W81" s="1">
        <f t="shared" si="35"/>
        <v>1.9070554493307842E-4</v>
      </c>
      <c r="X81" s="1">
        <f t="shared" si="36"/>
        <v>3.831417624521073E-3</v>
      </c>
      <c r="Y81" s="1">
        <f t="shared" si="37"/>
        <v>3.8213985175284851E-3</v>
      </c>
      <c r="Z81" s="1">
        <f t="shared" si="38"/>
        <v>0.19106992587642427</v>
      </c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 ht="15" customHeight="1" x14ac:dyDescent="0.3">
      <c r="A82" s="2">
        <v>8.1</v>
      </c>
      <c r="B82" s="1">
        <f t="shared" si="26"/>
        <v>7.9432823472428087E-9</v>
      </c>
      <c r="C82" s="1">
        <f t="shared" si="27"/>
        <v>1.2715146659121098E-6</v>
      </c>
      <c r="D82" s="1">
        <f t="shared" si="28"/>
        <v>3.183082954083591E-5</v>
      </c>
      <c r="E82" s="1">
        <f t="shared" si="29"/>
        <v>0.4166401409753826</v>
      </c>
      <c r="F82" s="1">
        <f t="shared" si="30"/>
        <v>0.99960299355935045</v>
      </c>
      <c r="G82" s="1">
        <f t="shared" si="31"/>
        <v>0.99961815159102607</v>
      </c>
      <c r="H82" s="1">
        <f t="shared" si="39"/>
        <v>249.90453789775651</v>
      </c>
      <c r="J82" s="2">
        <v>10.7</v>
      </c>
      <c r="K82" s="1">
        <v>1.995262314968878E-11</v>
      </c>
      <c r="L82" s="1">
        <v>5.0619910596354538E-4</v>
      </c>
      <c r="M82" s="1">
        <v>-5.0611637092822328E-4</v>
      </c>
      <c r="N82" s="1">
        <v>0.41708843030910692</v>
      </c>
      <c r="O82" s="1">
        <v>0.99999900236983785</v>
      </c>
      <c r="P82" s="1">
        <v>1.006104291268578</v>
      </c>
      <c r="Q82" s="2">
        <v>251.52607281714452</v>
      </c>
      <c r="S82" s="2">
        <v>8.1</v>
      </c>
      <c r="T82" s="1">
        <f t="shared" si="32"/>
        <v>7.9432823472428087E-9</v>
      </c>
      <c r="U82" s="1">
        <f t="shared" si="33"/>
        <v>1.2715146659121098E-6</v>
      </c>
      <c r="V82" s="1">
        <f t="shared" si="34"/>
        <v>9.9545716685620594E-2</v>
      </c>
      <c r="W82" s="1">
        <f t="shared" si="35"/>
        <v>1.5142777145980574E-4</v>
      </c>
      <c r="X82" s="1">
        <f t="shared" si="36"/>
        <v>3.0458033351452216E-3</v>
      </c>
      <c r="Y82" s="1">
        <f t="shared" si="37"/>
        <v>3.0331484583116029E-3</v>
      </c>
      <c r="Z82" s="1">
        <f t="shared" si="38"/>
        <v>0.15165742291558015</v>
      </c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 ht="15" customHeight="1" x14ac:dyDescent="0.3">
      <c r="A83" s="2">
        <v>8.1999999999999993</v>
      </c>
      <c r="B83" s="1">
        <f t="shared" si="26"/>
        <v>6.3095734448019329E-9</v>
      </c>
      <c r="C83" s="1">
        <f t="shared" si="27"/>
        <v>1.6007421243857243E-6</v>
      </c>
      <c r="D83" s="1">
        <f t="shared" si="28"/>
        <v>2.4693655406013867E-5</v>
      </c>
      <c r="E83" s="1">
        <f t="shared" si="29"/>
        <v>0.41664608862049496</v>
      </c>
      <c r="F83" s="1">
        <f t="shared" si="30"/>
        <v>0.99968462082316378</v>
      </c>
      <c r="G83" s="1">
        <f t="shared" si="31"/>
        <v>0.99970374929025729</v>
      </c>
      <c r="H83" s="1">
        <f t="shared" si="39"/>
        <v>249.92593732256429</v>
      </c>
      <c r="J83" s="2">
        <v>10.8</v>
      </c>
      <c r="K83" s="1">
        <v>1.5848931924611082E-11</v>
      </c>
      <c r="L83" s="1">
        <v>6.3726691792499724E-4</v>
      </c>
      <c r="M83" s="1">
        <v>-6.3720128570169635E-4</v>
      </c>
      <c r="N83" s="1">
        <v>0.41719766773808475</v>
      </c>
      <c r="O83" s="1">
        <v>0.99999920755403171</v>
      </c>
      <c r="P83" s="1">
        <v>1.0076954509407554</v>
      </c>
      <c r="Q83" s="2">
        <v>251.92386273518883</v>
      </c>
      <c r="S83" s="2">
        <v>8.1999999999999993</v>
      </c>
      <c r="T83" s="1">
        <f t="shared" si="32"/>
        <v>6.3095734448019329E-9</v>
      </c>
      <c r="U83" s="1">
        <f t="shared" si="33"/>
        <v>1.6007421243857243E-6</v>
      </c>
      <c r="V83" s="1">
        <f t="shared" si="34"/>
        <v>9.9639695159727162E-2</v>
      </c>
      <c r="W83" s="1">
        <f t="shared" si="35"/>
        <v>1.2010161342427785E-4</v>
      </c>
      <c r="X83" s="1">
        <f t="shared" si="36"/>
        <v>2.4208841148760643E-3</v>
      </c>
      <c r="Y83" s="1">
        <f t="shared" si="37"/>
        <v>2.4049206169480847E-3</v>
      </c>
      <c r="Z83" s="1">
        <f t="shared" si="38"/>
        <v>0.12024603084740422</v>
      </c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 ht="15" customHeight="1" x14ac:dyDescent="0.3">
      <c r="A84" s="2">
        <v>8.3000000000000007</v>
      </c>
      <c r="B84" s="1">
        <f t="shared" si="26"/>
        <v>5.0118723362727114E-9</v>
      </c>
      <c r="C84" s="1">
        <f t="shared" si="27"/>
        <v>2.0152149381185727E-6</v>
      </c>
      <c r="D84" s="1">
        <f t="shared" si="28"/>
        <v>1.8871306419803796E-5</v>
      </c>
      <c r="E84" s="1">
        <f t="shared" si="29"/>
        <v>0.41665094057798352</v>
      </c>
      <c r="F84" s="1">
        <f t="shared" si="30"/>
        <v>0.9997494691646146</v>
      </c>
      <c r="G84" s="1">
        <f t="shared" si="31"/>
        <v>0.99977358705004393</v>
      </c>
      <c r="H84" s="1">
        <f t="shared" si="39"/>
        <v>249.94339676251096</v>
      </c>
      <c r="J84" s="2">
        <v>10.9</v>
      </c>
      <c r="K84" s="1">
        <v>1.2589254117941641E-11</v>
      </c>
      <c r="L84" s="1">
        <v>8.0227151707152624E-4</v>
      </c>
      <c r="M84" s="1">
        <v>-8.0221947009556844E-4</v>
      </c>
      <c r="N84" s="1">
        <v>0.41733518289174631</v>
      </c>
      <c r="O84" s="1">
        <v>0.99999937053769028</v>
      </c>
      <c r="P84" s="1">
        <v>1.0097044849085557</v>
      </c>
      <c r="Q84" s="2">
        <v>252.42612122713894</v>
      </c>
      <c r="S84" s="2">
        <v>8.3000000000000007</v>
      </c>
      <c r="T84" s="1">
        <f t="shared" si="32"/>
        <v>5.0118723362727114E-9</v>
      </c>
      <c r="U84" s="1">
        <f t="shared" si="33"/>
        <v>2.0152149381185727E-6</v>
      </c>
      <c r="V84" s="1">
        <f t="shared" si="34"/>
        <v>9.9714699572238261E-2</v>
      </c>
      <c r="W84" s="1">
        <f t="shared" si="35"/>
        <v>9.5100142587245323E-5</v>
      </c>
      <c r="X84" s="1">
        <f t="shared" si="36"/>
        <v>1.9239345469001165E-3</v>
      </c>
      <c r="Y84" s="1">
        <f t="shared" si="37"/>
        <v>1.9038133809848178E-3</v>
      </c>
      <c r="Z84" s="1">
        <f t="shared" si="38"/>
        <v>9.5190669049240895E-2</v>
      </c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 ht="15" customHeight="1" x14ac:dyDescent="0.3">
      <c r="A85" s="2">
        <v>8.4</v>
      </c>
      <c r="B85" s="1">
        <f t="shared" si="26"/>
        <v>3.9810717055349665E-9</v>
      </c>
      <c r="C85" s="1">
        <f t="shared" si="27"/>
        <v>2.5370052958246796E-6</v>
      </c>
      <c r="D85" s="1">
        <f t="shared" si="28"/>
        <v>1.40538040980393E-5</v>
      </c>
      <c r="E85" s="1">
        <f t="shared" si="29"/>
        <v>0.41665495516325157</v>
      </c>
      <c r="F85" s="1">
        <f t="shared" si="30"/>
        <v>0.99980098602916778</v>
      </c>
      <c r="G85" s="1">
        <f t="shared" si="31"/>
        <v>0.99983137804862221</v>
      </c>
      <c r="H85" s="1">
        <f t="shared" si="39"/>
        <v>249.95784451215556</v>
      </c>
      <c r="J85" s="2">
        <v>11</v>
      </c>
      <c r="K85" s="1">
        <v>9.9999999999999994E-12</v>
      </c>
      <c r="L85" s="1">
        <v>1.01E-3</v>
      </c>
      <c r="M85" s="1">
        <v>-1.0099587441700802E-3</v>
      </c>
      <c r="N85" s="1">
        <v>0.41750829895347513</v>
      </c>
      <c r="O85" s="1">
        <v>0.99999950000024995</v>
      </c>
      <c r="P85" s="1">
        <v>1.0122431557521219</v>
      </c>
      <c r="Q85" s="2">
        <v>253.06078893803047</v>
      </c>
      <c r="S85" s="2">
        <v>8.4</v>
      </c>
      <c r="T85" s="1">
        <f t="shared" si="32"/>
        <v>3.9810717055349665E-9</v>
      </c>
      <c r="U85" s="1">
        <f t="shared" si="33"/>
        <v>2.5370052958246796E-6</v>
      </c>
      <c r="V85" s="1">
        <f t="shared" si="34"/>
        <v>9.9774645727748426E-2</v>
      </c>
      <c r="W85" s="1">
        <f t="shared" si="35"/>
        <v>7.511809075052627E-5</v>
      </c>
      <c r="X85" s="1">
        <f t="shared" si="36"/>
        <v>1.5288404930407099E-3</v>
      </c>
      <c r="Y85" s="1">
        <f t="shared" si="37"/>
        <v>1.5034912089012542E-3</v>
      </c>
      <c r="Z85" s="1">
        <f t="shared" si="38"/>
        <v>7.5174560445062696E-2</v>
      </c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 ht="15" customHeight="1" x14ac:dyDescent="0.3">
      <c r="A86" s="2">
        <v>8.5</v>
      </c>
      <c r="B86" s="1">
        <f t="shared" si="26"/>
        <v>3.1622776601683779E-9</v>
      </c>
      <c r="C86" s="1">
        <f t="shared" si="27"/>
        <v>3.1939004367700643E-6</v>
      </c>
      <c r="D86" s="1">
        <f t="shared" si="28"/>
        <v>9.9846511395914062E-6</v>
      </c>
      <c r="E86" s="1">
        <f t="shared" si="29"/>
        <v>0.41665834612405039</v>
      </c>
      <c r="F86" s="1">
        <f t="shared" si="30"/>
        <v>0.99984191111303944</v>
      </c>
      <c r="G86" s="1">
        <f t="shared" si="31"/>
        <v>0.99988019614832158</v>
      </c>
      <c r="H86" s="1">
        <f t="shared" si="39"/>
        <v>249.97004903708037</v>
      </c>
      <c r="J86" s="2">
        <v>11.1</v>
      </c>
      <c r="K86" s="1">
        <v>7.9432823472428101E-12</v>
      </c>
      <c r="L86" s="1">
        <v>1.2715146659121096E-3</v>
      </c>
      <c r="M86" s="1">
        <v>-1.271481981794552E-3</v>
      </c>
      <c r="N86" s="1">
        <v>0.41772623498482886</v>
      </c>
      <c r="O86" s="1">
        <v>0.99999960283604039</v>
      </c>
      <c r="P86" s="1">
        <v>1.0154542821950605</v>
      </c>
      <c r="Q86" s="2">
        <v>253.86357054876513</v>
      </c>
      <c r="S86" s="2">
        <v>8.5</v>
      </c>
      <c r="T86" s="1">
        <f t="shared" si="32"/>
        <v>3.1622776601683779E-9</v>
      </c>
      <c r="U86" s="1">
        <f t="shared" si="33"/>
        <v>3.1939004367700643E-6</v>
      </c>
      <c r="V86" s="1">
        <f t="shared" si="34"/>
        <v>9.982267634029493E-2</v>
      </c>
      <c r="W86" s="1">
        <f t="shared" si="35"/>
        <v>5.9107886568355264E-5</v>
      </c>
      <c r="X86" s="1">
        <f t="shared" si="36"/>
        <v>1.2147831456019583E-3</v>
      </c>
      <c r="Y86" s="1">
        <f t="shared" si="37"/>
        <v>1.1828568930777317E-3</v>
      </c>
      <c r="Z86" s="1">
        <f t="shared" si="38"/>
        <v>5.9142844653886584E-2</v>
      </c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 ht="15" customHeight="1" x14ac:dyDescent="0.3">
      <c r="A87" s="2">
        <v>8.6</v>
      </c>
      <c r="B87" s="1">
        <f t="shared" si="26"/>
        <v>2.5118864315095812E-9</v>
      </c>
      <c r="C87" s="1">
        <f t="shared" si="27"/>
        <v>4.02088242259032E-6</v>
      </c>
      <c r="D87" s="1">
        <f t="shared" si="28"/>
        <v>6.4471832890026882E-6</v>
      </c>
      <c r="E87" s="1">
        <f t="shared" si="29"/>
        <v>0.41666129401392582</v>
      </c>
      <c r="F87" s="1">
        <f t="shared" si="30"/>
        <v>0.9998744214503773</v>
      </c>
      <c r="G87" s="1">
        <f t="shared" si="31"/>
        <v>0.99992263878815113</v>
      </c>
      <c r="H87" s="1">
        <f t="shared" si="39"/>
        <v>249.98065969703777</v>
      </c>
      <c r="J87" s="2">
        <v>11.2</v>
      </c>
      <c r="K87" s="1">
        <v>6.3095734448019345E-12</v>
      </c>
      <c r="L87" s="1">
        <v>1.600742124385724E-3</v>
      </c>
      <c r="M87" s="1">
        <v>-1.6007162490215018E-3</v>
      </c>
      <c r="N87" s="1">
        <v>0.41800059687418456</v>
      </c>
      <c r="O87" s="1">
        <v>0.99999968452142729</v>
      </c>
      <c r="P87" s="1">
        <v>1.0195210719590904</v>
      </c>
      <c r="Q87" s="2">
        <v>254.88026798977259</v>
      </c>
      <c r="S87" s="2">
        <v>8.6</v>
      </c>
      <c r="T87" s="1">
        <f t="shared" si="32"/>
        <v>2.5118864315095812E-9</v>
      </c>
      <c r="U87" s="1">
        <f t="shared" si="33"/>
        <v>4.02088242259032E-6</v>
      </c>
      <c r="V87" s="1">
        <f t="shared" si="34"/>
        <v>9.9861317827577317E-2</v>
      </c>
      <c r="W87" s="1">
        <f t="shared" si="35"/>
        <v>4.6227390807561127E-5</v>
      </c>
      <c r="X87" s="1">
        <f t="shared" si="36"/>
        <v>9.6517769797924288E-4</v>
      </c>
      <c r="Y87" s="1">
        <f t="shared" si="37"/>
        <v>9.24975408148021E-4</v>
      </c>
      <c r="Z87" s="1">
        <f t="shared" si="38"/>
        <v>4.6248770407401052E-2</v>
      </c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 ht="15" customHeight="1" x14ac:dyDescent="0.3">
      <c r="A88" s="2">
        <v>8.6999999999999993</v>
      </c>
      <c r="B88" s="1">
        <f t="shared" si="26"/>
        <v>1.9952623149688824E-9</v>
      </c>
      <c r="C88" s="1">
        <f t="shared" si="27"/>
        <v>5.0619910596354431E-6</v>
      </c>
      <c r="D88" s="1">
        <f t="shared" si="28"/>
        <v>3.2530382918937698E-6</v>
      </c>
      <c r="E88" s="1">
        <f t="shared" si="29"/>
        <v>0.4166639558014234</v>
      </c>
      <c r="F88" s="1">
        <f t="shared" si="30"/>
        <v>0.99990024683593803</v>
      </c>
      <c r="G88" s="1">
        <f t="shared" si="31"/>
        <v>0.99996096481032692</v>
      </c>
      <c r="H88" s="1">
        <f t="shared" si="39"/>
        <v>249.99024120258173</v>
      </c>
      <c r="J88" s="2">
        <v>11.3</v>
      </c>
      <c r="K88" s="1">
        <v>5.0118723362726945E-12</v>
      </c>
      <c r="L88" s="1">
        <v>2.0152149381185798E-3</v>
      </c>
      <c r="M88" s="1">
        <v>-2.015194471139473E-3</v>
      </c>
      <c r="N88" s="1">
        <v>0.41834599539261624</v>
      </c>
      <c r="O88" s="1">
        <v>0.99999974940644598</v>
      </c>
      <c r="P88" s="1">
        <v>1.0246796771429536</v>
      </c>
      <c r="Q88" s="2">
        <v>256.16991928573839</v>
      </c>
      <c r="S88" s="2">
        <v>8.6999999999999993</v>
      </c>
      <c r="T88" s="1">
        <f t="shared" si="32"/>
        <v>1.9952623149688824E-9</v>
      </c>
      <c r="U88" s="1">
        <f t="shared" si="33"/>
        <v>5.0619910596354431E-6</v>
      </c>
      <c r="V88" s="1">
        <f t="shared" si="34"/>
        <v>9.9892608151060117E-2</v>
      </c>
      <c r="W88" s="1">
        <f t="shared" si="35"/>
        <v>3.5797282979961949E-5</v>
      </c>
      <c r="X88" s="1">
        <f t="shared" si="36"/>
        <v>7.6682011834015319E-4</v>
      </c>
      <c r="Y88" s="1">
        <f t="shared" si="37"/>
        <v>7.1620204047037432E-4</v>
      </c>
      <c r="Z88" s="1">
        <f t="shared" si="38"/>
        <v>3.5810102023518718E-2</v>
      </c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 ht="15" customHeight="1" x14ac:dyDescent="0.3">
      <c r="A89" s="2">
        <v>8.8000000000000007</v>
      </c>
      <c r="B89" s="1">
        <f t="shared" si="26"/>
        <v>1.584893192461106E-9</v>
      </c>
      <c r="C89" s="1">
        <f t="shared" si="27"/>
        <v>6.3726691792499815E-6</v>
      </c>
      <c r="D89" s="1">
        <f t="shared" si="28"/>
        <v>2.3212940894434186E-7</v>
      </c>
      <c r="E89" s="1">
        <f t="shared" si="29"/>
        <v>0.41666647322549261</v>
      </c>
      <c r="F89" s="1">
        <f t="shared" si="30"/>
        <v>0.99992076161959542</v>
      </c>
      <c r="G89" s="1">
        <f t="shared" si="31"/>
        <v>0.99999721445355871</v>
      </c>
      <c r="H89" s="1">
        <f t="shared" si="39"/>
        <v>249.99930361338969</v>
      </c>
      <c r="J89" s="2">
        <v>11.4</v>
      </c>
      <c r="K89" s="1">
        <v>3.9810717055349533E-12</v>
      </c>
      <c r="L89" s="1">
        <v>2.5370052958246878E-3</v>
      </c>
      <c r="M89" s="1">
        <v>-2.5369891248787271E-3</v>
      </c>
      <c r="N89" s="1">
        <v>0.41878082427073227</v>
      </c>
      <c r="O89" s="1">
        <v>0.99999980094645435</v>
      </c>
      <c r="P89" s="1">
        <v>1.0312363318403452</v>
      </c>
      <c r="Q89" s="2">
        <v>257.8090829600863</v>
      </c>
      <c r="S89" s="2">
        <v>8.8000000000000007</v>
      </c>
      <c r="T89" s="1">
        <f t="shared" si="32"/>
        <v>1.584893192461106E-9</v>
      </c>
      <c r="U89" s="1">
        <f t="shared" si="33"/>
        <v>6.3726691792499815E-6</v>
      </c>
      <c r="V89" s="1">
        <f t="shared" si="34"/>
        <v>9.991820109994555E-2</v>
      </c>
      <c r="W89" s="1">
        <f t="shared" si="35"/>
        <v>2.7266300018153919E-5</v>
      </c>
      <c r="X89" s="1">
        <f t="shared" si="36"/>
        <v>6.0920295032780927E-4</v>
      </c>
      <c r="Y89" s="1">
        <f t="shared" si="37"/>
        <v>5.4547473113979411E-4</v>
      </c>
      <c r="Z89" s="1">
        <f t="shared" si="38"/>
        <v>2.7273736556989708E-2</v>
      </c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 ht="15" customHeight="1" x14ac:dyDescent="0.3">
      <c r="A90" s="2">
        <v>8.9</v>
      </c>
      <c r="B90" s="1">
        <f t="shared" si="26"/>
        <v>1.2589254117941623E-9</v>
      </c>
      <c r="C90" s="1">
        <f t="shared" si="27"/>
        <v>8.0227151707152736E-6</v>
      </c>
      <c r="D90" s="1">
        <f t="shared" si="28"/>
        <v>-2.7764094894802925E-6</v>
      </c>
      <c r="E90" s="1">
        <f t="shared" si="29"/>
        <v>0.41666898034124128</v>
      </c>
      <c r="F90" s="1">
        <f t="shared" si="30"/>
        <v>0.99993705769139385</v>
      </c>
      <c r="G90" s="1">
        <f t="shared" si="31"/>
        <v>1.0000333178389134</v>
      </c>
      <c r="H90" s="1">
        <f t="shared" si="39"/>
        <v>250.00832945972834</v>
      </c>
      <c r="J90" s="2">
        <v>11.5</v>
      </c>
      <c r="K90" s="1">
        <v>3.1622776601683669E-12</v>
      </c>
      <c r="L90" s="1">
        <v>3.1939004367700754E-3</v>
      </c>
      <c r="M90" s="1">
        <v>-3.1938876782845586E-3</v>
      </c>
      <c r="N90" s="1">
        <v>0.41932823973190381</v>
      </c>
      <c r="O90" s="1">
        <v>0.99999984188614199</v>
      </c>
      <c r="P90" s="1">
        <v>1.0395911489679948</v>
      </c>
      <c r="Q90" s="2">
        <v>259.89778724199869</v>
      </c>
      <c r="S90" s="2">
        <v>8.9</v>
      </c>
      <c r="T90" s="1">
        <f t="shared" si="32"/>
        <v>1.2589254117941623E-9</v>
      </c>
      <c r="U90" s="1">
        <f t="shared" si="33"/>
        <v>8.0227151707152736E-6</v>
      </c>
      <c r="V90" s="1">
        <f t="shared" si="34"/>
        <v>9.9939451674595559E-2</v>
      </c>
      <c r="W90" s="1">
        <f t="shared" si="35"/>
        <v>2.0182775134812914E-5</v>
      </c>
      <c r="X90" s="1">
        <f t="shared" si="36"/>
        <v>4.8396774327064238E-4</v>
      </c>
      <c r="Y90" s="1">
        <f t="shared" si="37"/>
        <v>4.0373698802468732E-4</v>
      </c>
      <c r="Z90" s="1">
        <f t="shared" si="38"/>
        <v>2.0186849401234365E-2</v>
      </c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 ht="15" customHeight="1" x14ac:dyDescent="0.3">
      <c r="A91" s="2">
        <v>9</v>
      </c>
      <c r="B91" s="1">
        <f t="shared" si="26"/>
        <v>1.0000000000000001E-9</v>
      </c>
      <c r="C91" s="1">
        <f t="shared" si="27"/>
        <v>1.0099999999999998E-5</v>
      </c>
      <c r="D91" s="1">
        <f t="shared" si="28"/>
        <v>-5.9327888434266171E-6</v>
      </c>
      <c r="E91" s="1">
        <f t="shared" si="29"/>
        <v>0.41667161065736946</v>
      </c>
      <c r="F91" s="1">
        <f t="shared" si="30"/>
        <v>0.99995000249987509</v>
      </c>
      <c r="G91" s="1">
        <f t="shared" si="31"/>
        <v>1.0000711976901298</v>
      </c>
      <c r="H91" s="1">
        <f t="shared" si="39"/>
        <v>250.01779942253242</v>
      </c>
      <c r="J91" s="2">
        <v>11.6</v>
      </c>
      <c r="K91" s="1">
        <v>2.5118864315095726E-12</v>
      </c>
      <c r="L91" s="1">
        <v>4.0208824225903342E-3</v>
      </c>
      <c r="M91" s="1">
        <v>-4.0208723747185392E-3</v>
      </c>
      <c r="N91" s="1">
        <v>0.42001739364559876</v>
      </c>
      <c r="O91" s="1">
        <v>0.99999987440569427</v>
      </c>
      <c r="P91" s="1">
        <v>1.0502718348149613</v>
      </c>
      <c r="Q91" s="2">
        <v>262.56795870374032</v>
      </c>
      <c r="S91" s="2">
        <v>9</v>
      </c>
      <c r="T91" s="1">
        <f t="shared" si="32"/>
        <v>1.0000000000000001E-9</v>
      </c>
      <c r="U91" s="1">
        <f t="shared" si="33"/>
        <v>1.0099999999999998E-5</v>
      </c>
      <c r="V91" s="1">
        <f t="shared" si="34"/>
        <v>9.9957486545646748E-2</v>
      </c>
      <c r="W91" s="1">
        <f t="shared" si="35"/>
        <v>1.4171151451085916E-5</v>
      </c>
      <c r="X91" s="1">
        <f t="shared" si="36"/>
        <v>3.8446751249519417E-4</v>
      </c>
      <c r="Y91" s="1">
        <f t="shared" si="37"/>
        <v>2.8346319902095962E-4</v>
      </c>
      <c r="Z91" s="1">
        <f t="shared" si="38"/>
        <v>1.4173159951047981E-2</v>
      </c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 ht="15" customHeight="1" x14ac:dyDescent="0.3">
      <c r="A92" s="2">
        <v>9.1</v>
      </c>
      <c r="B92" s="1">
        <f t="shared" si="26"/>
        <v>7.9432823472428E-10</v>
      </c>
      <c r="C92" s="1">
        <f t="shared" si="27"/>
        <v>1.2715146659121113E-5</v>
      </c>
      <c r="D92" s="1">
        <f t="shared" si="28"/>
        <v>-9.4050940652257816E-6</v>
      </c>
      <c r="E92" s="1">
        <f t="shared" si="29"/>
        <v>0.41667450424505437</v>
      </c>
      <c r="F92" s="1">
        <f t="shared" si="30"/>
        <v>0.99996028516559443</v>
      </c>
      <c r="G92" s="1">
        <f t="shared" si="31"/>
        <v>1.0001128717444765</v>
      </c>
      <c r="H92" s="1">
        <f t="shared" si="39"/>
        <v>250.02821793611909</v>
      </c>
      <c r="J92" s="2">
        <v>11.7</v>
      </c>
      <c r="K92" s="1">
        <v>1.9952623149688759E-12</v>
      </c>
      <c r="L92" s="1">
        <v>5.061991059635459E-3</v>
      </c>
      <c r="M92" s="1">
        <v>-5.0619831648806759E-3</v>
      </c>
      <c r="N92" s="1">
        <v>0.42088498597073387</v>
      </c>
      <c r="O92" s="1">
        <v>0.99999990023689411</v>
      </c>
      <c r="P92" s="1">
        <v>1.0639825856948992</v>
      </c>
      <c r="Q92" s="2">
        <v>265.99564642372479</v>
      </c>
      <c r="S92" s="2">
        <v>9.1</v>
      </c>
      <c r="T92" s="1">
        <f t="shared" si="32"/>
        <v>7.9432823472428E-10</v>
      </c>
      <c r="U92" s="1">
        <f t="shared" si="33"/>
        <v>1.2715146659121113E-5</v>
      </c>
      <c r="V92" s="1">
        <f t="shared" si="34"/>
        <v>9.9973262978804489E-2</v>
      </c>
      <c r="W92" s="1">
        <f t="shared" si="35"/>
        <v>8.9123403985062932E-6</v>
      </c>
      <c r="X92" s="1">
        <f t="shared" si="36"/>
        <v>3.0541755113078326E-4</v>
      </c>
      <c r="Y92" s="1">
        <f t="shared" si="37"/>
        <v>1.7826269534833883E-4</v>
      </c>
      <c r="Z92" s="1">
        <f t="shared" si="38"/>
        <v>8.9131347674169421E-3</v>
      </c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 ht="15" customHeight="1" x14ac:dyDescent="0.3">
      <c r="A93" s="2">
        <v>9.1999999999999993</v>
      </c>
      <c r="B93" s="1">
        <f t="shared" si="26"/>
        <v>6.309573444801927E-10</v>
      </c>
      <c r="C93" s="1">
        <f t="shared" si="27"/>
        <v>1.6007421243857258E-5</v>
      </c>
      <c r="D93" s="1">
        <f t="shared" si="28"/>
        <v>-1.3378235988814056E-5</v>
      </c>
      <c r="E93" s="1">
        <f t="shared" si="29"/>
        <v>0.41667781519665731</v>
      </c>
      <c r="F93" s="1">
        <f t="shared" si="30"/>
        <v>0.99996845312801252</v>
      </c>
      <c r="G93" s="1">
        <f t="shared" si="31"/>
        <v>1.0001605603120032</v>
      </c>
      <c r="H93" s="1">
        <f t="shared" si="39"/>
        <v>250.0401400780008</v>
      </c>
      <c r="J93" s="2">
        <v>11.8</v>
      </c>
      <c r="K93" s="1">
        <v>1.5848931924611065E-12</v>
      </c>
      <c r="L93" s="1">
        <v>6.3726691792499795E-3</v>
      </c>
      <c r="M93" s="1">
        <v>-6.3726629947768489E-3</v>
      </c>
      <c r="N93" s="1">
        <v>0.42197721916231407</v>
      </c>
      <c r="O93" s="1">
        <v>0.99999992075534661</v>
      </c>
      <c r="P93" s="1">
        <v>1.0816769528893639</v>
      </c>
      <c r="Q93" s="2">
        <v>270.41923822234099</v>
      </c>
      <c r="S93" s="2">
        <v>9.1999999999999993</v>
      </c>
      <c r="T93" s="1">
        <f t="shared" si="32"/>
        <v>6.309573444801927E-10</v>
      </c>
      <c r="U93" s="1">
        <f t="shared" si="33"/>
        <v>1.6007421243857258E-5</v>
      </c>
      <c r="V93" s="1">
        <f t="shared" si="34"/>
        <v>9.9987619133671546E-2</v>
      </c>
      <c r="W93" s="1">
        <f t="shared" si="35"/>
        <v>4.1269554428177421E-6</v>
      </c>
      <c r="X93" s="1">
        <f t="shared" si="36"/>
        <v>2.4261702441797701E-4</v>
      </c>
      <c r="Y93" s="1">
        <f t="shared" si="37"/>
        <v>8.2542515349184669E-5</v>
      </c>
      <c r="Z93" s="1">
        <f t="shared" si="38"/>
        <v>4.1271257674592339E-3</v>
      </c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 ht="15" customHeight="1" x14ac:dyDescent="0.3">
      <c r="A94" s="2">
        <v>9.3000000000000007</v>
      </c>
      <c r="B94" s="1">
        <f t="shared" si="26"/>
        <v>5.011872336272705E-10</v>
      </c>
      <c r="C94" s="1">
        <f t="shared" si="27"/>
        <v>2.0152149381185755E-5</v>
      </c>
      <c r="D94" s="1">
        <f t="shared" si="28"/>
        <v>-1.8063797596748565E-5</v>
      </c>
      <c r="E94" s="1">
        <f t="shared" si="29"/>
        <v>0.41668171983133062</v>
      </c>
      <c r="F94" s="1">
        <f t="shared" si="30"/>
        <v>0.99997494126627451</v>
      </c>
      <c r="G94" s="1">
        <f t="shared" si="31"/>
        <v>1.0002168047343294</v>
      </c>
      <c r="H94" s="1">
        <f t="shared" si="39"/>
        <v>250.05420118358234</v>
      </c>
      <c r="J94" s="2">
        <v>11.9</v>
      </c>
      <c r="K94" s="1">
        <v>1.2589254117941629E-12</v>
      </c>
      <c r="L94" s="1">
        <v>8.0227151707152698E-3</v>
      </c>
      <c r="M94" s="1">
        <v>-8.0227103447671807E-3</v>
      </c>
      <c r="N94" s="1">
        <v>0.4233522586206393</v>
      </c>
      <c r="O94" s="1">
        <v>0.99999993705373336</v>
      </c>
      <c r="P94" s="1">
        <v>1.1046698859012627</v>
      </c>
      <c r="Q94" s="2">
        <v>276.16747147531566</v>
      </c>
      <c r="S94" s="2">
        <v>9.3000000000000007</v>
      </c>
      <c r="T94" s="1">
        <f t="shared" si="32"/>
        <v>5.011872336272705E-10</v>
      </c>
      <c r="U94" s="1">
        <f t="shared" si="33"/>
        <v>2.0152149381185755E-5</v>
      </c>
      <c r="V94" s="1">
        <f t="shared" si="34"/>
        <v>0.10000131826980212</v>
      </c>
      <c r="W94" s="1">
        <f t="shared" si="35"/>
        <v>-4.3942326737779463E-7</v>
      </c>
      <c r="X94" s="1">
        <f t="shared" si="36"/>
        <v>1.9272716970393912E-4</v>
      </c>
      <c r="Y94" s="1">
        <f t="shared" si="37"/>
        <v>-8.7884267291640079E-6</v>
      </c>
      <c r="Z94" s="1">
        <f t="shared" si="38"/>
        <v>-4.3942133645820045E-4</v>
      </c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 ht="15" customHeight="1" x14ac:dyDescent="0.3">
      <c r="A95" s="2">
        <v>9.4</v>
      </c>
      <c r="B95" s="1">
        <f t="shared" si="26"/>
        <v>3.9810717055349621E-10</v>
      </c>
      <c r="C95" s="1">
        <f t="shared" si="27"/>
        <v>2.5370052958246823E-5</v>
      </c>
      <c r="D95" s="1">
        <f t="shared" si="28"/>
        <v>-2.3711301302181502E-5</v>
      </c>
      <c r="E95" s="1">
        <f t="shared" si="29"/>
        <v>0.41668642608441847</v>
      </c>
      <c r="F95" s="1">
        <f t="shared" si="30"/>
        <v>0.9999800950376877</v>
      </c>
      <c r="G95" s="1">
        <f t="shared" si="31"/>
        <v>1.0002846030987245</v>
      </c>
      <c r="H95" s="1">
        <f t="shared" si="39"/>
        <v>250.07115077468109</v>
      </c>
      <c r="J95" s="2">
        <v>12</v>
      </c>
      <c r="K95" s="1">
        <v>9.9999999999999998E-13</v>
      </c>
      <c r="L95" s="1">
        <v>1.01E-2</v>
      </c>
      <c r="M95" s="1">
        <v>-1.0099996253166694E-2</v>
      </c>
      <c r="N95" s="1">
        <v>0.42508333021097222</v>
      </c>
      <c r="O95" s="1">
        <v>0.99999995000000252</v>
      </c>
      <c r="P95" s="1">
        <v>1.1348164071041762</v>
      </c>
      <c r="Q95" s="2">
        <v>283.70410177604401</v>
      </c>
      <c r="S95" s="2">
        <v>9.4</v>
      </c>
      <c r="T95" s="1">
        <f t="shared" si="32"/>
        <v>3.9810717055349621E-10</v>
      </c>
      <c r="U95" s="1">
        <f t="shared" si="33"/>
        <v>2.5370052958246823E-5</v>
      </c>
      <c r="V95" s="1">
        <f t="shared" si="34"/>
        <v>0.10001508912210265</v>
      </c>
      <c r="W95" s="1">
        <f t="shared" si="35"/>
        <v>-5.0297073675486415E-6</v>
      </c>
      <c r="X95" s="1">
        <f t="shared" si="36"/>
        <v>1.5309470094433713E-4</v>
      </c>
      <c r="Y95" s="1">
        <f t="shared" si="37"/>
        <v>-1.0058908801420201E-4</v>
      </c>
      <c r="Z95" s="1">
        <f t="shared" si="38"/>
        <v>-5.0294544007101006E-3</v>
      </c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 ht="15" customHeight="1" x14ac:dyDescent="0.3">
      <c r="A96" s="2">
        <v>9.5</v>
      </c>
      <c r="B96" s="1">
        <f t="shared" si="26"/>
        <v>3.1622776601683744E-10</v>
      </c>
      <c r="C96" s="1">
        <f t="shared" si="27"/>
        <v>3.193900436770068E-5</v>
      </c>
      <c r="D96" s="1">
        <f t="shared" si="28"/>
        <v>-3.0621496748484628E-5</v>
      </c>
      <c r="E96" s="1">
        <f t="shared" si="29"/>
        <v>0.41669218458062374</v>
      </c>
      <c r="F96" s="1">
        <f t="shared" si="30"/>
        <v>0.99998418886169527</v>
      </c>
      <c r="G96" s="1">
        <f t="shared" si="31"/>
        <v>1.0003675705165755</v>
      </c>
      <c r="H96" s="1">
        <f t="shared" si="39"/>
        <v>250.0918926291439</v>
      </c>
      <c r="J96" s="2">
        <v>12.1</v>
      </c>
      <c r="K96" s="1">
        <v>7.9432823472428024E-13</v>
      </c>
      <c r="L96" s="1">
        <v>1.2715146659121108E-2</v>
      </c>
      <c r="M96" s="1">
        <v>-1.2715143769459156E-2</v>
      </c>
      <c r="N96" s="1">
        <v>0.4272626198078826</v>
      </c>
      <c r="O96" s="1">
        <v>0.99999996028358973</v>
      </c>
      <c r="P96" s="1">
        <v>1.1748089322969197</v>
      </c>
      <c r="Q96" s="2">
        <v>293.70223307422992</v>
      </c>
      <c r="S96" s="2">
        <v>9.5</v>
      </c>
      <c r="T96" s="1">
        <f t="shared" si="32"/>
        <v>3.1622776601683744E-10</v>
      </c>
      <c r="U96" s="1">
        <f t="shared" si="33"/>
        <v>3.193900436770068E-5</v>
      </c>
      <c r="V96" s="1">
        <f t="shared" si="34"/>
        <v>0.10002966453752599</v>
      </c>
      <c r="W96" s="1">
        <f t="shared" si="35"/>
        <v>-9.8881791753297321E-6</v>
      </c>
      <c r="X96" s="1">
        <f t="shared" si="36"/>
        <v>1.2161127275220483E-4</v>
      </c>
      <c r="Y96" s="1">
        <f t="shared" si="37"/>
        <v>-1.9774403022257769E-4</v>
      </c>
      <c r="Z96" s="1">
        <f t="shared" si="38"/>
        <v>-9.887201511128884E-3</v>
      </c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 ht="15" customHeight="1" x14ac:dyDescent="0.3">
      <c r="A97" s="2">
        <v>9.6</v>
      </c>
      <c r="B97" s="1">
        <f t="shared" si="26"/>
        <v>2.5118864315095784E-10</v>
      </c>
      <c r="C97" s="1">
        <f t="shared" si="27"/>
        <v>4.0208824225903246E-5</v>
      </c>
      <c r="D97" s="1">
        <f t="shared" si="28"/>
        <v>-3.9162376711424657E-5</v>
      </c>
      <c r="E97" s="1">
        <f t="shared" si="29"/>
        <v>0.41669930198059291</v>
      </c>
      <c r="F97" s="1">
        <f t="shared" si="30"/>
        <v>0.99998744072557977</v>
      </c>
      <c r="G97" s="1">
        <f t="shared" si="31"/>
        <v>1.0004701326356509</v>
      </c>
      <c r="H97" s="1">
        <f t="shared" si="39"/>
        <v>250.11753315891272</v>
      </c>
      <c r="J97" s="2">
        <v>12.2</v>
      </c>
      <c r="K97" s="1">
        <v>6.3095734448019283E-13</v>
      </c>
      <c r="L97" s="1">
        <v>1.6007421243857255E-2</v>
      </c>
      <c r="M97" s="1">
        <v>-1.6007419035070705E-2</v>
      </c>
      <c r="N97" s="1">
        <v>0.43000618252922557</v>
      </c>
      <c r="O97" s="1">
        <v>0.9999999684521339</v>
      </c>
      <c r="P97" s="1">
        <v>1.2286976137821677</v>
      </c>
      <c r="Q97" s="2">
        <v>307.17440344554188</v>
      </c>
      <c r="S97" s="2">
        <v>9.6</v>
      </c>
      <c r="T97" s="1">
        <f t="shared" si="32"/>
        <v>2.5118864315095784E-10</v>
      </c>
      <c r="U97" s="1">
        <f t="shared" si="33"/>
        <v>4.0208824225903246E-5</v>
      </c>
      <c r="V97" s="1">
        <f t="shared" si="34"/>
        <v>0.10004582039382084</v>
      </c>
      <c r="W97" s="1">
        <f t="shared" si="35"/>
        <v>-1.5273464606948503E-5</v>
      </c>
      <c r="X97" s="1">
        <f t="shared" si="36"/>
        <v>9.6601683809644453E-5</v>
      </c>
      <c r="Y97" s="1">
        <f t="shared" si="37"/>
        <v>-3.054226435196105E-4</v>
      </c>
      <c r="Z97" s="1">
        <f t="shared" si="38"/>
        <v>-1.5271132175980525E-2</v>
      </c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 ht="15" customHeight="1" x14ac:dyDescent="0.3">
      <c r="A98" s="2">
        <v>9.6999999999999993</v>
      </c>
      <c r="B98" s="1">
        <f t="shared" si="26"/>
        <v>1.9952623149688802E-10</v>
      </c>
      <c r="C98" s="1">
        <f t="shared" si="27"/>
        <v>5.0619910596354482E-5</v>
      </c>
      <c r="D98" s="1">
        <f t="shared" si="28"/>
        <v>-4.9788773985488891E-5</v>
      </c>
      <c r="E98" s="1">
        <f t="shared" si="29"/>
        <v>0.41670815731165461</v>
      </c>
      <c r="F98" s="1">
        <f t="shared" si="30"/>
        <v>0.99999002378795088</v>
      </c>
      <c r="G98" s="1">
        <f t="shared" si="31"/>
        <v>1.0005977629066485</v>
      </c>
      <c r="H98" s="1">
        <f t="shared" si="39"/>
        <v>250.14944072666211</v>
      </c>
      <c r="J98" s="2">
        <v>12.3</v>
      </c>
      <c r="K98" s="1">
        <v>5.0118723362727066E-13</v>
      </c>
      <c r="L98" s="1">
        <v>2.0152149381185747E-2</v>
      </c>
      <c r="M98" s="1">
        <v>-2.0152147713237752E-2</v>
      </c>
      <c r="N98" s="1">
        <v>0.43346012309436477</v>
      </c>
      <c r="O98" s="1">
        <v>0.99999997494063897</v>
      </c>
      <c r="P98" s="1">
        <v>1.3028582054910758</v>
      </c>
      <c r="Q98" s="2">
        <v>325.71455137276888</v>
      </c>
      <c r="S98" s="2">
        <v>9.6999999999999993</v>
      </c>
      <c r="T98" s="1">
        <f t="shared" si="32"/>
        <v>1.9952623149688802E-10</v>
      </c>
      <c r="U98" s="1">
        <f t="shared" si="33"/>
        <v>5.0619910596354482E-5</v>
      </c>
      <c r="V98" s="1">
        <f t="shared" si="34"/>
        <v>0.1000644168496586</v>
      </c>
      <c r="W98" s="1">
        <f t="shared" si="35"/>
        <v>-2.1472283219531344E-5</v>
      </c>
      <c r="X98" s="1">
        <f t="shared" si="36"/>
        <v>7.6734969560610604E-5</v>
      </c>
      <c r="Y98" s="1">
        <f t="shared" si="37"/>
        <v>-4.2935347239702085E-4</v>
      </c>
      <c r="Z98" s="1">
        <f t="shared" si="38"/>
        <v>-2.1467673619851045E-2</v>
      </c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 ht="15" customHeight="1" x14ac:dyDescent="0.3">
      <c r="A99" s="2">
        <v>9.8000000000000007</v>
      </c>
      <c r="B99" s="1">
        <f t="shared" si="26"/>
        <v>1.5848931924611098E-10</v>
      </c>
      <c r="C99" s="1">
        <f t="shared" si="27"/>
        <v>6.3726691792499661E-5</v>
      </c>
      <c r="D99" s="1">
        <f t="shared" si="28"/>
        <v>-6.3066582843557525E-5</v>
      </c>
      <c r="E99" s="1">
        <f t="shared" si="29"/>
        <v>0.41671922215236962</v>
      </c>
      <c r="F99" s="1">
        <f t="shared" si="30"/>
        <v>0.99999207559683434</v>
      </c>
      <c r="G99" s="1">
        <f t="shared" si="31"/>
        <v>1.0007572765825861</v>
      </c>
      <c r="H99" s="1">
        <f t="shared" si="39"/>
        <v>250.18931914564649</v>
      </c>
      <c r="J99" s="2">
        <v>12.4</v>
      </c>
      <c r="K99" s="1">
        <v>3.9810717055349631E-13</v>
      </c>
      <c r="L99" s="1">
        <v>2.5370052958246816E-2</v>
      </c>
      <c r="M99" s="1">
        <v>-2.5370051719902174E-2</v>
      </c>
      <c r="N99" s="1">
        <v>0.43780837643325182</v>
      </c>
      <c r="O99" s="1">
        <v>0.99999998009464197</v>
      </c>
      <c r="P99" s="1">
        <v>1.4079335811626359</v>
      </c>
      <c r="Q99" s="2">
        <v>351.98339529065896</v>
      </c>
      <c r="S99" s="2">
        <v>9.8000000000000007</v>
      </c>
      <c r="T99" s="1">
        <f t="shared" si="32"/>
        <v>1.5848931924611098E-10</v>
      </c>
      <c r="U99" s="1">
        <f t="shared" si="33"/>
        <v>6.3726691792499661E-5</v>
      </c>
      <c r="V99" s="1">
        <f t="shared" si="34"/>
        <v>0.10008644410817541</v>
      </c>
      <c r="W99" s="1">
        <f t="shared" si="35"/>
        <v>-2.8814702725131072E-5</v>
      </c>
      <c r="X99" s="1">
        <f t="shared" si="36"/>
        <v>6.0953714897435145E-5</v>
      </c>
      <c r="Y99" s="1">
        <f t="shared" si="37"/>
        <v>-5.7612804491916178E-4</v>
      </c>
      <c r="Z99" s="1">
        <f t="shared" si="38"/>
        <v>-2.8806402245958092E-2</v>
      </c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 ht="15" customHeight="1" x14ac:dyDescent="0.3">
      <c r="A100" s="2">
        <v>9.9</v>
      </c>
      <c r="B100" s="1">
        <f t="shared" si="26"/>
        <v>1.2589254117941656E-10</v>
      </c>
      <c r="C100" s="1">
        <f t="shared" si="27"/>
        <v>8.0227151707152526E-5</v>
      </c>
      <c r="D100" s="1">
        <f t="shared" si="28"/>
        <v>-7.970289494223473E-5</v>
      </c>
      <c r="E100" s="1">
        <f t="shared" si="29"/>
        <v>0.41673308574578521</v>
      </c>
      <c r="F100" s="1">
        <f t="shared" si="30"/>
        <v>0.99999370541256305</v>
      </c>
      <c r="G100" s="1">
        <f t="shared" si="31"/>
        <v>1.000957197653547</v>
      </c>
      <c r="H100" s="1">
        <f t="shared" si="39"/>
        <v>250.23929941338673</v>
      </c>
      <c r="J100" s="2">
        <v>12.5</v>
      </c>
      <c r="K100" s="1">
        <v>3.1622776601683746E-13</v>
      </c>
      <c r="L100" s="1">
        <v>3.1939004367700675E-2</v>
      </c>
      <c r="M100" s="1">
        <v>-3.1939003470602099E-2</v>
      </c>
      <c r="N100" s="1">
        <v>0.44328250289216842</v>
      </c>
      <c r="O100" s="1">
        <v>0.99999998418861191</v>
      </c>
      <c r="P100" s="1">
        <v>1.5631243460881128</v>
      </c>
      <c r="Q100" s="2">
        <v>390.7810865220282</v>
      </c>
      <c r="S100" s="2">
        <v>9.9</v>
      </c>
      <c r="T100" s="1">
        <f t="shared" si="32"/>
        <v>1.2589254117941656E-10</v>
      </c>
      <c r="U100" s="1">
        <f t="shared" si="33"/>
        <v>8.0227151707152526E-5</v>
      </c>
      <c r="V100" s="1">
        <f t="shared" si="34"/>
        <v>0.10011307512173255</v>
      </c>
      <c r="W100" s="1">
        <f t="shared" si="35"/>
        <v>-3.7691707244188427E-5</v>
      </c>
      <c r="X100" s="1">
        <f t="shared" si="36"/>
        <v>4.8417863742889035E-5</v>
      </c>
      <c r="Y100" s="1">
        <f t="shared" si="37"/>
        <v>-7.5355011897898473E-4</v>
      </c>
      <c r="Z100" s="1">
        <f t="shared" si="38"/>
        <v>-3.7677505948949239E-2</v>
      </c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 ht="15" customHeight="1" x14ac:dyDescent="0.3">
      <c r="A101" s="2">
        <v>10</v>
      </c>
      <c r="B101" s="1">
        <f t="shared" si="26"/>
        <v>1E-10</v>
      </c>
      <c r="C101" s="1">
        <f t="shared" si="27"/>
        <v>1.0099999999999999E-4</v>
      </c>
      <c r="D101" s="1">
        <f t="shared" si="28"/>
        <v>-1.0058365451311306E-4</v>
      </c>
      <c r="E101" s="1">
        <f t="shared" si="29"/>
        <v>0.41675048637876094</v>
      </c>
      <c r="F101" s="1">
        <f t="shared" si="30"/>
        <v>0.99999500002499986</v>
      </c>
      <c r="G101" s="1">
        <f t="shared" si="31"/>
        <v>1.0012082191251079</v>
      </c>
      <c r="H101" s="1">
        <f t="shared" si="39"/>
        <v>250.30205478127698</v>
      </c>
      <c r="J101" s="2">
        <v>12.6</v>
      </c>
      <c r="K101" s="1">
        <v>2.511886431509579E-13</v>
      </c>
      <c r="L101" s="1">
        <v>4.0208824225903238E-2</v>
      </c>
      <c r="M101" s="1">
        <v>-4.020882359986603E-2</v>
      </c>
      <c r="N101" s="1">
        <v>0.45017401966655501</v>
      </c>
      <c r="O101" s="1">
        <v>0.99999998744056795</v>
      </c>
      <c r="P101" s="1">
        <v>1.8069850975491279</v>
      </c>
      <c r="Q101" s="2">
        <v>451.74627438728197</v>
      </c>
      <c r="S101" s="2">
        <v>10</v>
      </c>
      <c r="T101" s="1">
        <f t="shared" si="32"/>
        <v>1E-10</v>
      </c>
      <c r="U101" s="1">
        <f t="shared" si="33"/>
        <v>1.0099999999999999E-4</v>
      </c>
      <c r="V101" s="1">
        <f t="shared" si="34"/>
        <v>0.10014572803876122</v>
      </c>
      <c r="W101" s="1">
        <f t="shared" si="35"/>
        <v>-4.857601292040844E-5</v>
      </c>
      <c r="X101" s="1">
        <f t="shared" si="36"/>
        <v>3.8460059228491213E-5</v>
      </c>
      <c r="Y101" s="1">
        <f t="shared" si="37"/>
        <v>-9.7104856173335771E-4</v>
      </c>
      <c r="Z101" s="1">
        <f t="shared" si="38"/>
        <v>-4.855242808666789E-2</v>
      </c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 ht="15" customHeight="1" x14ac:dyDescent="0.3">
      <c r="A102" s="2">
        <v>10.1</v>
      </c>
      <c r="B102" s="1">
        <f t="shared" si="26"/>
        <v>7.943282347242792E-11</v>
      </c>
      <c r="C102" s="1">
        <f t="shared" si="27"/>
        <v>1.2715146659121124E-4</v>
      </c>
      <c r="D102" s="1">
        <f t="shared" si="28"/>
        <v>-1.2682083811245477E-4</v>
      </c>
      <c r="E102" s="1">
        <f t="shared" si="29"/>
        <v>0.416772350698427</v>
      </c>
      <c r="F102" s="1">
        <f t="shared" si="30"/>
        <v>0.99999602837460033</v>
      </c>
      <c r="G102" s="1">
        <f t="shared" si="31"/>
        <v>1.0015237825311265</v>
      </c>
      <c r="H102" s="1">
        <f t="shared" si="39"/>
        <v>250.38094563278159</v>
      </c>
      <c r="S102" s="2">
        <v>10.1</v>
      </c>
      <c r="T102" s="1">
        <f t="shared" si="32"/>
        <v>7.943282347242792E-11</v>
      </c>
      <c r="U102" s="1">
        <f t="shared" si="33"/>
        <v>1.2715146659121124E-4</v>
      </c>
      <c r="V102" s="1">
        <f t="shared" si="34"/>
        <v>0.10018614171451709</v>
      </c>
      <c r="W102" s="1">
        <f t="shared" si="35"/>
        <v>-6.2047238172366483E-5</v>
      </c>
      <c r="X102" s="1">
        <f t="shared" si="36"/>
        <v>3.0550152610595592E-5</v>
      </c>
      <c r="Y102" s="1">
        <f t="shared" si="37"/>
        <v>-1.2401752689444529E-3</v>
      </c>
      <c r="Z102" s="1">
        <f t="shared" si="38"/>
        <v>-6.2008763447222635E-2</v>
      </c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 ht="15" customHeight="1" x14ac:dyDescent="0.3">
      <c r="A103" s="2">
        <v>10.199999999999999</v>
      </c>
      <c r="B103" s="1">
        <f t="shared" si="26"/>
        <v>6.3095734448019192E-11</v>
      </c>
      <c r="C103" s="1">
        <f t="shared" si="27"/>
        <v>1.600742124385728E-4</v>
      </c>
      <c r="D103" s="1">
        <f t="shared" si="28"/>
        <v>-1.5981167142049528E-4</v>
      </c>
      <c r="E103" s="1">
        <f t="shared" si="29"/>
        <v>0.41679984305951712</v>
      </c>
      <c r="F103" s="1">
        <f t="shared" si="30"/>
        <v>0.99999684522323029</v>
      </c>
      <c r="G103" s="1">
        <f t="shared" si="31"/>
        <v>1.0019208097351886</v>
      </c>
      <c r="H103" s="1">
        <f t="shared" si="39"/>
        <v>250.48020243379713</v>
      </c>
      <c r="S103" s="2">
        <v>10.199999999999999</v>
      </c>
      <c r="T103" s="1">
        <f t="shared" si="32"/>
        <v>6.3095734448019192E-11</v>
      </c>
      <c r="U103" s="1">
        <f t="shared" si="33"/>
        <v>1.600742124385728E-4</v>
      </c>
      <c r="V103" s="1">
        <f t="shared" si="34"/>
        <v>0.10023646830463533</v>
      </c>
      <c r="W103" s="1">
        <f t="shared" si="35"/>
        <v>-7.8822768211777311E-5</v>
      </c>
      <c r="X103" s="1">
        <f t="shared" si="36"/>
        <v>2.4267001270673525E-5</v>
      </c>
      <c r="Y103" s="1">
        <f t="shared" si="37"/>
        <v>-1.5752137371626625E-3</v>
      </c>
      <c r="Z103" s="1">
        <f t="shared" si="38"/>
        <v>-7.8760686858133117E-2</v>
      </c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 ht="15" customHeight="1" x14ac:dyDescent="0.3">
      <c r="A104" s="2">
        <v>10.3</v>
      </c>
      <c r="B104" s="1">
        <f t="shared" si="26"/>
        <v>5.0118723362726993E-11</v>
      </c>
      <c r="C104" s="1">
        <f t="shared" si="27"/>
        <v>2.0152149381185778E-4</v>
      </c>
      <c r="D104" s="1">
        <f t="shared" si="28"/>
        <v>-2.0131303659939921E-4</v>
      </c>
      <c r="E104" s="1">
        <f t="shared" si="29"/>
        <v>0.41683442753049949</v>
      </c>
      <c r="F104" s="1">
        <f t="shared" si="30"/>
        <v>0.99999749407011151</v>
      </c>
      <c r="G104" s="1">
        <f t="shared" si="31"/>
        <v>1.0024206294819076</v>
      </c>
      <c r="H104" s="1">
        <f t="shared" si="39"/>
        <v>250.60515737047689</v>
      </c>
      <c r="S104" s="2">
        <v>10.3</v>
      </c>
      <c r="T104" s="1">
        <f t="shared" si="32"/>
        <v>5.0118723362726993E-11</v>
      </c>
      <c r="U104" s="1">
        <f t="shared" si="33"/>
        <v>2.0152149381185778E-4</v>
      </c>
      <c r="V104" s="1">
        <f t="shared" si="34"/>
        <v>0.100299387870957</v>
      </c>
      <c r="W104" s="1">
        <f t="shared" si="35"/>
        <v>-9.9795956985669667E-5</v>
      </c>
      <c r="X104" s="1">
        <f t="shared" si="36"/>
        <v>1.9276060488916857E-5</v>
      </c>
      <c r="Y104" s="1">
        <f t="shared" si="37"/>
        <v>-1.9939292789078896E-3</v>
      </c>
      <c r="Z104" s="1">
        <f t="shared" si="38"/>
        <v>-9.9696463945394484E-2</v>
      </c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 ht="15" customHeight="1" x14ac:dyDescent="0.3">
      <c r="A105" s="2">
        <v>10.4</v>
      </c>
      <c r="B105" s="1">
        <f t="shared" si="26"/>
        <v>3.9810717055349579E-11</v>
      </c>
      <c r="C105" s="1">
        <f t="shared" si="27"/>
        <v>2.5370052958246852E-4</v>
      </c>
      <c r="D105" s="1">
        <f t="shared" si="28"/>
        <v>-2.5353503267218027E-4</v>
      </c>
      <c r="E105" s="1">
        <f t="shared" si="29"/>
        <v>0.41687794586056015</v>
      </c>
      <c r="F105" s="1">
        <f t="shared" si="30"/>
        <v>0.99999800946810935</v>
      </c>
      <c r="G105" s="1">
        <f t="shared" si="31"/>
        <v>1.0030501535999925</v>
      </c>
      <c r="H105" s="1">
        <f t="shared" si="39"/>
        <v>250.76253839999811</v>
      </c>
      <c r="S105" s="2">
        <v>10.4</v>
      </c>
      <c r="T105" s="1">
        <f t="shared" si="32"/>
        <v>3.9810717055349579E-11</v>
      </c>
      <c r="U105" s="1">
        <f t="shared" si="33"/>
        <v>2.5370052958246852E-4</v>
      </c>
      <c r="V105" s="1">
        <f t="shared" si="34"/>
        <v>0.10037825110187606</v>
      </c>
      <c r="W105" s="1">
        <f t="shared" si="35"/>
        <v>-1.2608370062535407E-4</v>
      </c>
      <c r="X105" s="1">
        <f t="shared" si="36"/>
        <v>1.5311579803991666E-5</v>
      </c>
      <c r="Y105" s="1">
        <f t="shared" si="37"/>
        <v>-2.5184985962766982E-3</v>
      </c>
      <c r="Z105" s="1">
        <f t="shared" si="38"/>
        <v>-0.12592492981383491</v>
      </c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 ht="15" customHeight="1" x14ac:dyDescent="0.3">
      <c r="A106" s="2">
        <v>10.5</v>
      </c>
      <c r="B106" s="1">
        <f t="shared" si="26"/>
        <v>3.162277660168371E-11</v>
      </c>
      <c r="C106" s="1">
        <f t="shared" si="27"/>
        <v>3.1939004367700712E-4</v>
      </c>
      <c r="D106" s="1">
        <f t="shared" si="28"/>
        <v>-3.192586713529621E-4</v>
      </c>
      <c r="E106" s="1">
        <f t="shared" si="29"/>
        <v>0.41693271555946082</v>
      </c>
      <c r="F106" s="1">
        <f t="shared" si="30"/>
        <v>0.99999841886366991</v>
      </c>
      <c r="G106" s="1">
        <f t="shared" si="31"/>
        <v>1.0038433743621593</v>
      </c>
      <c r="H106" s="1">
        <f t="shared" si="39"/>
        <v>250.96084359053981</v>
      </c>
      <c r="S106" s="2">
        <v>10.5</v>
      </c>
      <c r="T106" s="1">
        <f t="shared" si="32"/>
        <v>3.162277660168371E-11</v>
      </c>
      <c r="U106" s="1">
        <f t="shared" si="33"/>
        <v>3.1939004367700712E-4</v>
      </c>
      <c r="V106" s="1">
        <f t="shared" si="34"/>
        <v>0.10047725774699887</v>
      </c>
      <c r="W106" s="1">
        <f t="shared" si="35"/>
        <v>-1.590859156662916E-4</v>
      </c>
      <c r="X106" s="1">
        <f t="shared" si="36"/>
        <v>1.2162458458068062E-5</v>
      </c>
      <c r="Y106" s="1">
        <f t="shared" si="37"/>
        <v>-3.1766646872205193E-3</v>
      </c>
      <c r="Z106" s="1">
        <f t="shared" si="38"/>
        <v>-0.15883323436102595</v>
      </c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 ht="15" customHeight="1" x14ac:dyDescent="0.3">
      <c r="A107" s="2">
        <v>10.6</v>
      </c>
      <c r="B107" s="1">
        <f t="shared" si="26"/>
        <v>2.5118864315095759E-11</v>
      </c>
      <c r="C107" s="1">
        <f t="shared" si="27"/>
        <v>4.0208824225903287E-4</v>
      </c>
      <c r="D107" s="1">
        <f t="shared" si="28"/>
        <v>-4.0198397606066395E-4</v>
      </c>
      <c r="E107" s="1">
        <f t="shared" si="29"/>
        <v>0.41700165331338385</v>
      </c>
      <c r="F107" s="1">
        <f t="shared" si="30"/>
        <v>0.99999874405836164</v>
      </c>
      <c r="G107" s="1">
        <f t="shared" si="31"/>
        <v>1.0048432769098217</v>
      </c>
      <c r="H107" s="1">
        <f t="shared" si="39"/>
        <v>251.2108192274554</v>
      </c>
      <c r="S107" s="2">
        <v>10.6</v>
      </c>
      <c r="T107" s="1">
        <f t="shared" si="32"/>
        <v>2.5118864315095759E-11</v>
      </c>
      <c r="U107" s="1">
        <f t="shared" si="33"/>
        <v>4.0208824225903287E-4</v>
      </c>
      <c r="V107" s="1">
        <f t="shared" si="34"/>
        <v>0.10060168026804266</v>
      </c>
      <c r="W107" s="1">
        <f t="shared" si="35"/>
        <v>-2.0056008934755455E-4</v>
      </c>
      <c r="X107" s="1">
        <f t="shared" si="36"/>
        <v>9.6610083236686649E-6</v>
      </c>
      <c r="Y107" s="1">
        <f t="shared" si="37"/>
        <v>-4.0031730195663117E-3</v>
      </c>
      <c r="Z107" s="1">
        <f t="shared" si="38"/>
        <v>-0.20015865097831559</v>
      </c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 ht="15" customHeight="1" x14ac:dyDescent="0.3">
      <c r="A108" s="2">
        <v>10.7</v>
      </c>
      <c r="B108" s="1">
        <f t="shared" si="26"/>
        <v>1.995262314968878E-11</v>
      </c>
      <c r="C108" s="1">
        <f t="shared" si="27"/>
        <v>5.0619910596354538E-4</v>
      </c>
      <c r="D108" s="1">
        <f t="shared" si="28"/>
        <v>-5.0611637092822328E-4</v>
      </c>
      <c r="E108" s="1">
        <f t="shared" si="29"/>
        <v>0.41708843030910692</v>
      </c>
      <c r="F108" s="1">
        <f t="shared" si="30"/>
        <v>0.99999900236983785</v>
      </c>
      <c r="G108" s="1">
        <f t="shared" si="31"/>
        <v>1.006104291268578</v>
      </c>
      <c r="H108" s="1">
        <f t="shared" si="39"/>
        <v>251.52607281714452</v>
      </c>
      <c r="S108" s="2">
        <v>10.7</v>
      </c>
      <c r="T108" s="1">
        <f t="shared" si="32"/>
        <v>1.995262314968878E-11</v>
      </c>
      <c r="U108" s="1">
        <f t="shared" si="33"/>
        <v>5.0619910596354538E-4</v>
      </c>
      <c r="V108" s="1">
        <f t="shared" si="34"/>
        <v>0.10075814461596493</v>
      </c>
      <c r="W108" s="1">
        <f t="shared" si="35"/>
        <v>-2.5271487198831073E-4</v>
      </c>
      <c r="X108" s="1">
        <f t="shared" si="36"/>
        <v>7.6740269356620356E-6</v>
      </c>
      <c r="Y108" s="1">
        <f t="shared" si="37"/>
        <v>-5.0415566762655713E-3</v>
      </c>
      <c r="Z108" s="1">
        <f t="shared" si="38"/>
        <v>-0.25207783381327858</v>
      </c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 ht="15" customHeight="1" x14ac:dyDescent="0.3">
      <c r="A109" s="2">
        <v>10.8</v>
      </c>
      <c r="B109" s="1">
        <f t="shared" si="26"/>
        <v>1.5848931924611082E-11</v>
      </c>
      <c r="C109" s="1">
        <f t="shared" si="27"/>
        <v>6.3726691792499724E-4</v>
      </c>
      <c r="D109" s="1">
        <f t="shared" si="28"/>
        <v>-6.3720128570169635E-4</v>
      </c>
      <c r="E109" s="1">
        <f t="shared" si="29"/>
        <v>0.41719766773808475</v>
      </c>
      <c r="F109" s="1">
        <f t="shared" si="30"/>
        <v>0.99999920755403171</v>
      </c>
      <c r="G109" s="1">
        <f t="shared" si="31"/>
        <v>1.0076954509407554</v>
      </c>
      <c r="H109" s="1">
        <f t="shared" si="39"/>
        <v>251.92386273518883</v>
      </c>
      <c r="S109" s="2">
        <v>10.8</v>
      </c>
      <c r="T109" s="1">
        <f t="shared" si="32"/>
        <v>1.5848931924611082E-11</v>
      </c>
      <c r="U109" s="1">
        <f t="shared" si="33"/>
        <v>6.3726691792499724E-4</v>
      </c>
      <c r="V109" s="1">
        <f t="shared" si="34"/>
        <v>0.10095498308658259</v>
      </c>
      <c r="W109" s="1">
        <f t="shared" si="35"/>
        <v>-3.1832769552752482E-4</v>
      </c>
      <c r="X109" s="1">
        <f t="shared" si="36"/>
        <v>6.0957058900705374E-6</v>
      </c>
      <c r="Y109" s="1">
        <f t="shared" si="37"/>
        <v>-6.3463517153848391E-3</v>
      </c>
      <c r="Z109" s="1">
        <f t="shared" si="38"/>
        <v>-0.31731758576924202</v>
      </c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 ht="15" customHeight="1" x14ac:dyDescent="0.3">
      <c r="A110" s="2">
        <v>10.9</v>
      </c>
      <c r="B110" s="1">
        <f t="shared" si="26"/>
        <v>1.2589254117941641E-11</v>
      </c>
      <c r="C110" s="1">
        <f t="shared" si="27"/>
        <v>8.0227151707152624E-4</v>
      </c>
      <c r="D110" s="1">
        <f t="shared" si="28"/>
        <v>-8.0221947009556844E-4</v>
      </c>
      <c r="E110" s="1">
        <f t="shared" si="29"/>
        <v>0.41733518289174631</v>
      </c>
      <c r="F110" s="1">
        <f t="shared" si="30"/>
        <v>0.99999937053769028</v>
      </c>
      <c r="G110" s="1">
        <f t="shared" si="31"/>
        <v>1.0097044849085557</v>
      </c>
      <c r="H110" s="1">
        <f t="shared" si="39"/>
        <v>252.42612122713894</v>
      </c>
      <c r="S110" s="2">
        <v>10.9</v>
      </c>
      <c r="T110" s="1">
        <f t="shared" si="32"/>
        <v>1.2589254117941641E-11</v>
      </c>
      <c r="U110" s="1">
        <f t="shared" si="33"/>
        <v>8.0227151707152624E-4</v>
      </c>
      <c r="V110" s="1">
        <f t="shared" si="34"/>
        <v>0.10120267804543601</v>
      </c>
      <c r="W110" s="1">
        <f t="shared" si="35"/>
        <v>-4.0089268181200369E-4</v>
      </c>
      <c r="X110" s="1">
        <f t="shared" si="36"/>
        <v>4.8419973695408912E-6</v>
      </c>
      <c r="Y110" s="1">
        <f t="shared" si="37"/>
        <v>-7.9858389921392964E-3</v>
      </c>
      <c r="Z110" s="1">
        <f t="shared" si="38"/>
        <v>-0.39929194960696485</v>
      </c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 ht="15" customHeight="1" x14ac:dyDescent="0.3">
      <c r="A111" s="2">
        <v>11</v>
      </c>
      <c r="B111" s="1">
        <f t="shared" si="26"/>
        <v>9.9999999999999994E-12</v>
      </c>
      <c r="C111" s="1">
        <f t="shared" si="27"/>
        <v>1.01E-3</v>
      </c>
      <c r="D111" s="1">
        <f t="shared" si="28"/>
        <v>-1.0099587441700802E-3</v>
      </c>
      <c r="E111" s="1">
        <f t="shared" si="29"/>
        <v>0.41750829895347513</v>
      </c>
      <c r="F111" s="1">
        <f t="shared" si="30"/>
        <v>0.99999950000024995</v>
      </c>
      <c r="G111" s="1">
        <f t="shared" si="31"/>
        <v>1.0122431557521219</v>
      </c>
      <c r="H111" s="1">
        <f t="shared" si="39"/>
        <v>253.06078893803047</v>
      </c>
      <c r="S111" s="2">
        <v>11</v>
      </c>
      <c r="T111" s="1">
        <f t="shared" si="32"/>
        <v>9.9999999999999994E-12</v>
      </c>
      <c r="U111" s="1">
        <f t="shared" si="33"/>
        <v>1.01E-3</v>
      </c>
      <c r="V111" s="1">
        <f t="shared" si="34"/>
        <v>0.10151442015180676</v>
      </c>
      <c r="W111" s="1">
        <f t="shared" si="35"/>
        <v>-5.048067172689195E-4</v>
      </c>
      <c r="X111" s="1">
        <f t="shared" si="36"/>
        <v>3.8461390533113333E-6</v>
      </c>
      <c r="Y111" s="1">
        <f t="shared" si="37"/>
        <v>-1.0045424368388598E-2</v>
      </c>
      <c r="Z111" s="1">
        <f t="shared" si="38"/>
        <v>-0.50227121841942979</v>
      </c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 ht="15" customHeight="1" x14ac:dyDescent="0.3">
      <c r="A112" s="2">
        <v>11.1</v>
      </c>
      <c r="B112" s="1">
        <f t="shared" si="26"/>
        <v>7.9432823472428101E-12</v>
      </c>
      <c r="C112" s="1">
        <f t="shared" si="27"/>
        <v>1.2715146659121096E-3</v>
      </c>
      <c r="D112" s="1">
        <f t="shared" si="28"/>
        <v>-1.271481981794552E-3</v>
      </c>
      <c r="E112" s="1">
        <f t="shared" si="29"/>
        <v>0.41772623498482886</v>
      </c>
      <c r="F112" s="1">
        <f t="shared" si="30"/>
        <v>0.99999960283604039</v>
      </c>
      <c r="G112" s="1">
        <f t="shared" si="31"/>
        <v>1.0154542821950605</v>
      </c>
      <c r="H112" s="1">
        <f t="shared" si="39"/>
        <v>253.86357054876513</v>
      </c>
      <c r="S112" s="2">
        <v>11.1</v>
      </c>
      <c r="T112" s="1">
        <f t="shared" si="32"/>
        <v>7.9432823472428101E-12</v>
      </c>
      <c r="U112" s="1">
        <f t="shared" si="33"/>
        <v>1.2715146659121096E-3</v>
      </c>
      <c r="V112" s="1">
        <f t="shared" si="34"/>
        <v>0.10190681080931586</v>
      </c>
      <c r="W112" s="1">
        <f t="shared" si="35"/>
        <v>-6.3560360310529259E-4</v>
      </c>
      <c r="X112" s="1">
        <f t="shared" si="36"/>
        <v>3.0550992614333759E-6</v>
      </c>
      <c r="Y112" s="1">
        <f t="shared" si="37"/>
        <v>-1.2631783987942015E-2</v>
      </c>
      <c r="Z112" s="1">
        <f t="shared" si="38"/>
        <v>-0.63158919939710079</v>
      </c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 ht="15" customHeight="1" x14ac:dyDescent="0.3">
      <c r="A113" s="2">
        <v>11.2</v>
      </c>
      <c r="B113" s="1">
        <f t="shared" si="26"/>
        <v>6.3095734448019345E-12</v>
      </c>
      <c r="C113" s="1">
        <f t="shared" si="27"/>
        <v>1.600742124385724E-3</v>
      </c>
      <c r="D113" s="1">
        <f t="shared" si="28"/>
        <v>-1.6007162490215018E-3</v>
      </c>
      <c r="E113" s="1">
        <f t="shared" si="29"/>
        <v>0.41800059687418456</v>
      </c>
      <c r="F113" s="1">
        <f t="shared" si="30"/>
        <v>0.99999968452142729</v>
      </c>
      <c r="G113" s="1">
        <f t="shared" si="31"/>
        <v>1.0195210719590904</v>
      </c>
      <c r="H113" s="1">
        <f t="shared" si="39"/>
        <v>254.88026798977259</v>
      </c>
      <c r="S113" s="2">
        <v>11.2</v>
      </c>
      <c r="T113" s="1">
        <f t="shared" si="32"/>
        <v>6.3095734448019345E-12</v>
      </c>
      <c r="U113" s="1">
        <f t="shared" si="33"/>
        <v>1.600742124385724E-3</v>
      </c>
      <c r="V113" s="1">
        <f t="shared" si="34"/>
        <v>0.10240074625113578</v>
      </c>
      <c r="W113" s="1">
        <f t="shared" si="35"/>
        <v>-8.0024875037859166E-4</v>
      </c>
      <c r="X113" s="1">
        <f t="shared" si="36"/>
        <v>2.426753128086477E-6</v>
      </c>
      <c r="Y113" s="1">
        <f t="shared" si="37"/>
        <v>-1.5877912213497113E-2</v>
      </c>
      <c r="Z113" s="1">
        <f t="shared" si="38"/>
        <v>-0.7938956106748557</v>
      </c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 ht="15" customHeight="1" x14ac:dyDescent="0.3">
      <c r="A114" s="2">
        <v>11.3</v>
      </c>
      <c r="B114" s="1">
        <f t="shared" si="26"/>
        <v>5.0118723362726945E-12</v>
      </c>
      <c r="C114" s="1">
        <f t="shared" si="27"/>
        <v>2.0152149381185798E-3</v>
      </c>
      <c r="D114" s="1">
        <f t="shared" si="28"/>
        <v>-2.015194471139473E-3</v>
      </c>
      <c r="E114" s="1">
        <f t="shared" si="29"/>
        <v>0.41834599539261624</v>
      </c>
      <c r="F114" s="1">
        <f t="shared" si="30"/>
        <v>0.99999974940644598</v>
      </c>
      <c r="G114" s="1">
        <f t="shared" si="31"/>
        <v>1.0246796771429536</v>
      </c>
      <c r="H114" s="1">
        <f t="shared" si="39"/>
        <v>256.16991928573839</v>
      </c>
      <c r="S114" s="2">
        <v>11.3</v>
      </c>
      <c r="T114" s="1">
        <f t="shared" si="32"/>
        <v>5.0118723362726945E-12</v>
      </c>
      <c r="U114" s="1">
        <f t="shared" si="33"/>
        <v>2.0152149381185798E-3</v>
      </c>
      <c r="V114" s="1">
        <f t="shared" si="34"/>
        <v>0.10302253034056207</v>
      </c>
      <c r="W114" s="1">
        <f t="shared" si="35"/>
        <v>-1.0075101135206899E-3</v>
      </c>
      <c r="X114" s="1">
        <f t="shared" si="36"/>
        <v>1.9276394904575607E-6</v>
      </c>
      <c r="Y114" s="1">
        <f t="shared" si="37"/>
        <v>-1.9949211942525177E-2</v>
      </c>
      <c r="Z114" s="1">
        <f t="shared" si="38"/>
        <v>-0.99746059712625901</v>
      </c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 ht="15" customHeight="1" x14ac:dyDescent="0.3">
      <c r="A115" s="2">
        <v>11.4</v>
      </c>
      <c r="B115" s="1">
        <f t="shared" si="26"/>
        <v>3.9810717055349533E-12</v>
      </c>
      <c r="C115" s="1">
        <f t="shared" si="27"/>
        <v>2.5370052958246878E-3</v>
      </c>
      <c r="D115" s="1">
        <f t="shared" si="28"/>
        <v>-2.5369891248787271E-3</v>
      </c>
      <c r="E115" s="1">
        <f t="shared" si="29"/>
        <v>0.41878082427073227</v>
      </c>
      <c r="F115" s="1">
        <f t="shared" si="30"/>
        <v>0.99999980094645435</v>
      </c>
      <c r="G115" s="1">
        <f t="shared" si="31"/>
        <v>1.0312363318403452</v>
      </c>
      <c r="H115" s="1">
        <f t="shared" si="39"/>
        <v>257.8090829600863</v>
      </c>
      <c r="S115" s="2">
        <v>11.4</v>
      </c>
      <c r="T115" s="1">
        <f t="shared" si="32"/>
        <v>3.9810717055349533E-12</v>
      </c>
      <c r="U115" s="1">
        <f t="shared" si="33"/>
        <v>2.5370052958246878E-3</v>
      </c>
      <c r="V115" s="1">
        <f t="shared" si="34"/>
        <v>0.10380527534762432</v>
      </c>
      <c r="W115" s="1">
        <f t="shared" si="35"/>
        <v>-1.2684251158747723E-3</v>
      </c>
      <c r="X115" s="1">
        <f t="shared" si="36"/>
        <v>1.5311790806927842E-6</v>
      </c>
      <c r="Y115" s="1">
        <f t="shared" si="37"/>
        <v>-2.5050752283811997E-2</v>
      </c>
      <c r="Z115" s="1">
        <f t="shared" si="38"/>
        <v>-1.2525376141905999</v>
      </c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 ht="15" customHeight="1" x14ac:dyDescent="0.3">
      <c r="A116" s="2">
        <v>11.5</v>
      </c>
      <c r="B116" s="1">
        <f t="shared" si="26"/>
        <v>3.1622776601683669E-12</v>
      </c>
      <c r="C116" s="1">
        <f t="shared" si="27"/>
        <v>3.1939004367700754E-3</v>
      </c>
      <c r="D116" s="1">
        <f t="shared" si="28"/>
        <v>-3.1938876782845586E-3</v>
      </c>
      <c r="E116" s="1">
        <f t="shared" si="29"/>
        <v>0.41932823973190381</v>
      </c>
      <c r="F116" s="1">
        <f t="shared" si="30"/>
        <v>0.99999984188614199</v>
      </c>
      <c r="G116" s="1">
        <f t="shared" si="31"/>
        <v>1.0395911489679948</v>
      </c>
      <c r="H116" s="1">
        <f t="shared" si="39"/>
        <v>259.89778724199869</v>
      </c>
      <c r="S116" s="2">
        <v>11.5</v>
      </c>
      <c r="T116" s="1">
        <f t="shared" si="32"/>
        <v>3.1622776601683669E-12</v>
      </c>
      <c r="U116" s="1">
        <f t="shared" si="33"/>
        <v>3.1939004367700754E-3</v>
      </c>
      <c r="V116" s="1">
        <f t="shared" si="34"/>
        <v>0.10479066529819253</v>
      </c>
      <c r="W116" s="1">
        <f t="shared" si="35"/>
        <v>-1.5968884327308454E-3</v>
      </c>
      <c r="X116" s="1">
        <f t="shared" si="36"/>
        <v>1.2162591592381534E-6</v>
      </c>
      <c r="Y116" s="1">
        <f t="shared" si="37"/>
        <v>-3.1435774409334871E-2</v>
      </c>
      <c r="Z116" s="1">
        <f t="shared" si="38"/>
        <v>-1.5717887204667438</v>
      </c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 ht="15" customHeight="1" x14ac:dyDescent="0.3">
      <c r="A117" s="2">
        <v>11.6</v>
      </c>
      <c r="B117" s="1">
        <f t="shared" si="26"/>
        <v>2.5118864315095726E-12</v>
      </c>
      <c r="C117" s="1">
        <f t="shared" si="27"/>
        <v>4.0208824225903342E-3</v>
      </c>
      <c r="D117" s="1">
        <f t="shared" si="28"/>
        <v>-4.0208723747185392E-3</v>
      </c>
      <c r="E117" s="1">
        <f t="shared" si="29"/>
        <v>0.42001739364559876</v>
      </c>
      <c r="F117" s="1">
        <f t="shared" si="30"/>
        <v>0.99999987440569427</v>
      </c>
      <c r="G117" s="1">
        <f t="shared" si="31"/>
        <v>1.0502718348149613</v>
      </c>
      <c r="H117" s="1">
        <f t="shared" si="39"/>
        <v>262.56795870374032</v>
      </c>
      <c r="S117" s="2">
        <v>11.6</v>
      </c>
      <c r="T117" s="1">
        <f t="shared" si="32"/>
        <v>2.5118864315095726E-12</v>
      </c>
      <c r="U117" s="1">
        <f t="shared" si="33"/>
        <v>4.0208824225903342E-3</v>
      </c>
      <c r="V117" s="1">
        <f t="shared" si="34"/>
        <v>0.10603117580034548</v>
      </c>
      <c r="W117" s="1">
        <f t="shared" si="35"/>
        <v>-2.0103919334484902E-3</v>
      </c>
      <c r="X117" s="1">
        <f t="shared" si="36"/>
        <v>9.6610923259726917E-7</v>
      </c>
      <c r="Y117" s="1">
        <f t="shared" si="37"/>
        <v>-3.9415433964023354E-2</v>
      </c>
      <c r="Z117" s="1">
        <f t="shared" si="38"/>
        <v>-1.970771698201168</v>
      </c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 ht="15" customHeight="1" x14ac:dyDescent="0.3">
      <c r="A118" s="2">
        <v>11.7</v>
      </c>
      <c r="B118" s="1">
        <f t="shared" si="26"/>
        <v>1.9952623149688759E-12</v>
      </c>
      <c r="C118" s="1">
        <f t="shared" si="27"/>
        <v>5.061991059635459E-3</v>
      </c>
      <c r="D118" s="1">
        <f t="shared" si="28"/>
        <v>-5.0619831648806759E-3</v>
      </c>
      <c r="E118" s="1">
        <f t="shared" si="29"/>
        <v>0.42088498597073387</v>
      </c>
      <c r="F118" s="1">
        <f t="shared" si="30"/>
        <v>0.99999990023689411</v>
      </c>
      <c r="G118" s="1">
        <f t="shared" si="31"/>
        <v>1.0639825856948992</v>
      </c>
      <c r="H118" s="1">
        <f t="shared" si="39"/>
        <v>265.99564642372479</v>
      </c>
      <c r="S118" s="2">
        <v>11.7</v>
      </c>
      <c r="T118" s="1">
        <f t="shared" si="32"/>
        <v>1.9952623149688759E-12</v>
      </c>
      <c r="U118" s="1">
        <f t="shared" si="33"/>
        <v>5.061991059635459E-3</v>
      </c>
      <c r="V118" s="1">
        <f t="shared" si="34"/>
        <v>0.10759286856184722</v>
      </c>
      <c r="W118" s="1">
        <f t="shared" si="35"/>
        <v>-2.5309561872824053E-3</v>
      </c>
      <c r="X118" s="1">
        <f t="shared" si="36"/>
        <v>7.6740799376485607E-7</v>
      </c>
      <c r="Y118" s="1">
        <f t="shared" si="37"/>
        <v>-4.9369600780068336E-2</v>
      </c>
      <c r="Z118" s="1">
        <f t="shared" si="38"/>
        <v>-2.4684800390034169</v>
      </c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 ht="15" customHeight="1" x14ac:dyDescent="0.3">
      <c r="A119" s="2">
        <v>11.8</v>
      </c>
      <c r="B119" s="1">
        <f t="shared" si="26"/>
        <v>1.5848931924611065E-12</v>
      </c>
      <c r="C119" s="1">
        <f t="shared" si="27"/>
        <v>6.3726691792499795E-3</v>
      </c>
      <c r="D119" s="1">
        <f t="shared" si="28"/>
        <v>-6.3726629947768489E-3</v>
      </c>
      <c r="E119" s="1">
        <f t="shared" si="29"/>
        <v>0.42197721916231407</v>
      </c>
      <c r="F119" s="1">
        <f t="shared" si="30"/>
        <v>0.99999992075534661</v>
      </c>
      <c r="G119" s="1">
        <f t="shared" si="31"/>
        <v>1.0816769528893639</v>
      </c>
      <c r="H119" s="1">
        <f t="shared" si="39"/>
        <v>270.41923822234099</v>
      </c>
      <c r="S119" s="2">
        <v>11.8</v>
      </c>
      <c r="T119" s="1">
        <f t="shared" si="32"/>
        <v>1.5848931924611065E-12</v>
      </c>
      <c r="U119" s="1">
        <f t="shared" si="33"/>
        <v>6.3726691792499795E-3</v>
      </c>
      <c r="V119" s="1">
        <f t="shared" si="34"/>
        <v>0.10955890941697664</v>
      </c>
      <c r="W119" s="1">
        <f t="shared" si="35"/>
        <v>-3.1863031389922133E-3</v>
      </c>
      <c r="X119" s="1">
        <f t="shared" si="36"/>
        <v>6.0957393321212664E-7</v>
      </c>
      <c r="Y119" s="1">
        <f t="shared" si="37"/>
        <v>-6.1758257483074175E-2</v>
      </c>
      <c r="Z119" s="1">
        <f t="shared" si="38"/>
        <v>-3.0879128741537087</v>
      </c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 ht="15" customHeight="1" x14ac:dyDescent="0.3">
      <c r="A120" s="2">
        <v>11.9</v>
      </c>
      <c r="B120" s="1">
        <f t="shared" si="26"/>
        <v>1.2589254117941629E-12</v>
      </c>
      <c r="C120" s="1">
        <f t="shared" si="27"/>
        <v>8.0227151707152698E-3</v>
      </c>
      <c r="D120" s="1">
        <f t="shared" si="28"/>
        <v>-8.0227103447671807E-3</v>
      </c>
      <c r="E120" s="1">
        <f t="shared" si="29"/>
        <v>0.4233522586206393</v>
      </c>
      <c r="F120" s="1">
        <f t="shared" si="30"/>
        <v>0.99999993705373336</v>
      </c>
      <c r="G120" s="1">
        <f t="shared" si="31"/>
        <v>1.1046698859012627</v>
      </c>
      <c r="H120" s="1">
        <f t="shared" si="39"/>
        <v>276.16747147531566</v>
      </c>
      <c r="S120" s="2">
        <v>11.9</v>
      </c>
      <c r="T120" s="1">
        <f t="shared" si="32"/>
        <v>1.2589254117941629E-12</v>
      </c>
      <c r="U120" s="1">
        <f t="shared" si="33"/>
        <v>8.0227151707152698E-3</v>
      </c>
      <c r="V120" s="1">
        <f t="shared" si="34"/>
        <v>0.11203399721046564</v>
      </c>
      <c r="W120" s="1">
        <f t="shared" si="35"/>
        <v>-4.0113324034885432E-3</v>
      </c>
      <c r="X120" s="1">
        <f t="shared" si="36"/>
        <v>4.8420184700775118E-7</v>
      </c>
      <c r="Y120" s="1">
        <f t="shared" si="37"/>
        <v>-7.7132602973058392E-2</v>
      </c>
      <c r="Z120" s="1">
        <f t="shared" si="38"/>
        <v>-3.8566301486529198</v>
      </c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 ht="15" customHeight="1" x14ac:dyDescent="0.3">
      <c r="A121" s="2">
        <v>12</v>
      </c>
      <c r="B121" s="1">
        <f t="shared" si="26"/>
        <v>9.9999999999999998E-13</v>
      </c>
      <c r="C121" s="1">
        <f t="shared" si="27"/>
        <v>1.01E-2</v>
      </c>
      <c r="D121" s="1">
        <f t="shared" si="28"/>
        <v>-1.0099996253166694E-2</v>
      </c>
      <c r="E121" s="1">
        <f t="shared" si="29"/>
        <v>0.42508333021097222</v>
      </c>
      <c r="F121" s="1">
        <f t="shared" si="30"/>
        <v>0.99999995000000252</v>
      </c>
      <c r="G121" s="1">
        <f t="shared" si="31"/>
        <v>1.1348164071041762</v>
      </c>
      <c r="H121" s="1">
        <f t="shared" si="39"/>
        <v>283.70410177604401</v>
      </c>
      <c r="S121" s="2">
        <v>12</v>
      </c>
      <c r="T121" s="1">
        <f t="shared" si="32"/>
        <v>9.9999999999999998E-13</v>
      </c>
      <c r="U121" s="1">
        <f t="shared" si="33"/>
        <v>1.01E-2</v>
      </c>
      <c r="V121" s="1">
        <f t="shared" si="34"/>
        <v>0.11514993939276573</v>
      </c>
      <c r="W121" s="1">
        <f t="shared" si="35"/>
        <v>-5.0499797975885781E-3</v>
      </c>
      <c r="X121" s="1">
        <f t="shared" si="36"/>
        <v>3.8461523668644745E-7</v>
      </c>
      <c r="Y121" s="1">
        <f t="shared" si="37"/>
        <v>-9.614432686839032E-2</v>
      </c>
      <c r="Z121" s="1">
        <f t="shared" si="38"/>
        <v>-4.8072163434195163</v>
      </c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 ht="15" customHeight="1" x14ac:dyDescent="0.3">
      <c r="A122" s="2">
        <v>12.1</v>
      </c>
      <c r="B122" s="1">
        <f t="shared" si="26"/>
        <v>7.9432823472428024E-13</v>
      </c>
      <c r="C122" s="1">
        <f t="shared" si="27"/>
        <v>1.2715146659121108E-2</v>
      </c>
      <c r="D122" s="1">
        <f t="shared" si="28"/>
        <v>-1.2715143769459156E-2</v>
      </c>
      <c r="E122" s="1">
        <f t="shared" si="29"/>
        <v>0.4272626198078826</v>
      </c>
      <c r="F122" s="1">
        <f t="shared" si="30"/>
        <v>0.99999996028358973</v>
      </c>
      <c r="G122" s="1">
        <f t="shared" si="31"/>
        <v>1.1748089322969197</v>
      </c>
      <c r="H122" s="1">
        <f t="shared" si="39"/>
        <v>293.70223307422992</v>
      </c>
      <c r="S122" s="2">
        <v>12.1</v>
      </c>
      <c r="T122" s="1">
        <f t="shared" si="32"/>
        <v>7.9432823472428024E-13</v>
      </c>
      <c r="U122" s="1">
        <f t="shared" si="33"/>
        <v>1.2715146659121108E-2</v>
      </c>
      <c r="V122" s="1">
        <f t="shared" si="34"/>
        <v>0.11907267124742203</v>
      </c>
      <c r="W122" s="1">
        <f t="shared" si="35"/>
        <v>-6.3575570824740135E-3</v>
      </c>
      <c r="X122" s="1">
        <f t="shared" si="36"/>
        <v>3.0551076617248181E-7</v>
      </c>
      <c r="Y122" s="1">
        <f t="shared" si="37"/>
        <v>-0.11955064138120627</v>
      </c>
      <c r="Z122" s="1">
        <f t="shared" si="38"/>
        <v>-5.977532069060314</v>
      </c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 ht="15" customHeight="1" x14ac:dyDescent="0.3">
      <c r="A123" s="2">
        <v>12.2</v>
      </c>
      <c r="B123" s="1">
        <f t="shared" si="26"/>
        <v>6.3095734448019283E-13</v>
      </c>
      <c r="C123" s="1">
        <f t="shared" si="27"/>
        <v>1.6007421243857255E-2</v>
      </c>
      <c r="D123" s="1">
        <f t="shared" si="28"/>
        <v>-1.6007419035070705E-2</v>
      </c>
      <c r="E123" s="1">
        <f t="shared" si="29"/>
        <v>0.43000618252922557</v>
      </c>
      <c r="F123" s="1">
        <f t="shared" si="30"/>
        <v>0.9999999684521339</v>
      </c>
      <c r="G123" s="1">
        <f t="shared" si="31"/>
        <v>1.2286976137821677</v>
      </c>
      <c r="H123" s="1">
        <f t="shared" si="39"/>
        <v>307.17440344554188</v>
      </c>
      <c r="S123" s="2">
        <v>12.2</v>
      </c>
      <c r="T123" s="1">
        <f t="shared" si="32"/>
        <v>6.3095734448019283E-13</v>
      </c>
      <c r="U123" s="1">
        <f t="shared" si="33"/>
        <v>1.6007421243857255E-2</v>
      </c>
      <c r="V123" s="1">
        <f t="shared" si="34"/>
        <v>0.12401109255000697</v>
      </c>
      <c r="W123" s="1">
        <f t="shared" si="35"/>
        <v>-8.003697516668986E-3</v>
      </c>
      <c r="X123" s="1">
        <f t="shared" si="36"/>
        <v>2.4267584283157211E-7</v>
      </c>
      <c r="Y123" s="1">
        <f t="shared" si="37"/>
        <v>-0.14821154646920709</v>
      </c>
      <c r="Z123" s="1">
        <f t="shared" si="38"/>
        <v>-7.4105773234603545</v>
      </c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 ht="15" customHeight="1" x14ac:dyDescent="0.3">
      <c r="A124" s="2">
        <v>12.3</v>
      </c>
      <c r="B124" s="1">
        <f t="shared" si="26"/>
        <v>5.0118723362727066E-13</v>
      </c>
      <c r="C124" s="1">
        <f t="shared" si="27"/>
        <v>2.0152149381185747E-2</v>
      </c>
      <c r="D124" s="1">
        <f t="shared" si="28"/>
        <v>-2.0152147713237752E-2</v>
      </c>
      <c r="E124" s="1">
        <f t="shared" si="29"/>
        <v>0.43346012309436477</v>
      </c>
      <c r="F124" s="1">
        <f t="shared" si="30"/>
        <v>0.99999997494063897</v>
      </c>
      <c r="G124" s="1">
        <f t="shared" si="31"/>
        <v>1.3028582054910758</v>
      </c>
      <c r="H124" s="1">
        <f t="shared" si="39"/>
        <v>325.71455137276888</v>
      </c>
      <c r="S124" s="2">
        <v>12.3</v>
      </c>
      <c r="T124" s="1">
        <f t="shared" si="32"/>
        <v>5.0118723362727066E-13</v>
      </c>
      <c r="U124" s="1">
        <f t="shared" si="33"/>
        <v>2.0152149381185747E-2</v>
      </c>
      <c r="V124" s="1">
        <f t="shared" si="34"/>
        <v>0.13022819224292642</v>
      </c>
      <c r="W124" s="1">
        <f t="shared" si="35"/>
        <v>-1.007606408097547E-2</v>
      </c>
      <c r="X124" s="1">
        <f t="shared" si="36"/>
        <v>1.9276428346779717E-7</v>
      </c>
      <c r="Y124" s="1">
        <f t="shared" si="37"/>
        <v>-0.18307457057263957</v>
      </c>
      <c r="Z124" s="1">
        <f t="shared" si="38"/>
        <v>-9.1537285286319783</v>
      </c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 ht="15" customHeight="1" x14ac:dyDescent="0.3">
      <c r="A125" s="2">
        <v>12.4</v>
      </c>
      <c r="B125" s="1">
        <f t="shared" si="26"/>
        <v>3.9810717055349631E-13</v>
      </c>
      <c r="C125" s="1">
        <f t="shared" si="27"/>
        <v>2.5370052958246816E-2</v>
      </c>
      <c r="D125" s="1">
        <f t="shared" si="28"/>
        <v>-2.5370051719902174E-2</v>
      </c>
      <c r="E125" s="1">
        <f t="shared" si="29"/>
        <v>0.43780837643325182</v>
      </c>
      <c r="F125" s="1">
        <f t="shared" si="30"/>
        <v>0.99999998009464197</v>
      </c>
      <c r="G125" s="1">
        <f t="shared" si="31"/>
        <v>1.4079335811626359</v>
      </c>
      <c r="H125" s="1">
        <f t="shared" si="39"/>
        <v>351.98339529065896</v>
      </c>
      <c r="S125" s="2">
        <v>12.4</v>
      </c>
      <c r="T125" s="1">
        <f t="shared" si="32"/>
        <v>3.9810717055349631E-13</v>
      </c>
      <c r="U125" s="1">
        <f t="shared" si="33"/>
        <v>2.5370052958246816E-2</v>
      </c>
      <c r="V125" s="1">
        <f t="shared" si="34"/>
        <v>0.13805505355559611</v>
      </c>
      <c r="W125" s="1">
        <f t="shared" si="35"/>
        <v>-1.2685017851865365E-2</v>
      </c>
      <c r="X125" s="1">
        <f t="shared" si="36"/>
        <v>1.5311811907541353E-7</v>
      </c>
      <c r="Y125" s="1">
        <f t="shared" si="37"/>
        <v>-0.22514116062067743</v>
      </c>
      <c r="Z125" s="1">
        <f t="shared" si="38"/>
        <v>-11.257058031033873</v>
      </c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 ht="15" customHeight="1" x14ac:dyDescent="0.3">
      <c r="A126" s="2">
        <v>12.5</v>
      </c>
      <c r="B126" s="1">
        <f t="shared" si="26"/>
        <v>3.1622776601683746E-13</v>
      </c>
      <c r="C126" s="1">
        <f t="shared" si="27"/>
        <v>3.1939004367700675E-2</v>
      </c>
      <c r="D126" s="1">
        <f t="shared" si="28"/>
        <v>-3.1939003470602099E-2</v>
      </c>
      <c r="E126" s="1">
        <f t="shared" si="29"/>
        <v>0.44328250289216842</v>
      </c>
      <c r="F126" s="1">
        <f t="shared" si="30"/>
        <v>0.99999998418861191</v>
      </c>
      <c r="G126" s="1">
        <f t="shared" si="31"/>
        <v>1.5631243460881128</v>
      </c>
      <c r="H126" s="1">
        <f t="shared" si="39"/>
        <v>390.7810865220282</v>
      </c>
      <c r="S126" s="2">
        <v>12.5</v>
      </c>
      <c r="T126" s="1">
        <f t="shared" si="32"/>
        <v>3.1622776601683746E-13</v>
      </c>
      <c r="U126" s="1">
        <f t="shared" si="33"/>
        <v>3.1939004367700675E-2</v>
      </c>
      <c r="V126" s="1">
        <f t="shared" si="34"/>
        <v>0.1479084853937094</v>
      </c>
      <c r="W126" s="1">
        <f t="shared" si="35"/>
        <v>-1.5969495131236473E-2</v>
      </c>
      <c r="X126" s="1">
        <f t="shared" si="36"/>
        <v>1.2162604905973218E-7</v>
      </c>
      <c r="Y126" s="1">
        <f t="shared" si="37"/>
        <v>-0.27540854796625008</v>
      </c>
      <c r="Z126" s="1">
        <f t="shared" si="38"/>
        <v>-13.770427398312503</v>
      </c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 ht="15" customHeight="1" x14ac:dyDescent="0.3">
      <c r="A127" s="2">
        <v>12.6</v>
      </c>
      <c r="B127" s="1">
        <f t="shared" si="26"/>
        <v>2.511886431509579E-13</v>
      </c>
      <c r="C127" s="1">
        <f t="shared" si="27"/>
        <v>4.0208824225903238E-2</v>
      </c>
      <c r="D127" s="1">
        <f t="shared" si="28"/>
        <v>-4.020882359986603E-2</v>
      </c>
      <c r="E127" s="1">
        <f t="shared" si="29"/>
        <v>0.45017401966655501</v>
      </c>
      <c r="F127" s="1">
        <f t="shared" si="30"/>
        <v>0.99999998744056795</v>
      </c>
      <c r="G127" s="1">
        <f t="shared" si="31"/>
        <v>1.8069850975491279</v>
      </c>
      <c r="H127" s="1">
        <f t="shared" si="39"/>
        <v>451.74627438728197</v>
      </c>
      <c r="S127" s="2">
        <v>12.6</v>
      </c>
      <c r="T127" s="1">
        <f t="shared" si="32"/>
        <v>2.511886431509579E-13</v>
      </c>
      <c r="U127" s="1">
        <f t="shared" si="33"/>
        <v>4.0208824225903238E-2</v>
      </c>
      <c r="V127" s="1">
        <f t="shared" si="34"/>
        <v>0.16031321893336659</v>
      </c>
      <c r="W127" s="1">
        <f t="shared" si="35"/>
        <v>-2.0104406311122192E-2</v>
      </c>
      <c r="X127" s="1">
        <f t="shared" si="36"/>
        <v>9.6611007262834631E-8</v>
      </c>
      <c r="Y127" s="1">
        <f t="shared" si="37"/>
        <v>-0.33478216043203457</v>
      </c>
      <c r="Z127" s="1">
        <f t="shared" si="38"/>
        <v>-16.73910802160173</v>
      </c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 ht="15" customHeight="1" x14ac:dyDescent="0.3">
      <c r="A128" s="2">
        <v>12.7</v>
      </c>
      <c r="B128" s="1">
        <f t="shared" si="26"/>
        <v>1.9952623149688807E-13</v>
      </c>
      <c r="C128" s="1">
        <f t="shared" si="27"/>
        <v>5.061991059635447E-2</v>
      </c>
      <c r="D128" s="1">
        <f t="shared" si="28"/>
        <v>-5.0619910185628975E-2</v>
      </c>
      <c r="E128" s="1">
        <f t="shared" si="29"/>
        <v>0.45884992515469081</v>
      </c>
      <c r="F128" s="1">
        <f t="shared" si="30"/>
        <v>0.99999999002368856</v>
      </c>
      <c r="G128" s="1">
        <f t="shared" si="31"/>
        <v>2.230129237332342</v>
      </c>
      <c r="H128" s="1">
        <f t="shared" si="39"/>
        <v>557.53230933308544</v>
      </c>
      <c r="S128" s="2">
        <v>12.7</v>
      </c>
      <c r="T128" s="1">
        <f t="shared" si="32"/>
        <v>1.9952623149688807E-13</v>
      </c>
      <c r="U128" s="1">
        <f t="shared" si="33"/>
        <v>5.061991059635447E-2</v>
      </c>
      <c r="V128" s="1">
        <f t="shared" si="34"/>
        <v>0.17592985146964379</v>
      </c>
      <c r="W128" s="1">
        <f t="shared" si="35"/>
        <v>-2.5309950489881272E-2</v>
      </c>
      <c r="X128" s="1">
        <f t="shared" si="36"/>
        <v>7.6740852378874996E-8</v>
      </c>
      <c r="Y128" s="1">
        <f t="shared" si="37"/>
        <v>-0.403957553106288</v>
      </c>
      <c r="Z128" s="1">
        <f t="shared" si="38"/>
        <v>-20.197877655314404</v>
      </c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 ht="15" customHeight="1" x14ac:dyDescent="0.3">
      <c r="A129" s="2">
        <v>12.8</v>
      </c>
      <c r="B129" s="1">
        <f t="shared" si="26"/>
        <v>1.5848931924611046E-13</v>
      </c>
      <c r="C129" s="1">
        <f t="shared" si="27"/>
        <v>6.3726691792499873E-2</v>
      </c>
      <c r="D129" s="1">
        <f t="shared" si="28"/>
        <v>-6.3726691552802542E-2</v>
      </c>
      <c r="E129" s="1">
        <f t="shared" si="29"/>
        <v>0.46977224296066877</v>
      </c>
      <c r="F129" s="1">
        <f t="shared" si="30"/>
        <v>0.99999999207553403</v>
      </c>
      <c r="G129" s="1">
        <f t="shared" si="31"/>
        <v>3.1082176712577052</v>
      </c>
      <c r="H129" s="1">
        <f t="shared" si="39"/>
        <v>777.0544178144263</v>
      </c>
      <c r="S129" s="2">
        <v>12.8</v>
      </c>
      <c r="T129" s="1">
        <f t="shared" si="32"/>
        <v>1.5848931924611046E-13</v>
      </c>
      <c r="U129" s="1">
        <f t="shared" si="33"/>
        <v>6.3726691792499873E-2</v>
      </c>
      <c r="V129" s="1">
        <f t="shared" si="34"/>
        <v>0.19559002563143704</v>
      </c>
      <c r="W129" s="1">
        <f t="shared" si="35"/>
        <v>-3.1863341877145686E-2</v>
      </c>
      <c r="X129" s="1">
        <f t="shared" si="36"/>
        <v>6.0957426763465145E-8</v>
      </c>
      <c r="Y129" s="1">
        <f t="shared" si="37"/>
        <v>-0.48327823978300344</v>
      </c>
      <c r="Z129" s="1">
        <f t="shared" si="38"/>
        <v>-24.163911989150172</v>
      </c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 ht="15" customHeight="1" x14ac:dyDescent="0.3">
      <c r="A130" s="2">
        <v>12.9</v>
      </c>
      <c r="B130" s="1">
        <f t="shared" si="26"/>
        <v>1.2589254117941612E-13</v>
      </c>
      <c r="C130" s="1">
        <f t="shared" si="27"/>
        <v>8.0227151707152805E-2</v>
      </c>
      <c r="D130" s="1">
        <f t="shared" si="28"/>
        <v>-8.0227151603307983E-2</v>
      </c>
      <c r="E130" s="1">
        <f t="shared" si="29"/>
        <v>0.48352262633609</v>
      </c>
      <c r="F130" s="1">
        <f t="shared" si="30"/>
        <v>0.99999999370537296</v>
      </c>
      <c r="G130" s="1">
        <f t="shared" si="31"/>
        <v>5.8689283401412151</v>
      </c>
      <c r="H130" s="1">
        <f t="shared" si="39"/>
        <v>1467.2320850353037</v>
      </c>
      <c r="S130" s="2">
        <v>12.9</v>
      </c>
      <c r="T130" s="1">
        <f t="shared" si="32"/>
        <v>1.2589254117941612E-13</v>
      </c>
      <c r="U130" s="1">
        <f t="shared" si="33"/>
        <v>8.0227151707152805E-2</v>
      </c>
      <c r="V130" s="1">
        <f t="shared" si="34"/>
        <v>0.22034071738404831</v>
      </c>
      <c r="W130" s="1">
        <f t="shared" si="35"/>
        <v>-4.0113572461349438E-2</v>
      </c>
      <c r="X130" s="1">
        <f t="shared" si="36"/>
        <v>4.842020580141284E-8</v>
      </c>
      <c r="Y130" s="1">
        <f t="shared" si="37"/>
        <v>-0.57258653471868093</v>
      </c>
      <c r="Z130" s="1">
        <f t="shared" si="38"/>
        <v>-28.629326735934047</v>
      </c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 ht="15" customHeight="1" x14ac:dyDescent="0.3">
      <c r="A131" s="2">
        <v>13</v>
      </c>
      <c r="B131" s="1">
        <f t="shared" ref="B131:B141" si="40">10^(-A131)</f>
        <v>1E-13</v>
      </c>
      <c r="C131" s="1">
        <f t="shared" ref="C131:C141" si="41">Kw/B131</f>
        <v>0.10099999999999999</v>
      </c>
      <c r="D131" s="1">
        <f t="shared" ref="D131:D141" si="42">((WASB_Ca*WASB_Va)-(WASB_Cb*H131))/(WASB_Va+H131)</f>
        <v>-0.10100000000406666</v>
      </c>
      <c r="E131" s="1">
        <f t="shared" ref="E131:E141" si="43">(WASB_Ca*H131)/(WASB_Va+H131)</f>
        <v>0.5008333333367222</v>
      </c>
      <c r="F131" s="1">
        <f t="shared" ref="F131:F141" si="44">WASB_Ka/(B131+WASB_Ka)</f>
        <v>0.99999999499999992</v>
      </c>
      <c r="G131" s="1">
        <f t="shared" ref="G131:G141" si="45">(F131-((B131-C131)/WASB_Ca)) / (1 + ((B131-C131)/WASB_Cb))</f>
        <v>-120.19999951200096</v>
      </c>
      <c r="H131" s="1">
        <f t="shared" si="39"/>
        <v>-30049.999878000239</v>
      </c>
      <c r="S131" s="2">
        <v>13</v>
      </c>
      <c r="T131" s="1">
        <f t="shared" ref="T131:T141" si="46">10^-S131</f>
        <v>1E-13</v>
      </c>
      <c r="U131" s="1">
        <f t="shared" ref="U131:U141" si="47">Kw/T131</f>
        <v>0.10099999999999999</v>
      </c>
      <c r="V131" s="1">
        <f t="shared" ref="V131:V141" si="48">((SAWB_Cb*SAWB_Vb)-(SAWB_Ca*Z131))/(Z131+SAWB_Vb)</f>
        <v>0.25149999131715817</v>
      </c>
      <c r="W131" s="1">
        <f t="shared" ref="W131:W141" si="49">(SAWB_Cb*Z131)/(Z131+SAWB_Vb)</f>
        <v>-5.0499997105719389E-2</v>
      </c>
      <c r="X131" s="1">
        <f t="shared" ref="X131:X141" si="50">T131/(T131+SAWB_Ka)</f>
        <v>3.8461536982248577E-8</v>
      </c>
      <c r="Y131" s="1">
        <f t="shared" ref="Y131:Y141" si="51">(X131+((T131-U131)/SAWB_Cb))/(1-((T131-U131)/SAWB_Ca))</f>
        <v>-0.67109631995867014</v>
      </c>
      <c r="Z131" s="1">
        <f t="shared" ref="Z131:Z141" si="52">(Y131*SAWB_Cb*SAWB_Vb)/SAWB_Ca</f>
        <v>-33.554815997933503</v>
      </c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 ht="15" customHeight="1" x14ac:dyDescent="0.3">
      <c r="A132" s="2">
        <v>13.1</v>
      </c>
      <c r="B132" s="1">
        <f t="shared" si="40"/>
        <v>7.9432823472427931E-14</v>
      </c>
      <c r="C132" s="1">
        <f t="shared" si="41"/>
        <v>0.12715146659121124</v>
      </c>
      <c r="D132" s="1">
        <f t="shared" si="42"/>
        <v>-0.12715146668099503</v>
      </c>
      <c r="E132" s="1">
        <f t="shared" si="43"/>
        <v>0.52262622223416255</v>
      </c>
      <c r="F132" s="1">
        <f t="shared" si="44"/>
        <v>0.99999999602835887</v>
      </c>
      <c r="G132" s="1">
        <f t="shared" si="45"/>
        <v>-4.6196507470440027</v>
      </c>
      <c r="H132" s="1">
        <f t="shared" ref="H132:H141" si="53">G132*(WASB_Va * WASB_Ca)/WASB_Cb</f>
        <v>-1154.9126867610005</v>
      </c>
      <c r="S132" s="2">
        <v>13.1</v>
      </c>
      <c r="T132" s="1">
        <f t="shared" si="46"/>
        <v>7.9432823472427931E-14</v>
      </c>
      <c r="U132" s="1">
        <f t="shared" si="47"/>
        <v>0.12715146659121124</v>
      </c>
      <c r="V132" s="1">
        <f t="shared" si="48"/>
        <v>0.29072719239057354</v>
      </c>
      <c r="W132" s="1">
        <f t="shared" si="49"/>
        <v>-6.3575730796857854E-2</v>
      </c>
      <c r="X132" s="1">
        <f t="shared" si="50"/>
        <v>3.0551085017564992E-8</v>
      </c>
      <c r="Y132" s="1">
        <f t="shared" si="51"/>
        <v>-0.77732473499765764</v>
      </c>
      <c r="Z132" s="1">
        <f t="shared" si="52"/>
        <v>-38.86623674988288</v>
      </c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 ht="15" customHeight="1" x14ac:dyDescent="0.3">
      <c r="A133" s="2">
        <v>13.2</v>
      </c>
      <c r="B133" s="1">
        <f t="shared" si="40"/>
        <v>6.3095734448019215E-14</v>
      </c>
      <c r="C133" s="1">
        <f t="shared" si="41"/>
        <v>0.16007421243857273</v>
      </c>
      <c r="D133" s="1">
        <f t="shared" si="42"/>
        <v>-0.16007421259644408</v>
      </c>
      <c r="E133" s="1">
        <f t="shared" si="43"/>
        <v>0.55006184383037005</v>
      </c>
      <c r="F133" s="1">
        <f t="shared" si="44"/>
        <v>0.99999999684521323</v>
      </c>
      <c r="G133" s="1">
        <f t="shared" si="45"/>
        <v>-2.1975293027328515</v>
      </c>
      <c r="H133" s="1">
        <f t="shared" si="53"/>
        <v>-549.38232568321291</v>
      </c>
      <c r="S133" s="2">
        <v>13.2</v>
      </c>
      <c r="T133" s="1">
        <f t="shared" si="46"/>
        <v>6.3095734448019215E-14</v>
      </c>
      <c r="U133" s="1">
        <f t="shared" si="47"/>
        <v>0.16007421243857273</v>
      </c>
      <c r="V133" s="1">
        <f t="shared" si="48"/>
        <v>0.34011131210416456</v>
      </c>
      <c r="W133" s="1">
        <f t="shared" si="49"/>
        <v>-8.0037104034721529E-2</v>
      </c>
      <c r="X133" s="1">
        <f t="shared" si="50"/>
        <v>2.4267589583399161E-8</v>
      </c>
      <c r="Y133" s="1">
        <f t="shared" si="51"/>
        <v>-0.8891178789377302</v>
      </c>
      <c r="Z133" s="1">
        <f t="shared" si="52"/>
        <v>-44.455893946886505</v>
      </c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 ht="15" customHeight="1" x14ac:dyDescent="0.3">
      <c r="A134" s="2">
        <v>13.3</v>
      </c>
      <c r="B134" s="1">
        <f t="shared" si="40"/>
        <v>5.0118723362727011E-14</v>
      </c>
      <c r="C134" s="1">
        <f t="shared" si="41"/>
        <v>0.20152149381185769</v>
      </c>
      <c r="D134" s="1">
        <f t="shared" si="42"/>
        <v>-0.20152149402381286</v>
      </c>
      <c r="E134" s="1">
        <f t="shared" si="43"/>
        <v>0.58460124501984401</v>
      </c>
      <c r="F134" s="1">
        <f t="shared" si="44"/>
        <v>0.99999999749406387</v>
      </c>
      <c r="G134" s="1">
        <f t="shared" si="45"/>
        <v>-1.3820157017375339</v>
      </c>
      <c r="H134" s="1">
        <f t="shared" si="53"/>
        <v>-345.50392543438346</v>
      </c>
      <c r="S134" s="2">
        <v>13.3</v>
      </c>
      <c r="T134" s="1">
        <f t="shared" si="46"/>
        <v>5.0118723362727011E-14</v>
      </c>
      <c r="U134" s="1">
        <f t="shared" si="47"/>
        <v>0.20152149381185769</v>
      </c>
      <c r="V134" s="1">
        <f t="shared" si="48"/>
        <v>0.40228223491278509</v>
      </c>
      <c r="W134" s="1">
        <f t="shared" si="49"/>
        <v>-0.10076074497092836</v>
      </c>
      <c r="X134" s="1">
        <f t="shared" si="50"/>
        <v>1.9276431691006486E-8</v>
      </c>
      <c r="Y134" s="1">
        <f t="shared" si="51"/>
        <v>-1.0037893113568519</v>
      </c>
      <c r="Z134" s="1">
        <f t="shared" si="52"/>
        <v>-50.189465567842589</v>
      </c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 ht="15" customHeight="1" x14ac:dyDescent="0.3">
      <c r="A135" s="2">
        <v>13.4</v>
      </c>
      <c r="B135" s="1">
        <f t="shared" si="40"/>
        <v>3.9810717055349592E-14</v>
      </c>
      <c r="C135" s="1">
        <f t="shared" si="41"/>
        <v>0.25370052958246841</v>
      </c>
      <c r="D135" s="1">
        <f t="shared" si="42"/>
        <v>-0.253700529837384</v>
      </c>
      <c r="E135" s="1">
        <f t="shared" si="43"/>
        <v>0.62808377486448663</v>
      </c>
      <c r="F135" s="1">
        <f t="shared" si="44"/>
        <v>0.99999999800946415</v>
      </c>
      <c r="G135" s="1">
        <f t="shared" si="45"/>
        <v>-0.9807390132419237</v>
      </c>
      <c r="H135" s="1">
        <f t="shared" si="53"/>
        <v>-245.18475331048089</v>
      </c>
      <c r="S135" s="2">
        <v>13.4</v>
      </c>
      <c r="T135" s="1">
        <f t="shared" si="46"/>
        <v>3.9810717055349592E-14</v>
      </c>
      <c r="U135" s="1">
        <f t="shared" si="47"/>
        <v>0.25370052958246841</v>
      </c>
      <c r="V135" s="1">
        <f t="shared" si="48"/>
        <v>0.48055078916340938</v>
      </c>
      <c r="W135" s="1">
        <f t="shared" si="49"/>
        <v>-0.12685026305446978</v>
      </c>
      <c r="X135" s="1">
        <f t="shared" si="50"/>
        <v>1.5311814017605883E-8</v>
      </c>
      <c r="Y135" s="1">
        <f t="shared" si="51"/>
        <v>-1.118361172224088</v>
      </c>
      <c r="Z135" s="1">
        <f t="shared" si="52"/>
        <v>-55.918058611204401</v>
      </c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 ht="15" customHeight="1" x14ac:dyDescent="0.3">
      <c r="A136" s="2">
        <v>13.5</v>
      </c>
      <c r="B136" s="1">
        <f t="shared" si="40"/>
        <v>3.1622776601683714E-14</v>
      </c>
      <c r="C136" s="1">
        <f t="shared" si="41"/>
        <v>0.31939004367700707</v>
      </c>
      <c r="D136" s="1">
        <f t="shared" si="42"/>
        <v>-0.3193900439660472</v>
      </c>
      <c r="E136" s="1">
        <f t="shared" si="43"/>
        <v>0.68282503663837268</v>
      </c>
      <c r="F136" s="1">
        <f t="shared" si="44"/>
        <v>0.99999999841886122</v>
      </c>
      <c r="G136" s="1">
        <f t="shared" si="45"/>
        <v>-0.74697103765825945</v>
      </c>
      <c r="H136" s="1">
        <f t="shared" si="53"/>
        <v>-186.74275941456486</v>
      </c>
      <c r="S136" s="2">
        <v>13.5</v>
      </c>
      <c r="T136" s="1">
        <f t="shared" si="46"/>
        <v>3.1622776601683714E-14</v>
      </c>
      <c r="U136" s="1">
        <f t="shared" si="47"/>
        <v>0.31939004367700707</v>
      </c>
      <c r="V136" s="1">
        <f t="shared" si="48"/>
        <v>0.57908506077761102</v>
      </c>
      <c r="W136" s="1">
        <f t="shared" si="49"/>
        <v>-0.15969502025920368</v>
      </c>
      <c r="X136" s="1">
        <f t="shared" si="50"/>
        <v>1.2162606237333974E-8</v>
      </c>
      <c r="Y136" s="1">
        <f t="shared" si="51"/>
        <v>-1.2298658641957076</v>
      </c>
      <c r="Z136" s="1">
        <f t="shared" si="52"/>
        <v>-61.493293209785385</v>
      </c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 ht="15" customHeight="1" x14ac:dyDescent="0.3">
      <c r="A137" s="2">
        <v>13.6</v>
      </c>
      <c r="B137" s="1">
        <f t="shared" si="40"/>
        <v>2.511886431509576E-14</v>
      </c>
      <c r="C137" s="1">
        <f t="shared" si="41"/>
        <v>0.40208824225903284</v>
      </c>
      <c r="D137" s="1">
        <f t="shared" si="42"/>
        <v>-0.40208824257517917</v>
      </c>
      <c r="E137" s="1">
        <f t="shared" si="43"/>
        <v>0.75174020214598269</v>
      </c>
      <c r="F137" s="1">
        <f t="shared" si="44"/>
        <v>0.99999999874405676</v>
      </c>
      <c r="G137" s="1">
        <f t="shared" si="45"/>
        <v>-0.5972349237330421</v>
      </c>
      <c r="H137" s="1">
        <f t="shared" si="53"/>
        <v>-149.30873093326051</v>
      </c>
      <c r="S137" s="2">
        <v>13.6</v>
      </c>
      <c r="T137" s="1">
        <f t="shared" si="46"/>
        <v>2.511886431509576E-14</v>
      </c>
      <c r="U137" s="1">
        <f t="shared" si="47"/>
        <v>0.40208824225903284</v>
      </c>
      <c r="V137" s="1">
        <f t="shared" si="48"/>
        <v>0.70313235902588511</v>
      </c>
      <c r="W137" s="1">
        <f t="shared" si="49"/>
        <v>-0.20104411967529506</v>
      </c>
      <c r="X137" s="1">
        <f t="shared" si="50"/>
        <v>9.6611015663153316E-9</v>
      </c>
      <c r="Y137" s="1">
        <f t="shared" si="51"/>
        <v>-1.3356455518356605</v>
      </c>
      <c r="Z137" s="1">
        <f t="shared" si="52"/>
        <v>-66.782277591783028</v>
      </c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 ht="15" customHeight="1" x14ac:dyDescent="0.3">
      <c r="A138" s="2">
        <v>13.7</v>
      </c>
      <c r="B138" s="1">
        <f t="shared" si="40"/>
        <v>1.9952623149688784E-14</v>
      </c>
      <c r="C138" s="1">
        <f t="shared" si="41"/>
        <v>0.50619910596354523</v>
      </c>
      <c r="D138" s="1">
        <f t="shared" si="42"/>
        <v>-0.50619910630122256</v>
      </c>
      <c r="E138" s="1">
        <f t="shared" si="43"/>
        <v>0.83849925525101887</v>
      </c>
      <c r="F138" s="1">
        <f t="shared" si="44"/>
        <v>0.9999999990023688</v>
      </c>
      <c r="G138" s="1">
        <f t="shared" si="45"/>
        <v>-0.49542162485953956</v>
      </c>
      <c r="H138" s="1">
        <f t="shared" si="53"/>
        <v>-123.85540621488488</v>
      </c>
      <c r="S138" s="2">
        <v>13.7</v>
      </c>
      <c r="T138" s="1">
        <f t="shared" si="46"/>
        <v>1.9952623149688784E-14</v>
      </c>
      <c r="U138" s="1">
        <f t="shared" si="47"/>
        <v>0.50619910596354523</v>
      </c>
      <c r="V138" s="1">
        <f t="shared" si="48"/>
        <v>0.85929865488071377</v>
      </c>
      <c r="W138" s="1">
        <f t="shared" si="49"/>
        <v>-0.25309955162690462</v>
      </c>
      <c r="X138" s="1">
        <f t="shared" si="50"/>
        <v>7.6740857679117853E-9</v>
      </c>
      <c r="Y138" s="1">
        <f t="shared" si="51"/>
        <v>-1.433587499393582</v>
      </c>
      <c r="Z138" s="1">
        <f t="shared" si="52"/>
        <v>-71.679374969679102</v>
      </c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 ht="15" customHeight="1" x14ac:dyDescent="0.3">
      <c r="A139" s="2">
        <v>13.8</v>
      </c>
      <c r="B139" s="1">
        <f t="shared" si="40"/>
        <v>1.5848931924611084E-14</v>
      </c>
      <c r="C139" s="1">
        <f t="shared" si="41"/>
        <v>0.63726691792499712</v>
      </c>
      <c r="D139" s="1">
        <f t="shared" si="42"/>
        <v>-0.63726691827977755</v>
      </c>
      <c r="E139" s="1">
        <f t="shared" si="43"/>
        <v>0.94772243189981464</v>
      </c>
      <c r="F139" s="1">
        <f t="shared" si="44"/>
        <v>0.99999999920755345</v>
      </c>
      <c r="G139" s="1">
        <f t="shared" si="45"/>
        <v>-0.4233526686962531</v>
      </c>
      <c r="H139" s="1">
        <f t="shared" si="53"/>
        <v>-105.83816717406326</v>
      </c>
      <c r="S139" s="2">
        <v>13.8</v>
      </c>
      <c r="T139" s="1">
        <f t="shared" si="46"/>
        <v>1.5848931924611084E-14</v>
      </c>
      <c r="U139" s="1">
        <f t="shared" si="47"/>
        <v>0.63726691792499712</v>
      </c>
      <c r="V139" s="1">
        <f t="shared" si="48"/>
        <v>1.0559003730596499</v>
      </c>
      <c r="W139" s="1">
        <f t="shared" si="49"/>
        <v>-0.31863345768654999</v>
      </c>
      <c r="X139" s="1">
        <f t="shared" si="50"/>
        <v>6.0957430107692576E-9</v>
      </c>
      <c r="Y139" s="1">
        <f t="shared" si="51"/>
        <v>-1.5222550985168768</v>
      </c>
      <c r="Z139" s="1">
        <f t="shared" si="52"/>
        <v>-76.112754925843845</v>
      </c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 ht="15" customHeight="1" x14ac:dyDescent="0.3">
      <c r="A140" s="2">
        <v>13.9</v>
      </c>
      <c r="B140" s="1">
        <f t="shared" si="40"/>
        <v>1.2589254117941644E-14</v>
      </c>
      <c r="C140" s="1">
        <f t="shared" si="41"/>
        <v>0.802271517071526</v>
      </c>
      <c r="D140" s="1">
        <f t="shared" si="42"/>
        <v>-0.80227151743989178</v>
      </c>
      <c r="E140" s="1">
        <f t="shared" si="43"/>
        <v>1.0852262645332431</v>
      </c>
      <c r="F140" s="1">
        <f t="shared" si="44"/>
        <v>0.9999999993705373</v>
      </c>
      <c r="G140" s="1">
        <f t="shared" si="45"/>
        <v>-0.37087408077926348</v>
      </c>
      <c r="H140" s="1">
        <f t="shared" si="53"/>
        <v>-92.718520194815866</v>
      </c>
      <c r="S140" s="2">
        <v>13.9</v>
      </c>
      <c r="T140" s="1">
        <f t="shared" si="46"/>
        <v>1.2589254117941644E-14</v>
      </c>
      <c r="U140" s="1">
        <f t="shared" si="47"/>
        <v>0.802271517071526</v>
      </c>
      <c r="V140" s="1">
        <f t="shared" si="48"/>
        <v>1.3034072719675065</v>
      </c>
      <c r="W140" s="1">
        <f t="shared" si="49"/>
        <v>-0.40113575732250217</v>
      </c>
      <c r="X140" s="1">
        <f t="shared" si="50"/>
        <v>4.8420207911477741E-9</v>
      </c>
      <c r="Y140" s="1">
        <f t="shared" si="51"/>
        <v>-1.6009065466240686</v>
      </c>
      <c r="Z140" s="1">
        <f t="shared" si="52"/>
        <v>-80.045327331203438</v>
      </c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 ht="15" customHeight="1" x14ac:dyDescent="0.3">
      <c r="A141" s="2">
        <v>14</v>
      </c>
      <c r="B141" s="1">
        <f t="shared" si="40"/>
        <v>1E-14</v>
      </c>
      <c r="C141" s="1">
        <f t="shared" si="41"/>
        <v>1.01</v>
      </c>
      <c r="D141" s="1">
        <f t="shared" si="42"/>
        <v>-1.0100000003791567</v>
      </c>
      <c r="E141" s="1">
        <f t="shared" si="43"/>
        <v>1.2583333336492972</v>
      </c>
      <c r="F141" s="1">
        <f t="shared" si="44"/>
        <v>0.99999999949999996</v>
      </c>
      <c r="G141" s="1">
        <f t="shared" si="45"/>
        <v>-0.33186813181318825</v>
      </c>
      <c r="H141" s="1">
        <f t="shared" si="53"/>
        <v>-82.967032953297064</v>
      </c>
      <c r="S141" s="2">
        <v>14</v>
      </c>
      <c r="T141" s="1">
        <f t="shared" si="46"/>
        <v>1E-14</v>
      </c>
      <c r="U141" s="1">
        <f t="shared" si="47"/>
        <v>1.01</v>
      </c>
      <c r="V141" s="1">
        <f t="shared" si="48"/>
        <v>1.6149999965096011</v>
      </c>
      <c r="W141" s="1">
        <f t="shared" si="49"/>
        <v>-0.50499999883653379</v>
      </c>
      <c r="X141" s="1">
        <f t="shared" si="50"/>
        <v>3.8461538313609469E-9</v>
      </c>
      <c r="Y141" s="1">
        <f t="shared" si="51"/>
        <v>-1.6694214869675752</v>
      </c>
      <c r="Z141" s="1">
        <f t="shared" si="52"/>
        <v>-83.471074348378764</v>
      </c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 ht="15" customHeight="1" x14ac:dyDescent="0.3"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 ht="15" customHeight="1" x14ac:dyDescent="0.3"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 ht="15" customHeight="1" x14ac:dyDescent="0.3"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28:44" ht="15" customHeight="1" x14ac:dyDescent="0.3"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28:44" ht="15" customHeight="1" x14ac:dyDescent="0.3"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28:44" ht="15" customHeight="1" x14ac:dyDescent="0.3"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28:44" ht="15" customHeight="1" x14ac:dyDescent="0.3"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28:44" ht="15" customHeight="1" x14ac:dyDescent="0.3"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28:44" ht="15" customHeight="1" x14ac:dyDescent="0.3"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28:44" ht="15" customHeight="1" x14ac:dyDescent="0.3"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28:44" ht="15" customHeight="1" x14ac:dyDescent="0.3"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28:44" ht="15" customHeight="1" x14ac:dyDescent="0.3"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28:44" ht="15" customHeight="1" x14ac:dyDescent="0.3"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28:44" ht="15" customHeight="1" x14ac:dyDescent="0.3"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28:44" ht="15" customHeight="1" x14ac:dyDescent="0.3"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28:44" ht="15" customHeight="1" x14ac:dyDescent="0.3"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28:44" ht="15" customHeight="1" x14ac:dyDescent="0.3"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28:44" ht="15" customHeight="1" x14ac:dyDescent="0.3"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28:44" ht="15" customHeight="1" x14ac:dyDescent="0.3"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28:44" ht="15" customHeight="1" x14ac:dyDescent="0.3"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28:44" ht="15" customHeight="1" x14ac:dyDescent="0.3"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28:44" ht="15" customHeight="1" x14ac:dyDescent="0.3"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28:44" ht="15" customHeight="1" x14ac:dyDescent="0.3"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28:44" ht="15" customHeight="1" x14ac:dyDescent="0.3"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28:44" ht="15" customHeight="1" x14ac:dyDescent="0.3"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28:44" ht="15" customHeight="1" x14ac:dyDescent="0.3"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28:44" ht="15" customHeight="1" x14ac:dyDescent="0.3"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28:44" ht="15" customHeight="1" x14ac:dyDescent="0.3"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28:44" ht="15" customHeight="1" x14ac:dyDescent="0.3"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28:44" ht="15" customHeight="1" x14ac:dyDescent="0.3"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28:44" ht="15" customHeight="1" x14ac:dyDescent="0.3"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28:44" ht="15" customHeight="1" x14ac:dyDescent="0.3"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28:44" ht="15" customHeight="1" x14ac:dyDescent="0.3"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28:44" ht="15" customHeight="1" x14ac:dyDescent="0.3"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28:44" ht="15" customHeight="1" x14ac:dyDescent="0.3"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28:44" ht="15" customHeight="1" x14ac:dyDescent="0.3"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28:44" ht="15" customHeight="1" x14ac:dyDescent="0.3"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28:44" ht="15" customHeight="1" x14ac:dyDescent="0.3"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28:44" ht="15" customHeight="1" x14ac:dyDescent="0.3"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28:44" ht="15" customHeight="1" x14ac:dyDescent="0.3"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28:44" ht="15" customHeight="1" x14ac:dyDescent="0.3"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28:44" ht="15" customHeight="1" x14ac:dyDescent="0.3"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28:44" ht="15" customHeight="1" x14ac:dyDescent="0.3"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28:44" ht="15" customHeight="1" x14ac:dyDescent="0.3"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28:44" ht="15" customHeight="1" x14ac:dyDescent="0.3"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28:44" ht="15" customHeight="1" x14ac:dyDescent="0.3"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28:44" ht="15" customHeight="1" x14ac:dyDescent="0.3"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28:44" ht="15" customHeight="1" x14ac:dyDescent="0.3"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28:44" ht="15" customHeight="1" x14ac:dyDescent="0.3"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28:44" ht="15" customHeight="1" x14ac:dyDescent="0.3"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28:44" ht="15" customHeight="1" x14ac:dyDescent="0.3"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28:44" ht="15" customHeight="1" x14ac:dyDescent="0.3"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28:44" ht="15" customHeight="1" x14ac:dyDescent="0.3"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28:44" ht="15" customHeight="1" x14ac:dyDescent="0.3"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28:44" ht="15" customHeight="1" x14ac:dyDescent="0.3"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28:44" ht="15" customHeight="1" x14ac:dyDescent="0.3"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28:44" ht="15" customHeight="1" x14ac:dyDescent="0.3"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28:44" ht="15" customHeight="1" x14ac:dyDescent="0.3"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28:44" ht="15" customHeight="1" x14ac:dyDescent="0.3"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28:44" ht="15" customHeight="1" x14ac:dyDescent="0.3"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28:44" ht="15" customHeight="1" x14ac:dyDescent="0.3"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28:44" ht="15" customHeight="1" x14ac:dyDescent="0.3"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28:44" ht="15" customHeight="1" x14ac:dyDescent="0.3"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28:44" ht="15" customHeight="1" x14ac:dyDescent="0.3"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28:44" ht="15" customHeight="1" x14ac:dyDescent="0.3"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28:44" ht="15" customHeight="1" x14ac:dyDescent="0.3"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28:44" ht="15" customHeight="1" x14ac:dyDescent="0.3"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28:44" ht="15" customHeight="1" x14ac:dyDescent="0.3"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28:44" ht="15" customHeight="1" x14ac:dyDescent="0.3"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28:44" ht="15" customHeight="1" x14ac:dyDescent="0.3"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8:44" ht="15" customHeight="1" x14ac:dyDescent="0.3"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8:44" ht="15" customHeight="1" x14ac:dyDescent="0.3"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8:44" ht="15" customHeight="1" x14ac:dyDescent="0.3"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8:44" ht="15" customHeight="1" x14ac:dyDescent="0.3"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8:44" ht="15" customHeight="1" x14ac:dyDescent="0.3"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8:44" ht="15" customHeight="1" x14ac:dyDescent="0.3"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8:44" ht="15" customHeight="1" x14ac:dyDescent="0.3"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8:44" ht="15" customHeight="1" x14ac:dyDescent="0.3"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8:44" ht="15" customHeight="1" x14ac:dyDescent="0.3"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8:44" ht="15" customHeight="1" x14ac:dyDescent="0.3"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8:44" ht="15" customHeight="1" x14ac:dyDescent="0.3"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8:44" ht="15" customHeight="1" x14ac:dyDescent="0.3"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8:44" ht="15" customHeight="1" x14ac:dyDescent="0.3"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8:44" ht="15" customHeight="1" x14ac:dyDescent="0.3"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8:44" ht="15" customHeight="1" x14ac:dyDescent="0.3"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8:44" ht="15" customHeight="1" x14ac:dyDescent="0.3"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8:44" ht="15" customHeight="1" x14ac:dyDescent="0.3"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8:44" ht="15" customHeight="1" x14ac:dyDescent="0.3"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8:44" ht="15" customHeight="1" x14ac:dyDescent="0.3"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8:44" ht="15" customHeight="1" x14ac:dyDescent="0.3"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8:44" ht="15" customHeight="1" x14ac:dyDescent="0.3"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8:44" ht="15" customHeight="1" x14ac:dyDescent="0.3"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8:44" ht="15" customHeight="1" x14ac:dyDescent="0.3"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28:44" ht="15" customHeight="1" x14ac:dyDescent="0.3"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28:44" ht="15" customHeight="1" x14ac:dyDescent="0.3"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28:44" ht="15" customHeight="1" x14ac:dyDescent="0.3"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28:44" ht="15" customHeight="1" x14ac:dyDescent="0.3"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28:44" ht="15" customHeight="1" x14ac:dyDescent="0.3"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28:44" ht="15" customHeight="1" x14ac:dyDescent="0.3"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28:44" ht="15" customHeight="1" x14ac:dyDescent="0.3"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28:44" ht="15" customHeight="1" x14ac:dyDescent="0.3"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28:44" ht="15" customHeight="1" x14ac:dyDescent="0.3"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28:44" ht="15" customHeight="1" x14ac:dyDescent="0.3"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28:44" ht="15" customHeight="1" x14ac:dyDescent="0.3"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28:44" ht="15" customHeight="1" x14ac:dyDescent="0.3"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28:44" ht="15" customHeight="1" x14ac:dyDescent="0.3"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28:44" ht="15" customHeight="1" x14ac:dyDescent="0.3"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8:44" ht="15" customHeight="1" x14ac:dyDescent="0.3"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8:44" ht="15" customHeight="1" x14ac:dyDescent="0.3"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8:44" ht="15" customHeight="1" x14ac:dyDescent="0.3"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8:44" ht="15" customHeight="1" x14ac:dyDescent="0.3"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8:44" ht="15" customHeight="1" x14ac:dyDescent="0.3"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8:44" ht="15" customHeight="1" x14ac:dyDescent="0.3"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8:44" ht="15" customHeight="1" x14ac:dyDescent="0.3"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8:44" ht="15" customHeight="1" x14ac:dyDescent="0.3"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8:44" ht="15" customHeight="1" x14ac:dyDescent="0.3"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8:44" ht="15" customHeight="1" x14ac:dyDescent="0.3"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8:44" ht="15" customHeight="1" x14ac:dyDescent="0.3"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8:44" ht="15" customHeight="1" x14ac:dyDescent="0.3"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8:44" ht="15" customHeight="1" x14ac:dyDescent="0.3"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8:44" ht="15" customHeight="1" x14ac:dyDescent="0.3"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8:44" ht="15" customHeight="1" x14ac:dyDescent="0.3"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8:44" ht="15" customHeight="1" x14ac:dyDescent="0.3"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8:44" ht="15" customHeight="1" x14ac:dyDescent="0.3"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8:44" ht="15" customHeight="1" x14ac:dyDescent="0.3"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8:44" ht="15" customHeight="1" x14ac:dyDescent="0.3"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8:44" ht="15" customHeight="1" x14ac:dyDescent="0.3"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8:44" ht="15" customHeight="1" x14ac:dyDescent="0.3"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28:44" ht="15" customHeight="1" x14ac:dyDescent="0.3"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28:44" ht="15" customHeight="1" x14ac:dyDescent="0.3"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28:44" ht="15" customHeight="1" x14ac:dyDescent="0.3"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8:44" ht="15" customHeight="1" x14ac:dyDescent="0.3"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8:44" ht="15" customHeight="1" x14ac:dyDescent="0.3"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8:44" ht="15" customHeight="1" x14ac:dyDescent="0.3"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8:44" ht="15" customHeight="1" x14ac:dyDescent="0.3"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8:44" ht="15" customHeight="1" x14ac:dyDescent="0.3"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8:44" ht="15" customHeight="1" x14ac:dyDescent="0.3"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8:44" ht="15" customHeight="1" x14ac:dyDescent="0.3"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8:44" ht="15" customHeight="1" x14ac:dyDescent="0.3"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28:44" ht="15" customHeight="1" x14ac:dyDescent="0.3"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28:44" ht="15" customHeight="1" x14ac:dyDescent="0.3"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28:44" ht="15" customHeight="1" x14ac:dyDescent="0.3"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28:44" ht="15" customHeight="1" x14ac:dyDescent="0.3"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28:44" ht="15" customHeight="1" x14ac:dyDescent="0.3"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28:44" ht="15" customHeight="1" x14ac:dyDescent="0.3"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28:44" ht="15" customHeight="1" x14ac:dyDescent="0.3"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28:44" ht="15" customHeight="1" x14ac:dyDescent="0.3"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8:44" ht="15" customHeight="1" x14ac:dyDescent="0.3"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8:44" ht="15" customHeight="1" x14ac:dyDescent="0.3"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8:44" ht="15" customHeight="1" x14ac:dyDescent="0.3"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8:44" ht="15" customHeight="1" x14ac:dyDescent="0.3"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8:44" ht="15" customHeight="1" x14ac:dyDescent="0.3"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8:44" ht="15" customHeight="1" x14ac:dyDescent="0.3"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8:44" ht="15" customHeight="1" x14ac:dyDescent="0.3"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8:44" ht="15" customHeight="1" x14ac:dyDescent="0.3"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8:44" ht="15" customHeight="1" x14ac:dyDescent="0.3"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8:44" ht="15" customHeight="1" x14ac:dyDescent="0.3"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8:44" ht="15" customHeight="1" x14ac:dyDescent="0.3"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8:44" ht="15" customHeight="1" x14ac:dyDescent="0.3"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8:44" ht="15" customHeight="1" x14ac:dyDescent="0.3"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8:44" ht="15" customHeight="1" x14ac:dyDescent="0.3"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8:44" ht="15" customHeight="1" x14ac:dyDescent="0.3"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8:44" ht="15" customHeight="1" x14ac:dyDescent="0.3"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8:44" ht="15" customHeight="1" x14ac:dyDescent="0.3"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8:44" ht="15" customHeight="1" x14ac:dyDescent="0.3"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8:44" ht="15" customHeight="1" x14ac:dyDescent="0.3"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8:44" ht="15" customHeight="1" x14ac:dyDescent="0.3"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8:44" ht="15" customHeight="1" x14ac:dyDescent="0.3"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8:44" ht="15" customHeight="1" x14ac:dyDescent="0.3"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8:44" ht="15" customHeight="1" x14ac:dyDescent="0.3"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8:44" ht="15" customHeight="1" x14ac:dyDescent="0.3"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8:44" ht="15" customHeight="1" x14ac:dyDescent="0.3"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8:44" ht="15" customHeight="1" x14ac:dyDescent="0.3"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8:44" ht="15" customHeight="1" x14ac:dyDescent="0.3"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8:44" ht="15" customHeight="1" x14ac:dyDescent="0.3"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8:44" ht="15" customHeight="1" x14ac:dyDescent="0.3"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8:44" ht="15" customHeight="1" x14ac:dyDescent="0.3"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8:44" ht="15" customHeight="1" x14ac:dyDescent="0.3"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8:44" ht="15" customHeight="1" x14ac:dyDescent="0.3"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8:44" ht="15" customHeight="1" x14ac:dyDescent="0.3"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8:44" ht="15" customHeight="1" x14ac:dyDescent="0.3"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8:44" ht="15" customHeight="1" x14ac:dyDescent="0.3"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8:44" ht="15" customHeight="1" x14ac:dyDescent="0.3"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8:44" ht="15" customHeight="1" x14ac:dyDescent="0.3"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8:44" ht="15" customHeight="1" x14ac:dyDescent="0.3"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8:44" ht="15" customHeight="1" x14ac:dyDescent="0.3"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8:44" ht="15" customHeight="1" x14ac:dyDescent="0.3"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8:44" ht="15" customHeight="1" x14ac:dyDescent="0.3"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8:44" ht="15" customHeight="1" x14ac:dyDescent="0.3"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8:44" ht="15" customHeight="1" x14ac:dyDescent="0.3"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8:44" ht="15" customHeight="1" x14ac:dyDescent="0.3"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8:44" ht="15" customHeight="1" x14ac:dyDescent="0.3"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8:44" ht="15" customHeight="1" x14ac:dyDescent="0.3"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8:44" ht="15" customHeight="1" x14ac:dyDescent="0.3"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8:44" ht="15" customHeight="1" x14ac:dyDescent="0.3"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8:44" ht="15" customHeight="1" x14ac:dyDescent="0.3"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8:44" ht="15" customHeight="1" x14ac:dyDescent="0.3"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8:44" ht="15" customHeight="1" x14ac:dyDescent="0.3"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8:44" ht="15" customHeight="1" x14ac:dyDescent="0.3"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8:44" ht="15" customHeight="1" x14ac:dyDescent="0.3"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8:44" ht="15" customHeight="1" x14ac:dyDescent="0.3"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8:44" ht="15" customHeight="1" x14ac:dyDescent="0.3"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8:44" ht="15" customHeight="1" x14ac:dyDescent="0.3"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8:44" ht="15" customHeight="1" x14ac:dyDescent="0.3"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8:44" ht="15" customHeight="1" x14ac:dyDescent="0.3"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8:44" ht="15" customHeight="1" x14ac:dyDescent="0.3"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8:44" ht="15" customHeight="1" x14ac:dyDescent="0.3"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8:44" ht="15" customHeight="1" x14ac:dyDescent="0.3"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8:44" ht="15" customHeight="1" x14ac:dyDescent="0.3"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8:44" ht="15" customHeight="1" x14ac:dyDescent="0.3"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8:44" ht="15" customHeight="1" x14ac:dyDescent="0.3"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8:44" ht="15" customHeight="1" x14ac:dyDescent="0.3"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8:44" ht="15" customHeight="1" x14ac:dyDescent="0.3"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8:44" ht="15" customHeight="1" x14ac:dyDescent="0.3"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8:44" ht="15" customHeight="1" x14ac:dyDescent="0.3"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28:44" ht="15" customHeight="1" x14ac:dyDescent="0.3"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28:44" ht="15" customHeight="1" x14ac:dyDescent="0.3"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28:44" ht="15" customHeight="1" x14ac:dyDescent="0.3"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28:44" ht="15" customHeight="1" x14ac:dyDescent="0.3"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28:44" ht="15" customHeight="1" x14ac:dyDescent="0.3"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28:44" ht="15" customHeight="1" x14ac:dyDescent="0.3"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28:44" ht="15" customHeight="1" x14ac:dyDescent="0.3"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28:44" ht="15" customHeight="1" x14ac:dyDescent="0.3"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</row>
    <row r="365" spans="28:44" ht="15" customHeight="1" x14ac:dyDescent="0.3"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</row>
    <row r="366" spans="28:44" ht="15" customHeight="1" x14ac:dyDescent="0.3"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</row>
    <row r="367" spans="28:44" ht="15" customHeight="1" x14ac:dyDescent="0.3"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</row>
    <row r="368" spans="28:44" ht="15" customHeight="1" x14ac:dyDescent="0.3"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</row>
    <row r="369" spans="28:44" ht="15" customHeight="1" x14ac:dyDescent="0.3"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</row>
    <row r="370" spans="28:44" ht="15" customHeight="1" x14ac:dyDescent="0.3"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</row>
    <row r="371" spans="28:44" ht="15" customHeight="1" x14ac:dyDescent="0.3"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</row>
    <row r="372" spans="28:44" ht="15" customHeight="1" x14ac:dyDescent="0.3"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</row>
    <row r="373" spans="28:44" ht="15" customHeight="1" x14ac:dyDescent="0.3"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</row>
    <row r="374" spans="28:44" ht="15" customHeight="1" x14ac:dyDescent="0.3"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</row>
    <row r="375" spans="28:44" ht="15" customHeight="1" x14ac:dyDescent="0.3"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</row>
    <row r="376" spans="28:44" ht="15" customHeight="1" x14ac:dyDescent="0.3"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</row>
    <row r="377" spans="28:44" ht="15" customHeight="1" x14ac:dyDescent="0.3"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</row>
    <row r="378" spans="28:44" ht="15" customHeight="1" x14ac:dyDescent="0.3"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</row>
    <row r="379" spans="28:44" ht="15" customHeight="1" x14ac:dyDescent="0.3"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</row>
    <row r="380" spans="28:44" ht="15" customHeight="1" x14ac:dyDescent="0.3"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</row>
    <row r="381" spans="28:44" ht="15" customHeight="1" x14ac:dyDescent="0.3"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</row>
    <row r="382" spans="28:44" ht="15" customHeight="1" x14ac:dyDescent="0.3"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</row>
    <row r="383" spans="28:44" ht="15" customHeight="1" x14ac:dyDescent="0.3"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</row>
    <row r="384" spans="28:44" ht="15" customHeight="1" x14ac:dyDescent="0.3"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</row>
    <row r="385" spans="28:44" ht="15" customHeight="1" x14ac:dyDescent="0.3"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</row>
    <row r="386" spans="28:44" ht="15" customHeight="1" x14ac:dyDescent="0.3"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</row>
    <row r="387" spans="28:44" ht="15" customHeight="1" x14ac:dyDescent="0.3"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</row>
    <row r="388" spans="28:44" ht="15" customHeight="1" x14ac:dyDescent="0.3"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</row>
    <row r="389" spans="28:44" ht="15" customHeight="1" x14ac:dyDescent="0.3"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</row>
    <row r="390" spans="28:44" ht="15" customHeight="1" x14ac:dyDescent="0.3"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</row>
    <row r="391" spans="28:44" ht="15" customHeight="1" x14ac:dyDescent="0.3"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</row>
    <row r="392" spans="28:44" ht="15" customHeight="1" x14ac:dyDescent="0.3"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</row>
    <row r="393" spans="28:44" ht="15" customHeight="1" x14ac:dyDescent="0.3"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</row>
    <row r="394" spans="28:44" ht="15" customHeight="1" x14ac:dyDescent="0.3"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</row>
    <row r="395" spans="28:44" ht="15" customHeight="1" x14ac:dyDescent="0.3"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</row>
    <row r="396" spans="28:44" ht="15" customHeight="1" x14ac:dyDescent="0.3"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</row>
    <row r="397" spans="28:44" ht="15" customHeight="1" x14ac:dyDescent="0.3"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</row>
    <row r="398" spans="28:44" ht="15" customHeight="1" x14ac:dyDescent="0.3"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</row>
    <row r="399" spans="28:44" ht="15" customHeight="1" x14ac:dyDescent="0.3"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</row>
    <row r="400" spans="28:44" ht="15" customHeight="1" x14ac:dyDescent="0.3"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</row>
    <row r="401" spans="28:44" ht="15" customHeight="1" x14ac:dyDescent="0.3"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</row>
    <row r="402" spans="28:44" ht="15" customHeight="1" x14ac:dyDescent="0.3"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</row>
    <row r="403" spans="28:44" ht="15" customHeight="1" x14ac:dyDescent="0.3"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</row>
    <row r="404" spans="28:44" ht="15" customHeight="1" x14ac:dyDescent="0.3"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</row>
    <row r="405" spans="28:44" ht="15" customHeight="1" x14ac:dyDescent="0.3"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</row>
    <row r="406" spans="28:44" ht="15" customHeight="1" x14ac:dyDescent="0.3"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</row>
    <row r="407" spans="28:44" ht="15" customHeight="1" x14ac:dyDescent="0.3"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</row>
    <row r="408" spans="28:44" ht="15" customHeight="1" x14ac:dyDescent="0.3"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</row>
    <row r="409" spans="28:44" ht="15" customHeight="1" x14ac:dyDescent="0.3"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</row>
    <row r="410" spans="28:44" ht="15" customHeight="1" x14ac:dyDescent="0.3"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</row>
    <row r="411" spans="28:44" ht="15" customHeight="1" x14ac:dyDescent="0.3"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</row>
    <row r="412" spans="28:44" ht="15" customHeight="1" x14ac:dyDescent="0.3"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</row>
    <row r="413" spans="28:44" ht="15" customHeight="1" x14ac:dyDescent="0.3"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</row>
    <row r="414" spans="28:44" ht="15" customHeight="1" x14ac:dyDescent="0.3"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</row>
    <row r="415" spans="28:44" ht="15" customHeight="1" x14ac:dyDescent="0.3"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</row>
    <row r="416" spans="28:44" ht="15" customHeight="1" x14ac:dyDescent="0.3"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</row>
    <row r="417" spans="28:44" ht="15" customHeight="1" x14ac:dyDescent="0.3"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</row>
    <row r="418" spans="28:44" ht="15" customHeight="1" x14ac:dyDescent="0.3"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</row>
    <row r="419" spans="28:44" ht="15" customHeight="1" x14ac:dyDescent="0.3"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</row>
    <row r="420" spans="28:44" ht="15" customHeight="1" x14ac:dyDescent="0.3"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</row>
    <row r="421" spans="28:44" ht="15" customHeight="1" x14ac:dyDescent="0.3"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</row>
    <row r="422" spans="28:44" ht="15" customHeight="1" x14ac:dyDescent="0.3"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</row>
    <row r="423" spans="28:44" ht="15" customHeight="1" x14ac:dyDescent="0.3"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</row>
    <row r="424" spans="28:44" ht="15" customHeight="1" x14ac:dyDescent="0.3"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</row>
    <row r="425" spans="28:44" ht="15" customHeight="1" x14ac:dyDescent="0.3"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</row>
    <row r="426" spans="28:44" ht="15" customHeight="1" x14ac:dyDescent="0.3"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</row>
    <row r="427" spans="28:44" ht="15" customHeight="1" x14ac:dyDescent="0.3"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</row>
    <row r="428" spans="28:44" ht="15" customHeight="1" x14ac:dyDescent="0.3"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</row>
    <row r="429" spans="28:44" ht="15" customHeight="1" x14ac:dyDescent="0.3"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</row>
    <row r="430" spans="28:44" ht="15" customHeight="1" x14ac:dyDescent="0.3"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</row>
    <row r="431" spans="28:44" ht="15" customHeight="1" x14ac:dyDescent="0.3"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</row>
    <row r="432" spans="28:44" ht="15" customHeight="1" x14ac:dyDescent="0.3"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</row>
    <row r="433" spans="28:44" ht="15" customHeight="1" x14ac:dyDescent="0.3"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</row>
    <row r="434" spans="28:44" ht="15" customHeight="1" x14ac:dyDescent="0.3"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</row>
    <row r="435" spans="28:44" ht="15" customHeight="1" x14ac:dyDescent="0.3"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</row>
    <row r="436" spans="28:44" ht="15" customHeight="1" x14ac:dyDescent="0.3"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</row>
    <row r="437" spans="28:44" ht="15" customHeight="1" x14ac:dyDescent="0.3"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</row>
    <row r="438" spans="28:44" ht="15" customHeight="1" x14ac:dyDescent="0.3"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</row>
    <row r="439" spans="28:44" ht="15" customHeight="1" x14ac:dyDescent="0.3"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</row>
    <row r="440" spans="28:44" ht="15" customHeight="1" x14ac:dyDescent="0.3"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</row>
    <row r="441" spans="28:44" ht="15" customHeight="1" x14ac:dyDescent="0.3"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</row>
    <row r="442" spans="28:44" ht="15" customHeight="1" x14ac:dyDescent="0.3"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</row>
    <row r="443" spans="28:44" ht="15" customHeight="1" x14ac:dyDescent="0.3"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</row>
    <row r="444" spans="28:44" ht="15" customHeight="1" x14ac:dyDescent="0.3"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</row>
    <row r="445" spans="28:44" ht="15" customHeight="1" x14ac:dyDescent="0.3"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</row>
    <row r="446" spans="28:44" ht="15" customHeight="1" x14ac:dyDescent="0.3"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</row>
    <row r="447" spans="28:44" ht="15" customHeight="1" x14ac:dyDescent="0.3"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</row>
    <row r="448" spans="28:44" ht="15" customHeight="1" x14ac:dyDescent="0.3"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</row>
    <row r="449" spans="28:44" ht="15" customHeight="1" x14ac:dyDescent="0.3"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</row>
    <row r="450" spans="28:44" ht="15" customHeight="1" x14ac:dyDescent="0.3"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</row>
    <row r="451" spans="28:44" ht="15" customHeight="1" x14ac:dyDescent="0.3"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</row>
    <row r="452" spans="28:44" ht="15" customHeight="1" x14ac:dyDescent="0.3"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</row>
    <row r="453" spans="28:44" ht="15" customHeight="1" x14ac:dyDescent="0.3"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</row>
    <row r="454" spans="28:44" ht="15" customHeight="1" x14ac:dyDescent="0.3"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</row>
    <row r="455" spans="28:44" ht="15" customHeight="1" x14ac:dyDescent="0.3"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</row>
    <row r="456" spans="28:44" ht="15" customHeight="1" x14ac:dyDescent="0.3"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</row>
    <row r="457" spans="28:44" ht="15" customHeight="1" x14ac:dyDescent="0.3"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</row>
    <row r="458" spans="28:44" ht="15" customHeight="1" x14ac:dyDescent="0.3"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</row>
    <row r="459" spans="28:44" ht="15" customHeight="1" x14ac:dyDescent="0.3"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</row>
    <row r="460" spans="28:44" ht="15" customHeight="1" x14ac:dyDescent="0.3"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</row>
    <row r="461" spans="28:44" ht="15" customHeight="1" x14ac:dyDescent="0.3"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</row>
    <row r="462" spans="28:44" ht="15" customHeight="1" x14ac:dyDescent="0.3"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</row>
    <row r="463" spans="28:44" ht="15" customHeight="1" x14ac:dyDescent="0.3"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</row>
    <row r="464" spans="28:44" ht="15" customHeight="1" x14ac:dyDescent="0.3"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</row>
    <row r="465" spans="28:44" ht="15" customHeight="1" x14ac:dyDescent="0.3"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</row>
    <row r="466" spans="28:44" ht="15" customHeight="1" x14ac:dyDescent="0.3"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</row>
    <row r="467" spans="28:44" ht="15" customHeight="1" x14ac:dyDescent="0.3"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</row>
    <row r="468" spans="28:44" ht="15" customHeight="1" x14ac:dyDescent="0.3"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</row>
    <row r="469" spans="28:44" ht="15" customHeight="1" x14ac:dyDescent="0.3"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</row>
    <row r="470" spans="28:44" ht="15" customHeight="1" x14ac:dyDescent="0.3"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</row>
    <row r="471" spans="28:44" ht="15" customHeight="1" x14ac:dyDescent="0.3"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</row>
    <row r="472" spans="28:44" ht="15" customHeight="1" x14ac:dyDescent="0.3"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</row>
    <row r="473" spans="28:44" ht="15" customHeight="1" x14ac:dyDescent="0.3"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</row>
    <row r="474" spans="28:44" ht="15" customHeight="1" x14ac:dyDescent="0.3"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</row>
    <row r="475" spans="28:44" ht="15" customHeight="1" x14ac:dyDescent="0.3"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</row>
    <row r="476" spans="28:44" ht="15" customHeight="1" x14ac:dyDescent="0.3"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</row>
    <row r="477" spans="28:44" ht="15" customHeight="1" x14ac:dyDescent="0.3"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</row>
    <row r="478" spans="28:44" ht="15" customHeight="1" x14ac:dyDescent="0.3"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</row>
    <row r="479" spans="28:44" ht="15" customHeight="1" x14ac:dyDescent="0.3"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</row>
    <row r="480" spans="28:44" ht="15" customHeight="1" x14ac:dyDescent="0.3"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</row>
    <row r="481" spans="28:44" ht="15" customHeight="1" x14ac:dyDescent="0.3"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</row>
    <row r="482" spans="28:44" ht="15" customHeight="1" x14ac:dyDescent="0.3"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</row>
    <row r="483" spans="28:44" ht="15" customHeight="1" x14ac:dyDescent="0.3"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</row>
    <row r="484" spans="28:44" ht="15" customHeight="1" x14ac:dyDescent="0.3"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</row>
    <row r="485" spans="28:44" ht="15" customHeight="1" x14ac:dyDescent="0.3"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</row>
    <row r="486" spans="28:44" ht="15" customHeight="1" x14ac:dyDescent="0.3"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</row>
    <row r="487" spans="28:44" ht="15" customHeight="1" x14ac:dyDescent="0.3"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</row>
    <row r="488" spans="28:44" ht="15" customHeight="1" x14ac:dyDescent="0.3"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</row>
    <row r="489" spans="28:44" ht="15" customHeight="1" x14ac:dyDescent="0.3"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</row>
    <row r="490" spans="28:44" ht="15" customHeight="1" x14ac:dyDescent="0.3"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</row>
    <row r="491" spans="28:44" ht="15" customHeight="1" x14ac:dyDescent="0.3"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</row>
    <row r="492" spans="28:44" ht="15" customHeight="1" x14ac:dyDescent="0.3"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</row>
    <row r="493" spans="28:44" ht="15" customHeight="1" x14ac:dyDescent="0.3"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</row>
    <row r="494" spans="28:44" ht="15" customHeight="1" x14ac:dyDescent="0.3"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</row>
    <row r="495" spans="28:44" ht="15" customHeight="1" x14ac:dyDescent="0.3"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</row>
    <row r="496" spans="28:44" ht="15" customHeight="1" x14ac:dyDescent="0.3"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</row>
    <row r="497" spans="28:44" ht="15" customHeight="1" x14ac:dyDescent="0.3"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</row>
    <row r="498" spans="28:44" ht="15" customHeight="1" x14ac:dyDescent="0.3"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</row>
    <row r="499" spans="28:44" ht="15" customHeight="1" x14ac:dyDescent="0.3"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</row>
    <row r="500" spans="28:44" ht="15" customHeight="1" x14ac:dyDescent="0.3"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</row>
    <row r="501" spans="28:44" ht="15" customHeight="1" x14ac:dyDescent="0.3"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</row>
    <row r="502" spans="28:44" ht="15" customHeight="1" x14ac:dyDescent="0.3"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</row>
    <row r="503" spans="28:44" ht="15" customHeight="1" x14ac:dyDescent="0.3"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</row>
    <row r="504" spans="28:44" ht="15" customHeight="1" x14ac:dyDescent="0.3"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</row>
    <row r="505" spans="28:44" ht="15" customHeight="1" x14ac:dyDescent="0.3"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</row>
    <row r="506" spans="28:44" ht="15" customHeight="1" x14ac:dyDescent="0.3"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</row>
    <row r="507" spans="28:44" ht="15" customHeight="1" x14ac:dyDescent="0.3"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</row>
    <row r="508" spans="28:44" ht="15" customHeight="1" x14ac:dyDescent="0.3"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</row>
    <row r="509" spans="28:44" ht="15" customHeight="1" x14ac:dyDescent="0.3"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</row>
    <row r="510" spans="28:44" ht="15" customHeight="1" x14ac:dyDescent="0.3"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</row>
    <row r="511" spans="28:44" ht="15" customHeight="1" x14ac:dyDescent="0.3"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</row>
    <row r="512" spans="28:44" ht="15" customHeight="1" x14ac:dyDescent="0.3"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</row>
    <row r="513" spans="28:44" ht="15" customHeight="1" x14ac:dyDescent="0.3"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</row>
    <row r="514" spans="28:44" ht="15" customHeight="1" x14ac:dyDescent="0.3"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</row>
    <row r="515" spans="28:44" ht="15" customHeight="1" x14ac:dyDescent="0.3"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</row>
    <row r="516" spans="28:44" ht="15" customHeight="1" x14ac:dyDescent="0.3"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</row>
    <row r="517" spans="28:44" ht="15" customHeight="1" x14ac:dyDescent="0.3"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</row>
    <row r="518" spans="28:44" ht="15" customHeight="1" x14ac:dyDescent="0.3"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</row>
    <row r="519" spans="28:44" ht="15" customHeight="1" x14ac:dyDescent="0.3"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</row>
    <row r="520" spans="28:44" ht="15" customHeight="1" x14ac:dyDescent="0.3"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</row>
    <row r="521" spans="28:44" ht="15" customHeight="1" x14ac:dyDescent="0.3"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</row>
    <row r="522" spans="28:44" ht="15" customHeight="1" x14ac:dyDescent="0.3"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</row>
    <row r="523" spans="28:44" ht="15" customHeight="1" x14ac:dyDescent="0.3"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</row>
    <row r="524" spans="28:44" ht="15" customHeight="1" x14ac:dyDescent="0.3"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</row>
    <row r="525" spans="28:44" ht="15" customHeight="1" x14ac:dyDescent="0.3"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</row>
    <row r="526" spans="28:44" ht="15" customHeight="1" x14ac:dyDescent="0.3"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</row>
    <row r="527" spans="28:44" ht="15" customHeight="1" x14ac:dyDescent="0.3"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</row>
    <row r="528" spans="28:44" ht="15" customHeight="1" x14ac:dyDescent="0.3"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</row>
    <row r="529" spans="28:44" ht="15" customHeight="1" x14ac:dyDescent="0.3"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</row>
    <row r="530" spans="28:44" ht="15" customHeight="1" x14ac:dyDescent="0.3"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</row>
    <row r="531" spans="28:44" ht="15" customHeight="1" x14ac:dyDescent="0.3"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</row>
    <row r="532" spans="28:44" ht="15" customHeight="1" x14ac:dyDescent="0.3"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</row>
    <row r="533" spans="28:44" ht="15" customHeight="1" x14ac:dyDescent="0.3"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</row>
    <row r="534" spans="28:44" ht="15" customHeight="1" x14ac:dyDescent="0.3"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</row>
    <row r="535" spans="28:44" ht="15" customHeight="1" x14ac:dyDescent="0.3"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</row>
    <row r="536" spans="28:44" ht="15" customHeight="1" x14ac:dyDescent="0.3"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</row>
    <row r="537" spans="28:44" ht="15" customHeight="1" x14ac:dyDescent="0.3"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</row>
    <row r="538" spans="28:44" ht="15" customHeight="1" x14ac:dyDescent="0.3"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</row>
    <row r="539" spans="28:44" ht="15" customHeight="1" x14ac:dyDescent="0.3"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</row>
    <row r="540" spans="28:44" ht="15" customHeight="1" x14ac:dyDescent="0.3"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</row>
    <row r="541" spans="28:44" ht="15" customHeight="1" x14ac:dyDescent="0.3"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</row>
    <row r="542" spans="28:44" ht="15" customHeight="1" x14ac:dyDescent="0.3"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</row>
    <row r="543" spans="28:44" ht="15" customHeight="1" x14ac:dyDescent="0.3"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</row>
    <row r="544" spans="28:44" ht="15" customHeight="1" x14ac:dyDescent="0.3"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</row>
    <row r="545" spans="28:44" ht="15" customHeight="1" x14ac:dyDescent="0.3"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</row>
    <row r="546" spans="28:44" ht="15" customHeight="1" x14ac:dyDescent="0.3"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</row>
    <row r="547" spans="28:44" ht="15" customHeight="1" x14ac:dyDescent="0.3"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</row>
    <row r="548" spans="28:44" ht="15" customHeight="1" x14ac:dyDescent="0.3"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</row>
    <row r="549" spans="28:44" ht="15" customHeight="1" x14ac:dyDescent="0.3"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</row>
    <row r="550" spans="28:44" ht="15" customHeight="1" x14ac:dyDescent="0.3"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</row>
    <row r="551" spans="28:44" ht="15" customHeight="1" x14ac:dyDescent="0.3"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</row>
    <row r="552" spans="28:44" ht="15" customHeight="1" x14ac:dyDescent="0.3"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</row>
    <row r="553" spans="28:44" ht="15" customHeight="1" x14ac:dyDescent="0.3"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</row>
    <row r="554" spans="28:44" ht="15" customHeight="1" x14ac:dyDescent="0.3"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</row>
    <row r="555" spans="28:44" ht="15" customHeight="1" x14ac:dyDescent="0.3"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</row>
    <row r="556" spans="28:44" ht="15" customHeight="1" x14ac:dyDescent="0.3"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</row>
    <row r="557" spans="28:44" ht="15" customHeight="1" x14ac:dyDescent="0.3"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</row>
    <row r="558" spans="28:44" ht="15" customHeight="1" x14ac:dyDescent="0.3"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</row>
    <row r="559" spans="28:44" ht="15" customHeight="1" x14ac:dyDescent="0.3"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</row>
    <row r="560" spans="28:44" ht="15" customHeight="1" x14ac:dyDescent="0.3"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</row>
    <row r="561" spans="28:44" ht="15" customHeight="1" x14ac:dyDescent="0.3"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</row>
    <row r="562" spans="28:44" ht="15" customHeight="1" x14ac:dyDescent="0.3"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</row>
    <row r="563" spans="28:44" ht="15" customHeight="1" x14ac:dyDescent="0.3"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</row>
    <row r="564" spans="28:44" ht="15" customHeight="1" x14ac:dyDescent="0.3"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</row>
    <row r="565" spans="28:44" ht="15" customHeight="1" x14ac:dyDescent="0.3"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</row>
    <row r="566" spans="28:44" ht="15" customHeight="1" x14ac:dyDescent="0.3"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</row>
    <row r="567" spans="28:44" ht="15" customHeight="1" x14ac:dyDescent="0.3"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</row>
    <row r="568" spans="28:44" ht="15" customHeight="1" x14ac:dyDescent="0.3"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</row>
    <row r="569" spans="28:44" ht="15" customHeight="1" x14ac:dyDescent="0.3"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</row>
    <row r="570" spans="28:44" ht="15" customHeight="1" x14ac:dyDescent="0.3"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</row>
    <row r="571" spans="28:44" ht="15" customHeight="1" x14ac:dyDescent="0.3"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</row>
    <row r="572" spans="28:44" ht="15" customHeight="1" x14ac:dyDescent="0.3"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</row>
    <row r="573" spans="28:44" ht="15" customHeight="1" x14ac:dyDescent="0.3"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</row>
    <row r="574" spans="28:44" ht="15" customHeight="1" x14ac:dyDescent="0.3"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</row>
    <row r="575" spans="28:44" ht="15" customHeight="1" x14ac:dyDescent="0.3"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</row>
    <row r="576" spans="28:44" ht="15" customHeight="1" x14ac:dyDescent="0.3"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</row>
    <row r="577" spans="28:44" ht="15" customHeight="1" x14ac:dyDescent="0.3"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</row>
    <row r="578" spans="28:44" ht="15" customHeight="1" x14ac:dyDescent="0.3"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</row>
    <row r="579" spans="28:44" ht="15" customHeight="1" x14ac:dyDescent="0.3"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</row>
    <row r="580" spans="28:44" ht="15" customHeight="1" x14ac:dyDescent="0.3"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</row>
    <row r="581" spans="28:44" ht="15" customHeight="1" x14ac:dyDescent="0.3"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</row>
    <row r="582" spans="28:44" ht="15" customHeight="1" x14ac:dyDescent="0.3"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</row>
    <row r="583" spans="28:44" ht="15" customHeight="1" x14ac:dyDescent="0.3"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</row>
    <row r="584" spans="28:44" ht="15" customHeight="1" x14ac:dyDescent="0.3"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</row>
    <row r="585" spans="28:44" ht="15" customHeight="1" x14ac:dyDescent="0.3"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</row>
    <row r="586" spans="28:44" ht="15" customHeight="1" x14ac:dyDescent="0.3"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</row>
    <row r="587" spans="28:44" ht="15" customHeight="1" x14ac:dyDescent="0.3"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</row>
    <row r="588" spans="28:44" ht="15" customHeight="1" x14ac:dyDescent="0.3"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</row>
    <row r="589" spans="28:44" ht="15" customHeight="1" x14ac:dyDescent="0.3"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</row>
    <row r="590" spans="28:44" ht="15" customHeight="1" x14ac:dyDescent="0.3"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</row>
    <row r="591" spans="28:44" ht="15" customHeight="1" x14ac:dyDescent="0.3"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</row>
    <row r="592" spans="28:44" ht="15" customHeight="1" x14ac:dyDescent="0.3"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</row>
    <row r="593" spans="28:44" ht="15" customHeight="1" x14ac:dyDescent="0.3"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</row>
    <row r="594" spans="28:44" ht="15" customHeight="1" x14ac:dyDescent="0.3"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</row>
    <row r="595" spans="28:44" ht="15" customHeight="1" x14ac:dyDescent="0.3"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</row>
    <row r="596" spans="28:44" ht="15" customHeight="1" x14ac:dyDescent="0.3"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</row>
    <row r="597" spans="28:44" ht="15" customHeight="1" x14ac:dyDescent="0.3"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</row>
    <row r="598" spans="28:44" ht="15" customHeight="1" x14ac:dyDescent="0.3"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</row>
    <row r="599" spans="28:44" ht="15" customHeight="1" x14ac:dyDescent="0.3"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</row>
    <row r="600" spans="28:44" ht="15" customHeight="1" x14ac:dyDescent="0.3"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</row>
    <row r="601" spans="28:44" ht="15" customHeight="1" x14ac:dyDescent="0.3"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</row>
    <row r="602" spans="28:44" ht="15" customHeight="1" x14ac:dyDescent="0.3"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</row>
    <row r="603" spans="28:44" ht="15" customHeight="1" x14ac:dyDescent="0.3"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</row>
    <row r="604" spans="28:44" ht="15" customHeight="1" x14ac:dyDescent="0.3"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</row>
    <row r="605" spans="28:44" ht="15" customHeight="1" x14ac:dyDescent="0.3"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</row>
    <row r="606" spans="28:44" ht="15" customHeight="1" x14ac:dyDescent="0.3"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</row>
    <row r="607" spans="28:44" ht="15" customHeight="1" x14ac:dyDescent="0.3"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</row>
    <row r="608" spans="28:44" ht="15" customHeight="1" x14ac:dyDescent="0.3"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</row>
    <row r="609" spans="28:44" ht="15" customHeight="1" x14ac:dyDescent="0.3"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</row>
    <row r="610" spans="28:44" ht="15" customHeight="1" x14ac:dyDescent="0.3"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</row>
    <row r="611" spans="28:44" ht="15" customHeight="1" x14ac:dyDescent="0.3"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</row>
    <row r="612" spans="28:44" ht="15" customHeight="1" x14ac:dyDescent="0.3"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</row>
    <row r="613" spans="28:44" ht="15" customHeight="1" x14ac:dyDescent="0.3"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</row>
    <row r="614" spans="28:44" ht="15" customHeight="1" x14ac:dyDescent="0.3"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</row>
    <row r="615" spans="28:44" ht="15" customHeight="1" x14ac:dyDescent="0.3"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</row>
    <row r="616" spans="28:44" ht="15" customHeight="1" x14ac:dyDescent="0.3"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</row>
    <row r="617" spans="28:44" ht="15" customHeight="1" x14ac:dyDescent="0.3"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</row>
    <row r="618" spans="28:44" ht="15" customHeight="1" x14ac:dyDescent="0.3"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</row>
    <row r="619" spans="28:44" ht="15" customHeight="1" x14ac:dyDescent="0.3"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</row>
    <row r="620" spans="28:44" ht="15" customHeight="1" x14ac:dyDescent="0.3"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</row>
    <row r="621" spans="28:44" ht="15" customHeight="1" x14ac:dyDescent="0.3"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</row>
    <row r="622" spans="28:44" ht="15" customHeight="1" x14ac:dyDescent="0.3"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</row>
    <row r="623" spans="28:44" ht="15" customHeight="1" x14ac:dyDescent="0.3"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</row>
    <row r="624" spans="28:44" ht="15" customHeight="1" x14ac:dyDescent="0.3"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</row>
    <row r="625" spans="28:44" ht="15" customHeight="1" x14ac:dyDescent="0.3"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</row>
    <row r="626" spans="28:44" ht="15" customHeight="1" x14ac:dyDescent="0.3"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</row>
    <row r="627" spans="28:44" ht="15" customHeight="1" x14ac:dyDescent="0.3"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</row>
    <row r="628" spans="28:44" ht="15" customHeight="1" x14ac:dyDescent="0.3"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</row>
    <row r="629" spans="28:44" ht="15" customHeight="1" x14ac:dyDescent="0.3"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</row>
    <row r="630" spans="28:44" ht="15" customHeight="1" x14ac:dyDescent="0.3"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</row>
    <row r="631" spans="28:44" ht="15" customHeight="1" x14ac:dyDescent="0.3"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</row>
    <row r="632" spans="28:44" ht="15" customHeight="1" x14ac:dyDescent="0.3"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</row>
    <row r="633" spans="28:44" ht="15" customHeight="1" x14ac:dyDescent="0.3"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</row>
    <row r="634" spans="28:44" ht="15" customHeight="1" x14ac:dyDescent="0.3"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</row>
    <row r="635" spans="28:44" ht="15" customHeight="1" x14ac:dyDescent="0.3"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</row>
    <row r="636" spans="28:44" ht="15" customHeight="1" x14ac:dyDescent="0.3"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</row>
    <row r="637" spans="28:44" ht="15" customHeight="1" x14ac:dyDescent="0.3"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</row>
    <row r="638" spans="28:44" ht="15" customHeight="1" x14ac:dyDescent="0.3"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</row>
    <row r="639" spans="28:44" ht="15" customHeight="1" x14ac:dyDescent="0.3"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</row>
    <row r="640" spans="28:44" ht="15" customHeight="1" x14ac:dyDescent="0.3"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</row>
    <row r="641" spans="28:44" ht="15" customHeight="1" x14ac:dyDescent="0.3"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</row>
    <row r="642" spans="28:44" ht="15" customHeight="1" x14ac:dyDescent="0.3"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</row>
    <row r="643" spans="28:44" ht="15" customHeight="1" x14ac:dyDescent="0.3"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</row>
    <row r="644" spans="28:44" ht="15" customHeight="1" x14ac:dyDescent="0.3"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</row>
    <row r="645" spans="28:44" ht="15" customHeight="1" x14ac:dyDescent="0.3"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</row>
    <row r="646" spans="28:44" ht="15" customHeight="1" x14ac:dyDescent="0.3"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</row>
    <row r="647" spans="28:44" ht="15" customHeight="1" x14ac:dyDescent="0.3"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</row>
    <row r="648" spans="28:44" ht="15" customHeight="1" x14ac:dyDescent="0.3"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</row>
    <row r="649" spans="28:44" ht="15" customHeight="1" x14ac:dyDescent="0.3"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</row>
    <row r="650" spans="28:44" ht="15" customHeight="1" x14ac:dyDescent="0.3"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</row>
    <row r="651" spans="28:44" ht="15" customHeight="1" x14ac:dyDescent="0.3"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</row>
    <row r="652" spans="28:44" ht="15" customHeight="1" x14ac:dyDescent="0.3"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</row>
    <row r="653" spans="28:44" ht="15" customHeight="1" x14ac:dyDescent="0.3"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</row>
    <row r="654" spans="28:44" ht="15" customHeight="1" x14ac:dyDescent="0.3"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</row>
    <row r="655" spans="28:44" ht="15" customHeight="1" x14ac:dyDescent="0.3"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</row>
    <row r="656" spans="28:44" ht="15" customHeight="1" x14ac:dyDescent="0.3"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</row>
    <row r="657" spans="28:44" ht="15" customHeight="1" x14ac:dyDescent="0.3"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</row>
    <row r="658" spans="28:44" ht="15" customHeight="1" x14ac:dyDescent="0.3"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</row>
    <row r="659" spans="28:44" ht="15" customHeight="1" x14ac:dyDescent="0.3"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</row>
    <row r="660" spans="28:44" ht="15" customHeight="1" x14ac:dyDescent="0.3"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</row>
    <row r="661" spans="28:44" ht="15" customHeight="1" x14ac:dyDescent="0.3"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</row>
    <row r="662" spans="28:44" ht="15" customHeight="1" x14ac:dyDescent="0.3"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</row>
    <row r="663" spans="28:44" ht="15" customHeight="1" x14ac:dyDescent="0.3"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</row>
    <row r="664" spans="28:44" ht="15" customHeight="1" x14ac:dyDescent="0.3"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</row>
    <row r="665" spans="28:44" ht="15" customHeight="1" x14ac:dyDescent="0.3"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</row>
    <row r="666" spans="28:44" ht="15" customHeight="1" x14ac:dyDescent="0.3"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</row>
    <row r="667" spans="28:44" ht="15" customHeight="1" x14ac:dyDescent="0.3"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</row>
    <row r="668" spans="28:44" ht="15" customHeight="1" x14ac:dyDescent="0.3"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</row>
    <row r="669" spans="28:44" ht="15" customHeight="1" x14ac:dyDescent="0.3"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</row>
    <row r="670" spans="28:44" ht="15" customHeight="1" x14ac:dyDescent="0.3"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</row>
    <row r="671" spans="28:44" ht="15" customHeight="1" x14ac:dyDescent="0.3"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</row>
    <row r="672" spans="28:44" ht="15" customHeight="1" x14ac:dyDescent="0.3"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</row>
    <row r="673" spans="28:44" ht="15" customHeight="1" x14ac:dyDescent="0.3"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</row>
    <row r="674" spans="28:44" ht="15" customHeight="1" x14ac:dyDescent="0.3"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</row>
    <row r="675" spans="28:44" ht="15" customHeight="1" x14ac:dyDescent="0.3"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</row>
    <row r="676" spans="28:44" ht="15" customHeight="1" x14ac:dyDescent="0.3"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</row>
    <row r="677" spans="28:44" ht="15" customHeight="1" x14ac:dyDescent="0.3"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</row>
    <row r="678" spans="28:44" ht="15" customHeight="1" x14ac:dyDescent="0.3"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</row>
    <row r="679" spans="28:44" ht="15" customHeight="1" x14ac:dyDescent="0.3"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</row>
    <row r="680" spans="28:44" ht="15" customHeight="1" x14ac:dyDescent="0.3"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</row>
    <row r="681" spans="28:44" ht="15" customHeight="1" x14ac:dyDescent="0.3"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</row>
    <row r="682" spans="28:44" ht="15" customHeight="1" x14ac:dyDescent="0.3"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</row>
    <row r="683" spans="28:44" ht="15" customHeight="1" x14ac:dyDescent="0.3"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</row>
    <row r="684" spans="28:44" ht="15" customHeight="1" x14ac:dyDescent="0.3"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</row>
    <row r="685" spans="28:44" ht="15" customHeight="1" x14ac:dyDescent="0.3"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</row>
    <row r="686" spans="28:44" ht="15" customHeight="1" x14ac:dyDescent="0.3"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</row>
    <row r="687" spans="28:44" ht="15" customHeight="1" x14ac:dyDescent="0.3"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</row>
    <row r="688" spans="28:44" ht="15" customHeight="1" x14ac:dyDescent="0.3"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</row>
    <row r="689" spans="28:44" ht="15" customHeight="1" x14ac:dyDescent="0.3"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</row>
    <row r="690" spans="28:44" ht="15" customHeight="1" x14ac:dyDescent="0.3"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</row>
    <row r="691" spans="28:44" ht="15" customHeight="1" x14ac:dyDescent="0.3"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</row>
    <row r="692" spans="28:44" ht="15" customHeight="1" x14ac:dyDescent="0.3"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</row>
    <row r="693" spans="28:44" ht="15" customHeight="1" x14ac:dyDescent="0.3"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</row>
    <row r="694" spans="28:44" ht="15" customHeight="1" x14ac:dyDescent="0.3"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</row>
    <row r="695" spans="28:44" ht="15" customHeight="1" x14ac:dyDescent="0.3"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</row>
    <row r="696" spans="28:44" ht="15" customHeight="1" x14ac:dyDescent="0.3"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</row>
    <row r="697" spans="28:44" ht="15" customHeight="1" x14ac:dyDescent="0.3"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</row>
    <row r="698" spans="28:44" ht="15" customHeight="1" x14ac:dyDescent="0.3"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</row>
    <row r="699" spans="28:44" ht="15" customHeight="1" x14ac:dyDescent="0.3"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</row>
    <row r="700" spans="28:44" ht="15" customHeight="1" x14ac:dyDescent="0.3"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</row>
    <row r="701" spans="28:44" ht="15" customHeight="1" x14ac:dyDescent="0.3"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</row>
    <row r="702" spans="28:44" ht="15" customHeight="1" x14ac:dyDescent="0.3"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</row>
    <row r="703" spans="28:44" ht="15" customHeight="1" x14ac:dyDescent="0.3"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</row>
    <row r="704" spans="28:44" ht="15" customHeight="1" x14ac:dyDescent="0.3"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</row>
    <row r="705" spans="28:44" ht="15" customHeight="1" x14ac:dyDescent="0.3"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</row>
    <row r="706" spans="28:44" ht="15" customHeight="1" x14ac:dyDescent="0.3"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</row>
    <row r="707" spans="28:44" ht="15" customHeight="1" x14ac:dyDescent="0.3"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</row>
    <row r="708" spans="28:44" ht="15" customHeight="1" x14ac:dyDescent="0.3"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</row>
    <row r="709" spans="28:44" ht="15" customHeight="1" x14ac:dyDescent="0.3"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</row>
    <row r="710" spans="28:44" ht="15" customHeight="1" x14ac:dyDescent="0.3"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</row>
    <row r="711" spans="28:44" ht="15" customHeight="1" x14ac:dyDescent="0.3"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</row>
    <row r="712" spans="28:44" ht="15" customHeight="1" x14ac:dyDescent="0.3"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</row>
    <row r="713" spans="28:44" ht="15" customHeight="1" x14ac:dyDescent="0.3"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</row>
    <row r="714" spans="28:44" ht="15" customHeight="1" x14ac:dyDescent="0.3"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</row>
    <row r="715" spans="28:44" ht="15" customHeight="1" x14ac:dyDescent="0.3"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</row>
    <row r="716" spans="28:44" ht="15" customHeight="1" x14ac:dyDescent="0.3"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</row>
    <row r="717" spans="28:44" ht="15" customHeight="1" x14ac:dyDescent="0.3"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</row>
    <row r="718" spans="28:44" ht="15" customHeight="1" x14ac:dyDescent="0.3"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</row>
    <row r="719" spans="28:44" ht="15" customHeight="1" x14ac:dyDescent="0.3"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</row>
    <row r="720" spans="28:44" ht="15" customHeight="1" x14ac:dyDescent="0.3"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</row>
    <row r="721" spans="28:44" ht="15" customHeight="1" x14ac:dyDescent="0.3"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</row>
    <row r="722" spans="28:44" ht="15" customHeight="1" x14ac:dyDescent="0.3"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</row>
    <row r="723" spans="28:44" ht="15" customHeight="1" x14ac:dyDescent="0.3"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</row>
    <row r="724" spans="28:44" ht="15" customHeight="1" x14ac:dyDescent="0.3"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</row>
    <row r="725" spans="28:44" ht="15" customHeight="1" x14ac:dyDescent="0.3"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</row>
    <row r="726" spans="28:44" ht="15" customHeight="1" x14ac:dyDescent="0.3"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</row>
    <row r="727" spans="28:44" ht="15" customHeight="1" x14ac:dyDescent="0.3"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</row>
    <row r="728" spans="28:44" ht="15" customHeight="1" x14ac:dyDescent="0.3"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</row>
    <row r="729" spans="28:44" ht="15" customHeight="1" x14ac:dyDescent="0.3"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</row>
    <row r="730" spans="28:44" ht="15" customHeight="1" x14ac:dyDescent="0.3"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</row>
    <row r="731" spans="28:44" ht="15" customHeight="1" x14ac:dyDescent="0.3"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</row>
    <row r="732" spans="28:44" ht="15" customHeight="1" x14ac:dyDescent="0.3"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</row>
    <row r="733" spans="28:44" ht="15" customHeight="1" x14ac:dyDescent="0.3"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</row>
    <row r="734" spans="28:44" ht="15" customHeight="1" x14ac:dyDescent="0.3"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</row>
    <row r="735" spans="28:44" ht="15" customHeight="1" x14ac:dyDescent="0.3"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</row>
    <row r="736" spans="28:44" ht="15" customHeight="1" x14ac:dyDescent="0.3"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</row>
    <row r="737" spans="28:44" ht="15" customHeight="1" x14ac:dyDescent="0.3"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</row>
    <row r="738" spans="28:44" ht="15" customHeight="1" x14ac:dyDescent="0.3"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</row>
    <row r="739" spans="28:44" ht="15" customHeight="1" x14ac:dyDescent="0.3"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</row>
    <row r="740" spans="28:44" ht="15" customHeight="1" x14ac:dyDescent="0.3"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</row>
    <row r="741" spans="28:44" ht="15" customHeight="1" x14ac:dyDescent="0.3"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</row>
    <row r="742" spans="28:44" ht="15" customHeight="1" x14ac:dyDescent="0.3"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</row>
    <row r="743" spans="28:44" ht="15" customHeight="1" x14ac:dyDescent="0.3"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</row>
    <row r="744" spans="28:44" ht="15" customHeight="1" x14ac:dyDescent="0.3"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</row>
    <row r="745" spans="28:44" ht="15" customHeight="1" x14ac:dyDescent="0.3"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</row>
    <row r="746" spans="28:44" ht="15" customHeight="1" x14ac:dyDescent="0.3"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</row>
    <row r="747" spans="28:44" ht="15" customHeight="1" x14ac:dyDescent="0.3"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</row>
    <row r="748" spans="28:44" ht="15" customHeight="1" x14ac:dyDescent="0.3"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</row>
    <row r="749" spans="28:44" ht="15" customHeight="1" x14ac:dyDescent="0.3"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</row>
    <row r="750" spans="28:44" ht="15" customHeight="1" x14ac:dyDescent="0.3"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</row>
    <row r="751" spans="28:44" ht="15" customHeight="1" x14ac:dyDescent="0.3"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</row>
    <row r="752" spans="28:44" ht="15" customHeight="1" x14ac:dyDescent="0.3"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</row>
    <row r="753" spans="28:44" ht="15" customHeight="1" x14ac:dyDescent="0.3"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</row>
    <row r="754" spans="28:44" ht="15" customHeight="1" x14ac:dyDescent="0.3"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</row>
    <row r="755" spans="28:44" ht="15" customHeight="1" x14ac:dyDescent="0.3"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</row>
    <row r="756" spans="28:44" ht="15" customHeight="1" x14ac:dyDescent="0.3"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</row>
    <row r="757" spans="28:44" ht="15" customHeight="1" x14ac:dyDescent="0.3"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</row>
    <row r="758" spans="28:44" ht="15" customHeight="1" x14ac:dyDescent="0.3"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</row>
    <row r="759" spans="28:44" ht="15" customHeight="1" x14ac:dyDescent="0.3"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</row>
    <row r="760" spans="28:44" ht="15" customHeight="1" x14ac:dyDescent="0.3"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</row>
    <row r="761" spans="28:44" ht="15" customHeight="1" x14ac:dyDescent="0.3"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</row>
    <row r="762" spans="28:44" ht="15" customHeight="1" x14ac:dyDescent="0.3"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</row>
    <row r="763" spans="28:44" ht="15" customHeight="1" x14ac:dyDescent="0.3"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</row>
    <row r="764" spans="28:44" ht="15" customHeight="1" x14ac:dyDescent="0.3"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</row>
    <row r="765" spans="28:44" ht="15" customHeight="1" x14ac:dyDescent="0.3"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</row>
    <row r="766" spans="28:44" ht="15" customHeight="1" x14ac:dyDescent="0.3"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</row>
    <row r="767" spans="28:44" ht="15" customHeight="1" x14ac:dyDescent="0.3"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</row>
    <row r="768" spans="28:44" ht="15" customHeight="1" x14ac:dyDescent="0.3"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</row>
    <row r="769" spans="28:44" ht="15" customHeight="1" x14ac:dyDescent="0.3"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</row>
    <row r="770" spans="28:44" ht="15" customHeight="1" x14ac:dyDescent="0.3"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</row>
    <row r="771" spans="28:44" ht="15" customHeight="1" x14ac:dyDescent="0.3"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</row>
    <row r="772" spans="28:44" ht="15" customHeight="1" x14ac:dyDescent="0.3"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</row>
    <row r="773" spans="28:44" ht="15" customHeight="1" x14ac:dyDescent="0.3"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</row>
    <row r="774" spans="28:44" ht="15" customHeight="1" x14ac:dyDescent="0.3"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</row>
    <row r="775" spans="28:44" ht="15" customHeight="1" x14ac:dyDescent="0.3"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</row>
    <row r="776" spans="28:44" ht="15" customHeight="1" x14ac:dyDescent="0.3"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</row>
    <row r="777" spans="28:44" ht="15" customHeight="1" x14ac:dyDescent="0.3"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</row>
    <row r="778" spans="28:44" ht="15" customHeight="1" x14ac:dyDescent="0.3"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</row>
    <row r="779" spans="28:44" ht="15" customHeight="1" x14ac:dyDescent="0.3"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</row>
    <row r="780" spans="28:44" ht="15" customHeight="1" x14ac:dyDescent="0.3"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</row>
    <row r="781" spans="28:44" ht="15" customHeight="1" x14ac:dyDescent="0.3"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</row>
    <row r="782" spans="28:44" ht="15" customHeight="1" x14ac:dyDescent="0.3"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</row>
    <row r="783" spans="28:44" ht="15" customHeight="1" x14ac:dyDescent="0.3"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</row>
    <row r="784" spans="28:44" ht="15" customHeight="1" x14ac:dyDescent="0.3"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</row>
    <row r="785" spans="28:44" ht="15" customHeight="1" x14ac:dyDescent="0.3"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</row>
    <row r="786" spans="28:44" ht="15" customHeight="1" x14ac:dyDescent="0.3"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</row>
    <row r="787" spans="28:44" ht="15" customHeight="1" x14ac:dyDescent="0.3"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</row>
    <row r="788" spans="28:44" ht="15" customHeight="1" x14ac:dyDescent="0.3"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</row>
    <row r="789" spans="28:44" ht="15" customHeight="1" x14ac:dyDescent="0.3"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</row>
    <row r="790" spans="28:44" ht="15" customHeight="1" x14ac:dyDescent="0.3"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</row>
    <row r="791" spans="28:44" ht="15" customHeight="1" x14ac:dyDescent="0.3"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</row>
    <row r="792" spans="28:44" ht="15" customHeight="1" x14ac:dyDescent="0.3"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</row>
    <row r="793" spans="28:44" ht="15" customHeight="1" x14ac:dyDescent="0.3"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</row>
    <row r="794" spans="28:44" ht="15" customHeight="1" x14ac:dyDescent="0.3"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</row>
    <row r="795" spans="28:44" ht="15" customHeight="1" x14ac:dyDescent="0.3"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</row>
    <row r="796" spans="28:44" ht="15" customHeight="1" x14ac:dyDescent="0.3"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</row>
    <row r="797" spans="28:44" ht="15" customHeight="1" x14ac:dyDescent="0.3"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</row>
    <row r="798" spans="28:44" ht="15" customHeight="1" x14ac:dyDescent="0.3"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</row>
    <row r="799" spans="28:44" ht="15" customHeight="1" x14ac:dyDescent="0.3"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</row>
    <row r="800" spans="28:44" ht="15" customHeight="1" x14ac:dyDescent="0.3"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</row>
    <row r="801" spans="28:44" ht="15" customHeight="1" x14ac:dyDescent="0.3"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</row>
    <row r="802" spans="28:44" ht="15" customHeight="1" x14ac:dyDescent="0.3"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</row>
    <row r="803" spans="28:44" ht="15" customHeight="1" x14ac:dyDescent="0.3"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</row>
    <row r="804" spans="28:44" ht="15" customHeight="1" x14ac:dyDescent="0.3"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</row>
    <row r="805" spans="28:44" ht="15" customHeight="1" x14ac:dyDescent="0.3"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</row>
    <row r="806" spans="28:44" ht="15" customHeight="1" x14ac:dyDescent="0.3"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</row>
    <row r="807" spans="28:44" ht="15" customHeight="1" x14ac:dyDescent="0.3"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</row>
    <row r="808" spans="28:44" ht="15" customHeight="1" x14ac:dyDescent="0.3"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</row>
    <row r="809" spans="28:44" ht="15" customHeight="1" x14ac:dyDescent="0.3"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</row>
    <row r="810" spans="28:44" ht="15" customHeight="1" x14ac:dyDescent="0.3"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</row>
    <row r="811" spans="28:44" ht="15" customHeight="1" x14ac:dyDescent="0.3"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</row>
    <row r="812" spans="28:44" ht="15" customHeight="1" x14ac:dyDescent="0.3"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</row>
    <row r="813" spans="28:44" ht="15" customHeight="1" x14ac:dyDescent="0.3"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</row>
    <row r="814" spans="28:44" ht="15" customHeight="1" x14ac:dyDescent="0.3"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</row>
    <row r="815" spans="28:44" ht="15" customHeight="1" x14ac:dyDescent="0.3"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</row>
    <row r="816" spans="28:44" ht="15" customHeight="1" x14ac:dyDescent="0.3"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</row>
    <row r="817" spans="28:44" ht="15" customHeight="1" x14ac:dyDescent="0.3"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</row>
    <row r="818" spans="28:44" ht="15" customHeight="1" x14ac:dyDescent="0.3"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</row>
    <row r="819" spans="28:44" ht="15" customHeight="1" x14ac:dyDescent="0.3"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</row>
    <row r="820" spans="28:44" ht="15" customHeight="1" x14ac:dyDescent="0.3"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</row>
    <row r="821" spans="28:44" ht="15" customHeight="1" x14ac:dyDescent="0.3"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</row>
    <row r="822" spans="28:44" ht="15" customHeight="1" x14ac:dyDescent="0.3"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</row>
    <row r="823" spans="28:44" ht="15" customHeight="1" x14ac:dyDescent="0.3"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</row>
    <row r="824" spans="28:44" ht="15" customHeight="1" x14ac:dyDescent="0.3"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</row>
    <row r="825" spans="28:44" ht="15" customHeight="1" x14ac:dyDescent="0.3"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</row>
    <row r="826" spans="28:44" ht="15" customHeight="1" x14ac:dyDescent="0.3"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</row>
    <row r="827" spans="28:44" ht="15" customHeight="1" x14ac:dyDescent="0.3"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</row>
    <row r="828" spans="28:44" ht="15" customHeight="1" x14ac:dyDescent="0.3"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</row>
    <row r="829" spans="28:44" ht="15" customHeight="1" x14ac:dyDescent="0.3"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</row>
    <row r="830" spans="28:44" ht="15" customHeight="1" x14ac:dyDescent="0.3"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</row>
    <row r="831" spans="28:44" ht="15" customHeight="1" x14ac:dyDescent="0.3"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</row>
    <row r="832" spans="28:44" ht="15" customHeight="1" x14ac:dyDescent="0.3"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</row>
    <row r="833" spans="28:44" ht="15" customHeight="1" x14ac:dyDescent="0.3"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</row>
    <row r="834" spans="28:44" ht="15" customHeight="1" x14ac:dyDescent="0.3"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</row>
    <row r="835" spans="28:44" ht="15" customHeight="1" x14ac:dyDescent="0.3"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</row>
    <row r="836" spans="28:44" ht="15" customHeight="1" x14ac:dyDescent="0.3"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</row>
    <row r="837" spans="28:44" ht="15" customHeight="1" x14ac:dyDescent="0.3"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</row>
    <row r="838" spans="28:44" ht="15" customHeight="1" x14ac:dyDescent="0.3"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</row>
    <row r="839" spans="28:44" ht="15" customHeight="1" x14ac:dyDescent="0.3"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</row>
    <row r="840" spans="28:44" ht="15" customHeight="1" x14ac:dyDescent="0.3"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</row>
    <row r="841" spans="28:44" ht="15" customHeight="1" x14ac:dyDescent="0.3"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</row>
    <row r="842" spans="28:44" ht="15" customHeight="1" x14ac:dyDescent="0.3"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</row>
    <row r="843" spans="28:44" ht="15" customHeight="1" x14ac:dyDescent="0.3"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</row>
    <row r="844" spans="28:44" ht="15" customHeight="1" x14ac:dyDescent="0.3"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</row>
    <row r="845" spans="28:44" ht="15" customHeight="1" x14ac:dyDescent="0.3"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</row>
    <row r="846" spans="28:44" ht="15" customHeight="1" x14ac:dyDescent="0.3"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</row>
    <row r="847" spans="28:44" ht="15" customHeight="1" x14ac:dyDescent="0.3"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</row>
    <row r="848" spans="28:44" ht="15" customHeight="1" x14ac:dyDescent="0.3"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</row>
    <row r="849" spans="28:44" ht="15" customHeight="1" x14ac:dyDescent="0.3"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</row>
    <row r="850" spans="28:44" ht="15" customHeight="1" x14ac:dyDescent="0.3"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</row>
    <row r="851" spans="28:44" ht="15" customHeight="1" x14ac:dyDescent="0.3"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</row>
    <row r="852" spans="28:44" ht="15" customHeight="1" x14ac:dyDescent="0.3"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</row>
    <row r="853" spans="28:44" ht="15" customHeight="1" x14ac:dyDescent="0.3"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</row>
    <row r="854" spans="28:44" ht="15" customHeight="1" x14ac:dyDescent="0.3"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</row>
    <row r="855" spans="28:44" ht="15" customHeight="1" x14ac:dyDescent="0.3"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</row>
    <row r="856" spans="28:44" ht="15" customHeight="1" x14ac:dyDescent="0.3"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</row>
    <row r="857" spans="28:44" ht="15" customHeight="1" x14ac:dyDescent="0.3"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</row>
    <row r="858" spans="28:44" ht="15" customHeight="1" x14ac:dyDescent="0.3"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</row>
    <row r="859" spans="28:44" ht="15" customHeight="1" x14ac:dyDescent="0.3"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</row>
    <row r="860" spans="28:44" ht="15" customHeight="1" x14ac:dyDescent="0.3"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</row>
    <row r="861" spans="28:44" ht="15" customHeight="1" x14ac:dyDescent="0.3"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</row>
    <row r="862" spans="28:44" ht="15" customHeight="1" x14ac:dyDescent="0.3"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</row>
    <row r="863" spans="28:44" ht="15" customHeight="1" x14ac:dyDescent="0.3"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</row>
    <row r="864" spans="28:44" ht="15" customHeight="1" x14ac:dyDescent="0.3"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</row>
    <row r="865" spans="28:44" ht="15" customHeight="1" x14ac:dyDescent="0.3"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</row>
    <row r="866" spans="28:44" ht="15" customHeight="1" x14ac:dyDescent="0.3"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</row>
    <row r="867" spans="28:44" ht="15" customHeight="1" x14ac:dyDescent="0.3"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</row>
    <row r="868" spans="28:44" ht="15" customHeight="1" x14ac:dyDescent="0.3"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</row>
    <row r="869" spans="28:44" ht="15" customHeight="1" x14ac:dyDescent="0.3"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</row>
    <row r="870" spans="28:44" ht="15" customHeight="1" x14ac:dyDescent="0.3"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</row>
    <row r="871" spans="28:44" ht="15" customHeight="1" x14ac:dyDescent="0.3"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</row>
    <row r="872" spans="28:44" ht="15" customHeight="1" x14ac:dyDescent="0.3"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</row>
    <row r="873" spans="28:44" ht="15" customHeight="1" x14ac:dyDescent="0.3"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</row>
    <row r="874" spans="28:44" ht="15" customHeight="1" x14ac:dyDescent="0.3"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</row>
    <row r="875" spans="28:44" ht="15" customHeight="1" x14ac:dyDescent="0.3"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</row>
    <row r="876" spans="28:44" ht="15" customHeight="1" x14ac:dyDescent="0.3"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</row>
    <row r="877" spans="28:44" ht="15" customHeight="1" x14ac:dyDescent="0.3"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</row>
    <row r="878" spans="28:44" ht="15" customHeight="1" x14ac:dyDescent="0.3"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</row>
    <row r="879" spans="28:44" ht="15" customHeight="1" x14ac:dyDescent="0.3"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</row>
    <row r="880" spans="28:44" ht="15" customHeight="1" x14ac:dyDescent="0.3"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</row>
    <row r="881" spans="28:44" ht="15" customHeight="1" x14ac:dyDescent="0.3"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</row>
    <row r="882" spans="28:44" ht="15" customHeight="1" x14ac:dyDescent="0.3"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</row>
    <row r="883" spans="28:44" ht="15" customHeight="1" x14ac:dyDescent="0.3"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</row>
    <row r="884" spans="28:44" ht="15" customHeight="1" x14ac:dyDescent="0.3"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</row>
    <row r="885" spans="28:44" ht="15" customHeight="1" x14ac:dyDescent="0.3"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</row>
    <row r="886" spans="28:44" ht="15" customHeight="1" x14ac:dyDescent="0.3"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</row>
    <row r="887" spans="28:44" ht="15" customHeight="1" x14ac:dyDescent="0.3"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</row>
    <row r="888" spans="28:44" ht="15" customHeight="1" x14ac:dyDescent="0.3"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</row>
    <row r="889" spans="28:44" ht="15" customHeight="1" x14ac:dyDescent="0.3"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</row>
    <row r="890" spans="28:44" ht="15" customHeight="1" x14ac:dyDescent="0.3"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</row>
    <row r="891" spans="28:44" ht="15" customHeight="1" x14ac:dyDescent="0.3"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</row>
    <row r="892" spans="28:44" ht="15" customHeight="1" x14ac:dyDescent="0.3"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</row>
    <row r="893" spans="28:44" ht="15" customHeight="1" x14ac:dyDescent="0.3"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</row>
    <row r="894" spans="28:44" ht="15" customHeight="1" x14ac:dyDescent="0.3"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</row>
    <row r="895" spans="28:44" ht="15" customHeight="1" x14ac:dyDescent="0.3"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</row>
    <row r="896" spans="28:44" ht="15" customHeight="1" x14ac:dyDescent="0.3"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</row>
    <row r="897" spans="28:44" ht="15" customHeight="1" x14ac:dyDescent="0.3"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</row>
    <row r="898" spans="28:44" ht="15" customHeight="1" x14ac:dyDescent="0.3"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</row>
    <row r="899" spans="28:44" ht="15" customHeight="1" x14ac:dyDescent="0.3"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</row>
    <row r="900" spans="28:44" ht="15" customHeight="1" x14ac:dyDescent="0.3"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</row>
    <row r="901" spans="28:44" ht="15" customHeight="1" x14ac:dyDescent="0.3"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</row>
    <row r="902" spans="28:44" ht="15" customHeight="1" x14ac:dyDescent="0.3"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</row>
    <row r="903" spans="28:44" ht="15" customHeight="1" x14ac:dyDescent="0.3"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</row>
    <row r="904" spans="28:44" ht="15" customHeight="1" x14ac:dyDescent="0.3"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</row>
    <row r="905" spans="28:44" ht="15" customHeight="1" x14ac:dyDescent="0.3"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</row>
    <row r="906" spans="28:44" ht="15" customHeight="1" x14ac:dyDescent="0.3"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</row>
    <row r="907" spans="28:44" ht="15" customHeight="1" x14ac:dyDescent="0.3"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</row>
    <row r="908" spans="28:44" ht="15" customHeight="1" x14ac:dyDescent="0.3"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</row>
    <row r="909" spans="28:44" ht="15" customHeight="1" x14ac:dyDescent="0.3"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</row>
    <row r="910" spans="28:44" ht="15" customHeight="1" x14ac:dyDescent="0.3"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</row>
    <row r="911" spans="28:44" ht="15" customHeight="1" x14ac:dyDescent="0.3"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</row>
    <row r="912" spans="28:44" ht="15" customHeight="1" x14ac:dyDescent="0.3"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</row>
    <row r="913" spans="28:44" ht="15" customHeight="1" x14ac:dyDescent="0.3"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</row>
    <row r="914" spans="28:44" ht="15" customHeight="1" x14ac:dyDescent="0.3"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</row>
    <row r="915" spans="28:44" ht="15" customHeight="1" x14ac:dyDescent="0.3"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</row>
    <row r="916" spans="28:44" ht="15" customHeight="1" x14ac:dyDescent="0.3"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</row>
    <row r="917" spans="28:44" ht="15" customHeight="1" x14ac:dyDescent="0.3"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</row>
    <row r="918" spans="28:44" ht="15" customHeight="1" x14ac:dyDescent="0.3"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</row>
    <row r="919" spans="28:44" ht="15" customHeight="1" x14ac:dyDescent="0.3"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</row>
    <row r="920" spans="28:44" ht="15" customHeight="1" x14ac:dyDescent="0.3"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</row>
    <row r="921" spans="28:44" ht="15" customHeight="1" x14ac:dyDescent="0.3"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</row>
    <row r="922" spans="28:44" ht="15" customHeight="1" x14ac:dyDescent="0.3"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</row>
    <row r="923" spans="28:44" ht="15" customHeight="1" x14ac:dyDescent="0.3"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</row>
    <row r="924" spans="28:44" ht="15" customHeight="1" x14ac:dyDescent="0.3"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</row>
    <row r="925" spans="28:44" ht="15" customHeight="1" x14ac:dyDescent="0.3"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</row>
    <row r="926" spans="28:44" ht="15" customHeight="1" x14ac:dyDescent="0.3"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</row>
    <row r="927" spans="28:44" ht="15" customHeight="1" x14ac:dyDescent="0.3"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</row>
    <row r="928" spans="28:44" ht="15" customHeight="1" x14ac:dyDescent="0.3"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</row>
    <row r="929" spans="28:44" ht="15" customHeight="1" x14ac:dyDescent="0.3"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</row>
    <row r="930" spans="28:44" ht="15" customHeight="1" x14ac:dyDescent="0.3"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</row>
    <row r="931" spans="28:44" ht="15" customHeight="1" x14ac:dyDescent="0.3"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</row>
    <row r="932" spans="28:44" ht="15" customHeight="1" x14ac:dyDescent="0.3"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</row>
    <row r="933" spans="28:44" ht="15" customHeight="1" x14ac:dyDescent="0.3"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</row>
    <row r="934" spans="28:44" ht="15" customHeight="1" x14ac:dyDescent="0.3"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</row>
    <row r="935" spans="28:44" ht="15" customHeight="1" x14ac:dyDescent="0.3"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</row>
    <row r="936" spans="28:44" ht="15" customHeight="1" x14ac:dyDescent="0.3"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</row>
    <row r="937" spans="28:44" ht="15" customHeight="1" x14ac:dyDescent="0.3"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</row>
    <row r="938" spans="28:44" ht="15" customHeight="1" x14ac:dyDescent="0.3"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</row>
    <row r="939" spans="28:44" ht="15" customHeight="1" x14ac:dyDescent="0.3"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</row>
    <row r="940" spans="28:44" ht="15" customHeight="1" x14ac:dyDescent="0.3"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</row>
    <row r="941" spans="28:44" ht="15" customHeight="1" x14ac:dyDescent="0.3"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</row>
    <row r="942" spans="28:44" ht="15" customHeight="1" x14ac:dyDescent="0.3"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</row>
    <row r="943" spans="28:44" ht="15" customHeight="1" x14ac:dyDescent="0.3"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</row>
    <row r="944" spans="28:44" ht="15" customHeight="1" x14ac:dyDescent="0.3"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</row>
    <row r="945" spans="28:44" ht="15" customHeight="1" x14ac:dyDescent="0.3"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</row>
    <row r="946" spans="28:44" ht="15" customHeight="1" x14ac:dyDescent="0.3"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</row>
    <row r="947" spans="28:44" ht="15" customHeight="1" x14ac:dyDescent="0.3"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</row>
    <row r="948" spans="28:44" ht="15" customHeight="1" x14ac:dyDescent="0.3"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</row>
    <row r="949" spans="28:44" ht="15" customHeight="1" x14ac:dyDescent="0.3"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</row>
    <row r="950" spans="28:44" ht="15" customHeight="1" x14ac:dyDescent="0.3"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</row>
    <row r="951" spans="28:44" ht="15" customHeight="1" x14ac:dyDescent="0.3"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</row>
    <row r="952" spans="28:44" ht="15" customHeight="1" x14ac:dyDescent="0.3"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</row>
    <row r="953" spans="28:44" ht="15" customHeight="1" x14ac:dyDescent="0.3"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</row>
    <row r="954" spans="28:44" ht="15" customHeight="1" x14ac:dyDescent="0.3"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</row>
    <row r="955" spans="28:44" ht="15" customHeight="1" x14ac:dyDescent="0.3"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</row>
    <row r="956" spans="28:44" ht="15" customHeight="1" x14ac:dyDescent="0.3"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</row>
    <row r="957" spans="28:44" ht="15" customHeight="1" x14ac:dyDescent="0.3"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</row>
    <row r="958" spans="28:44" ht="15" customHeight="1" x14ac:dyDescent="0.3"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</row>
    <row r="959" spans="28:44" ht="15" customHeight="1" x14ac:dyDescent="0.3"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</row>
    <row r="960" spans="28:44" ht="15" customHeight="1" x14ac:dyDescent="0.3"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</row>
    <row r="961" spans="28:44" ht="15" customHeight="1" x14ac:dyDescent="0.3"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</row>
    <row r="962" spans="28:44" ht="15" customHeight="1" x14ac:dyDescent="0.3"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</row>
    <row r="963" spans="28:44" ht="15" customHeight="1" x14ac:dyDescent="0.3"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</row>
    <row r="964" spans="28:44" ht="15" customHeight="1" x14ac:dyDescent="0.3"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</row>
    <row r="965" spans="28:44" ht="15" customHeight="1" x14ac:dyDescent="0.3"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</row>
    <row r="966" spans="28:44" ht="15" customHeight="1" x14ac:dyDescent="0.3"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</row>
    <row r="967" spans="28:44" ht="15" customHeight="1" x14ac:dyDescent="0.3"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</row>
    <row r="968" spans="28:44" ht="15" customHeight="1" x14ac:dyDescent="0.3"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</row>
    <row r="969" spans="28:44" ht="15" customHeight="1" x14ac:dyDescent="0.3"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</row>
    <row r="970" spans="28:44" ht="15" customHeight="1" x14ac:dyDescent="0.3"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</row>
    <row r="971" spans="28:44" ht="15" customHeight="1" x14ac:dyDescent="0.3"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</row>
    <row r="972" spans="28:44" ht="15" customHeight="1" x14ac:dyDescent="0.3"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</row>
    <row r="973" spans="28:44" ht="15" customHeight="1" x14ac:dyDescent="0.3"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</row>
    <row r="974" spans="28:44" ht="15" customHeight="1" x14ac:dyDescent="0.3"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</row>
    <row r="975" spans="28:44" ht="15" customHeight="1" x14ac:dyDescent="0.3"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</row>
    <row r="976" spans="28:44" ht="15" customHeight="1" x14ac:dyDescent="0.3"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</row>
    <row r="977" spans="28:44" ht="15" customHeight="1" x14ac:dyDescent="0.3"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</row>
    <row r="978" spans="28:44" ht="15" customHeight="1" x14ac:dyDescent="0.3"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</row>
    <row r="979" spans="28:44" ht="15" customHeight="1" x14ac:dyDescent="0.3"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</row>
    <row r="980" spans="28:44" ht="15" customHeight="1" x14ac:dyDescent="0.3"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</row>
    <row r="981" spans="28:44" ht="15" customHeight="1" x14ac:dyDescent="0.3"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</row>
    <row r="982" spans="28:44" ht="15" customHeight="1" x14ac:dyDescent="0.3"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</row>
    <row r="983" spans="28:44" ht="15" customHeight="1" x14ac:dyDescent="0.3"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</row>
    <row r="984" spans="28:44" ht="15" customHeight="1" x14ac:dyDescent="0.3"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</row>
    <row r="985" spans="28:44" ht="15" customHeight="1" x14ac:dyDescent="0.3"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</row>
    <row r="986" spans="28:44" ht="15" customHeight="1" x14ac:dyDescent="0.3"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</row>
    <row r="987" spans="28:44" ht="15" customHeight="1" x14ac:dyDescent="0.3"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</row>
    <row r="988" spans="28:44" ht="15" customHeight="1" x14ac:dyDescent="0.3"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</row>
    <row r="989" spans="28:44" ht="15" customHeight="1" x14ac:dyDescent="0.3"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</row>
    <row r="990" spans="28:44" ht="15" customHeight="1" x14ac:dyDescent="0.3"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</row>
    <row r="991" spans="28:44" ht="15" customHeight="1" x14ac:dyDescent="0.3"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</row>
    <row r="992" spans="28:44" ht="15" customHeight="1" x14ac:dyDescent="0.3"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</row>
    <row r="993" spans="28:44" ht="15" customHeight="1" x14ac:dyDescent="0.3"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</row>
    <row r="994" spans="28:44" ht="15" customHeight="1" x14ac:dyDescent="0.3"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</row>
    <row r="995" spans="28:44" ht="15" customHeight="1" x14ac:dyDescent="0.3"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</row>
    <row r="996" spans="28:44" ht="15" customHeight="1" x14ac:dyDescent="0.3"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</row>
    <row r="997" spans="28:44" ht="15" customHeight="1" x14ac:dyDescent="0.3"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</row>
    <row r="998" spans="28:44" ht="15" customHeight="1" x14ac:dyDescent="0.3"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</row>
    <row r="999" spans="28:44" ht="15" customHeight="1" x14ac:dyDescent="0.3"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</row>
    <row r="1000" spans="28:44" ht="15" customHeight="1" x14ac:dyDescent="0.3"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</row>
    <row r="1001" spans="28:44" ht="15" customHeight="1" x14ac:dyDescent="0.3"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</row>
    <row r="1002" spans="28:44" ht="15" customHeight="1" x14ac:dyDescent="0.3"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</row>
    <row r="1003" spans="28:44" ht="15" customHeight="1" x14ac:dyDescent="0.3"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</row>
    <row r="1004" spans="28:44" ht="15" customHeight="1" x14ac:dyDescent="0.3"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</row>
    <row r="1005" spans="28:44" ht="15" customHeight="1" x14ac:dyDescent="0.3"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</row>
    <row r="1006" spans="28:44" ht="15" customHeight="1" x14ac:dyDescent="0.3"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</row>
    <row r="1007" spans="28:44" ht="15" customHeight="1" x14ac:dyDescent="0.3"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</row>
    <row r="1008" spans="28:44" ht="15" customHeight="1" x14ac:dyDescent="0.3"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</row>
    <row r="1009" spans="28:44" ht="15" customHeight="1" x14ac:dyDescent="0.3"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</row>
    <row r="1010" spans="28:44" ht="15" customHeight="1" x14ac:dyDescent="0.3"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</row>
    <row r="1011" spans="28:44" ht="15" customHeight="1" x14ac:dyDescent="0.3"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</row>
    <row r="1012" spans="28:44" ht="15" customHeight="1" x14ac:dyDescent="0.3"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</row>
    <row r="1013" spans="28:44" ht="15" customHeight="1" x14ac:dyDescent="0.3"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</row>
    <row r="1014" spans="28:44" ht="15" customHeight="1" x14ac:dyDescent="0.3"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</row>
    <row r="1015" spans="28:44" ht="15" customHeight="1" x14ac:dyDescent="0.3"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</row>
    <row r="1016" spans="28:44" ht="15" customHeight="1" x14ac:dyDescent="0.3"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</row>
    <row r="1017" spans="28:44" ht="15" customHeight="1" x14ac:dyDescent="0.3"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</row>
    <row r="1018" spans="28:44" ht="15" customHeight="1" x14ac:dyDescent="0.3"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</row>
    <row r="1019" spans="28:44" ht="15" customHeight="1" x14ac:dyDescent="0.3"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</row>
    <row r="1020" spans="28:44" ht="15" customHeight="1" x14ac:dyDescent="0.3"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</row>
    <row r="1021" spans="28:44" ht="15" customHeight="1" x14ac:dyDescent="0.3"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</row>
    <row r="1022" spans="28:44" ht="15" customHeight="1" x14ac:dyDescent="0.3"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</row>
    <row r="1023" spans="28:44" ht="15" customHeight="1" x14ac:dyDescent="0.3"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</row>
    <row r="1024" spans="28:44" ht="15" customHeight="1" x14ac:dyDescent="0.3"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</row>
    <row r="1025" spans="28:44" ht="15" customHeight="1" x14ac:dyDescent="0.3"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</row>
    <row r="1026" spans="28:44" ht="15" customHeight="1" x14ac:dyDescent="0.3"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</row>
    <row r="1027" spans="28:44" ht="15" customHeight="1" x14ac:dyDescent="0.3"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</row>
    <row r="1028" spans="28:44" ht="15" customHeight="1" x14ac:dyDescent="0.3"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</row>
    <row r="1029" spans="28:44" ht="15" customHeight="1" x14ac:dyDescent="0.3"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</row>
    <row r="1030" spans="28:44" ht="15" customHeight="1" x14ac:dyDescent="0.3"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</row>
    <row r="1031" spans="28:44" ht="15" customHeight="1" x14ac:dyDescent="0.3"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</row>
    <row r="1032" spans="28:44" ht="15" customHeight="1" x14ac:dyDescent="0.3"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</row>
    <row r="1033" spans="28:44" ht="15" customHeight="1" x14ac:dyDescent="0.3"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</row>
    <row r="1034" spans="28:44" ht="15" customHeight="1" x14ac:dyDescent="0.3"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</row>
    <row r="1035" spans="28:44" ht="15" customHeight="1" x14ac:dyDescent="0.3"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</row>
    <row r="1036" spans="28:44" ht="15" customHeight="1" x14ac:dyDescent="0.3"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</row>
    <row r="1037" spans="28:44" ht="15" customHeight="1" x14ac:dyDescent="0.3"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</row>
    <row r="1038" spans="28:44" ht="15" customHeight="1" x14ac:dyDescent="0.3"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</row>
    <row r="1039" spans="28:44" ht="15" customHeight="1" x14ac:dyDescent="0.3"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</row>
    <row r="1040" spans="28:44" ht="15" customHeight="1" x14ac:dyDescent="0.3"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</row>
    <row r="1041" spans="28:44" ht="15" customHeight="1" x14ac:dyDescent="0.3"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</row>
    <row r="1042" spans="28:44" ht="15" customHeight="1" x14ac:dyDescent="0.3"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</row>
    <row r="1043" spans="28:44" ht="15" customHeight="1" x14ac:dyDescent="0.3"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</row>
    <row r="1044" spans="28:44" ht="15" customHeight="1" x14ac:dyDescent="0.3"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</row>
    <row r="1045" spans="28:44" ht="15" customHeight="1" x14ac:dyDescent="0.3"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</row>
    <row r="1046" spans="28:44" ht="15" customHeight="1" x14ac:dyDescent="0.3"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</row>
    <row r="1047" spans="28:44" ht="15" customHeight="1" x14ac:dyDescent="0.3"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</row>
    <row r="1048" spans="28:44" ht="15" customHeight="1" x14ac:dyDescent="0.3"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</row>
    <row r="1049" spans="28:44" ht="15" customHeight="1" x14ac:dyDescent="0.3"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</row>
    <row r="1050" spans="28:44" ht="15" customHeight="1" x14ac:dyDescent="0.3"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</row>
    <row r="1051" spans="28:44" ht="15" customHeight="1" x14ac:dyDescent="0.3"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</row>
    <row r="1052" spans="28:44" ht="15" customHeight="1" x14ac:dyDescent="0.3"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</row>
    <row r="1053" spans="28:44" ht="15" customHeight="1" x14ac:dyDescent="0.3"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</row>
    <row r="1054" spans="28:44" ht="15" customHeight="1" x14ac:dyDescent="0.3"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</row>
    <row r="1055" spans="28:44" ht="15" customHeight="1" x14ac:dyDescent="0.3"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</row>
    <row r="1056" spans="28:44" ht="15" customHeight="1" x14ac:dyDescent="0.3"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</row>
    <row r="1057" spans="28:44" ht="15" customHeight="1" x14ac:dyDescent="0.3"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</row>
    <row r="1058" spans="28:44" ht="15" customHeight="1" x14ac:dyDescent="0.3"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</row>
    <row r="1059" spans="28:44" ht="15" customHeight="1" x14ac:dyDescent="0.3"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</row>
    <row r="1060" spans="28:44" ht="15" customHeight="1" x14ac:dyDescent="0.3"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</row>
    <row r="1061" spans="28:44" ht="15" customHeight="1" x14ac:dyDescent="0.3"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</row>
    <row r="1062" spans="28:44" ht="15" customHeight="1" x14ac:dyDescent="0.3"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</row>
    <row r="1063" spans="28:44" ht="15" customHeight="1" x14ac:dyDescent="0.3"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</row>
    <row r="1064" spans="28:44" ht="15" customHeight="1" x14ac:dyDescent="0.3"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</row>
    <row r="1065" spans="28:44" ht="15" customHeight="1" x14ac:dyDescent="0.3"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</row>
    <row r="1066" spans="28:44" ht="15" customHeight="1" x14ac:dyDescent="0.3"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</row>
    <row r="1067" spans="28:44" ht="15" customHeight="1" x14ac:dyDescent="0.3"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</row>
    <row r="1068" spans="28:44" ht="15" customHeight="1" x14ac:dyDescent="0.3"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</row>
    <row r="1069" spans="28:44" ht="15" customHeight="1" x14ac:dyDescent="0.3"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</row>
    <row r="1070" spans="28:44" ht="15" customHeight="1" x14ac:dyDescent="0.3"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</row>
    <row r="1071" spans="28:44" ht="15" customHeight="1" x14ac:dyDescent="0.3"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</row>
    <row r="1072" spans="28:44" ht="15" customHeight="1" x14ac:dyDescent="0.3"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</row>
    <row r="1073" spans="28:44" ht="15" customHeight="1" x14ac:dyDescent="0.3"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</row>
    <row r="1074" spans="28:44" ht="15" customHeight="1" x14ac:dyDescent="0.3"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</row>
    <row r="1075" spans="28:44" ht="15" customHeight="1" x14ac:dyDescent="0.3"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</row>
    <row r="1076" spans="28:44" ht="15" customHeight="1" x14ac:dyDescent="0.3"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</row>
    <row r="1077" spans="28:44" ht="15" customHeight="1" x14ac:dyDescent="0.3"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</row>
    <row r="1078" spans="28:44" ht="15" customHeight="1" x14ac:dyDescent="0.3"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</row>
    <row r="1079" spans="28:44" ht="15" customHeight="1" x14ac:dyDescent="0.3"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</row>
    <row r="1080" spans="28:44" ht="15" customHeight="1" x14ac:dyDescent="0.3"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</row>
    <row r="1081" spans="28:44" ht="15" customHeight="1" x14ac:dyDescent="0.3"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</row>
    <row r="1082" spans="28:44" ht="15" customHeight="1" x14ac:dyDescent="0.3"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</row>
    <row r="1083" spans="28:44" ht="15" customHeight="1" x14ac:dyDescent="0.3"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</row>
    <row r="1084" spans="28:44" ht="15" customHeight="1" x14ac:dyDescent="0.3"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</row>
    <row r="1085" spans="28:44" ht="15" customHeight="1" x14ac:dyDescent="0.3"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</row>
    <row r="1086" spans="28:44" ht="15" customHeight="1" x14ac:dyDescent="0.3"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</row>
    <row r="1087" spans="28:44" ht="15" customHeight="1" x14ac:dyDescent="0.3"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</row>
    <row r="1088" spans="28:44" ht="15" customHeight="1" x14ac:dyDescent="0.3"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</row>
    <row r="1089" spans="28:44" ht="15" customHeight="1" x14ac:dyDescent="0.3"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</row>
    <row r="1090" spans="28:44" ht="15" customHeight="1" x14ac:dyDescent="0.3"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</row>
    <row r="1091" spans="28:44" ht="15" customHeight="1" x14ac:dyDescent="0.3"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</row>
    <row r="1092" spans="28:44" ht="15" customHeight="1" x14ac:dyDescent="0.3"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</row>
    <row r="1093" spans="28:44" ht="15" customHeight="1" x14ac:dyDescent="0.3"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</row>
    <row r="1094" spans="28:44" ht="15" customHeight="1" x14ac:dyDescent="0.3"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</row>
    <row r="1095" spans="28:44" ht="15" customHeight="1" x14ac:dyDescent="0.3"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</row>
    <row r="1096" spans="28:44" ht="15" customHeight="1" x14ac:dyDescent="0.3"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</row>
    <row r="1097" spans="28:44" ht="15" customHeight="1" x14ac:dyDescent="0.3"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</row>
    <row r="1098" spans="28:44" ht="15" customHeight="1" x14ac:dyDescent="0.3"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</row>
    <row r="1099" spans="28:44" ht="15" customHeight="1" x14ac:dyDescent="0.3"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</row>
    <row r="1100" spans="28:44" ht="15" customHeight="1" x14ac:dyDescent="0.3"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</row>
    <row r="1101" spans="28:44" ht="15" customHeight="1" x14ac:dyDescent="0.3"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</row>
    <row r="1102" spans="28:44" ht="15" customHeight="1" x14ac:dyDescent="0.3"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</row>
    <row r="1103" spans="28:44" ht="15" customHeight="1" x14ac:dyDescent="0.3"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</row>
    <row r="1104" spans="28:44" ht="15" customHeight="1" x14ac:dyDescent="0.3"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</row>
    <row r="1105" spans="28:44" ht="15" customHeight="1" x14ac:dyDescent="0.3"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</row>
    <row r="1106" spans="28:44" ht="15" customHeight="1" x14ac:dyDescent="0.3"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</row>
    <row r="1107" spans="28:44" ht="15" customHeight="1" x14ac:dyDescent="0.3"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</row>
    <row r="1108" spans="28:44" ht="15" customHeight="1" x14ac:dyDescent="0.3"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</row>
    <row r="1109" spans="28:44" ht="15" customHeight="1" x14ac:dyDescent="0.3"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</row>
    <row r="1110" spans="28:44" ht="15" customHeight="1" x14ac:dyDescent="0.3"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</row>
    <row r="1111" spans="28:44" ht="15" customHeight="1" x14ac:dyDescent="0.3"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</row>
    <row r="1112" spans="28:44" ht="15" customHeight="1" x14ac:dyDescent="0.3"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</row>
    <row r="1113" spans="28:44" ht="15" customHeight="1" x14ac:dyDescent="0.3"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</row>
    <row r="1114" spans="28:44" ht="15" customHeight="1" x14ac:dyDescent="0.3"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</row>
    <row r="1115" spans="28:44" ht="15" customHeight="1" x14ac:dyDescent="0.3"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</row>
    <row r="1116" spans="28:44" ht="15" customHeight="1" x14ac:dyDescent="0.3"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</row>
    <row r="1117" spans="28:44" ht="15" customHeight="1" x14ac:dyDescent="0.3"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</row>
    <row r="1118" spans="28:44" ht="15" customHeight="1" x14ac:dyDescent="0.3"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</row>
    <row r="1119" spans="28:44" ht="15" customHeight="1" x14ac:dyDescent="0.3"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</row>
    <row r="1120" spans="28:44" ht="15" customHeight="1" x14ac:dyDescent="0.3"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</row>
    <row r="1121" spans="28:44" ht="15" customHeight="1" x14ac:dyDescent="0.3"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</row>
    <row r="1122" spans="28:44" ht="15" customHeight="1" x14ac:dyDescent="0.3"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</row>
    <row r="1123" spans="28:44" ht="15" customHeight="1" x14ac:dyDescent="0.3"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</row>
    <row r="1124" spans="28:44" ht="15" customHeight="1" x14ac:dyDescent="0.3"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</row>
    <row r="1125" spans="28:44" ht="15" customHeight="1" x14ac:dyDescent="0.3"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</row>
    <row r="1126" spans="28:44" ht="15" customHeight="1" x14ac:dyDescent="0.3"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</row>
    <row r="1127" spans="28:44" ht="15" customHeight="1" x14ac:dyDescent="0.3"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</row>
    <row r="1128" spans="28:44" ht="15" customHeight="1" x14ac:dyDescent="0.3"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</row>
    <row r="1129" spans="28:44" ht="15" customHeight="1" x14ac:dyDescent="0.3"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</row>
    <row r="1130" spans="28:44" ht="15" customHeight="1" x14ac:dyDescent="0.3"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</row>
    <row r="1131" spans="28:44" ht="15" customHeight="1" x14ac:dyDescent="0.3"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</row>
    <row r="1132" spans="28:44" ht="15" customHeight="1" x14ac:dyDescent="0.3"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</row>
    <row r="1133" spans="28:44" ht="15" customHeight="1" x14ac:dyDescent="0.3"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</row>
    <row r="1134" spans="28:44" ht="15" customHeight="1" x14ac:dyDescent="0.3"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</row>
    <row r="1135" spans="28:44" ht="15" customHeight="1" x14ac:dyDescent="0.3"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</row>
    <row r="1136" spans="28:44" ht="15" customHeight="1" x14ac:dyDescent="0.3"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</row>
    <row r="1137" spans="28:44" ht="15" customHeight="1" x14ac:dyDescent="0.3"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</row>
    <row r="1138" spans="28:44" ht="15" customHeight="1" x14ac:dyDescent="0.3"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</row>
    <row r="1139" spans="28:44" ht="15" customHeight="1" x14ac:dyDescent="0.3"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</row>
    <row r="1140" spans="28:44" ht="15" customHeight="1" x14ac:dyDescent="0.3"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</row>
    <row r="1141" spans="28:44" ht="15" customHeight="1" x14ac:dyDescent="0.3"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</row>
    <row r="1142" spans="28:44" ht="15" customHeight="1" x14ac:dyDescent="0.3"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</row>
    <row r="1143" spans="28:44" ht="15" customHeight="1" x14ac:dyDescent="0.3"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</row>
    <row r="1144" spans="28:44" ht="15" customHeight="1" x14ac:dyDescent="0.3"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</row>
    <row r="1145" spans="28:44" ht="15" customHeight="1" x14ac:dyDescent="0.3"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</row>
    <row r="1146" spans="28:44" ht="15" customHeight="1" x14ac:dyDescent="0.3"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</row>
    <row r="1147" spans="28:44" ht="15" customHeight="1" x14ac:dyDescent="0.3"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</row>
    <row r="1148" spans="28:44" ht="15" customHeight="1" x14ac:dyDescent="0.3"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</row>
    <row r="1149" spans="28:44" ht="15" customHeight="1" x14ac:dyDescent="0.3"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</row>
    <row r="1150" spans="28:44" ht="15" customHeight="1" x14ac:dyDescent="0.3"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</row>
    <row r="1151" spans="28:44" ht="15" customHeight="1" x14ac:dyDescent="0.3"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</row>
    <row r="1152" spans="28:44" ht="15" customHeight="1" x14ac:dyDescent="0.3"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</row>
    <row r="1153" spans="28:44" ht="15" customHeight="1" x14ac:dyDescent="0.3"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</row>
    <row r="1154" spans="28:44" ht="15" customHeight="1" x14ac:dyDescent="0.3"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</row>
    <row r="1155" spans="28:44" ht="15" customHeight="1" x14ac:dyDescent="0.3"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</row>
    <row r="1156" spans="28:44" ht="15" customHeight="1" x14ac:dyDescent="0.3"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</row>
    <row r="1157" spans="28:44" ht="15" customHeight="1" x14ac:dyDescent="0.3"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</row>
    <row r="1158" spans="28:44" ht="15" customHeight="1" x14ac:dyDescent="0.3"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</row>
    <row r="1159" spans="28:44" ht="15" customHeight="1" x14ac:dyDescent="0.3"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</row>
    <row r="1160" spans="28:44" ht="15" customHeight="1" x14ac:dyDescent="0.3"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</row>
    <row r="1161" spans="28:44" ht="15" customHeight="1" x14ac:dyDescent="0.3"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</row>
    <row r="1162" spans="28:44" ht="15" customHeight="1" x14ac:dyDescent="0.3"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</row>
    <row r="1163" spans="28:44" ht="15" customHeight="1" x14ac:dyDescent="0.3"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</row>
    <row r="1164" spans="28:44" ht="15" customHeight="1" x14ac:dyDescent="0.3"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</row>
    <row r="1165" spans="28:44" ht="15" customHeight="1" x14ac:dyDescent="0.3"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</row>
    <row r="1166" spans="28:44" ht="15" customHeight="1" x14ac:dyDescent="0.3"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</row>
    <row r="1167" spans="28:44" ht="15" customHeight="1" x14ac:dyDescent="0.3"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</row>
    <row r="1168" spans="28:44" ht="15" customHeight="1" x14ac:dyDescent="0.3"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</row>
    <row r="1169" spans="28:44" ht="15" customHeight="1" x14ac:dyDescent="0.3"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</row>
    <row r="1170" spans="28:44" ht="15" customHeight="1" x14ac:dyDescent="0.3"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</row>
    <row r="1171" spans="28:44" ht="15" customHeight="1" x14ac:dyDescent="0.3"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</row>
    <row r="1172" spans="28:44" ht="15" customHeight="1" x14ac:dyDescent="0.3"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</row>
    <row r="1173" spans="28:44" ht="15" customHeight="1" x14ac:dyDescent="0.3"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</row>
    <row r="1174" spans="28:44" ht="15" customHeight="1" x14ac:dyDescent="0.3"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</row>
    <row r="1175" spans="28:44" ht="15" customHeight="1" x14ac:dyDescent="0.3"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</row>
    <row r="1176" spans="28:44" ht="15" customHeight="1" x14ac:dyDescent="0.3"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</row>
    <row r="1177" spans="28:44" ht="15" customHeight="1" x14ac:dyDescent="0.3"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</row>
    <row r="1178" spans="28:44" ht="15" customHeight="1" x14ac:dyDescent="0.3"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</row>
    <row r="1179" spans="28:44" ht="15" customHeight="1" x14ac:dyDescent="0.3"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</row>
    <row r="1180" spans="28:44" ht="15" customHeight="1" x14ac:dyDescent="0.3"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</row>
    <row r="1181" spans="28:44" ht="15" customHeight="1" x14ac:dyDescent="0.3"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</row>
    <row r="1182" spans="28:44" ht="15" customHeight="1" x14ac:dyDescent="0.3"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</row>
    <row r="1183" spans="28:44" ht="15" customHeight="1" x14ac:dyDescent="0.3"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</row>
    <row r="1184" spans="28:44" ht="15" customHeight="1" x14ac:dyDescent="0.3"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</row>
    <row r="1185" spans="28:44" ht="15" customHeight="1" x14ac:dyDescent="0.3"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</row>
    <row r="1186" spans="28:44" ht="15" customHeight="1" x14ac:dyDescent="0.3"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</row>
    <row r="1187" spans="28:44" ht="15" customHeight="1" x14ac:dyDescent="0.3"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</row>
    <row r="1188" spans="28:44" ht="15" customHeight="1" x14ac:dyDescent="0.3"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</row>
    <row r="1189" spans="28:44" ht="15" customHeight="1" x14ac:dyDescent="0.3"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</row>
    <row r="1190" spans="28:44" ht="15" customHeight="1" x14ac:dyDescent="0.3"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</row>
    <row r="1191" spans="28:44" ht="15" customHeight="1" x14ac:dyDescent="0.3"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</row>
    <row r="1192" spans="28:44" ht="15" customHeight="1" x14ac:dyDescent="0.3"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</row>
    <row r="1193" spans="28:44" ht="15" customHeight="1" x14ac:dyDescent="0.3"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</row>
    <row r="1194" spans="28:44" ht="15" customHeight="1" x14ac:dyDescent="0.3"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</row>
    <row r="1195" spans="28:44" ht="15" customHeight="1" x14ac:dyDescent="0.3"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</row>
    <row r="1196" spans="28:44" ht="15" customHeight="1" x14ac:dyDescent="0.3"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</row>
    <row r="1197" spans="28:44" ht="15" customHeight="1" x14ac:dyDescent="0.3"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</row>
    <row r="1198" spans="28:44" ht="15" customHeight="1" x14ac:dyDescent="0.3"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</row>
    <row r="1199" spans="28:44" ht="15" customHeight="1" x14ac:dyDescent="0.3"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</row>
    <row r="1200" spans="28:44" ht="15" customHeight="1" x14ac:dyDescent="0.3"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</row>
    <row r="1201" spans="28:44" ht="15" customHeight="1" x14ac:dyDescent="0.3"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</row>
    <row r="1202" spans="28:44" ht="15" customHeight="1" x14ac:dyDescent="0.3"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</row>
    <row r="1203" spans="28:44" ht="15" customHeight="1" x14ac:dyDescent="0.3"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</row>
    <row r="1204" spans="28:44" ht="15" customHeight="1" x14ac:dyDescent="0.3"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</row>
    <row r="1205" spans="28:44" ht="15" customHeight="1" x14ac:dyDescent="0.3"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</row>
    <row r="1206" spans="28:44" ht="15" customHeight="1" x14ac:dyDescent="0.3"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</row>
    <row r="1207" spans="28:44" ht="15" customHeight="1" x14ac:dyDescent="0.3"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</row>
    <row r="1208" spans="28:44" ht="15" customHeight="1" x14ac:dyDescent="0.3"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</row>
    <row r="1209" spans="28:44" ht="15" customHeight="1" x14ac:dyDescent="0.3"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</row>
    <row r="1210" spans="28:44" ht="15" customHeight="1" x14ac:dyDescent="0.3"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</row>
    <row r="1211" spans="28:44" ht="15" customHeight="1" x14ac:dyDescent="0.3"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</row>
    <row r="1212" spans="28:44" ht="15" customHeight="1" x14ac:dyDescent="0.3"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</row>
    <row r="1213" spans="28:44" ht="15" customHeight="1" x14ac:dyDescent="0.3"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</row>
    <row r="1214" spans="28:44" ht="15" customHeight="1" x14ac:dyDescent="0.3"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</row>
    <row r="1215" spans="28:44" ht="15" customHeight="1" x14ac:dyDescent="0.3"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</row>
    <row r="1216" spans="28:44" ht="15" customHeight="1" x14ac:dyDescent="0.3"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</row>
    <row r="1217" spans="28:44" ht="15" customHeight="1" x14ac:dyDescent="0.3"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</row>
    <row r="1218" spans="28:44" ht="15" customHeight="1" x14ac:dyDescent="0.3"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</row>
    <row r="1219" spans="28:44" ht="15" customHeight="1" x14ac:dyDescent="0.3"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</row>
    <row r="1220" spans="28:44" ht="15" customHeight="1" x14ac:dyDescent="0.3"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</row>
    <row r="1221" spans="28:44" ht="15" customHeight="1" x14ac:dyDescent="0.3"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</row>
    <row r="1222" spans="28:44" ht="15" customHeight="1" x14ac:dyDescent="0.3"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</row>
    <row r="1223" spans="28:44" ht="15" customHeight="1" x14ac:dyDescent="0.3"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</row>
    <row r="1224" spans="28:44" ht="15" customHeight="1" x14ac:dyDescent="0.3"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</row>
    <row r="1225" spans="28:44" ht="15" customHeight="1" x14ac:dyDescent="0.3"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</row>
    <row r="1226" spans="28:44" ht="15" customHeight="1" x14ac:dyDescent="0.3"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</row>
    <row r="1227" spans="28:44" ht="15" customHeight="1" x14ac:dyDescent="0.3"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</row>
    <row r="1228" spans="28:44" ht="15" customHeight="1" x14ac:dyDescent="0.3"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</row>
    <row r="1229" spans="28:44" ht="15" customHeight="1" x14ac:dyDescent="0.3"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</row>
    <row r="1230" spans="28:44" ht="15" customHeight="1" x14ac:dyDescent="0.3"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</row>
    <row r="1231" spans="28:44" ht="15" customHeight="1" x14ac:dyDescent="0.3"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</row>
    <row r="1232" spans="28:44" ht="15" customHeight="1" x14ac:dyDescent="0.3"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</row>
    <row r="1233" spans="28:44" ht="15" customHeight="1" x14ac:dyDescent="0.3"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</row>
    <row r="1234" spans="28:44" ht="15" customHeight="1" x14ac:dyDescent="0.3"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</row>
    <row r="1235" spans="28:44" ht="15" customHeight="1" x14ac:dyDescent="0.3"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</row>
    <row r="1236" spans="28:44" ht="15" customHeight="1" x14ac:dyDescent="0.3"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</row>
    <row r="1237" spans="28:44" ht="15" customHeight="1" x14ac:dyDescent="0.3"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</row>
    <row r="1238" spans="28:44" ht="15" customHeight="1" x14ac:dyDescent="0.3"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</row>
    <row r="1239" spans="28:44" ht="15" customHeight="1" x14ac:dyDescent="0.3"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</row>
    <row r="1240" spans="28:44" ht="15" customHeight="1" x14ac:dyDescent="0.3"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</row>
    <row r="1241" spans="28:44" ht="15" customHeight="1" x14ac:dyDescent="0.3"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</row>
    <row r="1242" spans="28:44" ht="15" customHeight="1" x14ac:dyDescent="0.3"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</row>
    <row r="1243" spans="28:44" ht="15" customHeight="1" x14ac:dyDescent="0.3"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</row>
    <row r="1244" spans="28:44" ht="15" customHeight="1" x14ac:dyDescent="0.3"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</row>
    <row r="1245" spans="28:44" ht="15" customHeight="1" x14ac:dyDescent="0.3"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</row>
    <row r="1246" spans="28:44" ht="15" customHeight="1" x14ac:dyDescent="0.3"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</row>
    <row r="1247" spans="28:44" ht="15" customHeight="1" x14ac:dyDescent="0.3"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</row>
    <row r="1248" spans="28:44" ht="15" customHeight="1" x14ac:dyDescent="0.3"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</row>
    <row r="1249" spans="28:44" ht="15" customHeight="1" x14ac:dyDescent="0.3"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</row>
    <row r="1250" spans="28:44" ht="15" customHeight="1" x14ac:dyDescent="0.3"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</row>
    <row r="1251" spans="28:44" ht="15" customHeight="1" x14ac:dyDescent="0.3"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</row>
    <row r="1252" spans="28:44" ht="15" customHeight="1" x14ac:dyDescent="0.3"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</row>
    <row r="1253" spans="28:44" ht="15" customHeight="1" x14ac:dyDescent="0.3"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</row>
    <row r="1254" spans="28:44" ht="15" customHeight="1" x14ac:dyDescent="0.3"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</row>
    <row r="1255" spans="28:44" ht="15" customHeight="1" x14ac:dyDescent="0.3"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</row>
    <row r="1256" spans="28:44" ht="15" customHeight="1" x14ac:dyDescent="0.3"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</row>
    <row r="1257" spans="28:44" ht="15" customHeight="1" x14ac:dyDescent="0.3"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</row>
    <row r="1258" spans="28:44" ht="15" customHeight="1" x14ac:dyDescent="0.3"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</row>
    <row r="1259" spans="28:44" ht="15" customHeight="1" x14ac:dyDescent="0.3"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</row>
    <row r="1260" spans="28:44" ht="15" customHeight="1" x14ac:dyDescent="0.3"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</row>
    <row r="1261" spans="28:44" ht="15" customHeight="1" x14ac:dyDescent="0.3"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</row>
    <row r="1262" spans="28:44" ht="15" customHeight="1" x14ac:dyDescent="0.3"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</row>
    <row r="1263" spans="28:44" ht="15" customHeight="1" x14ac:dyDescent="0.3"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</row>
    <row r="1264" spans="28:44" ht="15" customHeight="1" x14ac:dyDescent="0.3"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</row>
    <row r="1265" spans="28:44" ht="15" customHeight="1" x14ac:dyDescent="0.3"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</row>
    <row r="1266" spans="28:44" ht="15" customHeight="1" x14ac:dyDescent="0.3"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</row>
    <row r="1267" spans="28:44" ht="15" customHeight="1" x14ac:dyDescent="0.3"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</row>
    <row r="1268" spans="28:44" ht="15" customHeight="1" x14ac:dyDescent="0.3"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</row>
    <row r="1269" spans="28:44" ht="15" customHeight="1" x14ac:dyDescent="0.3"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</row>
    <row r="1270" spans="28:44" ht="15" customHeight="1" x14ac:dyDescent="0.3"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</row>
    <row r="1271" spans="28:44" ht="15" customHeight="1" x14ac:dyDescent="0.3"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</row>
    <row r="1272" spans="28:44" ht="15" customHeight="1" x14ac:dyDescent="0.3"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</row>
    <row r="1273" spans="28:44" ht="15" customHeight="1" x14ac:dyDescent="0.3"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</row>
    <row r="1274" spans="28:44" ht="15" customHeight="1" x14ac:dyDescent="0.3"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</row>
    <row r="1275" spans="28:44" ht="15" customHeight="1" x14ac:dyDescent="0.3"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</row>
    <row r="1276" spans="28:44" ht="15" customHeight="1" x14ac:dyDescent="0.3"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</row>
    <row r="1277" spans="28:44" ht="15" customHeight="1" x14ac:dyDescent="0.3"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</row>
    <row r="1278" spans="28:44" ht="15" customHeight="1" x14ac:dyDescent="0.3"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</row>
    <row r="1279" spans="28:44" ht="15" customHeight="1" x14ac:dyDescent="0.3"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</row>
    <row r="1280" spans="28:44" ht="15" customHeight="1" x14ac:dyDescent="0.3"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</row>
    <row r="1281" spans="28:44" ht="15" customHeight="1" x14ac:dyDescent="0.3"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</row>
    <row r="1282" spans="28:44" ht="15" customHeight="1" x14ac:dyDescent="0.3"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</row>
    <row r="1283" spans="28:44" ht="15" customHeight="1" x14ac:dyDescent="0.3"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</row>
    <row r="1284" spans="28:44" ht="15" customHeight="1" x14ac:dyDescent="0.3"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</row>
    <row r="1285" spans="28:44" ht="15" customHeight="1" x14ac:dyDescent="0.3"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</row>
    <row r="1286" spans="28:44" ht="15" customHeight="1" x14ac:dyDescent="0.3"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</row>
    <row r="1287" spans="28:44" ht="15" customHeight="1" x14ac:dyDescent="0.3"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</row>
    <row r="1288" spans="28:44" ht="15" customHeight="1" x14ac:dyDescent="0.3"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</row>
    <row r="1289" spans="28:44" ht="15" customHeight="1" x14ac:dyDescent="0.3"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</row>
    <row r="1290" spans="28:44" ht="15" customHeight="1" x14ac:dyDescent="0.3"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</row>
    <row r="1291" spans="28:44" ht="15" customHeight="1" x14ac:dyDescent="0.3"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</row>
    <row r="1292" spans="28:44" ht="15" customHeight="1" x14ac:dyDescent="0.3"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</row>
    <row r="1293" spans="28:44" ht="15" customHeight="1" x14ac:dyDescent="0.3"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</row>
    <row r="1294" spans="28:44" ht="15" customHeight="1" x14ac:dyDescent="0.3"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</row>
    <row r="1295" spans="28:44" ht="15" customHeight="1" x14ac:dyDescent="0.3"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</row>
    <row r="1296" spans="28:44" ht="15" customHeight="1" x14ac:dyDescent="0.3"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</row>
    <row r="1297" spans="28:44" ht="15" customHeight="1" x14ac:dyDescent="0.3"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</row>
    <row r="1298" spans="28:44" ht="15" customHeight="1" x14ac:dyDescent="0.3"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</row>
    <row r="1299" spans="28:44" ht="15" customHeight="1" x14ac:dyDescent="0.3"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</row>
    <row r="1300" spans="28:44" ht="15" customHeight="1" x14ac:dyDescent="0.3"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</row>
    <row r="1301" spans="28:44" ht="15" customHeight="1" x14ac:dyDescent="0.3"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</row>
    <row r="1302" spans="28:44" ht="15" customHeight="1" x14ac:dyDescent="0.3"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</row>
    <row r="1303" spans="28:44" ht="15" customHeight="1" x14ac:dyDescent="0.3"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</row>
    <row r="1304" spans="28:44" ht="15" customHeight="1" x14ac:dyDescent="0.3"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</row>
    <row r="1305" spans="28:44" ht="15" customHeight="1" x14ac:dyDescent="0.3"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</row>
    <row r="1306" spans="28:44" ht="15" customHeight="1" x14ac:dyDescent="0.3"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</row>
    <row r="1307" spans="28:44" ht="15" customHeight="1" x14ac:dyDescent="0.3"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</row>
    <row r="1308" spans="28:44" ht="15" customHeight="1" x14ac:dyDescent="0.3"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</row>
    <row r="1309" spans="28:44" ht="15" customHeight="1" x14ac:dyDescent="0.3"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</row>
    <row r="1310" spans="28:44" ht="15" customHeight="1" x14ac:dyDescent="0.3"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</row>
    <row r="1311" spans="28:44" ht="15" customHeight="1" x14ac:dyDescent="0.3"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</row>
    <row r="1312" spans="28:44" ht="15" customHeight="1" x14ac:dyDescent="0.3"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</row>
    <row r="1313" spans="28:44" ht="15" customHeight="1" x14ac:dyDescent="0.3"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</row>
    <row r="1314" spans="28:44" ht="15" customHeight="1" x14ac:dyDescent="0.3"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</row>
    <row r="1315" spans="28:44" ht="15" customHeight="1" x14ac:dyDescent="0.3"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</row>
    <row r="1316" spans="28:44" ht="15" customHeight="1" x14ac:dyDescent="0.3"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</row>
    <row r="1317" spans="28:44" ht="15" customHeight="1" x14ac:dyDescent="0.3"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</row>
    <row r="1318" spans="28:44" ht="15" customHeight="1" x14ac:dyDescent="0.3"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</row>
    <row r="1319" spans="28:44" ht="15" customHeight="1" x14ac:dyDescent="0.3"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</row>
    <row r="1320" spans="28:44" ht="15" customHeight="1" x14ac:dyDescent="0.3"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</row>
    <row r="1321" spans="28:44" ht="15" customHeight="1" x14ac:dyDescent="0.3"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</row>
    <row r="1322" spans="28:44" ht="15" customHeight="1" x14ac:dyDescent="0.3"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</row>
    <row r="1323" spans="28:44" ht="15" customHeight="1" x14ac:dyDescent="0.3"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</row>
    <row r="1324" spans="28:44" ht="15" customHeight="1" x14ac:dyDescent="0.3"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</row>
    <row r="1325" spans="28:44" ht="15" customHeight="1" x14ac:dyDescent="0.3"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</row>
    <row r="1326" spans="28:44" ht="15" customHeight="1" x14ac:dyDescent="0.3"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</row>
    <row r="1327" spans="28:44" ht="15" customHeight="1" x14ac:dyDescent="0.3"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</row>
    <row r="1328" spans="28:44" ht="15" customHeight="1" x14ac:dyDescent="0.3"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</row>
    <row r="1329" spans="28:44" ht="15" customHeight="1" x14ac:dyDescent="0.3"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</row>
    <row r="1330" spans="28:44" ht="15" customHeight="1" x14ac:dyDescent="0.3"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</row>
    <row r="1331" spans="28:44" ht="15" customHeight="1" x14ac:dyDescent="0.3"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</row>
    <row r="1332" spans="28:44" ht="15" customHeight="1" x14ac:dyDescent="0.3"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</row>
    <row r="1333" spans="28:44" ht="15" customHeight="1" x14ac:dyDescent="0.3"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</row>
    <row r="1334" spans="28:44" ht="15" customHeight="1" x14ac:dyDescent="0.3"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</row>
    <row r="1335" spans="28:44" ht="15" customHeight="1" x14ac:dyDescent="0.3"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</row>
    <row r="1336" spans="28:44" ht="15" customHeight="1" x14ac:dyDescent="0.3"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</row>
    <row r="1337" spans="28:44" ht="15" customHeight="1" x14ac:dyDescent="0.3"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</row>
    <row r="1338" spans="28:44" ht="15" customHeight="1" x14ac:dyDescent="0.3"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</row>
    <row r="1339" spans="28:44" ht="15" customHeight="1" x14ac:dyDescent="0.3"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</row>
    <row r="1340" spans="28:44" ht="15" customHeight="1" x14ac:dyDescent="0.3"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</row>
    <row r="1341" spans="28:44" ht="15" customHeight="1" x14ac:dyDescent="0.3"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</row>
    <row r="1342" spans="28:44" ht="15" customHeight="1" x14ac:dyDescent="0.3"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</row>
    <row r="1343" spans="28:44" ht="15" customHeight="1" x14ac:dyDescent="0.3"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</row>
    <row r="1344" spans="28:44" ht="15" customHeight="1" x14ac:dyDescent="0.3"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</row>
    <row r="1345" spans="28:44" ht="15" customHeight="1" x14ac:dyDescent="0.3"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</row>
    <row r="1346" spans="28:44" ht="15" customHeight="1" x14ac:dyDescent="0.3"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</row>
    <row r="1347" spans="28:44" ht="15" customHeight="1" x14ac:dyDescent="0.3"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</row>
    <row r="1348" spans="28:44" ht="15" customHeight="1" x14ac:dyDescent="0.3"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</row>
    <row r="1349" spans="28:44" ht="15" customHeight="1" x14ac:dyDescent="0.3"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</row>
    <row r="1350" spans="28:44" ht="15" customHeight="1" x14ac:dyDescent="0.3"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</row>
    <row r="1351" spans="28:44" ht="15" customHeight="1" x14ac:dyDescent="0.3"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</row>
    <row r="1352" spans="28:44" ht="15" customHeight="1" x14ac:dyDescent="0.3"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</row>
    <row r="1353" spans="28:44" ht="15" customHeight="1" x14ac:dyDescent="0.3"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</row>
    <row r="1354" spans="28:44" ht="15" customHeight="1" x14ac:dyDescent="0.3"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</row>
    <row r="1355" spans="28:44" ht="15" customHeight="1" x14ac:dyDescent="0.3"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</row>
    <row r="1356" spans="28:44" ht="15" customHeight="1" x14ac:dyDescent="0.3"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</row>
    <row r="1357" spans="28:44" ht="15" customHeight="1" x14ac:dyDescent="0.3"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</row>
    <row r="1358" spans="28:44" ht="15" customHeight="1" x14ac:dyDescent="0.3"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</row>
    <row r="1359" spans="28:44" ht="15" customHeight="1" x14ac:dyDescent="0.3"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</row>
    <row r="1360" spans="28:44" ht="15" customHeight="1" x14ac:dyDescent="0.3"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</row>
    <row r="1361" spans="28:44" ht="15" customHeight="1" x14ac:dyDescent="0.3"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</row>
    <row r="1362" spans="28:44" ht="15" customHeight="1" x14ac:dyDescent="0.3"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</row>
    <row r="1363" spans="28:44" ht="15" customHeight="1" x14ac:dyDescent="0.3"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</row>
    <row r="1364" spans="28:44" ht="15" customHeight="1" x14ac:dyDescent="0.3"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</row>
    <row r="1365" spans="28:44" ht="15" customHeight="1" x14ac:dyDescent="0.3"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</row>
    <row r="1366" spans="28:44" ht="15" customHeight="1" x14ac:dyDescent="0.3"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</row>
    <row r="1367" spans="28:44" ht="15" customHeight="1" x14ac:dyDescent="0.3"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</row>
    <row r="1368" spans="28:44" ht="15" customHeight="1" x14ac:dyDescent="0.3"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</row>
    <row r="1369" spans="28:44" ht="15" customHeight="1" x14ac:dyDescent="0.3"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</row>
    <row r="1370" spans="28:44" ht="15" customHeight="1" x14ac:dyDescent="0.3"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</row>
    <row r="1371" spans="28:44" ht="15" customHeight="1" x14ac:dyDescent="0.3"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</row>
    <row r="1372" spans="28:44" ht="15" customHeight="1" x14ac:dyDescent="0.3"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</row>
    <row r="1373" spans="28:44" ht="15" customHeight="1" x14ac:dyDescent="0.3"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</row>
    <row r="1374" spans="28:44" ht="15" customHeight="1" x14ac:dyDescent="0.3"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</row>
    <row r="1375" spans="28:44" ht="15" customHeight="1" x14ac:dyDescent="0.3"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</row>
    <row r="1376" spans="28:44" ht="15" customHeight="1" x14ac:dyDescent="0.3"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</row>
    <row r="1377" spans="28:44" ht="15" customHeight="1" x14ac:dyDescent="0.3"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</row>
    <row r="1378" spans="28:44" ht="15" customHeight="1" x14ac:dyDescent="0.3"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</row>
    <row r="1379" spans="28:44" ht="15" customHeight="1" x14ac:dyDescent="0.3"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</row>
    <row r="1380" spans="28:44" ht="15" customHeight="1" x14ac:dyDescent="0.3"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</row>
    <row r="1381" spans="28:44" ht="15" customHeight="1" x14ac:dyDescent="0.3"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</row>
    <row r="1382" spans="28:44" ht="15" customHeight="1" x14ac:dyDescent="0.3"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</row>
    <row r="1383" spans="28:44" ht="15" customHeight="1" x14ac:dyDescent="0.3"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</row>
    <row r="1384" spans="28:44" ht="15" customHeight="1" x14ac:dyDescent="0.3"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</row>
    <row r="1385" spans="28:44" ht="15" customHeight="1" x14ac:dyDescent="0.3"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</row>
    <row r="1386" spans="28:44" ht="15" customHeight="1" x14ac:dyDescent="0.3"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</row>
    <row r="1387" spans="28:44" ht="15" customHeight="1" x14ac:dyDescent="0.3"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</row>
    <row r="1388" spans="28:44" ht="15" customHeight="1" x14ac:dyDescent="0.3"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</row>
    <row r="1389" spans="28:44" ht="15" customHeight="1" x14ac:dyDescent="0.3"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</row>
    <row r="1390" spans="28:44" ht="15" customHeight="1" x14ac:dyDescent="0.3"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</row>
    <row r="1391" spans="28:44" ht="15" customHeight="1" x14ac:dyDescent="0.3"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</row>
    <row r="1392" spans="28:44" ht="15" customHeight="1" x14ac:dyDescent="0.3"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</row>
    <row r="1393" spans="1:702" ht="15" customHeight="1" x14ac:dyDescent="0.3"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</row>
    <row r="1394" spans="1:702" ht="15" customHeight="1" x14ac:dyDescent="0.3"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</row>
    <row r="1395" spans="1:702" ht="15" customHeight="1" x14ac:dyDescent="0.3"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</row>
    <row r="1396" spans="1:702" ht="15" customHeight="1" x14ac:dyDescent="0.3"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</row>
    <row r="1397" spans="1:702" ht="15" customHeight="1" x14ac:dyDescent="0.3"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</row>
    <row r="1398" spans="1:702" ht="15" customHeight="1" x14ac:dyDescent="0.3"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</row>
    <row r="1399" spans="1:702" ht="15" customHeight="1" x14ac:dyDescent="0.3"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</row>
    <row r="1400" spans="1:702" ht="15" customHeight="1" x14ac:dyDescent="0.3"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</row>
    <row r="1401" spans="1:702" s="11" customFormat="1" ht="15" customHeight="1" x14ac:dyDescent="0.3">
      <c r="A1401" s="2"/>
      <c r="B1401" s="1"/>
      <c r="C1401" s="1"/>
      <c r="D1401" s="1"/>
      <c r="E1401" s="1"/>
      <c r="F1401" s="1"/>
      <c r="G1401" s="1"/>
      <c r="H1401" s="1"/>
      <c r="I1401" s="10"/>
      <c r="J1401" s="2"/>
      <c r="K1401" s="1"/>
      <c r="L1401" s="1"/>
      <c r="M1401" s="1"/>
      <c r="N1401" s="1"/>
      <c r="O1401" s="1"/>
      <c r="P1401" s="1"/>
      <c r="Q1401" s="2"/>
      <c r="R1401" s="10"/>
      <c r="S1401" s="2"/>
      <c r="T1401" s="1"/>
      <c r="U1401" s="1"/>
      <c r="V1401" s="1"/>
      <c r="W1401" s="1"/>
      <c r="X1401" s="1"/>
      <c r="Y1401" s="1"/>
      <c r="Z1401" s="1"/>
      <c r="AA1401" s="10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13">
    <dataValidation allowBlank="1" showInputMessage="1" showErrorMessage="1" prompt="Alpha A-" sqref="F1:F1401" xr:uid="{867C8780-7C86-4FF0-9167-2714089A32CD}"/>
    <dataValidation allowBlank="1" showInputMessage="1" showErrorMessage="1" prompt="A-" sqref="E1:E1401" xr:uid="{28C9CB56-B9AE-41A2-B713-956DA5DDD905}"/>
    <dataValidation allowBlank="1" showInputMessage="1" showErrorMessage="1" prompt="HA" sqref="D1:D1401" xr:uid="{E6867430-E173-461C-871E-6AE6B70E5082}"/>
    <dataValidation allowBlank="1" showInputMessage="1" showErrorMessage="1" prompt="Alpha BH+" sqref="X1:X1401" xr:uid="{1D4C66E3-CF23-48FC-93BB-A54766D8AA5B}"/>
    <dataValidation allowBlank="1" showInputMessage="1" showErrorMessage="1" prompt="Volume Titrant (Acid)" sqref="Z1:Z1401" xr:uid="{33E8EB0A-55E3-4C73-B82C-442596175F4B}"/>
    <dataValidation allowBlank="1" showInputMessage="1" showErrorMessage="1" prompt="B" sqref="W1:W1401" xr:uid="{147CC4DF-1F72-4E62-A256-1B2419CFE09F}"/>
    <dataValidation allowBlank="1" showInputMessage="1" showErrorMessage="1" prompt="BH+" sqref="V1:V1401" xr:uid="{D79E7E78-23B8-4D06-8103-7F8E53020CDE}"/>
    <dataValidation allowBlank="1" showInputMessage="1" showErrorMessage="1" prompt="OH-" sqref="U1:U1401 C1:C1401" xr:uid="{756CD598-DE40-4998-BB9A-75DDE261E9C2}"/>
    <dataValidation allowBlank="1" showInputMessage="1" showErrorMessage="1" prompt="Phi" sqref="Y1:Y1401 G1:G1401" xr:uid="{88D7A583-2603-44E1-8477-832929CAA046}"/>
    <dataValidation allowBlank="1" showInputMessage="1" showErrorMessage="1" prompt="H+" sqref="T1:T1401 B1:B1401" xr:uid="{CBFA251B-C552-407B-A270-34EECE63E996}"/>
    <dataValidation allowBlank="1" showInputMessage="1" showErrorMessage="1" prompt="pH" sqref="A1:A1401 S1:S1401" xr:uid="{54C5E4C2-6E56-4770-8377-BC74E943F2BE}"/>
    <dataValidation allowBlank="1" showInputMessage="1" showErrorMessage="1" prompt="WASB_x000a_" sqref="I1:I1401" xr:uid="{FDE42B2D-C6AE-4E11-90D7-6C65E327706A}"/>
    <dataValidation allowBlank="1" showInputMessage="1" showErrorMessage="1" prompt="SAWB" sqref="AA1:AA1401" xr:uid="{4D060B13-0013-4401-A861-21B540BBF92F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Monoprotic</vt:lpstr>
      <vt:lpstr>CalcSheet</vt:lpstr>
      <vt:lpstr>Kw</vt:lpstr>
      <vt:lpstr>SAWB_Ca</vt:lpstr>
      <vt:lpstr>SAWB_Cb</vt:lpstr>
      <vt:lpstr>SAWB_DVe</vt:lpstr>
      <vt:lpstr>SAWB_Ka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2019-12-02T19:05:26Z</dcterms:modified>
</cp:coreProperties>
</file>