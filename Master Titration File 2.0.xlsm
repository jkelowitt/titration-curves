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4AE7F53E-757D-47D8-B789-935F41ABA5A3}" xr6:coauthVersionLast="45" xr6:coauthVersionMax="45" xr10:uidLastSave="{00000000-0000-0000-0000-000000000000}"/>
  <bookViews>
    <workbookView xWindow="-108" yWindow="-108" windowWidth="23256" windowHeight="12576" tabRatio="580" xr2:uid="{00000000-000D-0000-FFFF-FFFF00000000}"/>
  </bookViews>
  <sheets>
    <sheet name="Monoprotic" sheetId="11" r:id="rId1"/>
    <sheet name="Diprotic" sheetId="14" r:id="rId2"/>
    <sheet name="CalcSheet" sheetId="13" r:id="rId3"/>
  </sheets>
  <externalReferences>
    <externalReference r:id="rId4"/>
  </externalReferences>
  <definedNames>
    <definedName name="_xlnm._FilterDatabase" localSheetId="2" hidden="1">CalcSheet!#REF!</definedName>
    <definedName name="dpSAWB_Ca">Diprotic!$I$24</definedName>
    <definedName name="dpSAWB_Cb">Diprotic!$I$21</definedName>
    <definedName name="dpSAWB_Kb1">Diprotic!$I$19</definedName>
    <definedName name="dpSAWB_Kb2">Diprotic!$I$20</definedName>
    <definedName name="dpSAWB_Vb">Diprotic!$I$22</definedName>
    <definedName name="dpWASB_Ca">Diprotic!$I$7</definedName>
    <definedName name="dpWASB_Cb">Diprotic!$I$10</definedName>
    <definedName name="dpWASB_K1">'[1]Constant Sheet'!$C$14</definedName>
    <definedName name="dpWASB_K2">'[1]Constant Sheet'!$C$15</definedName>
    <definedName name="dpWASB_Ka1">Diprotic!$I$5</definedName>
    <definedName name="dpWASB_Ka2">Diprotic!$I$6</definedName>
    <definedName name="dpWASB_Va">Diprotic!$I$8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a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3" l="1"/>
  <c r="C3" i="13"/>
  <c r="F3" i="13"/>
  <c r="G3" i="13"/>
  <c r="H3" i="13"/>
  <c r="D3" i="13"/>
  <c r="E3" i="13"/>
  <c r="T3" i="13"/>
  <c r="U3" i="13"/>
  <c r="X3" i="13"/>
  <c r="Y3" i="13"/>
  <c r="Z3" i="13"/>
  <c r="V3" i="13"/>
  <c r="W3" i="13"/>
  <c r="B4" i="13"/>
  <c r="C4" i="13"/>
  <c r="F4" i="13"/>
  <c r="G4" i="13"/>
  <c r="H4" i="13"/>
  <c r="D4" i="13"/>
  <c r="E4" i="13"/>
  <c r="T4" i="13"/>
  <c r="U4" i="13"/>
  <c r="X4" i="13"/>
  <c r="Y4" i="13"/>
  <c r="Z4" i="13"/>
  <c r="V4" i="13"/>
  <c r="W4" i="13"/>
  <c r="B5" i="13"/>
  <c r="C5" i="13"/>
  <c r="F5" i="13"/>
  <c r="G5" i="13"/>
  <c r="H5" i="13"/>
  <c r="D5" i="13"/>
  <c r="E5" i="13"/>
  <c r="T5" i="13"/>
  <c r="U5" i="13"/>
  <c r="X5" i="13"/>
  <c r="Y5" i="13"/>
  <c r="Z5" i="13"/>
  <c r="V5" i="13"/>
  <c r="W5" i="13"/>
  <c r="B6" i="13"/>
  <c r="C6" i="13"/>
  <c r="F6" i="13"/>
  <c r="G6" i="13"/>
  <c r="H6" i="13"/>
  <c r="D6" i="13"/>
  <c r="E6" i="13"/>
  <c r="T6" i="13"/>
  <c r="U6" i="13"/>
  <c r="X6" i="13"/>
  <c r="Y6" i="13"/>
  <c r="Z6" i="13"/>
  <c r="V6" i="13"/>
  <c r="W6" i="13"/>
  <c r="B7" i="13"/>
  <c r="C7" i="13"/>
  <c r="F7" i="13"/>
  <c r="G7" i="13"/>
  <c r="H7" i="13"/>
  <c r="D7" i="13"/>
  <c r="E7" i="13"/>
  <c r="T7" i="13"/>
  <c r="U7" i="13"/>
  <c r="X7" i="13"/>
  <c r="Y7" i="13"/>
  <c r="Z7" i="13"/>
  <c r="V7" i="13"/>
  <c r="W7" i="13"/>
  <c r="B8" i="13"/>
  <c r="C8" i="13"/>
  <c r="F8" i="13"/>
  <c r="G8" i="13"/>
  <c r="H8" i="13"/>
  <c r="D8" i="13"/>
  <c r="E8" i="13"/>
  <c r="T8" i="13"/>
  <c r="U8" i="13"/>
  <c r="X8" i="13"/>
  <c r="Y8" i="13"/>
  <c r="Z8" i="13"/>
  <c r="V8" i="13"/>
  <c r="W8" i="13"/>
  <c r="B9" i="13"/>
  <c r="C9" i="13"/>
  <c r="F9" i="13"/>
  <c r="G9" i="13"/>
  <c r="H9" i="13"/>
  <c r="D9" i="13"/>
  <c r="E9" i="13"/>
  <c r="T9" i="13"/>
  <c r="U9" i="13"/>
  <c r="X9" i="13"/>
  <c r="Y9" i="13"/>
  <c r="Z9" i="13"/>
  <c r="V9" i="13"/>
  <c r="W9" i="13"/>
  <c r="B10" i="13"/>
  <c r="C10" i="13"/>
  <c r="F10" i="13"/>
  <c r="G10" i="13"/>
  <c r="H10" i="13"/>
  <c r="D10" i="13"/>
  <c r="E10" i="13"/>
  <c r="T10" i="13"/>
  <c r="U10" i="13"/>
  <c r="X10" i="13"/>
  <c r="Y10" i="13"/>
  <c r="Z10" i="13"/>
  <c r="V10" i="13"/>
  <c r="W10" i="13"/>
  <c r="B11" i="13"/>
  <c r="C11" i="13"/>
  <c r="F11" i="13"/>
  <c r="G11" i="13"/>
  <c r="H11" i="13"/>
  <c r="D11" i="13"/>
  <c r="E11" i="13"/>
  <c r="T11" i="13"/>
  <c r="U11" i="13"/>
  <c r="X11" i="13"/>
  <c r="Y11" i="13"/>
  <c r="Z11" i="13"/>
  <c r="V11" i="13"/>
  <c r="W11" i="13"/>
  <c r="B12" i="13"/>
  <c r="C12" i="13"/>
  <c r="F12" i="13"/>
  <c r="G12" i="13"/>
  <c r="H12" i="13"/>
  <c r="D12" i="13"/>
  <c r="E12" i="13"/>
  <c r="T12" i="13"/>
  <c r="U12" i="13"/>
  <c r="X12" i="13"/>
  <c r="Y12" i="13"/>
  <c r="Z12" i="13"/>
  <c r="V12" i="13"/>
  <c r="W12" i="13"/>
  <c r="B13" i="13"/>
  <c r="C13" i="13"/>
  <c r="F13" i="13"/>
  <c r="G13" i="13"/>
  <c r="H13" i="13"/>
  <c r="D13" i="13"/>
  <c r="E13" i="13"/>
  <c r="T13" i="13"/>
  <c r="U13" i="13"/>
  <c r="X13" i="13"/>
  <c r="Y13" i="13"/>
  <c r="Z13" i="13"/>
  <c r="V13" i="13"/>
  <c r="W13" i="13"/>
  <c r="B14" i="13"/>
  <c r="C14" i="13"/>
  <c r="F14" i="13"/>
  <c r="G14" i="13"/>
  <c r="H14" i="13"/>
  <c r="D14" i="13"/>
  <c r="E14" i="13"/>
  <c r="T14" i="13"/>
  <c r="U14" i="13"/>
  <c r="X14" i="13"/>
  <c r="Y14" i="13"/>
  <c r="Z14" i="13"/>
  <c r="V14" i="13"/>
  <c r="W14" i="13"/>
  <c r="B15" i="13"/>
  <c r="C15" i="13"/>
  <c r="F15" i="13"/>
  <c r="G15" i="13"/>
  <c r="H15" i="13"/>
  <c r="D15" i="13"/>
  <c r="E15" i="13"/>
  <c r="T15" i="13"/>
  <c r="U15" i="13"/>
  <c r="X15" i="13"/>
  <c r="Y15" i="13"/>
  <c r="Z15" i="13"/>
  <c r="V15" i="13"/>
  <c r="W15" i="13"/>
  <c r="B16" i="13"/>
  <c r="C16" i="13"/>
  <c r="F16" i="13"/>
  <c r="G16" i="13"/>
  <c r="H16" i="13"/>
  <c r="D16" i="13"/>
  <c r="E16" i="13"/>
  <c r="T16" i="13"/>
  <c r="U16" i="13"/>
  <c r="X16" i="13"/>
  <c r="Y16" i="13"/>
  <c r="Z16" i="13"/>
  <c r="V16" i="13"/>
  <c r="W16" i="13"/>
  <c r="B17" i="13"/>
  <c r="C17" i="13"/>
  <c r="F17" i="13"/>
  <c r="G17" i="13"/>
  <c r="H17" i="13"/>
  <c r="D17" i="13"/>
  <c r="E17" i="13"/>
  <c r="T17" i="13"/>
  <c r="U17" i="13"/>
  <c r="X17" i="13"/>
  <c r="Y17" i="13"/>
  <c r="Z17" i="13"/>
  <c r="V17" i="13"/>
  <c r="W17" i="13"/>
  <c r="B18" i="13"/>
  <c r="C18" i="13"/>
  <c r="F18" i="13"/>
  <c r="G18" i="13"/>
  <c r="H18" i="13"/>
  <c r="D18" i="13"/>
  <c r="E18" i="13"/>
  <c r="T18" i="13"/>
  <c r="U18" i="13"/>
  <c r="X18" i="13"/>
  <c r="Y18" i="13"/>
  <c r="Z18" i="13"/>
  <c r="V18" i="13"/>
  <c r="W18" i="13"/>
  <c r="B19" i="13"/>
  <c r="C19" i="13"/>
  <c r="F19" i="13"/>
  <c r="G19" i="13"/>
  <c r="H19" i="13"/>
  <c r="D19" i="13"/>
  <c r="E19" i="13"/>
  <c r="T19" i="13"/>
  <c r="U19" i="13"/>
  <c r="X19" i="13"/>
  <c r="Y19" i="13"/>
  <c r="Z19" i="13"/>
  <c r="V19" i="13"/>
  <c r="W19" i="13"/>
  <c r="B20" i="13"/>
  <c r="C20" i="13"/>
  <c r="F20" i="13"/>
  <c r="G20" i="13"/>
  <c r="H20" i="13"/>
  <c r="D20" i="13"/>
  <c r="E20" i="13"/>
  <c r="T20" i="13"/>
  <c r="U20" i="13"/>
  <c r="X20" i="13"/>
  <c r="Y20" i="13"/>
  <c r="Z20" i="13"/>
  <c r="V20" i="13"/>
  <c r="W20" i="13"/>
  <c r="B21" i="13"/>
  <c r="C21" i="13"/>
  <c r="F21" i="13"/>
  <c r="G21" i="13"/>
  <c r="H21" i="13"/>
  <c r="D21" i="13"/>
  <c r="E21" i="13"/>
  <c r="T21" i="13"/>
  <c r="U21" i="13"/>
  <c r="X21" i="13"/>
  <c r="Y21" i="13"/>
  <c r="Z21" i="13"/>
  <c r="V21" i="13"/>
  <c r="W21" i="13"/>
  <c r="B22" i="13"/>
  <c r="C22" i="13"/>
  <c r="F22" i="13"/>
  <c r="G22" i="13"/>
  <c r="H22" i="13"/>
  <c r="D22" i="13"/>
  <c r="E22" i="13"/>
  <c r="T22" i="13"/>
  <c r="U22" i="13"/>
  <c r="X22" i="13"/>
  <c r="Y22" i="13"/>
  <c r="Z22" i="13"/>
  <c r="V22" i="13"/>
  <c r="W22" i="13"/>
  <c r="B23" i="13"/>
  <c r="C23" i="13"/>
  <c r="F23" i="13"/>
  <c r="G23" i="13"/>
  <c r="H23" i="13"/>
  <c r="D23" i="13"/>
  <c r="E23" i="13"/>
  <c r="T23" i="13"/>
  <c r="U23" i="13"/>
  <c r="X23" i="13"/>
  <c r="Y23" i="13"/>
  <c r="Z23" i="13"/>
  <c r="V23" i="13"/>
  <c r="W23" i="13"/>
  <c r="B24" i="13"/>
  <c r="C24" i="13"/>
  <c r="F24" i="13"/>
  <c r="G24" i="13"/>
  <c r="H24" i="13"/>
  <c r="D24" i="13"/>
  <c r="E24" i="13"/>
  <c r="T24" i="13"/>
  <c r="U24" i="13"/>
  <c r="X24" i="13"/>
  <c r="Y24" i="13"/>
  <c r="Z24" i="13"/>
  <c r="V24" i="13"/>
  <c r="W24" i="13"/>
  <c r="B25" i="13"/>
  <c r="C25" i="13"/>
  <c r="F25" i="13"/>
  <c r="G25" i="13"/>
  <c r="H25" i="13"/>
  <c r="D25" i="13"/>
  <c r="E25" i="13"/>
  <c r="T25" i="13"/>
  <c r="U25" i="13"/>
  <c r="X25" i="13"/>
  <c r="Y25" i="13"/>
  <c r="Z25" i="13"/>
  <c r="V25" i="13"/>
  <c r="W25" i="13"/>
  <c r="B26" i="13"/>
  <c r="C26" i="13"/>
  <c r="F26" i="13"/>
  <c r="G26" i="13"/>
  <c r="H26" i="13"/>
  <c r="D26" i="13"/>
  <c r="E26" i="13"/>
  <c r="T26" i="13"/>
  <c r="U26" i="13"/>
  <c r="X26" i="13"/>
  <c r="Y26" i="13"/>
  <c r="Z26" i="13"/>
  <c r="V26" i="13"/>
  <c r="W26" i="13"/>
  <c r="B27" i="13"/>
  <c r="C27" i="13"/>
  <c r="F27" i="13"/>
  <c r="G27" i="13"/>
  <c r="H27" i="13"/>
  <c r="D27" i="13"/>
  <c r="E27" i="13"/>
  <c r="T27" i="13"/>
  <c r="U27" i="13"/>
  <c r="X27" i="13"/>
  <c r="Y27" i="13"/>
  <c r="Z27" i="13"/>
  <c r="V27" i="13"/>
  <c r="W27" i="13"/>
  <c r="B28" i="13"/>
  <c r="C28" i="13"/>
  <c r="F28" i="13"/>
  <c r="G28" i="13"/>
  <c r="H28" i="13"/>
  <c r="D28" i="13"/>
  <c r="E28" i="13"/>
  <c r="T28" i="13"/>
  <c r="U28" i="13"/>
  <c r="X28" i="13"/>
  <c r="Y28" i="13"/>
  <c r="Z28" i="13"/>
  <c r="V28" i="13"/>
  <c r="W28" i="13"/>
  <c r="B29" i="13"/>
  <c r="C29" i="13"/>
  <c r="F29" i="13"/>
  <c r="G29" i="13"/>
  <c r="H29" i="13"/>
  <c r="D29" i="13"/>
  <c r="E29" i="13"/>
  <c r="T29" i="13"/>
  <c r="U29" i="13"/>
  <c r="X29" i="13"/>
  <c r="Y29" i="13"/>
  <c r="Z29" i="13"/>
  <c r="V29" i="13"/>
  <c r="W29" i="13"/>
  <c r="B30" i="13"/>
  <c r="C30" i="13"/>
  <c r="F30" i="13"/>
  <c r="G30" i="13"/>
  <c r="H30" i="13"/>
  <c r="D30" i="13"/>
  <c r="E30" i="13"/>
  <c r="T30" i="13"/>
  <c r="U30" i="13"/>
  <c r="X30" i="13"/>
  <c r="Y30" i="13"/>
  <c r="Z30" i="13"/>
  <c r="V30" i="13"/>
  <c r="W30" i="13"/>
  <c r="B31" i="13"/>
  <c r="C31" i="13"/>
  <c r="F31" i="13"/>
  <c r="G31" i="13"/>
  <c r="H31" i="13"/>
  <c r="D31" i="13"/>
  <c r="E31" i="13"/>
  <c r="T31" i="13"/>
  <c r="U31" i="13"/>
  <c r="X31" i="13"/>
  <c r="Y31" i="13"/>
  <c r="Z31" i="13"/>
  <c r="V31" i="13"/>
  <c r="W31" i="13"/>
  <c r="B32" i="13"/>
  <c r="C32" i="13"/>
  <c r="F32" i="13"/>
  <c r="G32" i="13"/>
  <c r="H32" i="13"/>
  <c r="D32" i="13"/>
  <c r="E32" i="13"/>
  <c r="T32" i="13"/>
  <c r="U32" i="13"/>
  <c r="X32" i="13"/>
  <c r="Y32" i="13"/>
  <c r="Z32" i="13"/>
  <c r="V32" i="13"/>
  <c r="W32" i="13"/>
  <c r="B33" i="13"/>
  <c r="C33" i="13"/>
  <c r="F33" i="13"/>
  <c r="G33" i="13"/>
  <c r="H33" i="13"/>
  <c r="D33" i="13"/>
  <c r="E33" i="13"/>
  <c r="T33" i="13"/>
  <c r="U33" i="13"/>
  <c r="X33" i="13"/>
  <c r="Y33" i="13"/>
  <c r="Z33" i="13"/>
  <c r="V33" i="13"/>
  <c r="W33" i="13"/>
  <c r="B34" i="13"/>
  <c r="C34" i="13"/>
  <c r="F34" i="13"/>
  <c r="G34" i="13"/>
  <c r="H34" i="13"/>
  <c r="D34" i="13"/>
  <c r="E34" i="13"/>
  <c r="T34" i="13"/>
  <c r="U34" i="13"/>
  <c r="X34" i="13"/>
  <c r="Y34" i="13"/>
  <c r="Z34" i="13"/>
  <c r="V34" i="13"/>
  <c r="W34" i="13"/>
  <c r="B35" i="13"/>
  <c r="C35" i="13"/>
  <c r="F35" i="13"/>
  <c r="G35" i="13"/>
  <c r="H35" i="13"/>
  <c r="D35" i="13"/>
  <c r="E35" i="13"/>
  <c r="T35" i="13"/>
  <c r="U35" i="13"/>
  <c r="X35" i="13"/>
  <c r="Y35" i="13"/>
  <c r="Z35" i="13"/>
  <c r="V35" i="13"/>
  <c r="W35" i="13"/>
  <c r="B36" i="13"/>
  <c r="C36" i="13"/>
  <c r="F36" i="13"/>
  <c r="G36" i="13"/>
  <c r="H36" i="13"/>
  <c r="D36" i="13"/>
  <c r="E36" i="13"/>
  <c r="T36" i="13"/>
  <c r="U36" i="13"/>
  <c r="X36" i="13"/>
  <c r="Y36" i="13"/>
  <c r="Z36" i="13"/>
  <c r="V36" i="13"/>
  <c r="W36" i="13"/>
  <c r="B37" i="13"/>
  <c r="C37" i="13"/>
  <c r="F37" i="13"/>
  <c r="G37" i="13"/>
  <c r="H37" i="13"/>
  <c r="D37" i="13"/>
  <c r="E37" i="13"/>
  <c r="T37" i="13"/>
  <c r="U37" i="13"/>
  <c r="X37" i="13"/>
  <c r="Y37" i="13"/>
  <c r="Z37" i="13"/>
  <c r="V37" i="13"/>
  <c r="W37" i="13"/>
  <c r="B38" i="13"/>
  <c r="C38" i="13"/>
  <c r="F38" i="13"/>
  <c r="G38" i="13"/>
  <c r="H38" i="13"/>
  <c r="D38" i="13"/>
  <c r="E38" i="13"/>
  <c r="T38" i="13"/>
  <c r="U38" i="13"/>
  <c r="X38" i="13"/>
  <c r="Y38" i="13"/>
  <c r="Z38" i="13"/>
  <c r="V38" i="13"/>
  <c r="W38" i="13"/>
  <c r="B39" i="13"/>
  <c r="C39" i="13"/>
  <c r="F39" i="13"/>
  <c r="G39" i="13"/>
  <c r="H39" i="13"/>
  <c r="D39" i="13"/>
  <c r="E39" i="13"/>
  <c r="T39" i="13"/>
  <c r="U39" i="13"/>
  <c r="X39" i="13"/>
  <c r="Y39" i="13"/>
  <c r="Z39" i="13"/>
  <c r="V39" i="13"/>
  <c r="W39" i="13"/>
  <c r="B40" i="13"/>
  <c r="C40" i="13"/>
  <c r="F40" i="13"/>
  <c r="G40" i="13"/>
  <c r="H40" i="13"/>
  <c r="D40" i="13"/>
  <c r="E40" i="13"/>
  <c r="T40" i="13"/>
  <c r="U40" i="13"/>
  <c r="X40" i="13"/>
  <c r="Y40" i="13"/>
  <c r="Z40" i="13"/>
  <c r="V40" i="13"/>
  <c r="W40" i="13"/>
  <c r="B41" i="13"/>
  <c r="C41" i="13"/>
  <c r="F41" i="13"/>
  <c r="G41" i="13"/>
  <c r="H41" i="13"/>
  <c r="D41" i="13"/>
  <c r="E41" i="13"/>
  <c r="T41" i="13"/>
  <c r="U41" i="13"/>
  <c r="X41" i="13"/>
  <c r="Y41" i="13"/>
  <c r="Z41" i="13"/>
  <c r="V41" i="13"/>
  <c r="W41" i="13"/>
  <c r="B42" i="13"/>
  <c r="C42" i="13"/>
  <c r="F42" i="13"/>
  <c r="G42" i="13"/>
  <c r="H42" i="13"/>
  <c r="D42" i="13"/>
  <c r="E42" i="13"/>
  <c r="T42" i="13"/>
  <c r="U42" i="13"/>
  <c r="X42" i="13"/>
  <c r="Y42" i="13"/>
  <c r="Z42" i="13"/>
  <c r="V42" i="13"/>
  <c r="W42" i="13"/>
  <c r="B43" i="13"/>
  <c r="C43" i="13"/>
  <c r="F43" i="13"/>
  <c r="G43" i="13"/>
  <c r="H43" i="13"/>
  <c r="D43" i="13"/>
  <c r="E43" i="13"/>
  <c r="T43" i="13"/>
  <c r="U43" i="13"/>
  <c r="X43" i="13"/>
  <c r="Y43" i="13"/>
  <c r="Z43" i="13"/>
  <c r="V43" i="13"/>
  <c r="W43" i="13"/>
  <c r="B44" i="13"/>
  <c r="C44" i="13"/>
  <c r="F44" i="13"/>
  <c r="G44" i="13"/>
  <c r="H44" i="13"/>
  <c r="D44" i="13"/>
  <c r="E44" i="13"/>
  <c r="T44" i="13"/>
  <c r="U44" i="13"/>
  <c r="X44" i="13"/>
  <c r="Y44" i="13"/>
  <c r="Z44" i="13"/>
  <c r="V44" i="13"/>
  <c r="W44" i="13"/>
  <c r="B45" i="13"/>
  <c r="C45" i="13"/>
  <c r="F45" i="13"/>
  <c r="G45" i="13"/>
  <c r="H45" i="13"/>
  <c r="D45" i="13"/>
  <c r="E45" i="13"/>
  <c r="T45" i="13"/>
  <c r="U45" i="13"/>
  <c r="X45" i="13"/>
  <c r="Y45" i="13"/>
  <c r="Z45" i="13"/>
  <c r="V45" i="13"/>
  <c r="W45" i="13"/>
  <c r="B46" i="13"/>
  <c r="C46" i="13"/>
  <c r="F46" i="13"/>
  <c r="G46" i="13"/>
  <c r="H46" i="13"/>
  <c r="D46" i="13"/>
  <c r="E46" i="13"/>
  <c r="T46" i="13"/>
  <c r="U46" i="13"/>
  <c r="X46" i="13"/>
  <c r="Y46" i="13"/>
  <c r="Z46" i="13"/>
  <c r="V46" i="13"/>
  <c r="W46" i="13"/>
  <c r="B47" i="13"/>
  <c r="C47" i="13"/>
  <c r="F47" i="13"/>
  <c r="G47" i="13"/>
  <c r="H47" i="13"/>
  <c r="D47" i="13"/>
  <c r="E47" i="13"/>
  <c r="T47" i="13"/>
  <c r="U47" i="13"/>
  <c r="X47" i="13"/>
  <c r="Y47" i="13"/>
  <c r="Z47" i="13"/>
  <c r="V47" i="13"/>
  <c r="W47" i="13"/>
  <c r="B48" i="13"/>
  <c r="C48" i="13"/>
  <c r="F48" i="13"/>
  <c r="G48" i="13"/>
  <c r="H48" i="13"/>
  <c r="D48" i="13"/>
  <c r="E48" i="13"/>
  <c r="T48" i="13"/>
  <c r="U48" i="13"/>
  <c r="X48" i="13"/>
  <c r="Y48" i="13"/>
  <c r="Z48" i="13"/>
  <c r="V48" i="13"/>
  <c r="W48" i="13"/>
  <c r="B49" i="13"/>
  <c r="C49" i="13"/>
  <c r="F49" i="13"/>
  <c r="G49" i="13"/>
  <c r="H49" i="13"/>
  <c r="D49" i="13"/>
  <c r="E49" i="13"/>
  <c r="T49" i="13"/>
  <c r="U49" i="13"/>
  <c r="X49" i="13"/>
  <c r="Y49" i="13"/>
  <c r="Z49" i="13"/>
  <c r="V49" i="13"/>
  <c r="W49" i="13"/>
  <c r="B50" i="13"/>
  <c r="C50" i="13"/>
  <c r="F50" i="13"/>
  <c r="G50" i="13"/>
  <c r="H50" i="13"/>
  <c r="D50" i="13"/>
  <c r="E50" i="13"/>
  <c r="T50" i="13"/>
  <c r="U50" i="13"/>
  <c r="X50" i="13"/>
  <c r="Y50" i="13"/>
  <c r="Z50" i="13"/>
  <c r="V50" i="13"/>
  <c r="W50" i="13"/>
  <c r="B51" i="13"/>
  <c r="C51" i="13"/>
  <c r="F51" i="13"/>
  <c r="G51" i="13"/>
  <c r="H51" i="13"/>
  <c r="D51" i="13"/>
  <c r="E51" i="13"/>
  <c r="T51" i="13"/>
  <c r="U51" i="13"/>
  <c r="X51" i="13"/>
  <c r="Y51" i="13"/>
  <c r="Z51" i="13"/>
  <c r="V51" i="13"/>
  <c r="W51" i="13"/>
  <c r="B52" i="13"/>
  <c r="C52" i="13"/>
  <c r="F52" i="13"/>
  <c r="G52" i="13"/>
  <c r="H52" i="13"/>
  <c r="D52" i="13"/>
  <c r="E52" i="13"/>
  <c r="T52" i="13"/>
  <c r="U52" i="13"/>
  <c r="X52" i="13"/>
  <c r="Y52" i="13"/>
  <c r="Z52" i="13"/>
  <c r="V52" i="13"/>
  <c r="W52" i="13"/>
  <c r="B53" i="13"/>
  <c r="C53" i="13"/>
  <c r="F53" i="13"/>
  <c r="G53" i="13"/>
  <c r="H53" i="13"/>
  <c r="D53" i="13"/>
  <c r="E53" i="13"/>
  <c r="T53" i="13"/>
  <c r="U53" i="13"/>
  <c r="X53" i="13"/>
  <c r="Y53" i="13"/>
  <c r="Z53" i="13"/>
  <c r="V53" i="13"/>
  <c r="W53" i="13"/>
  <c r="B54" i="13"/>
  <c r="C54" i="13"/>
  <c r="F54" i="13"/>
  <c r="G54" i="13"/>
  <c r="H54" i="13"/>
  <c r="D54" i="13"/>
  <c r="E54" i="13"/>
  <c r="T54" i="13"/>
  <c r="U54" i="13"/>
  <c r="X54" i="13"/>
  <c r="Y54" i="13"/>
  <c r="Z54" i="13"/>
  <c r="V54" i="13"/>
  <c r="W54" i="13"/>
  <c r="B55" i="13"/>
  <c r="C55" i="13"/>
  <c r="F55" i="13"/>
  <c r="G55" i="13"/>
  <c r="H55" i="13"/>
  <c r="D55" i="13"/>
  <c r="E55" i="13"/>
  <c r="T55" i="13"/>
  <c r="U55" i="13"/>
  <c r="X55" i="13"/>
  <c r="Y55" i="13"/>
  <c r="Z55" i="13"/>
  <c r="V55" i="13"/>
  <c r="W55" i="13"/>
  <c r="B56" i="13"/>
  <c r="C56" i="13"/>
  <c r="F56" i="13"/>
  <c r="G56" i="13"/>
  <c r="H56" i="13"/>
  <c r="D56" i="13"/>
  <c r="E56" i="13"/>
  <c r="T56" i="13"/>
  <c r="U56" i="13"/>
  <c r="X56" i="13"/>
  <c r="Y56" i="13"/>
  <c r="Z56" i="13"/>
  <c r="V56" i="13"/>
  <c r="W56" i="13"/>
  <c r="B57" i="13"/>
  <c r="C57" i="13"/>
  <c r="F57" i="13"/>
  <c r="G57" i="13"/>
  <c r="H57" i="13"/>
  <c r="D57" i="13"/>
  <c r="E57" i="13"/>
  <c r="T57" i="13"/>
  <c r="U57" i="13"/>
  <c r="X57" i="13"/>
  <c r="Y57" i="13"/>
  <c r="Z57" i="13"/>
  <c r="V57" i="13"/>
  <c r="W57" i="13"/>
  <c r="B58" i="13"/>
  <c r="C58" i="13"/>
  <c r="F58" i="13"/>
  <c r="G58" i="13"/>
  <c r="H58" i="13"/>
  <c r="D58" i="13"/>
  <c r="E58" i="13"/>
  <c r="T58" i="13"/>
  <c r="U58" i="13"/>
  <c r="X58" i="13"/>
  <c r="Y58" i="13"/>
  <c r="Z58" i="13"/>
  <c r="V58" i="13"/>
  <c r="W58" i="13"/>
  <c r="B59" i="13"/>
  <c r="C59" i="13"/>
  <c r="F59" i="13"/>
  <c r="G59" i="13"/>
  <c r="H59" i="13"/>
  <c r="D59" i="13"/>
  <c r="E59" i="13"/>
  <c r="T59" i="13"/>
  <c r="U59" i="13"/>
  <c r="X59" i="13"/>
  <c r="Y59" i="13"/>
  <c r="Z59" i="13"/>
  <c r="V59" i="13"/>
  <c r="W59" i="13"/>
  <c r="B60" i="13"/>
  <c r="C60" i="13"/>
  <c r="F60" i="13"/>
  <c r="G60" i="13"/>
  <c r="H60" i="13"/>
  <c r="D60" i="13"/>
  <c r="E60" i="13"/>
  <c r="T60" i="13"/>
  <c r="U60" i="13"/>
  <c r="X60" i="13"/>
  <c r="Y60" i="13"/>
  <c r="Z60" i="13"/>
  <c r="V60" i="13"/>
  <c r="W60" i="13"/>
  <c r="B61" i="13"/>
  <c r="C61" i="13"/>
  <c r="F61" i="13"/>
  <c r="G61" i="13"/>
  <c r="H61" i="13"/>
  <c r="D61" i="13"/>
  <c r="E61" i="13"/>
  <c r="T61" i="13"/>
  <c r="U61" i="13"/>
  <c r="X61" i="13"/>
  <c r="Y61" i="13"/>
  <c r="Z61" i="13"/>
  <c r="V61" i="13"/>
  <c r="W61" i="13"/>
  <c r="B62" i="13"/>
  <c r="C62" i="13"/>
  <c r="F62" i="13"/>
  <c r="G62" i="13"/>
  <c r="H62" i="13"/>
  <c r="D62" i="13"/>
  <c r="E62" i="13"/>
  <c r="T62" i="13"/>
  <c r="U62" i="13"/>
  <c r="X62" i="13"/>
  <c r="Y62" i="13"/>
  <c r="Z62" i="13"/>
  <c r="V62" i="13"/>
  <c r="W62" i="13"/>
  <c r="B63" i="13"/>
  <c r="C63" i="13"/>
  <c r="F63" i="13"/>
  <c r="G63" i="13"/>
  <c r="H63" i="13"/>
  <c r="D63" i="13"/>
  <c r="E63" i="13"/>
  <c r="T63" i="13"/>
  <c r="U63" i="13"/>
  <c r="X63" i="13"/>
  <c r="Y63" i="13"/>
  <c r="Z63" i="13"/>
  <c r="V63" i="13"/>
  <c r="W63" i="13"/>
  <c r="B64" i="13"/>
  <c r="C64" i="13"/>
  <c r="F64" i="13"/>
  <c r="G64" i="13"/>
  <c r="H64" i="13"/>
  <c r="D64" i="13"/>
  <c r="E64" i="13"/>
  <c r="T64" i="13"/>
  <c r="U64" i="13"/>
  <c r="X64" i="13"/>
  <c r="Y64" i="13"/>
  <c r="Z64" i="13"/>
  <c r="V64" i="13"/>
  <c r="W64" i="13"/>
  <c r="B65" i="13"/>
  <c r="C65" i="13"/>
  <c r="F65" i="13"/>
  <c r="G65" i="13"/>
  <c r="H65" i="13"/>
  <c r="D65" i="13"/>
  <c r="E65" i="13"/>
  <c r="T65" i="13"/>
  <c r="U65" i="13"/>
  <c r="X65" i="13"/>
  <c r="Y65" i="13"/>
  <c r="Z65" i="13"/>
  <c r="V65" i="13"/>
  <c r="W65" i="13"/>
  <c r="B66" i="13"/>
  <c r="C66" i="13"/>
  <c r="F66" i="13"/>
  <c r="G66" i="13"/>
  <c r="H66" i="13"/>
  <c r="D66" i="13"/>
  <c r="E66" i="13"/>
  <c r="T66" i="13"/>
  <c r="U66" i="13"/>
  <c r="X66" i="13"/>
  <c r="Y66" i="13"/>
  <c r="Z66" i="13"/>
  <c r="V66" i="13"/>
  <c r="W66" i="13"/>
  <c r="B67" i="13"/>
  <c r="C67" i="13"/>
  <c r="F67" i="13"/>
  <c r="G67" i="13"/>
  <c r="H67" i="13"/>
  <c r="D67" i="13"/>
  <c r="E67" i="13"/>
  <c r="T67" i="13"/>
  <c r="U67" i="13"/>
  <c r="X67" i="13"/>
  <c r="Y67" i="13"/>
  <c r="Z67" i="13"/>
  <c r="V67" i="13"/>
  <c r="W67" i="13"/>
  <c r="B68" i="13"/>
  <c r="C68" i="13"/>
  <c r="F68" i="13"/>
  <c r="G68" i="13"/>
  <c r="H68" i="13"/>
  <c r="D68" i="13"/>
  <c r="E68" i="13"/>
  <c r="T68" i="13"/>
  <c r="U68" i="13"/>
  <c r="X68" i="13"/>
  <c r="Y68" i="13"/>
  <c r="Z68" i="13"/>
  <c r="V68" i="13"/>
  <c r="W68" i="13"/>
  <c r="B69" i="13"/>
  <c r="C69" i="13"/>
  <c r="F69" i="13"/>
  <c r="G69" i="13"/>
  <c r="H69" i="13"/>
  <c r="D69" i="13"/>
  <c r="E69" i="13"/>
  <c r="T69" i="13"/>
  <c r="U69" i="13"/>
  <c r="X69" i="13"/>
  <c r="Y69" i="13"/>
  <c r="Z69" i="13"/>
  <c r="V69" i="13"/>
  <c r="W69" i="13"/>
  <c r="B70" i="13"/>
  <c r="C70" i="13"/>
  <c r="F70" i="13"/>
  <c r="G70" i="13"/>
  <c r="H70" i="13"/>
  <c r="D70" i="13"/>
  <c r="E70" i="13"/>
  <c r="T70" i="13"/>
  <c r="U70" i="13"/>
  <c r="X70" i="13"/>
  <c r="Y70" i="13"/>
  <c r="Z70" i="13"/>
  <c r="V70" i="13"/>
  <c r="W70" i="13"/>
  <c r="B71" i="13"/>
  <c r="C71" i="13"/>
  <c r="F71" i="13"/>
  <c r="G71" i="13"/>
  <c r="H71" i="13"/>
  <c r="D71" i="13"/>
  <c r="E71" i="13"/>
  <c r="T71" i="13"/>
  <c r="U71" i="13"/>
  <c r="X71" i="13"/>
  <c r="Y71" i="13"/>
  <c r="Z71" i="13"/>
  <c r="V71" i="13"/>
  <c r="W71" i="13"/>
  <c r="B72" i="13"/>
  <c r="C72" i="13"/>
  <c r="F72" i="13"/>
  <c r="G72" i="13"/>
  <c r="H72" i="13"/>
  <c r="D72" i="13"/>
  <c r="E72" i="13"/>
  <c r="T72" i="13"/>
  <c r="U72" i="13"/>
  <c r="X72" i="13"/>
  <c r="Y72" i="13"/>
  <c r="Z72" i="13"/>
  <c r="V72" i="13"/>
  <c r="W72" i="13"/>
  <c r="B73" i="13"/>
  <c r="C73" i="13"/>
  <c r="F73" i="13"/>
  <c r="G73" i="13"/>
  <c r="H73" i="13"/>
  <c r="D73" i="13"/>
  <c r="E73" i="13"/>
  <c r="T73" i="13"/>
  <c r="U73" i="13"/>
  <c r="X73" i="13"/>
  <c r="Y73" i="13"/>
  <c r="Z73" i="13"/>
  <c r="V73" i="13"/>
  <c r="W73" i="13"/>
  <c r="B74" i="13"/>
  <c r="C74" i="13"/>
  <c r="F74" i="13"/>
  <c r="G74" i="13"/>
  <c r="H74" i="13"/>
  <c r="D74" i="13"/>
  <c r="E74" i="13"/>
  <c r="T74" i="13"/>
  <c r="U74" i="13"/>
  <c r="X74" i="13"/>
  <c r="Y74" i="13"/>
  <c r="Z74" i="13"/>
  <c r="V74" i="13"/>
  <c r="W74" i="13"/>
  <c r="B75" i="13"/>
  <c r="C75" i="13"/>
  <c r="F75" i="13"/>
  <c r="G75" i="13"/>
  <c r="H75" i="13"/>
  <c r="D75" i="13"/>
  <c r="E75" i="13"/>
  <c r="T75" i="13"/>
  <c r="U75" i="13"/>
  <c r="X75" i="13"/>
  <c r="Y75" i="13"/>
  <c r="Z75" i="13"/>
  <c r="V75" i="13"/>
  <c r="W75" i="13"/>
  <c r="B76" i="13"/>
  <c r="C76" i="13"/>
  <c r="F76" i="13"/>
  <c r="G76" i="13"/>
  <c r="H76" i="13"/>
  <c r="D76" i="13"/>
  <c r="E76" i="13"/>
  <c r="T76" i="13"/>
  <c r="U76" i="13"/>
  <c r="X76" i="13"/>
  <c r="Y76" i="13"/>
  <c r="Z76" i="13"/>
  <c r="V76" i="13"/>
  <c r="W76" i="13"/>
  <c r="B77" i="13"/>
  <c r="C77" i="13"/>
  <c r="F77" i="13"/>
  <c r="G77" i="13"/>
  <c r="H77" i="13"/>
  <c r="D77" i="13"/>
  <c r="E77" i="13"/>
  <c r="T77" i="13"/>
  <c r="U77" i="13"/>
  <c r="X77" i="13"/>
  <c r="Y77" i="13"/>
  <c r="Z77" i="13"/>
  <c r="V77" i="13"/>
  <c r="W77" i="13"/>
  <c r="B78" i="13"/>
  <c r="C78" i="13"/>
  <c r="F78" i="13"/>
  <c r="G78" i="13"/>
  <c r="H78" i="13"/>
  <c r="D78" i="13"/>
  <c r="E78" i="13"/>
  <c r="T78" i="13"/>
  <c r="U78" i="13"/>
  <c r="X78" i="13"/>
  <c r="Y78" i="13"/>
  <c r="Z78" i="13"/>
  <c r="V78" i="13"/>
  <c r="W78" i="13"/>
  <c r="B79" i="13"/>
  <c r="C79" i="13"/>
  <c r="F79" i="13"/>
  <c r="G79" i="13"/>
  <c r="H79" i="13"/>
  <c r="D79" i="13"/>
  <c r="E79" i="13"/>
  <c r="T79" i="13"/>
  <c r="U79" i="13"/>
  <c r="X79" i="13"/>
  <c r="Y79" i="13"/>
  <c r="Z79" i="13"/>
  <c r="V79" i="13"/>
  <c r="W79" i="13"/>
  <c r="B80" i="13"/>
  <c r="C80" i="13"/>
  <c r="F80" i="13"/>
  <c r="G80" i="13"/>
  <c r="H80" i="13"/>
  <c r="D80" i="13"/>
  <c r="E80" i="13"/>
  <c r="T80" i="13"/>
  <c r="U80" i="13"/>
  <c r="X80" i="13"/>
  <c r="Y80" i="13"/>
  <c r="Z80" i="13"/>
  <c r="V80" i="13"/>
  <c r="W80" i="13"/>
  <c r="B81" i="13"/>
  <c r="C81" i="13"/>
  <c r="F81" i="13"/>
  <c r="G81" i="13"/>
  <c r="H81" i="13"/>
  <c r="D81" i="13"/>
  <c r="E81" i="13"/>
  <c r="T81" i="13"/>
  <c r="U81" i="13"/>
  <c r="X81" i="13"/>
  <c r="Y81" i="13"/>
  <c r="Z81" i="13"/>
  <c r="V81" i="13"/>
  <c r="W81" i="13"/>
  <c r="B82" i="13"/>
  <c r="C82" i="13"/>
  <c r="F82" i="13"/>
  <c r="G82" i="13"/>
  <c r="H82" i="13"/>
  <c r="D82" i="13"/>
  <c r="E82" i="13"/>
  <c r="T82" i="13"/>
  <c r="U82" i="13"/>
  <c r="X82" i="13"/>
  <c r="Y82" i="13"/>
  <c r="Z82" i="13"/>
  <c r="V82" i="13"/>
  <c r="W82" i="13"/>
  <c r="B83" i="13"/>
  <c r="C83" i="13"/>
  <c r="F83" i="13"/>
  <c r="G83" i="13"/>
  <c r="H83" i="13"/>
  <c r="D83" i="13"/>
  <c r="E83" i="13"/>
  <c r="T83" i="13"/>
  <c r="U83" i="13"/>
  <c r="X83" i="13"/>
  <c r="Y83" i="13"/>
  <c r="Z83" i="13"/>
  <c r="V83" i="13"/>
  <c r="W83" i="13"/>
  <c r="B84" i="13"/>
  <c r="C84" i="13"/>
  <c r="F84" i="13"/>
  <c r="G84" i="13"/>
  <c r="H84" i="13"/>
  <c r="D84" i="13"/>
  <c r="E84" i="13"/>
  <c r="T84" i="13"/>
  <c r="U84" i="13"/>
  <c r="X84" i="13"/>
  <c r="Y84" i="13"/>
  <c r="Z84" i="13"/>
  <c r="V84" i="13"/>
  <c r="W84" i="13"/>
  <c r="B85" i="13"/>
  <c r="C85" i="13"/>
  <c r="F85" i="13"/>
  <c r="G85" i="13"/>
  <c r="H85" i="13"/>
  <c r="D85" i="13"/>
  <c r="E85" i="13"/>
  <c r="T85" i="13"/>
  <c r="U85" i="13"/>
  <c r="X85" i="13"/>
  <c r="Y85" i="13"/>
  <c r="Z85" i="13"/>
  <c r="V85" i="13"/>
  <c r="W85" i="13"/>
  <c r="B86" i="13"/>
  <c r="C86" i="13"/>
  <c r="F86" i="13"/>
  <c r="G86" i="13"/>
  <c r="H86" i="13"/>
  <c r="D86" i="13"/>
  <c r="E86" i="13"/>
  <c r="T86" i="13"/>
  <c r="U86" i="13"/>
  <c r="X86" i="13"/>
  <c r="Y86" i="13"/>
  <c r="Z86" i="13"/>
  <c r="V86" i="13"/>
  <c r="W86" i="13"/>
  <c r="B87" i="13"/>
  <c r="C87" i="13"/>
  <c r="F87" i="13"/>
  <c r="G87" i="13"/>
  <c r="H87" i="13"/>
  <c r="D87" i="13"/>
  <c r="E87" i="13"/>
  <c r="T87" i="13"/>
  <c r="U87" i="13"/>
  <c r="X87" i="13"/>
  <c r="Y87" i="13"/>
  <c r="Z87" i="13"/>
  <c r="V87" i="13"/>
  <c r="W87" i="13"/>
  <c r="B88" i="13"/>
  <c r="C88" i="13"/>
  <c r="F88" i="13"/>
  <c r="G88" i="13"/>
  <c r="H88" i="13"/>
  <c r="D88" i="13"/>
  <c r="E88" i="13"/>
  <c r="T88" i="13"/>
  <c r="U88" i="13"/>
  <c r="X88" i="13"/>
  <c r="Y88" i="13"/>
  <c r="Z88" i="13"/>
  <c r="V88" i="13"/>
  <c r="W88" i="13"/>
  <c r="B89" i="13"/>
  <c r="C89" i="13"/>
  <c r="F89" i="13"/>
  <c r="G89" i="13"/>
  <c r="H89" i="13"/>
  <c r="D89" i="13"/>
  <c r="E89" i="13"/>
  <c r="T89" i="13"/>
  <c r="U89" i="13"/>
  <c r="X89" i="13"/>
  <c r="Y89" i="13"/>
  <c r="Z89" i="13"/>
  <c r="V89" i="13"/>
  <c r="W89" i="13"/>
  <c r="B90" i="13"/>
  <c r="C90" i="13"/>
  <c r="F90" i="13"/>
  <c r="G90" i="13"/>
  <c r="H90" i="13"/>
  <c r="D90" i="13"/>
  <c r="E90" i="13"/>
  <c r="T90" i="13"/>
  <c r="U90" i="13"/>
  <c r="X90" i="13"/>
  <c r="Y90" i="13"/>
  <c r="Z90" i="13"/>
  <c r="V90" i="13"/>
  <c r="W90" i="13"/>
  <c r="B91" i="13"/>
  <c r="C91" i="13"/>
  <c r="F91" i="13"/>
  <c r="G91" i="13"/>
  <c r="H91" i="13"/>
  <c r="D91" i="13"/>
  <c r="E91" i="13"/>
  <c r="T91" i="13"/>
  <c r="U91" i="13"/>
  <c r="X91" i="13"/>
  <c r="Y91" i="13"/>
  <c r="Z91" i="13"/>
  <c r="V91" i="13"/>
  <c r="W91" i="13"/>
  <c r="B92" i="13"/>
  <c r="C92" i="13"/>
  <c r="F92" i="13"/>
  <c r="G92" i="13"/>
  <c r="H92" i="13"/>
  <c r="D92" i="13"/>
  <c r="E92" i="13"/>
  <c r="T92" i="13"/>
  <c r="U92" i="13"/>
  <c r="X92" i="13"/>
  <c r="Y92" i="13"/>
  <c r="Z92" i="13"/>
  <c r="V92" i="13"/>
  <c r="W92" i="13"/>
  <c r="B93" i="13"/>
  <c r="C93" i="13"/>
  <c r="F93" i="13"/>
  <c r="G93" i="13"/>
  <c r="H93" i="13"/>
  <c r="D93" i="13"/>
  <c r="E93" i="13"/>
  <c r="T93" i="13"/>
  <c r="U93" i="13"/>
  <c r="X93" i="13"/>
  <c r="Y93" i="13"/>
  <c r="Z93" i="13"/>
  <c r="V93" i="13"/>
  <c r="W93" i="13"/>
  <c r="B94" i="13"/>
  <c r="C94" i="13"/>
  <c r="F94" i="13"/>
  <c r="G94" i="13"/>
  <c r="H94" i="13"/>
  <c r="D94" i="13"/>
  <c r="E94" i="13"/>
  <c r="T94" i="13"/>
  <c r="U94" i="13"/>
  <c r="X94" i="13"/>
  <c r="Y94" i="13"/>
  <c r="Z94" i="13"/>
  <c r="V94" i="13"/>
  <c r="W94" i="13"/>
  <c r="B95" i="13"/>
  <c r="C95" i="13"/>
  <c r="F95" i="13"/>
  <c r="G95" i="13"/>
  <c r="H95" i="13"/>
  <c r="D95" i="13"/>
  <c r="E95" i="13"/>
  <c r="T95" i="13"/>
  <c r="U95" i="13"/>
  <c r="X95" i="13"/>
  <c r="Y95" i="13"/>
  <c r="Z95" i="13"/>
  <c r="V95" i="13"/>
  <c r="W95" i="13"/>
  <c r="B96" i="13"/>
  <c r="C96" i="13"/>
  <c r="F96" i="13"/>
  <c r="G96" i="13"/>
  <c r="H96" i="13"/>
  <c r="D96" i="13"/>
  <c r="E96" i="13"/>
  <c r="T96" i="13"/>
  <c r="U96" i="13"/>
  <c r="X96" i="13"/>
  <c r="Y96" i="13"/>
  <c r="Z96" i="13"/>
  <c r="V96" i="13"/>
  <c r="W96" i="13"/>
  <c r="B97" i="13"/>
  <c r="C97" i="13"/>
  <c r="F97" i="13"/>
  <c r="G97" i="13"/>
  <c r="H97" i="13"/>
  <c r="D97" i="13"/>
  <c r="E97" i="13"/>
  <c r="T97" i="13"/>
  <c r="U97" i="13"/>
  <c r="X97" i="13"/>
  <c r="Y97" i="13"/>
  <c r="Z97" i="13"/>
  <c r="V97" i="13"/>
  <c r="W97" i="13"/>
  <c r="B98" i="13"/>
  <c r="C98" i="13"/>
  <c r="F98" i="13"/>
  <c r="G98" i="13"/>
  <c r="H98" i="13"/>
  <c r="D98" i="13"/>
  <c r="E98" i="13"/>
  <c r="T98" i="13"/>
  <c r="U98" i="13"/>
  <c r="X98" i="13"/>
  <c r="Y98" i="13"/>
  <c r="Z98" i="13"/>
  <c r="V98" i="13"/>
  <c r="W98" i="13"/>
  <c r="B99" i="13"/>
  <c r="C99" i="13"/>
  <c r="F99" i="13"/>
  <c r="G99" i="13"/>
  <c r="H99" i="13"/>
  <c r="D99" i="13"/>
  <c r="E99" i="13"/>
  <c r="T99" i="13"/>
  <c r="U99" i="13"/>
  <c r="X99" i="13"/>
  <c r="Y99" i="13"/>
  <c r="Z99" i="13"/>
  <c r="V99" i="13"/>
  <c r="W99" i="13"/>
  <c r="B100" i="13"/>
  <c r="C100" i="13"/>
  <c r="F100" i="13"/>
  <c r="G100" i="13"/>
  <c r="H100" i="13"/>
  <c r="D100" i="13"/>
  <c r="E100" i="13"/>
  <c r="T100" i="13"/>
  <c r="U100" i="13"/>
  <c r="X100" i="13"/>
  <c r="Y100" i="13"/>
  <c r="Z100" i="13"/>
  <c r="V100" i="13"/>
  <c r="W100" i="13"/>
  <c r="B101" i="13"/>
  <c r="C101" i="13"/>
  <c r="F101" i="13"/>
  <c r="G101" i="13"/>
  <c r="H101" i="13"/>
  <c r="D101" i="13"/>
  <c r="E101" i="13"/>
  <c r="T101" i="13"/>
  <c r="U101" i="13"/>
  <c r="X101" i="13"/>
  <c r="Y101" i="13"/>
  <c r="Z101" i="13"/>
  <c r="V101" i="13"/>
  <c r="W101" i="13"/>
  <c r="B102" i="13"/>
  <c r="C102" i="13"/>
  <c r="F102" i="13"/>
  <c r="G102" i="13"/>
  <c r="H102" i="13"/>
  <c r="D102" i="13"/>
  <c r="E102" i="13"/>
  <c r="T102" i="13"/>
  <c r="U102" i="13"/>
  <c r="X102" i="13"/>
  <c r="Y102" i="13"/>
  <c r="Z102" i="13"/>
  <c r="V102" i="13"/>
  <c r="W102" i="13"/>
  <c r="B103" i="13"/>
  <c r="C103" i="13"/>
  <c r="F103" i="13"/>
  <c r="G103" i="13"/>
  <c r="H103" i="13"/>
  <c r="D103" i="13"/>
  <c r="E103" i="13"/>
  <c r="T103" i="13"/>
  <c r="U103" i="13"/>
  <c r="X103" i="13"/>
  <c r="Y103" i="13"/>
  <c r="Z103" i="13"/>
  <c r="V103" i="13"/>
  <c r="W103" i="13"/>
  <c r="B104" i="13"/>
  <c r="C104" i="13"/>
  <c r="F104" i="13"/>
  <c r="G104" i="13"/>
  <c r="H104" i="13"/>
  <c r="D104" i="13"/>
  <c r="E104" i="13"/>
  <c r="T104" i="13"/>
  <c r="U104" i="13"/>
  <c r="X104" i="13"/>
  <c r="Y104" i="13"/>
  <c r="Z104" i="13"/>
  <c r="V104" i="13"/>
  <c r="W104" i="13"/>
  <c r="B105" i="13"/>
  <c r="C105" i="13"/>
  <c r="F105" i="13"/>
  <c r="G105" i="13"/>
  <c r="H105" i="13"/>
  <c r="D105" i="13"/>
  <c r="E105" i="13"/>
  <c r="T105" i="13"/>
  <c r="U105" i="13"/>
  <c r="X105" i="13"/>
  <c r="Y105" i="13"/>
  <c r="Z105" i="13"/>
  <c r="V105" i="13"/>
  <c r="W105" i="13"/>
  <c r="B106" i="13"/>
  <c r="C106" i="13"/>
  <c r="F106" i="13"/>
  <c r="G106" i="13"/>
  <c r="H106" i="13"/>
  <c r="D106" i="13"/>
  <c r="E106" i="13"/>
  <c r="T106" i="13"/>
  <c r="U106" i="13"/>
  <c r="X106" i="13"/>
  <c r="Y106" i="13"/>
  <c r="Z106" i="13"/>
  <c r="V106" i="13"/>
  <c r="W106" i="13"/>
  <c r="B107" i="13"/>
  <c r="C107" i="13"/>
  <c r="F107" i="13"/>
  <c r="G107" i="13"/>
  <c r="H107" i="13"/>
  <c r="D107" i="13"/>
  <c r="E107" i="13"/>
  <c r="T107" i="13"/>
  <c r="U107" i="13"/>
  <c r="X107" i="13"/>
  <c r="Y107" i="13"/>
  <c r="Z107" i="13"/>
  <c r="V107" i="13"/>
  <c r="W107" i="13"/>
  <c r="B108" i="13"/>
  <c r="C108" i="13"/>
  <c r="F108" i="13"/>
  <c r="G108" i="13"/>
  <c r="H108" i="13"/>
  <c r="D108" i="13"/>
  <c r="E108" i="13"/>
  <c r="T108" i="13"/>
  <c r="U108" i="13"/>
  <c r="X108" i="13"/>
  <c r="Y108" i="13"/>
  <c r="Z108" i="13"/>
  <c r="V108" i="13"/>
  <c r="W108" i="13"/>
  <c r="B109" i="13"/>
  <c r="C109" i="13"/>
  <c r="F109" i="13"/>
  <c r="G109" i="13"/>
  <c r="H109" i="13"/>
  <c r="D109" i="13"/>
  <c r="E109" i="13"/>
  <c r="T109" i="13"/>
  <c r="U109" i="13"/>
  <c r="X109" i="13"/>
  <c r="Y109" i="13"/>
  <c r="Z109" i="13"/>
  <c r="V109" i="13"/>
  <c r="W109" i="13"/>
  <c r="B110" i="13"/>
  <c r="C110" i="13"/>
  <c r="F110" i="13"/>
  <c r="G110" i="13"/>
  <c r="H110" i="13"/>
  <c r="D110" i="13"/>
  <c r="E110" i="13"/>
  <c r="T110" i="13"/>
  <c r="U110" i="13"/>
  <c r="X110" i="13"/>
  <c r="Y110" i="13"/>
  <c r="Z110" i="13"/>
  <c r="V110" i="13"/>
  <c r="W110" i="13"/>
  <c r="B111" i="13"/>
  <c r="C111" i="13"/>
  <c r="F111" i="13"/>
  <c r="G111" i="13"/>
  <c r="H111" i="13"/>
  <c r="D111" i="13"/>
  <c r="E111" i="13"/>
  <c r="T111" i="13"/>
  <c r="U111" i="13"/>
  <c r="X111" i="13"/>
  <c r="Y111" i="13"/>
  <c r="Z111" i="13"/>
  <c r="V111" i="13"/>
  <c r="W111" i="13"/>
  <c r="B112" i="13"/>
  <c r="C112" i="13"/>
  <c r="F112" i="13"/>
  <c r="G112" i="13"/>
  <c r="H112" i="13"/>
  <c r="D112" i="13"/>
  <c r="E112" i="13"/>
  <c r="T112" i="13"/>
  <c r="U112" i="13"/>
  <c r="X112" i="13"/>
  <c r="Y112" i="13"/>
  <c r="Z112" i="13"/>
  <c r="V112" i="13"/>
  <c r="W112" i="13"/>
  <c r="B113" i="13"/>
  <c r="C113" i="13"/>
  <c r="F113" i="13"/>
  <c r="G113" i="13"/>
  <c r="H113" i="13"/>
  <c r="D113" i="13"/>
  <c r="E113" i="13"/>
  <c r="T113" i="13"/>
  <c r="U113" i="13"/>
  <c r="X113" i="13"/>
  <c r="Y113" i="13"/>
  <c r="Z113" i="13"/>
  <c r="V113" i="13"/>
  <c r="W113" i="13"/>
  <c r="B114" i="13"/>
  <c r="C114" i="13"/>
  <c r="F114" i="13"/>
  <c r="G114" i="13"/>
  <c r="H114" i="13"/>
  <c r="D114" i="13"/>
  <c r="E114" i="13"/>
  <c r="T114" i="13"/>
  <c r="U114" i="13"/>
  <c r="X114" i="13"/>
  <c r="Y114" i="13"/>
  <c r="Z114" i="13"/>
  <c r="V114" i="13"/>
  <c r="W114" i="13"/>
  <c r="B115" i="13"/>
  <c r="C115" i="13"/>
  <c r="F115" i="13"/>
  <c r="G115" i="13"/>
  <c r="H115" i="13"/>
  <c r="D115" i="13"/>
  <c r="E115" i="13"/>
  <c r="T115" i="13"/>
  <c r="U115" i="13"/>
  <c r="X115" i="13"/>
  <c r="Y115" i="13"/>
  <c r="Z115" i="13"/>
  <c r="V115" i="13"/>
  <c r="W115" i="13"/>
  <c r="B116" i="13"/>
  <c r="C116" i="13"/>
  <c r="F116" i="13"/>
  <c r="G116" i="13"/>
  <c r="H116" i="13"/>
  <c r="D116" i="13"/>
  <c r="E116" i="13"/>
  <c r="T116" i="13"/>
  <c r="U116" i="13"/>
  <c r="X116" i="13"/>
  <c r="Y116" i="13"/>
  <c r="Z116" i="13"/>
  <c r="V116" i="13"/>
  <c r="W116" i="13"/>
  <c r="B117" i="13"/>
  <c r="C117" i="13"/>
  <c r="F117" i="13"/>
  <c r="G117" i="13"/>
  <c r="H117" i="13"/>
  <c r="D117" i="13"/>
  <c r="E117" i="13"/>
  <c r="T117" i="13"/>
  <c r="U117" i="13"/>
  <c r="X117" i="13"/>
  <c r="Y117" i="13"/>
  <c r="Z117" i="13"/>
  <c r="V117" i="13"/>
  <c r="W117" i="13"/>
  <c r="B118" i="13"/>
  <c r="C118" i="13"/>
  <c r="F118" i="13"/>
  <c r="G118" i="13"/>
  <c r="H118" i="13"/>
  <c r="D118" i="13"/>
  <c r="E118" i="13"/>
  <c r="T118" i="13"/>
  <c r="U118" i="13"/>
  <c r="X118" i="13"/>
  <c r="Y118" i="13"/>
  <c r="Z118" i="13"/>
  <c r="V118" i="13"/>
  <c r="W118" i="13"/>
  <c r="B119" i="13"/>
  <c r="C119" i="13"/>
  <c r="F119" i="13"/>
  <c r="G119" i="13"/>
  <c r="H119" i="13"/>
  <c r="D119" i="13"/>
  <c r="E119" i="13"/>
  <c r="T119" i="13"/>
  <c r="U119" i="13"/>
  <c r="X119" i="13"/>
  <c r="Y119" i="13"/>
  <c r="Z119" i="13"/>
  <c r="V119" i="13"/>
  <c r="W119" i="13"/>
  <c r="B120" i="13"/>
  <c r="C120" i="13"/>
  <c r="F120" i="13"/>
  <c r="G120" i="13"/>
  <c r="H120" i="13"/>
  <c r="D120" i="13"/>
  <c r="E120" i="13"/>
  <c r="T120" i="13"/>
  <c r="U120" i="13"/>
  <c r="X120" i="13"/>
  <c r="Y120" i="13"/>
  <c r="Z120" i="13"/>
  <c r="V120" i="13"/>
  <c r="W120" i="13"/>
  <c r="B121" i="13"/>
  <c r="C121" i="13"/>
  <c r="F121" i="13"/>
  <c r="G121" i="13"/>
  <c r="H121" i="13"/>
  <c r="D121" i="13"/>
  <c r="E121" i="13"/>
  <c r="T121" i="13"/>
  <c r="U121" i="13"/>
  <c r="X121" i="13"/>
  <c r="Y121" i="13"/>
  <c r="Z121" i="13"/>
  <c r="V121" i="13"/>
  <c r="W121" i="13"/>
  <c r="B122" i="13"/>
  <c r="C122" i="13"/>
  <c r="F122" i="13"/>
  <c r="G122" i="13"/>
  <c r="H122" i="13"/>
  <c r="D122" i="13"/>
  <c r="E122" i="13"/>
  <c r="T122" i="13"/>
  <c r="U122" i="13"/>
  <c r="X122" i="13"/>
  <c r="Y122" i="13"/>
  <c r="Z122" i="13"/>
  <c r="V122" i="13"/>
  <c r="W122" i="13"/>
  <c r="B123" i="13"/>
  <c r="C123" i="13"/>
  <c r="F123" i="13"/>
  <c r="G123" i="13"/>
  <c r="H123" i="13"/>
  <c r="D123" i="13"/>
  <c r="E123" i="13"/>
  <c r="T123" i="13"/>
  <c r="U123" i="13"/>
  <c r="X123" i="13"/>
  <c r="Y123" i="13"/>
  <c r="Z123" i="13"/>
  <c r="V123" i="13"/>
  <c r="W123" i="13"/>
  <c r="B124" i="13"/>
  <c r="C124" i="13"/>
  <c r="F124" i="13"/>
  <c r="G124" i="13"/>
  <c r="H124" i="13"/>
  <c r="D124" i="13"/>
  <c r="E124" i="13"/>
  <c r="T124" i="13"/>
  <c r="U124" i="13"/>
  <c r="X124" i="13"/>
  <c r="Y124" i="13"/>
  <c r="Z124" i="13"/>
  <c r="V124" i="13"/>
  <c r="W124" i="13"/>
  <c r="B125" i="13"/>
  <c r="C125" i="13"/>
  <c r="F125" i="13"/>
  <c r="G125" i="13"/>
  <c r="H125" i="13"/>
  <c r="D125" i="13"/>
  <c r="E125" i="13"/>
  <c r="T125" i="13"/>
  <c r="U125" i="13"/>
  <c r="X125" i="13"/>
  <c r="Y125" i="13"/>
  <c r="Z125" i="13"/>
  <c r="V125" i="13"/>
  <c r="W125" i="13"/>
  <c r="B126" i="13"/>
  <c r="C126" i="13"/>
  <c r="F126" i="13"/>
  <c r="G126" i="13"/>
  <c r="H126" i="13"/>
  <c r="D126" i="13"/>
  <c r="E126" i="13"/>
  <c r="T126" i="13"/>
  <c r="U126" i="13"/>
  <c r="X126" i="13"/>
  <c r="Y126" i="13"/>
  <c r="Z126" i="13"/>
  <c r="V126" i="13"/>
  <c r="W126" i="13"/>
  <c r="B127" i="13"/>
  <c r="C127" i="13"/>
  <c r="F127" i="13"/>
  <c r="G127" i="13"/>
  <c r="H127" i="13"/>
  <c r="D127" i="13"/>
  <c r="E127" i="13"/>
  <c r="T127" i="13"/>
  <c r="U127" i="13"/>
  <c r="X127" i="13"/>
  <c r="Y127" i="13"/>
  <c r="Z127" i="13"/>
  <c r="V127" i="13"/>
  <c r="W127" i="13"/>
  <c r="B128" i="13"/>
  <c r="C128" i="13"/>
  <c r="F128" i="13"/>
  <c r="G128" i="13"/>
  <c r="H128" i="13"/>
  <c r="D128" i="13"/>
  <c r="E128" i="13"/>
  <c r="T128" i="13"/>
  <c r="U128" i="13"/>
  <c r="X128" i="13"/>
  <c r="Y128" i="13"/>
  <c r="Z128" i="13"/>
  <c r="V128" i="13"/>
  <c r="W128" i="13"/>
  <c r="B129" i="13"/>
  <c r="C129" i="13"/>
  <c r="F129" i="13"/>
  <c r="G129" i="13"/>
  <c r="H129" i="13"/>
  <c r="D129" i="13"/>
  <c r="E129" i="13"/>
  <c r="T129" i="13"/>
  <c r="U129" i="13"/>
  <c r="X129" i="13"/>
  <c r="Y129" i="13"/>
  <c r="Z129" i="13"/>
  <c r="V129" i="13"/>
  <c r="W129" i="13"/>
  <c r="B130" i="13"/>
  <c r="C130" i="13"/>
  <c r="F130" i="13"/>
  <c r="G130" i="13"/>
  <c r="H130" i="13"/>
  <c r="D130" i="13"/>
  <c r="E130" i="13"/>
  <c r="T130" i="13"/>
  <c r="U130" i="13"/>
  <c r="X130" i="13"/>
  <c r="Y130" i="13"/>
  <c r="Z130" i="13"/>
  <c r="V130" i="13"/>
  <c r="W130" i="13"/>
  <c r="B131" i="13"/>
  <c r="C131" i="13"/>
  <c r="F131" i="13"/>
  <c r="G131" i="13"/>
  <c r="H131" i="13"/>
  <c r="D131" i="13"/>
  <c r="E131" i="13"/>
  <c r="T131" i="13"/>
  <c r="U131" i="13"/>
  <c r="X131" i="13"/>
  <c r="Y131" i="13"/>
  <c r="Z131" i="13"/>
  <c r="V131" i="13"/>
  <c r="W131" i="13"/>
  <c r="B132" i="13"/>
  <c r="C132" i="13"/>
  <c r="F132" i="13"/>
  <c r="G132" i="13"/>
  <c r="H132" i="13"/>
  <c r="D132" i="13"/>
  <c r="E132" i="13"/>
  <c r="T132" i="13"/>
  <c r="U132" i="13"/>
  <c r="X132" i="13"/>
  <c r="Y132" i="13"/>
  <c r="Z132" i="13"/>
  <c r="V132" i="13"/>
  <c r="W132" i="13"/>
  <c r="B133" i="13"/>
  <c r="C133" i="13"/>
  <c r="F133" i="13"/>
  <c r="G133" i="13"/>
  <c r="H133" i="13"/>
  <c r="D133" i="13"/>
  <c r="E133" i="13"/>
  <c r="T133" i="13"/>
  <c r="U133" i="13"/>
  <c r="X133" i="13"/>
  <c r="Y133" i="13"/>
  <c r="Z133" i="13"/>
  <c r="V133" i="13"/>
  <c r="W133" i="13"/>
  <c r="B134" i="13"/>
  <c r="C134" i="13"/>
  <c r="F134" i="13"/>
  <c r="G134" i="13"/>
  <c r="H134" i="13"/>
  <c r="D134" i="13"/>
  <c r="E134" i="13"/>
  <c r="T134" i="13"/>
  <c r="U134" i="13"/>
  <c r="X134" i="13"/>
  <c r="Y134" i="13"/>
  <c r="Z134" i="13"/>
  <c r="V134" i="13"/>
  <c r="W134" i="13"/>
  <c r="B135" i="13"/>
  <c r="C135" i="13"/>
  <c r="F135" i="13"/>
  <c r="G135" i="13"/>
  <c r="H135" i="13"/>
  <c r="D135" i="13"/>
  <c r="E135" i="13"/>
  <c r="T135" i="13"/>
  <c r="U135" i="13"/>
  <c r="X135" i="13"/>
  <c r="Y135" i="13"/>
  <c r="Z135" i="13"/>
  <c r="V135" i="13"/>
  <c r="W135" i="13"/>
  <c r="B136" i="13"/>
  <c r="C136" i="13"/>
  <c r="F136" i="13"/>
  <c r="G136" i="13"/>
  <c r="H136" i="13"/>
  <c r="D136" i="13"/>
  <c r="E136" i="13"/>
  <c r="T136" i="13"/>
  <c r="U136" i="13"/>
  <c r="X136" i="13"/>
  <c r="Y136" i="13"/>
  <c r="Z136" i="13"/>
  <c r="V136" i="13"/>
  <c r="W136" i="13"/>
  <c r="B137" i="13"/>
  <c r="C137" i="13"/>
  <c r="F137" i="13"/>
  <c r="G137" i="13"/>
  <c r="H137" i="13"/>
  <c r="D137" i="13"/>
  <c r="E137" i="13"/>
  <c r="T137" i="13"/>
  <c r="U137" i="13"/>
  <c r="X137" i="13"/>
  <c r="Y137" i="13"/>
  <c r="Z137" i="13"/>
  <c r="V137" i="13"/>
  <c r="W137" i="13"/>
  <c r="B138" i="13"/>
  <c r="C138" i="13"/>
  <c r="F138" i="13"/>
  <c r="G138" i="13"/>
  <c r="H138" i="13"/>
  <c r="D138" i="13"/>
  <c r="E138" i="13"/>
  <c r="T138" i="13"/>
  <c r="U138" i="13"/>
  <c r="X138" i="13"/>
  <c r="Y138" i="13"/>
  <c r="Z138" i="13"/>
  <c r="V138" i="13"/>
  <c r="W138" i="13"/>
  <c r="B139" i="13"/>
  <c r="C139" i="13"/>
  <c r="F139" i="13"/>
  <c r="G139" i="13"/>
  <c r="H139" i="13"/>
  <c r="D139" i="13"/>
  <c r="E139" i="13"/>
  <c r="T139" i="13"/>
  <c r="U139" i="13"/>
  <c r="X139" i="13"/>
  <c r="Y139" i="13"/>
  <c r="Z139" i="13"/>
  <c r="V139" i="13"/>
  <c r="W139" i="13"/>
  <c r="B140" i="13"/>
  <c r="C140" i="13"/>
  <c r="F140" i="13"/>
  <c r="G140" i="13"/>
  <c r="H140" i="13"/>
  <c r="D140" i="13"/>
  <c r="E140" i="13"/>
  <c r="T140" i="13"/>
  <c r="U140" i="13"/>
  <c r="X140" i="13"/>
  <c r="Y140" i="13"/>
  <c r="Z140" i="13"/>
  <c r="V140" i="13"/>
  <c r="W140" i="13"/>
  <c r="B141" i="13"/>
  <c r="C141" i="13"/>
  <c r="F141" i="13"/>
  <c r="G141" i="13"/>
  <c r="H141" i="13"/>
  <c r="D141" i="13"/>
  <c r="E141" i="13"/>
  <c r="T141" i="13"/>
  <c r="U141" i="13"/>
  <c r="X141" i="13"/>
  <c r="Y141" i="13"/>
  <c r="Z141" i="13"/>
  <c r="V141" i="13"/>
  <c r="W141" i="13"/>
  <c r="BG1" i="13"/>
  <c r="BG2" i="13"/>
  <c r="BG3" i="13"/>
  <c r="BG4" i="13"/>
  <c r="BG5" i="13"/>
  <c r="BG6" i="13"/>
  <c r="BG7" i="13"/>
  <c r="BG8" i="13"/>
  <c r="BG9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G39" i="13"/>
  <c r="BG40" i="13"/>
  <c r="BG41" i="13"/>
  <c r="BG42" i="13"/>
  <c r="BG43" i="13"/>
  <c r="BG44" i="13"/>
  <c r="BG45" i="13"/>
  <c r="BG46" i="13"/>
  <c r="BG47" i="13"/>
  <c r="BG48" i="13"/>
  <c r="BG49" i="13"/>
  <c r="BG50" i="13"/>
  <c r="BG51" i="13"/>
  <c r="BG52" i="13"/>
  <c r="BG53" i="13"/>
  <c r="BG54" i="13"/>
  <c r="BG55" i="13"/>
  <c r="BG56" i="13"/>
  <c r="BG57" i="13"/>
  <c r="BG58" i="13"/>
  <c r="BG59" i="13"/>
  <c r="BG60" i="13"/>
  <c r="BG61" i="13"/>
  <c r="BG62" i="13"/>
  <c r="BG63" i="13"/>
  <c r="BG64" i="13"/>
  <c r="BG65" i="13"/>
  <c r="BG66" i="13"/>
  <c r="BG67" i="13"/>
  <c r="BG68" i="13"/>
  <c r="BG69" i="13"/>
  <c r="BG70" i="13"/>
  <c r="BG71" i="13"/>
  <c r="BG72" i="13"/>
  <c r="BG73" i="13"/>
  <c r="BG74" i="13"/>
  <c r="BG75" i="13"/>
  <c r="BG76" i="13"/>
  <c r="BG77" i="13"/>
  <c r="BG78" i="13"/>
  <c r="BG79" i="13"/>
  <c r="BG80" i="13"/>
  <c r="BG81" i="13"/>
  <c r="BG82" i="13"/>
  <c r="BG83" i="13"/>
  <c r="BG84" i="13"/>
  <c r="BG85" i="13"/>
  <c r="BG86" i="13"/>
  <c r="BG87" i="13"/>
  <c r="BG88" i="13"/>
  <c r="BG89" i="13"/>
  <c r="BG90" i="13"/>
  <c r="BG91" i="13"/>
  <c r="BG92" i="13"/>
  <c r="BG93" i="13"/>
  <c r="BG94" i="13"/>
  <c r="BG95" i="13"/>
  <c r="BG96" i="13"/>
  <c r="BG97" i="13"/>
  <c r="BG98" i="13"/>
  <c r="BG99" i="13"/>
  <c r="BG100" i="13"/>
  <c r="BG101" i="13"/>
  <c r="BG102" i="13"/>
  <c r="BG103" i="13"/>
  <c r="BG104" i="13"/>
  <c r="BG105" i="13"/>
  <c r="BG106" i="13"/>
  <c r="BG107" i="13"/>
  <c r="BG108" i="13"/>
  <c r="BG109" i="13"/>
  <c r="BG110" i="13"/>
  <c r="BG111" i="13"/>
  <c r="BG112" i="13"/>
  <c r="BG113" i="13"/>
  <c r="BG114" i="13"/>
  <c r="BG115" i="13"/>
  <c r="BG116" i="13"/>
  <c r="BG117" i="13"/>
  <c r="BG118" i="13"/>
  <c r="BG119" i="13"/>
  <c r="BG120" i="13"/>
  <c r="BG121" i="13"/>
  <c r="BG122" i="13"/>
  <c r="BG123" i="13"/>
  <c r="BG124" i="13"/>
  <c r="BG125" i="13"/>
  <c r="BG126" i="13"/>
  <c r="BG127" i="13"/>
  <c r="BG128" i="13"/>
  <c r="BG129" i="13"/>
  <c r="BG130" i="13"/>
  <c r="BG131" i="13"/>
  <c r="BG132" i="13"/>
  <c r="BG133" i="13"/>
  <c r="BG134" i="13"/>
  <c r="BG135" i="13"/>
  <c r="BG136" i="13"/>
  <c r="BG137" i="13"/>
  <c r="BG138" i="13"/>
  <c r="BG139" i="13"/>
  <c r="BG140" i="13"/>
  <c r="BG141" i="13"/>
  <c r="BF2" i="13"/>
  <c r="BF3" i="13"/>
  <c r="BF4" i="13"/>
  <c r="BF5" i="13"/>
  <c r="BF6" i="13"/>
  <c r="BF7" i="13"/>
  <c r="BF8" i="13"/>
  <c r="BF9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F39" i="13"/>
  <c r="BF40" i="13"/>
  <c r="BF41" i="13"/>
  <c r="BF42" i="13"/>
  <c r="BF43" i="13"/>
  <c r="BF44" i="13"/>
  <c r="BF45" i="13"/>
  <c r="BF46" i="13"/>
  <c r="BF47" i="13"/>
  <c r="BF48" i="13"/>
  <c r="BF49" i="13"/>
  <c r="BF50" i="13"/>
  <c r="BF51" i="13"/>
  <c r="BF52" i="13"/>
  <c r="BF53" i="13"/>
  <c r="BF54" i="13"/>
  <c r="BF55" i="13"/>
  <c r="BF56" i="13"/>
  <c r="BF57" i="13"/>
  <c r="BF58" i="13"/>
  <c r="BF59" i="13"/>
  <c r="BF60" i="13"/>
  <c r="BF61" i="13"/>
  <c r="BF62" i="13"/>
  <c r="BF63" i="13"/>
  <c r="BF64" i="13"/>
  <c r="BF65" i="13"/>
  <c r="BF66" i="13"/>
  <c r="BF67" i="13"/>
  <c r="BF68" i="13"/>
  <c r="BF69" i="13"/>
  <c r="BF70" i="13"/>
  <c r="BF71" i="13"/>
  <c r="BF72" i="13"/>
  <c r="BF73" i="13"/>
  <c r="BF74" i="13"/>
  <c r="BF75" i="13"/>
  <c r="BF76" i="13"/>
  <c r="BF77" i="13"/>
  <c r="BF78" i="13"/>
  <c r="BF79" i="13"/>
  <c r="BF80" i="13"/>
  <c r="BF81" i="13"/>
  <c r="BF82" i="13"/>
  <c r="BF83" i="13"/>
  <c r="BF84" i="13"/>
  <c r="BF85" i="13"/>
  <c r="BF86" i="13"/>
  <c r="BF87" i="13"/>
  <c r="BF88" i="13"/>
  <c r="BF89" i="13"/>
  <c r="BF90" i="13"/>
  <c r="BF91" i="13"/>
  <c r="BF92" i="13"/>
  <c r="BF93" i="13"/>
  <c r="BF94" i="13"/>
  <c r="BF95" i="13"/>
  <c r="BF96" i="13"/>
  <c r="BF97" i="13"/>
  <c r="BF98" i="13"/>
  <c r="BF99" i="13"/>
  <c r="BF100" i="13"/>
  <c r="BF101" i="13"/>
  <c r="BF102" i="13"/>
  <c r="BF103" i="13"/>
  <c r="BF104" i="13"/>
  <c r="BF105" i="13"/>
  <c r="BF106" i="13"/>
  <c r="BF107" i="13"/>
  <c r="BF108" i="13"/>
  <c r="BF109" i="13"/>
  <c r="BF110" i="13"/>
  <c r="BF111" i="13"/>
  <c r="BF112" i="13"/>
  <c r="BF113" i="13"/>
  <c r="BF114" i="13"/>
  <c r="BF115" i="13"/>
  <c r="BF116" i="13"/>
  <c r="BF117" i="13"/>
  <c r="BF118" i="13"/>
  <c r="BF119" i="13"/>
  <c r="BF120" i="13"/>
  <c r="BF121" i="13"/>
  <c r="BF122" i="13"/>
  <c r="BF123" i="13"/>
  <c r="BF124" i="13"/>
  <c r="BF125" i="13"/>
  <c r="BF126" i="13"/>
  <c r="BF127" i="13"/>
  <c r="BF128" i="13"/>
  <c r="BF129" i="13"/>
  <c r="BF130" i="13"/>
  <c r="BF131" i="13"/>
  <c r="BF132" i="13"/>
  <c r="BF133" i="13"/>
  <c r="BF134" i="13"/>
  <c r="BF135" i="13"/>
  <c r="BF136" i="13"/>
  <c r="BF137" i="13"/>
  <c r="BF138" i="13"/>
  <c r="BF139" i="13"/>
  <c r="BF140" i="13"/>
  <c r="BF141" i="13"/>
  <c r="BF1" i="13"/>
  <c r="BD2" i="13"/>
  <c r="BD3" i="13"/>
  <c r="BD4" i="13"/>
  <c r="BD5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D39" i="13"/>
  <c r="BD40" i="13"/>
  <c r="BD41" i="13"/>
  <c r="BD42" i="13"/>
  <c r="BD43" i="13"/>
  <c r="BD44" i="13"/>
  <c r="BD45" i="13"/>
  <c r="BD46" i="13"/>
  <c r="BD47" i="13"/>
  <c r="BD48" i="13"/>
  <c r="BD49" i="13"/>
  <c r="BD50" i="13"/>
  <c r="BD51" i="13"/>
  <c r="BD52" i="13"/>
  <c r="BD53" i="13"/>
  <c r="BD54" i="13"/>
  <c r="BD55" i="13"/>
  <c r="BD56" i="13"/>
  <c r="BD57" i="13"/>
  <c r="BD58" i="13"/>
  <c r="BD59" i="13"/>
  <c r="BD60" i="13"/>
  <c r="BD61" i="13"/>
  <c r="BD62" i="13"/>
  <c r="BD63" i="13"/>
  <c r="BD64" i="13"/>
  <c r="BD65" i="13"/>
  <c r="BD66" i="13"/>
  <c r="BD67" i="13"/>
  <c r="BD68" i="13"/>
  <c r="BD69" i="13"/>
  <c r="BD70" i="13"/>
  <c r="BD71" i="13"/>
  <c r="BD72" i="13"/>
  <c r="BD73" i="13"/>
  <c r="BD74" i="13"/>
  <c r="BD75" i="13"/>
  <c r="BD76" i="13"/>
  <c r="BD77" i="13"/>
  <c r="BD78" i="13"/>
  <c r="BD79" i="13"/>
  <c r="BD80" i="13"/>
  <c r="BD81" i="13"/>
  <c r="BD82" i="13"/>
  <c r="BD83" i="13"/>
  <c r="BD84" i="13"/>
  <c r="BD85" i="13"/>
  <c r="BD86" i="13"/>
  <c r="BD87" i="13"/>
  <c r="BD88" i="13"/>
  <c r="BD89" i="13"/>
  <c r="BD90" i="13"/>
  <c r="BD91" i="13"/>
  <c r="BD92" i="13"/>
  <c r="BD93" i="13"/>
  <c r="BD94" i="13"/>
  <c r="BD95" i="13"/>
  <c r="BD96" i="13"/>
  <c r="BD97" i="13"/>
  <c r="BD98" i="13"/>
  <c r="BD99" i="13"/>
  <c r="BD100" i="13"/>
  <c r="BD101" i="13"/>
  <c r="BD102" i="13"/>
  <c r="BD103" i="13"/>
  <c r="BD104" i="13"/>
  <c r="BD105" i="13"/>
  <c r="BD106" i="13"/>
  <c r="BD107" i="13"/>
  <c r="BD108" i="13"/>
  <c r="BD109" i="13"/>
  <c r="BD110" i="13"/>
  <c r="BD111" i="13"/>
  <c r="BD112" i="13"/>
  <c r="BD113" i="13"/>
  <c r="BD114" i="13"/>
  <c r="BD115" i="13"/>
  <c r="BD116" i="13"/>
  <c r="BD117" i="13"/>
  <c r="BD118" i="13"/>
  <c r="BD119" i="13"/>
  <c r="BD120" i="13"/>
  <c r="BD121" i="13"/>
  <c r="BD122" i="13"/>
  <c r="BD123" i="13"/>
  <c r="BD124" i="13"/>
  <c r="BD125" i="13"/>
  <c r="BD126" i="13"/>
  <c r="BD127" i="13"/>
  <c r="BD128" i="13"/>
  <c r="BD129" i="13"/>
  <c r="BD130" i="13"/>
  <c r="BD131" i="13"/>
  <c r="BD132" i="13"/>
  <c r="BD133" i="13"/>
  <c r="BD134" i="13"/>
  <c r="BD135" i="13"/>
  <c r="BD136" i="13"/>
  <c r="BD137" i="13"/>
  <c r="BD138" i="13"/>
  <c r="BD139" i="13"/>
  <c r="BD140" i="13"/>
  <c r="BD141" i="13"/>
  <c r="BE2" i="13"/>
  <c r="BE3" i="13"/>
  <c r="BE4" i="13"/>
  <c r="BE5" i="13"/>
  <c r="BE6" i="13"/>
  <c r="BE7" i="13"/>
  <c r="BE8" i="13"/>
  <c r="BE9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E39" i="13"/>
  <c r="BE40" i="13"/>
  <c r="BE41" i="13"/>
  <c r="BE42" i="13"/>
  <c r="BE43" i="13"/>
  <c r="BE44" i="13"/>
  <c r="BE45" i="13"/>
  <c r="BE46" i="13"/>
  <c r="BE47" i="13"/>
  <c r="BE48" i="13"/>
  <c r="BE49" i="13"/>
  <c r="BE50" i="13"/>
  <c r="BE51" i="13"/>
  <c r="BE52" i="13"/>
  <c r="BE53" i="13"/>
  <c r="BE54" i="13"/>
  <c r="BE55" i="13"/>
  <c r="BE56" i="13"/>
  <c r="BE57" i="13"/>
  <c r="BE58" i="13"/>
  <c r="BE59" i="13"/>
  <c r="BE60" i="13"/>
  <c r="BE61" i="13"/>
  <c r="BE62" i="13"/>
  <c r="BE63" i="13"/>
  <c r="BE64" i="13"/>
  <c r="BE65" i="13"/>
  <c r="BE66" i="13"/>
  <c r="BE67" i="13"/>
  <c r="BE68" i="13"/>
  <c r="BE69" i="13"/>
  <c r="BE70" i="13"/>
  <c r="BE71" i="13"/>
  <c r="BE72" i="13"/>
  <c r="BE73" i="13"/>
  <c r="BE74" i="13"/>
  <c r="BE75" i="13"/>
  <c r="BE76" i="13"/>
  <c r="BE77" i="13"/>
  <c r="BE78" i="13"/>
  <c r="BE79" i="13"/>
  <c r="BE80" i="13"/>
  <c r="BE81" i="13"/>
  <c r="BE82" i="13"/>
  <c r="BE83" i="13"/>
  <c r="BE84" i="13"/>
  <c r="BE85" i="13"/>
  <c r="BE86" i="13"/>
  <c r="BE87" i="13"/>
  <c r="BE88" i="13"/>
  <c r="BE89" i="13"/>
  <c r="BE90" i="13"/>
  <c r="BE91" i="13"/>
  <c r="BE92" i="13"/>
  <c r="BE93" i="13"/>
  <c r="BE94" i="13"/>
  <c r="BE95" i="13"/>
  <c r="BE96" i="13"/>
  <c r="BE97" i="13"/>
  <c r="BE98" i="13"/>
  <c r="BE99" i="13"/>
  <c r="BE100" i="13"/>
  <c r="BE101" i="13"/>
  <c r="BE102" i="13"/>
  <c r="BE103" i="13"/>
  <c r="BE104" i="13"/>
  <c r="BE105" i="13"/>
  <c r="BE106" i="13"/>
  <c r="BE107" i="13"/>
  <c r="BE108" i="13"/>
  <c r="BE109" i="13"/>
  <c r="BE110" i="13"/>
  <c r="BE111" i="13"/>
  <c r="BE112" i="13"/>
  <c r="BE113" i="13"/>
  <c r="BE114" i="13"/>
  <c r="BE115" i="13"/>
  <c r="BE116" i="13"/>
  <c r="BE117" i="13"/>
  <c r="BE118" i="13"/>
  <c r="BE119" i="13"/>
  <c r="BE120" i="13"/>
  <c r="BE121" i="13"/>
  <c r="BE122" i="13"/>
  <c r="BE123" i="13"/>
  <c r="BE124" i="13"/>
  <c r="BE125" i="13"/>
  <c r="BE126" i="13"/>
  <c r="BE127" i="13"/>
  <c r="BE128" i="13"/>
  <c r="BE129" i="13"/>
  <c r="BE130" i="13"/>
  <c r="BE131" i="13"/>
  <c r="BE132" i="13"/>
  <c r="BE133" i="13"/>
  <c r="BE134" i="13"/>
  <c r="BE135" i="13"/>
  <c r="BE136" i="13"/>
  <c r="BE137" i="13"/>
  <c r="BE138" i="13"/>
  <c r="BE139" i="13"/>
  <c r="BE140" i="13"/>
  <c r="BE141" i="13"/>
  <c r="BE1" i="13"/>
  <c r="BD1" i="13"/>
  <c r="BC2" i="13"/>
  <c r="BC3" i="13"/>
  <c r="BC4" i="13"/>
  <c r="BC5" i="13"/>
  <c r="BC6" i="13"/>
  <c r="BC7" i="13"/>
  <c r="BC8" i="13"/>
  <c r="BC9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C39" i="13"/>
  <c r="BC40" i="13"/>
  <c r="BC41" i="13"/>
  <c r="BC42" i="13"/>
  <c r="BC43" i="13"/>
  <c r="BC44" i="13"/>
  <c r="BC45" i="13"/>
  <c r="BC46" i="13"/>
  <c r="BC47" i="13"/>
  <c r="BC48" i="13"/>
  <c r="BC49" i="13"/>
  <c r="BC50" i="13"/>
  <c r="BC51" i="13"/>
  <c r="BC52" i="13"/>
  <c r="BC53" i="13"/>
  <c r="BC54" i="13"/>
  <c r="BC55" i="13"/>
  <c r="BC56" i="13"/>
  <c r="BC57" i="13"/>
  <c r="BC58" i="13"/>
  <c r="BC59" i="13"/>
  <c r="BC60" i="13"/>
  <c r="BC61" i="13"/>
  <c r="BC62" i="13"/>
  <c r="BC63" i="13"/>
  <c r="BC64" i="13"/>
  <c r="BC65" i="13"/>
  <c r="BC66" i="13"/>
  <c r="BC67" i="13"/>
  <c r="BC68" i="13"/>
  <c r="BC69" i="13"/>
  <c r="BC70" i="13"/>
  <c r="BC71" i="13"/>
  <c r="BC72" i="13"/>
  <c r="BC73" i="13"/>
  <c r="BC74" i="13"/>
  <c r="BC75" i="13"/>
  <c r="BC76" i="13"/>
  <c r="BC77" i="13"/>
  <c r="BC78" i="13"/>
  <c r="BC79" i="13"/>
  <c r="BC80" i="13"/>
  <c r="BC81" i="13"/>
  <c r="BC82" i="13"/>
  <c r="BC83" i="13"/>
  <c r="BC84" i="13"/>
  <c r="BC85" i="13"/>
  <c r="BC86" i="13"/>
  <c r="BC87" i="13"/>
  <c r="BC88" i="13"/>
  <c r="BC89" i="13"/>
  <c r="BC90" i="13"/>
  <c r="BC91" i="13"/>
  <c r="BC92" i="13"/>
  <c r="BC93" i="13"/>
  <c r="BC94" i="13"/>
  <c r="BC95" i="13"/>
  <c r="BC96" i="13"/>
  <c r="BC97" i="13"/>
  <c r="BC98" i="13"/>
  <c r="BC99" i="13"/>
  <c r="BC100" i="13"/>
  <c r="BC101" i="13"/>
  <c r="BC102" i="13"/>
  <c r="BC103" i="13"/>
  <c r="BC104" i="13"/>
  <c r="BC105" i="13"/>
  <c r="BC106" i="13"/>
  <c r="BC107" i="13"/>
  <c r="BC108" i="13"/>
  <c r="BC109" i="13"/>
  <c r="BC110" i="13"/>
  <c r="BC111" i="13"/>
  <c r="BC112" i="13"/>
  <c r="BC113" i="13"/>
  <c r="BC114" i="13"/>
  <c r="BC115" i="13"/>
  <c r="BC116" i="13"/>
  <c r="BC117" i="13"/>
  <c r="BC118" i="13"/>
  <c r="BC119" i="13"/>
  <c r="BC120" i="13"/>
  <c r="BC121" i="13"/>
  <c r="BC122" i="13"/>
  <c r="BC123" i="13"/>
  <c r="BC124" i="13"/>
  <c r="BC125" i="13"/>
  <c r="BC126" i="13"/>
  <c r="BC127" i="13"/>
  <c r="BC128" i="13"/>
  <c r="BC129" i="13"/>
  <c r="BC130" i="13"/>
  <c r="BC131" i="13"/>
  <c r="BC132" i="13"/>
  <c r="BC133" i="13"/>
  <c r="BC134" i="13"/>
  <c r="BC135" i="13"/>
  <c r="BC136" i="13"/>
  <c r="BC137" i="13"/>
  <c r="BC138" i="13"/>
  <c r="BC139" i="13"/>
  <c r="BC140" i="13"/>
  <c r="BC141" i="13"/>
  <c r="BC1" i="13"/>
  <c r="BB2" i="13"/>
  <c r="BB3" i="13"/>
  <c r="BB4" i="13"/>
  <c r="BB5" i="13"/>
  <c r="BB6" i="13"/>
  <c r="BB7" i="13"/>
  <c r="BB8" i="13"/>
  <c r="BB9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B39" i="13"/>
  <c r="BB40" i="13"/>
  <c r="BB41" i="13"/>
  <c r="BB42" i="13"/>
  <c r="BB43" i="13"/>
  <c r="BB44" i="13"/>
  <c r="BB45" i="13"/>
  <c r="BB46" i="13"/>
  <c r="BB47" i="13"/>
  <c r="BB48" i="13"/>
  <c r="BB49" i="13"/>
  <c r="BB50" i="13"/>
  <c r="BB51" i="13"/>
  <c r="BB52" i="13"/>
  <c r="BB53" i="13"/>
  <c r="BB54" i="13"/>
  <c r="BB55" i="13"/>
  <c r="BB56" i="13"/>
  <c r="BB57" i="13"/>
  <c r="BB58" i="13"/>
  <c r="BB59" i="13"/>
  <c r="BB60" i="13"/>
  <c r="BB61" i="13"/>
  <c r="BB62" i="13"/>
  <c r="BB63" i="13"/>
  <c r="BB64" i="13"/>
  <c r="BB65" i="13"/>
  <c r="BB66" i="13"/>
  <c r="BB67" i="13"/>
  <c r="BB68" i="13"/>
  <c r="BB69" i="13"/>
  <c r="BB70" i="13"/>
  <c r="BB71" i="13"/>
  <c r="BB72" i="13"/>
  <c r="BB73" i="13"/>
  <c r="BB74" i="13"/>
  <c r="BB75" i="13"/>
  <c r="BB76" i="13"/>
  <c r="BB77" i="13"/>
  <c r="BB78" i="13"/>
  <c r="BB79" i="13"/>
  <c r="BB80" i="13"/>
  <c r="BB81" i="13"/>
  <c r="BB82" i="13"/>
  <c r="BB83" i="13"/>
  <c r="BB84" i="13"/>
  <c r="BB85" i="13"/>
  <c r="BB86" i="13"/>
  <c r="BB87" i="13"/>
  <c r="BB88" i="13"/>
  <c r="BB89" i="13"/>
  <c r="BB90" i="13"/>
  <c r="BB91" i="13"/>
  <c r="BB92" i="13"/>
  <c r="BB93" i="13"/>
  <c r="BB94" i="13"/>
  <c r="BB95" i="13"/>
  <c r="BB96" i="13"/>
  <c r="BB97" i="13"/>
  <c r="BB98" i="13"/>
  <c r="BB99" i="13"/>
  <c r="BB100" i="13"/>
  <c r="BB101" i="13"/>
  <c r="BB102" i="13"/>
  <c r="BB103" i="13"/>
  <c r="BB104" i="13"/>
  <c r="BB105" i="13"/>
  <c r="BB106" i="13"/>
  <c r="BB107" i="13"/>
  <c r="BB108" i="13"/>
  <c r="BB109" i="13"/>
  <c r="BB110" i="13"/>
  <c r="BB111" i="13"/>
  <c r="BB112" i="13"/>
  <c r="BB113" i="13"/>
  <c r="BB114" i="13"/>
  <c r="BB115" i="13"/>
  <c r="BB116" i="13"/>
  <c r="BB117" i="13"/>
  <c r="BB118" i="13"/>
  <c r="BB119" i="13"/>
  <c r="BB120" i="13"/>
  <c r="BB121" i="13"/>
  <c r="BB122" i="13"/>
  <c r="BB123" i="13"/>
  <c r="BB124" i="13"/>
  <c r="BB125" i="13"/>
  <c r="BB126" i="13"/>
  <c r="BB127" i="13"/>
  <c r="BB128" i="13"/>
  <c r="BB129" i="13"/>
  <c r="BB130" i="13"/>
  <c r="BB131" i="13"/>
  <c r="BB132" i="13"/>
  <c r="BB133" i="13"/>
  <c r="BB134" i="13"/>
  <c r="BB135" i="13"/>
  <c r="BB136" i="13"/>
  <c r="BB137" i="13"/>
  <c r="BB138" i="13"/>
  <c r="BB139" i="13"/>
  <c r="BB140" i="13"/>
  <c r="BB141" i="13"/>
  <c r="BB1" i="13"/>
  <c r="I20" i="14"/>
  <c r="H31" i="14"/>
  <c r="AP2" i="13"/>
  <c r="AP3" i="13"/>
  <c r="AP4" i="13"/>
  <c r="AP5" i="13"/>
  <c r="AP6" i="13"/>
  <c r="AP7" i="13"/>
  <c r="AP8" i="13"/>
  <c r="AP9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64" i="13"/>
  <c r="AP65" i="13"/>
  <c r="AP66" i="13"/>
  <c r="AP67" i="13"/>
  <c r="AP68" i="13"/>
  <c r="AP69" i="13"/>
  <c r="AP70" i="13"/>
  <c r="AP71" i="13"/>
  <c r="AP72" i="13"/>
  <c r="AP73" i="13"/>
  <c r="AP74" i="13"/>
  <c r="AP75" i="13"/>
  <c r="AP76" i="13"/>
  <c r="AP77" i="13"/>
  <c r="AP78" i="13"/>
  <c r="AP79" i="13"/>
  <c r="AP80" i="13"/>
  <c r="AP81" i="13"/>
  <c r="AP82" i="13"/>
  <c r="AP83" i="13"/>
  <c r="AP84" i="13"/>
  <c r="AP85" i="13"/>
  <c r="AP86" i="13"/>
  <c r="AP87" i="13"/>
  <c r="AP88" i="13"/>
  <c r="AP89" i="13"/>
  <c r="AP90" i="13"/>
  <c r="AP91" i="13"/>
  <c r="AP92" i="13"/>
  <c r="AP93" i="13"/>
  <c r="AP94" i="13"/>
  <c r="AP95" i="13"/>
  <c r="AP96" i="13"/>
  <c r="AP97" i="13"/>
  <c r="AP98" i="13"/>
  <c r="AP99" i="13"/>
  <c r="AP100" i="13"/>
  <c r="AP101" i="13"/>
  <c r="AP102" i="13"/>
  <c r="AP103" i="13"/>
  <c r="AP104" i="13"/>
  <c r="AP105" i="13"/>
  <c r="AP106" i="13"/>
  <c r="AP107" i="13"/>
  <c r="AP108" i="13"/>
  <c r="AP109" i="13"/>
  <c r="AP110" i="13"/>
  <c r="AP111" i="13"/>
  <c r="AP112" i="13"/>
  <c r="AP113" i="13"/>
  <c r="AP114" i="13"/>
  <c r="AP115" i="13"/>
  <c r="AP116" i="13"/>
  <c r="AP117" i="13"/>
  <c r="AP118" i="13"/>
  <c r="AP119" i="13"/>
  <c r="AP120" i="13"/>
  <c r="AP121" i="13"/>
  <c r="AP122" i="13"/>
  <c r="AP123" i="13"/>
  <c r="AP124" i="13"/>
  <c r="AP125" i="13"/>
  <c r="AP126" i="13"/>
  <c r="AP127" i="13"/>
  <c r="AP128" i="13"/>
  <c r="AP129" i="13"/>
  <c r="AP130" i="13"/>
  <c r="AP131" i="13"/>
  <c r="AP132" i="13"/>
  <c r="AP133" i="13"/>
  <c r="AP134" i="13"/>
  <c r="AP135" i="13"/>
  <c r="AP136" i="13"/>
  <c r="AP137" i="13"/>
  <c r="AP138" i="13"/>
  <c r="AP139" i="13"/>
  <c r="AP140" i="13"/>
  <c r="AP141" i="13"/>
  <c r="AP1" i="13"/>
  <c r="AN1" i="13"/>
  <c r="AQ1" i="13"/>
  <c r="AL3" i="13"/>
  <c r="AM3" i="13"/>
  <c r="AN3" i="13"/>
  <c r="AO3" i="13"/>
  <c r="AQ3" i="13"/>
  <c r="AL4" i="13"/>
  <c r="AM4" i="13"/>
  <c r="AN4" i="13"/>
  <c r="AO4" i="13"/>
  <c r="AQ4" i="13"/>
  <c r="AL5" i="13"/>
  <c r="AM5" i="13"/>
  <c r="AN5" i="13"/>
  <c r="AO5" i="13"/>
  <c r="AQ5" i="13"/>
  <c r="AL6" i="13"/>
  <c r="AM6" i="13"/>
  <c r="AN6" i="13"/>
  <c r="AO6" i="13"/>
  <c r="AQ6" i="13"/>
  <c r="AL7" i="13"/>
  <c r="AM7" i="13"/>
  <c r="AN7" i="13"/>
  <c r="AO7" i="13"/>
  <c r="AQ7" i="13"/>
  <c r="AL8" i="13"/>
  <c r="AM8" i="13"/>
  <c r="AN8" i="13"/>
  <c r="AO8" i="13"/>
  <c r="AQ8" i="13"/>
  <c r="AL9" i="13"/>
  <c r="AM9" i="13"/>
  <c r="AN9" i="13"/>
  <c r="AO9" i="13"/>
  <c r="AQ9" i="13"/>
  <c r="AL10" i="13"/>
  <c r="AM10" i="13"/>
  <c r="AN10" i="13"/>
  <c r="AO10" i="13"/>
  <c r="AQ10" i="13"/>
  <c r="AL11" i="13"/>
  <c r="AM11" i="13"/>
  <c r="AN11" i="13"/>
  <c r="AO11" i="13"/>
  <c r="AQ11" i="13"/>
  <c r="AL12" i="13"/>
  <c r="AM12" i="13"/>
  <c r="AN12" i="13"/>
  <c r="AO12" i="13"/>
  <c r="AQ12" i="13"/>
  <c r="AL13" i="13"/>
  <c r="AM13" i="13"/>
  <c r="AN13" i="13"/>
  <c r="AO13" i="13"/>
  <c r="AQ13" i="13"/>
  <c r="AL14" i="13"/>
  <c r="AM14" i="13"/>
  <c r="AN14" i="13"/>
  <c r="AO14" i="13"/>
  <c r="AQ14" i="13"/>
  <c r="AL15" i="13"/>
  <c r="AM15" i="13"/>
  <c r="AN15" i="13"/>
  <c r="AO15" i="13"/>
  <c r="AQ15" i="13"/>
  <c r="AL16" i="13"/>
  <c r="AM16" i="13"/>
  <c r="AN16" i="13"/>
  <c r="AO16" i="13"/>
  <c r="AQ16" i="13"/>
  <c r="AL17" i="13"/>
  <c r="AM17" i="13"/>
  <c r="AN17" i="13"/>
  <c r="AO17" i="13"/>
  <c r="AQ17" i="13"/>
  <c r="AL18" i="13"/>
  <c r="AM18" i="13"/>
  <c r="AN18" i="13"/>
  <c r="AO18" i="13"/>
  <c r="AQ18" i="13"/>
  <c r="AL19" i="13"/>
  <c r="AM19" i="13"/>
  <c r="AN19" i="13"/>
  <c r="AO19" i="13"/>
  <c r="AQ19" i="13"/>
  <c r="AL20" i="13"/>
  <c r="AM20" i="13"/>
  <c r="AN20" i="13"/>
  <c r="AO20" i="13"/>
  <c r="AQ20" i="13"/>
  <c r="AL21" i="13"/>
  <c r="AM21" i="13"/>
  <c r="AN21" i="13"/>
  <c r="AO21" i="13"/>
  <c r="AQ21" i="13"/>
  <c r="AL22" i="13"/>
  <c r="AM22" i="13"/>
  <c r="AN22" i="13"/>
  <c r="AO22" i="13"/>
  <c r="AQ22" i="13"/>
  <c r="AL23" i="13"/>
  <c r="AM23" i="13"/>
  <c r="AN23" i="13"/>
  <c r="AO23" i="13"/>
  <c r="AQ23" i="13"/>
  <c r="AL24" i="13"/>
  <c r="AM24" i="13"/>
  <c r="AN24" i="13"/>
  <c r="AO24" i="13"/>
  <c r="AQ24" i="13"/>
  <c r="AL25" i="13"/>
  <c r="AM25" i="13"/>
  <c r="AN25" i="13"/>
  <c r="AO25" i="13"/>
  <c r="AQ25" i="13"/>
  <c r="AL26" i="13"/>
  <c r="AM26" i="13"/>
  <c r="AN26" i="13"/>
  <c r="AO26" i="13"/>
  <c r="AQ26" i="13"/>
  <c r="AL27" i="13"/>
  <c r="AM27" i="13"/>
  <c r="AN27" i="13"/>
  <c r="AO27" i="13"/>
  <c r="AQ27" i="13"/>
  <c r="AL28" i="13"/>
  <c r="AM28" i="13"/>
  <c r="AN28" i="13"/>
  <c r="AO28" i="13"/>
  <c r="AQ28" i="13"/>
  <c r="AL29" i="13"/>
  <c r="AM29" i="13"/>
  <c r="AN29" i="13"/>
  <c r="AO29" i="13"/>
  <c r="AQ29" i="13"/>
  <c r="AL30" i="13"/>
  <c r="AM30" i="13"/>
  <c r="AN30" i="13"/>
  <c r="AO30" i="13"/>
  <c r="AQ30" i="13"/>
  <c r="AL31" i="13"/>
  <c r="AM31" i="13"/>
  <c r="AN31" i="13"/>
  <c r="AO31" i="13"/>
  <c r="AQ31" i="13"/>
  <c r="AL32" i="13"/>
  <c r="AM32" i="13"/>
  <c r="AN32" i="13"/>
  <c r="AO32" i="13"/>
  <c r="AQ32" i="13"/>
  <c r="AL33" i="13"/>
  <c r="AM33" i="13"/>
  <c r="AN33" i="13"/>
  <c r="AO33" i="13"/>
  <c r="AQ33" i="13"/>
  <c r="AL34" i="13"/>
  <c r="AM34" i="13"/>
  <c r="AN34" i="13"/>
  <c r="AO34" i="13"/>
  <c r="AQ34" i="13"/>
  <c r="AL35" i="13"/>
  <c r="AM35" i="13"/>
  <c r="AN35" i="13"/>
  <c r="AO35" i="13"/>
  <c r="AQ35" i="13"/>
  <c r="AL36" i="13"/>
  <c r="AM36" i="13"/>
  <c r="AN36" i="13"/>
  <c r="AO36" i="13"/>
  <c r="AQ36" i="13"/>
  <c r="AL37" i="13"/>
  <c r="AM37" i="13"/>
  <c r="AN37" i="13"/>
  <c r="AO37" i="13"/>
  <c r="AQ37" i="13"/>
  <c r="AL38" i="13"/>
  <c r="AM38" i="13"/>
  <c r="AN38" i="13"/>
  <c r="AO38" i="13"/>
  <c r="AQ38" i="13"/>
  <c r="AL39" i="13"/>
  <c r="AM39" i="13"/>
  <c r="AN39" i="13"/>
  <c r="AO39" i="13"/>
  <c r="AQ39" i="13"/>
  <c r="AL40" i="13"/>
  <c r="AM40" i="13"/>
  <c r="AN40" i="13"/>
  <c r="AO40" i="13"/>
  <c r="AQ40" i="13"/>
  <c r="AL41" i="13"/>
  <c r="AM41" i="13"/>
  <c r="AN41" i="13"/>
  <c r="AO41" i="13"/>
  <c r="AQ41" i="13"/>
  <c r="AL42" i="13"/>
  <c r="AM42" i="13"/>
  <c r="AN42" i="13"/>
  <c r="AO42" i="13"/>
  <c r="AQ42" i="13"/>
  <c r="AL43" i="13"/>
  <c r="AM43" i="13"/>
  <c r="AN43" i="13"/>
  <c r="AO43" i="13"/>
  <c r="AQ43" i="13"/>
  <c r="AL44" i="13"/>
  <c r="AM44" i="13"/>
  <c r="AN44" i="13"/>
  <c r="AO44" i="13"/>
  <c r="AQ44" i="13"/>
  <c r="AL45" i="13"/>
  <c r="AM45" i="13"/>
  <c r="AN45" i="13"/>
  <c r="AO45" i="13"/>
  <c r="AQ45" i="13"/>
  <c r="AL46" i="13"/>
  <c r="AM46" i="13"/>
  <c r="AN46" i="13"/>
  <c r="AO46" i="13"/>
  <c r="AQ46" i="13"/>
  <c r="AL47" i="13"/>
  <c r="AM47" i="13"/>
  <c r="AN47" i="13"/>
  <c r="AO47" i="13"/>
  <c r="AQ47" i="13"/>
  <c r="AL48" i="13"/>
  <c r="AM48" i="13"/>
  <c r="AN48" i="13"/>
  <c r="AO48" i="13"/>
  <c r="AQ48" i="13"/>
  <c r="AL49" i="13"/>
  <c r="AM49" i="13"/>
  <c r="AN49" i="13"/>
  <c r="AO49" i="13"/>
  <c r="AQ49" i="13"/>
  <c r="AL50" i="13"/>
  <c r="AM50" i="13"/>
  <c r="AN50" i="13"/>
  <c r="AO50" i="13"/>
  <c r="AQ50" i="13"/>
  <c r="AL51" i="13"/>
  <c r="AM51" i="13"/>
  <c r="AN51" i="13"/>
  <c r="AO51" i="13"/>
  <c r="AQ51" i="13"/>
  <c r="AL52" i="13"/>
  <c r="AM52" i="13"/>
  <c r="AN52" i="13"/>
  <c r="AO52" i="13"/>
  <c r="AQ52" i="13"/>
  <c r="AL53" i="13"/>
  <c r="AM53" i="13"/>
  <c r="AN53" i="13"/>
  <c r="AO53" i="13"/>
  <c r="AQ53" i="13"/>
  <c r="AL54" i="13"/>
  <c r="AM54" i="13"/>
  <c r="AN54" i="13"/>
  <c r="AO54" i="13"/>
  <c r="AQ54" i="13"/>
  <c r="AL55" i="13"/>
  <c r="AM55" i="13"/>
  <c r="AN55" i="13"/>
  <c r="AO55" i="13"/>
  <c r="AQ55" i="13"/>
  <c r="AL56" i="13"/>
  <c r="AM56" i="13"/>
  <c r="AN56" i="13"/>
  <c r="AO56" i="13"/>
  <c r="AQ56" i="13"/>
  <c r="AL57" i="13"/>
  <c r="AM57" i="13"/>
  <c r="AN57" i="13"/>
  <c r="AO57" i="13"/>
  <c r="AQ57" i="13"/>
  <c r="AL58" i="13"/>
  <c r="AM58" i="13"/>
  <c r="AN58" i="13"/>
  <c r="AO58" i="13"/>
  <c r="AQ58" i="13"/>
  <c r="AL59" i="13"/>
  <c r="AM59" i="13"/>
  <c r="AN59" i="13"/>
  <c r="AO59" i="13"/>
  <c r="AQ59" i="13"/>
  <c r="AL60" i="13"/>
  <c r="AM60" i="13"/>
  <c r="AN60" i="13"/>
  <c r="AO60" i="13"/>
  <c r="AQ60" i="13"/>
  <c r="AL61" i="13"/>
  <c r="AM61" i="13"/>
  <c r="AN61" i="13"/>
  <c r="AO61" i="13"/>
  <c r="AQ61" i="13"/>
  <c r="AL62" i="13"/>
  <c r="AM62" i="13"/>
  <c r="AN62" i="13"/>
  <c r="AO62" i="13"/>
  <c r="AQ62" i="13"/>
  <c r="AL63" i="13"/>
  <c r="AM63" i="13"/>
  <c r="AN63" i="13"/>
  <c r="AO63" i="13"/>
  <c r="AQ63" i="13"/>
  <c r="AL64" i="13"/>
  <c r="AM64" i="13"/>
  <c r="AN64" i="13"/>
  <c r="AO64" i="13"/>
  <c r="AQ64" i="13"/>
  <c r="AL65" i="13"/>
  <c r="AM65" i="13"/>
  <c r="AN65" i="13"/>
  <c r="AO65" i="13"/>
  <c r="AQ65" i="13"/>
  <c r="AL66" i="13"/>
  <c r="AM66" i="13"/>
  <c r="AN66" i="13"/>
  <c r="AO66" i="13"/>
  <c r="AQ66" i="13"/>
  <c r="AL67" i="13"/>
  <c r="AM67" i="13"/>
  <c r="AN67" i="13"/>
  <c r="AO67" i="13"/>
  <c r="AQ67" i="13"/>
  <c r="AL68" i="13"/>
  <c r="AM68" i="13"/>
  <c r="AN68" i="13"/>
  <c r="AO68" i="13"/>
  <c r="AQ68" i="13"/>
  <c r="AL69" i="13"/>
  <c r="AM69" i="13"/>
  <c r="AN69" i="13"/>
  <c r="AO69" i="13"/>
  <c r="AQ69" i="13"/>
  <c r="AL70" i="13"/>
  <c r="AM70" i="13"/>
  <c r="AN70" i="13"/>
  <c r="AO70" i="13"/>
  <c r="AQ70" i="13"/>
  <c r="AL71" i="13"/>
  <c r="AM71" i="13"/>
  <c r="AN71" i="13"/>
  <c r="AO71" i="13"/>
  <c r="AQ71" i="13"/>
  <c r="AL72" i="13"/>
  <c r="AM72" i="13"/>
  <c r="AN72" i="13"/>
  <c r="AO72" i="13"/>
  <c r="AQ72" i="13"/>
  <c r="AL73" i="13"/>
  <c r="AM73" i="13"/>
  <c r="AN73" i="13"/>
  <c r="AO73" i="13"/>
  <c r="AQ73" i="13"/>
  <c r="AL74" i="13"/>
  <c r="AM74" i="13"/>
  <c r="AN74" i="13"/>
  <c r="AO74" i="13"/>
  <c r="AQ74" i="13"/>
  <c r="AL75" i="13"/>
  <c r="AM75" i="13"/>
  <c r="AN75" i="13"/>
  <c r="AO75" i="13"/>
  <c r="AQ75" i="13"/>
  <c r="AL76" i="13"/>
  <c r="AM76" i="13"/>
  <c r="AN76" i="13"/>
  <c r="AO76" i="13"/>
  <c r="AQ76" i="13"/>
  <c r="AL77" i="13"/>
  <c r="AM77" i="13"/>
  <c r="AN77" i="13"/>
  <c r="AO77" i="13"/>
  <c r="AQ77" i="13"/>
  <c r="AL78" i="13"/>
  <c r="AM78" i="13"/>
  <c r="AN78" i="13"/>
  <c r="AO78" i="13"/>
  <c r="AQ78" i="13"/>
  <c r="AL79" i="13"/>
  <c r="AM79" i="13"/>
  <c r="AN79" i="13"/>
  <c r="AO79" i="13"/>
  <c r="AQ79" i="13"/>
  <c r="AL80" i="13"/>
  <c r="AM80" i="13"/>
  <c r="AN80" i="13"/>
  <c r="AO80" i="13"/>
  <c r="AQ80" i="13"/>
  <c r="AL81" i="13"/>
  <c r="AM81" i="13"/>
  <c r="AN81" i="13"/>
  <c r="AO81" i="13"/>
  <c r="AQ81" i="13"/>
  <c r="AL82" i="13"/>
  <c r="AM82" i="13"/>
  <c r="AN82" i="13"/>
  <c r="AO82" i="13"/>
  <c r="AQ82" i="13"/>
  <c r="AL83" i="13"/>
  <c r="AM83" i="13"/>
  <c r="AN83" i="13"/>
  <c r="AO83" i="13"/>
  <c r="AQ83" i="13"/>
  <c r="AL84" i="13"/>
  <c r="AM84" i="13"/>
  <c r="AN84" i="13"/>
  <c r="AO84" i="13"/>
  <c r="AQ84" i="13"/>
  <c r="AL85" i="13"/>
  <c r="AM85" i="13"/>
  <c r="AN85" i="13"/>
  <c r="AO85" i="13"/>
  <c r="AQ85" i="13"/>
  <c r="AL86" i="13"/>
  <c r="AM86" i="13"/>
  <c r="AN86" i="13"/>
  <c r="AO86" i="13"/>
  <c r="AQ86" i="13"/>
  <c r="AL87" i="13"/>
  <c r="AM87" i="13"/>
  <c r="AN87" i="13"/>
  <c r="AO87" i="13"/>
  <c r="AQ87" i="13"/>
  <c r="AL88" i="13"/>
  <c r="AM88" i="13"/>
  <c r="AN88" i="13"/>
  <c r="AO88" i="13"/>
  <c r="AQ88" i="13"/>
  <c r="AL89" i="13"/>
  <c r="AM89" i="13"/>
  <c r="AN89" i="13"/>
  <c r="AO89" i="13"/>
  <c r="AQ89" i="13"/>
  <c r="AL90" i="13"/>
  <c r="AM90" i="13"/>
  <c r="AN90" i="13"/>
  <c r="AO90" i="13"/>
  <c r="AQ90" i="13"/>
  <c r="AL91" i="13"/>
  <c r="AM91" i="13"/>
  <c r="AN91" i="13"/>
  <c r="AO91" i="13"/>
  <c r="AQ91" i="13"/>
  <c r="AL92" i="13"/>
  <c r="AM92" i="13"/>
  <c r="AN92" i="13"/>
  <c r="AO92" i="13"/>
  <c r="AQ92" i="13"/>
  <c r="AL93" i="13"/>
  <c r="AM93" i="13"/>
  <c r="AN93" i="13"/>
  <c r="AO93" i="13"/>
  <c r="AQ93" i="13"/>
  <c r="AL94" i="13"/>
  <c r="AM94" i="13"/>
  <c r="AN94" i="13"/>
  <c r="AO94" i="13"/>
  <c r="AQ94" i="13"/>
  <c r="AL95" i="13"/>
  <c r="AM95" i="13"/>
  <c r="AN95" i="13"/>
  <c r="AO95" i="13"/>
  <c r="AQ95" i="13"/>
  <c r="AL96" i="13"/>
  <c r="AM96" i="13"/>
  <c r="AN96" i="13"/>
  <c r="AO96" i="13"/>
  <c r="AQ96" i="13"/>
  <c r="AL97" i="13"/>
  <c r="AM97" i="13"/>
  <c r="AN97" i="13"/>
  <c r="AO97" i="13"/>
  <c r="AQ97" i="13"/>
  <c r="AL98" i="13"/>
  <c r="AM98" i="13"/>
  <c r="AN98" i="13"/>
  <c r="AO98" i="13"/>
  <c r="AQ98" i="13"/>
  <c r="AL99" i="13"/>
  <c r="AM99" i="13"/>
  <c r="AN99" i="13"/>
  <c r="AO99" i="13"/>
  <c r="AQ99" i="13"/>
  <c r="AL100" i="13"/>
  <c r="AM100" i="13"/>
  <c r="AN100" i="13"/>
  <c r="AO100" i="13"/>
  <c r="AQ100" i="13"/>
  <c r="AL101" i="13"/>
  <c r="AM101" i="13"/>
  <c r="AN101" i="13"/>
  <c r="AO101" i="13"/>
  <c r="AQ101" i="13"/>
  <c r="AL102" i="13"/>
  <c r="AM102" i="13"/>
  <c r="AN102" i="13"/>
  <c r="AO102" i="13"/>
  <c r="AQ102" i="13"/>
  <c r="AL103" i="13"/>
  <c r="AM103" i="13"/>
  <c r="AN103" i="13"/>
  <c r="AO103" i="13"/>
  <c r="AQ103" i="13"/>
  <c r="AL104" i="13"/>
  <c r="AM104" i="13"/>
  <c r="AN104" i="13"/>
  <c r="AO104" i="13"/>
  <c r="AQ104" i="13"/>
  <c r="AL105" i="13"/>
  <c r="AM105" i="13"/>
  <c r="AN105" i="13"/>
  <c r="AO105" i="13"/>
  <c r="AQ105" i="13"/>
  <c r="AL106" i="13"/>
  <c r="AM106" i="13"/>
  <c r="AN106" i="13"/>
  <c r="AO106" i="13"/>
  <c r="AQ106" i="13"/>
  <c r="AL107" i="13"/>
  <c r="AM107" i="13"/>
  <c r="AN107" i="13"/>
  <c r="AO107" i="13"/>
  <c r="AQ107" i="13"/>
  <c r="AL108" i="13"/>
  <c r="AM108" i="13"/>
  <c r="AN108" i="13"/>
  <c r="AO108" i="13"/>
  <c r="AQ108" i="13"/>
  <c r="AL109" i="13"/>
  <c r="AM109" i="13"/>
  <c r="AN109" i="13"/>
  <c r="AO109" i="13"/>
  <c r="AQ109" i="13"/>
  <c r="AL110" i="13"/>
  <c r="AM110" i="13"/>
  <c r="AN110" i="13"/>
  <c r="AO110" i="13"/>
  <c r="AQ110" i="13"/>
  <c r="AL111" i="13"/>
  <c r="AM111" i="13"/>
  <c r="AN111" i="13"/>
  <c r="AO111" i="13"/>
  <c r="AQ111" i="13"/>
  <c r="AL112" i="13"/>
  <c r="AM112" i="13"/>
  <c r="AN112" i="13"/>
  <c r="AO112" i="13"/>
  <c r="AQ112" i="13"/>
  <c r="AL113" i="13"/>
  <c r="AM113" i="13"/>
  <c r="AN113" i="13"/>
  <c r="AO113" i="13"/>
  <c r="AQ113" i="13"/>
  <c r="AL114" i="13"/>
  <c r="AM114" i="13"/>
  <c r="AN114" i="13"/>
  <c r="AO114" i="13"/>
  <c r="AQ114" i="13"/>
  <c r="AL115" i="13"/>
  <c r="AM115" i="13"/>
  <c r="AN115" i="13"/>
  <c r="AO115" i="13"/>
  <c r="AQ115" i="13"/>
  <c r="AL116" i="13"/>
  <c r="AM116" i="13"/>
  <c r="AN116" i="13"/>
  <c r="AO116" i="13"/>
  <c r="AQ116" i="13"/>
  <c r="AL117" i="13"/>
  <c r="AM117" i="13"/>
  <c r="AN117" i="13"/>
  <c r="AO117" i="13"/>
  <c r="AQ117" i="13"/>
  <c r="AL118" i="13"/>
  <c r="AM118" i="13"/>
  <c r="AN118" i="13"/>
  <c r="AO118" i="13"/>
  <c r="AQ118" i="13"/>
  <c r="AL119" i="13"/>
  <c r="AM119" i="13"/>
  <c r="AN119" i="13"/>
  <c r="AO119" i="13"/>
  <c r="AQ119" i="13"/>
  <c r="AL120" i="13"/>
  <c r="AM120" i="13"/>
  <c r="AN120" i="13"/>
  <c r="AO120" i="13"/>
  <c r="AQ120" i="13"/>
  <c r="AL121" i="13"/>
  <c r="AM121" i="13"/>
  <c r="AN121" i="13"/>
  <c r="AO121" i="13"/>
  <c r="AQ121" i="13"/>
  <c r="AL122" i="13"/>
  <c r="AM122" i="13"/>
  <c r="AN122" i="13"/>
  <c r="AO122" i="13"/>
  <c r="AQ122" i="13"/>
  <c r="AL123" i="13"/>
  <c r="AM123" i="13"/>
  <c r="AN123" i="13"/>
  <c r="AO123" i="13"/>
  <c r="AQ123" i="13"/>
  <c r="AL124" i="13"/>
  <c r="AM124" i="13"/>
  <c r="AN124" i="13"/>
  <c r="AO124" i="13"/>
  <c r="AQ124" i="13"/>
  <c r="AL125" i="13"/>
  <c r="AM125" i="13"/>
  <c r="AN125" i="13"/>
  <c r="AO125" i="13"/>
  <c r="AQ125" i="13"/>
  <c r="AL126" i="13"/>
  <c r="AM126" i="13"/>
  <c r="AN126" i="13"/>
  <c r="AO126" i="13"/>
  <c r="AQ126" i="13"/>
  <c r="AL127" i="13"/>
  <c r="AM127" i="13"/>
  <c r="AN127" i="13"/>
  <c r="AO127" i="13"/>
  <c r="AQ127" i="13"/>
  <c r="AL128" i="13"/>
  <c r="AM128" i="13"/>
  <c r="AN128" i="13"/>
  <c r="AO128" i="13"/>
  <c r="AQ128" i="13"/>
  <c r="AL129" i="13"/>
  <c r="AM129" i="13"/>
  <c r="AN129" i="13"/>
  <c r="AO129" i="13"/>
  <c r="AQ129" i="13"/>
  <c r="AL130" i="13"/>
  <c r="AM130" i="13"/>
  <c r="AN130" i="13"/>
  <c r="AO130" i="13"/>
  <c r="AQ130" i="13"/>
  <c r="AL131" i="13"/>
  <c r="AM131" i="13"/>
  <c r="AN131" i="13"/>
  <c r="AO131" i="13"/>
  <c r="AQ131" i="13"/>
  <c r="AL132" i="13"/>
  <c r="AM132" i="13"/>
  <c r="AN132" i="13"/>
  <c r="AO132" i="13"/>
  <c r="AQ132" i="13"/>
  <c r="AL133" i="13"/>
  <c r="AM133" i="13"/>
  <c r="AN133" i="13"/>
  <c r="AO133" i="13"/>
  <c r="AQ133" i="13"/>
  <c r="AL134" i="13"/>
  <c r="AM134" i="13"/>
  <c r="AN134" i="13"/>
  <c r="AO134" i="13"/>
  <c r="AQ134" i="13"/>
  <c r="AL135" i="13"/>
  <c r="AM135" i="13"/>
  <c r="AN135" i="13"/>
  <c r="AO135" i="13"/>
  <c r="AQ135" i="13"/>
  <c r="AL136" i="13"/>
  <c r="AM136" i="13"/>
  <c r="AN136" i="13"/>
  <c r="AO136" i="13"/>
  <c r="AQ136" i="13"/>
  <c r="AL137" i="13"/>
  <c r="AM137" i="13"/>
  <c r="AN137" i="13"/>
  <c r="AO137" i="13"/>
  <c r="AQ137" i="13"/>
  <c r="AL138" i="13"/>
  <c r="AM138" i="13"/>
  <c r="AN138" i="13"/>
  <c r="AO138" i="13"/>
  <c r="AQ138" i="13"/>
  <c r="AL139" i="13"/>
  <c r="AM139" i="13"/>
  <c r="AN139" i="13"/>
  <c r="AO139" i="13"/>
  <c r="AQ139" i="13"/>
  <c r="AL140" i="13"/>
  <c r="AM140" i="13"/>
  <c r="AN140" i="13"/>
  <c r="AO140" i="13"/>
  <c r="AQ140" i="13"/>
  <c r="AL141" i="13"/>
  <c r="AM141" i="13"/>
  <c r="AN141" i="13"/>
  <c r="AO141" i="13"/>
  <c r="AQ141" i="13"/>
  <c r="AM2" i="13"/>
  <c r="AO2" i="13"/>
  <c r="AN2" i="13"/>
  <c r="AO1" i="13"/>
  <c r="AL2" i="13"/>
  <c r="AQ2" i="13"/>
  <c r="AL1" i="13"/>
  <c r="AM1" i="13"/>
  <c r="I26" i="14"/>
  <c r="I27" i="14"/>
  <c r="I25" i="14"/>
  <c r="I12" i="14"/>
  <c r="I13" i="14"/>
  <c r="I11" i="14"/>
  <c r="I25" i="11"/>
  <c r="I24" i="11"/>
  <c r="I26" i="11"/>
  <c r="I11" i="11"/>
  <c r="I12" i="11"/>
  <c r="I10" i="11"/>
  <c r="B1" i="13"/>
  <c r="F1" i="13"/>
  <c r="C1" i="13"/>
  <c r="G1" i="13"/>
  <c r="H1" i="13"/>
  <c r="T2" i="13"/>
  <c r="X2" i="13"/>
  <c r="U2" i="13"/>
  <c r="Y2" i="13"/>
  <c r="Z2" i="13"/>
  <c r="W2" i="13"/>
  <c r="V2" i="13"/>
  <c r="B2" i="13"/>
  <c r="F2" i="13"/>
  <c r="C2" i="13"/>
  <c r="G2" i="13"/>
  <c r="H2" i="13"/>
  <c r="E2" i="13"/>
  <c r="D2" i="13"/>
  <c r="T1" i="13"/>
  <c r="X1" i="13"/>
  <c r="U1" i="13"/>
  <c r="Y1" i="13"/>
  <c r="Z1" i="13"/>
  <c r="W1" i="13"/>
  <c r="V1" i="13"/>
  <c r="E1" i="13"/>
  <c r="D1" i="13"/>
</calcChain>
</file>

<file path=xl/sharedStrings.xml><?xml version="1.0" encoding="utf-8"?>
<sst xmlns="http://schemas.openxmlformats.org/spreadsheetml/2006/main" count="78" uniqueCount="40">
  <si>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</si>
  <si>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</si>
  <si>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</si>
  <si>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</si>
  <si>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</si>
  <si>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</si>
  <si>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</si>
  <si>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</si>
  <si>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</si>
  <si>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NaOH</t>
  </si>
  <si>
    <t>Ve:</t>
  </si>
  <si>
    <t>Strong Acid / Weak Base</t>
  </si>
  <si>
    <t>Kw:</t>
  </si>
  <si>
    <t>1/2 Ve</t>
  </si>
  <si>
    <t>2Ve:</t>
  </si>
  <si>
    <t>1/2 Ve:</t>
  </si>
  <si>
    <t>MES</t>
  </si>
  <si>
    <t>Cocaine</t>
  </si>
  <si>
    <t>HNO3</t>
  </si>
  <si>
    <t>Instructions:</t>
  </si>
  <si>
    <t>Enter your data into the appropriate Box.</t>
  </si>
  <si>
    <t>INFO:</t>
  </si>
  <si>
    <t>The graphs are independent of each other.</t>
  </si>
  <si>
    <t>Wait for the curve to show.</t>
  </si>
  <si>
    <t>Click the "Prepare" button to the right of the box.</t>
  </si>
  <si>
    <t>Future:</t>
  </si>
  <si>
    <t>I plan on adding varying precision for those who either want</t>
  </si>
  <si>
    <t>I plan on adding di and tri functional titrations</t>
  </si>
  <si>
    <t>"Clear All Calculations" will remove all curves from all graphs.</t>
  </si>
  <si>
    <t xml:space="preserve">    this sheet to work faster, or more precise curves.</t>
  </si>
  <si>
    <t>If you break this, email me: jkelowitt@protonmail.com</t>
  </si>
  <si>
    <t>Formulas from: (Quantitative Chemical Analysis, Harris, p.256)</t>
  </si>
  <si>
    <t>Diprotic Weak Acid / Strong Base</t>
  </si>
  <si>
    <t>Strong Acid / Difunctional Weak Base</t>
  </si>
  <si>
    <t>Acid Ka2:</t>
  </si>
  <si>
    <t>Acid Ka1:</t>
  </si>
  <si>
    <t>Base Kb1:</t>
  </si>
  <si>
    <t>Base Kb2:</t>
  </si>
  <si>
    <t>Sulfurous Acid</t>
  </si>
  <si>
    <t>Sulfuric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</si>
</sst>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1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11" xfId="0" applyBorder="1"/>
    <xf numFmtId="2" fontId="0" fillId="0" borderId="12" xfId="0" applyNumberFormat="1" applyBorder="1"/>
    <xf numFmtId="11" fontId="0" fillId="0" borderId="13" xfId="0" applyNumberFormat="1" applyBorder="1"/>
    <xf numFmtId="0" fontId="0" fillId="0" borderId="13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CalcSheet!$Q:$Q</c:f>
              <c:strCache>
                <c:ptCount val="1048576"/>
                <c:pt idx="0">
                  <c:v>0.33</c:v>
                </c:pt>
                <c:pt idx="1">
                  <c:v>1.30</c:v>
                </c:pt>
                <c:pt idx="2">
                  <c:v>2.22</c:v>
                </c:pt>
                <c:pt idx="3">
                  <c:v>3.10</c:v>
                </c:pt>
                <c:pt idx="4">
                  <c:v>3.93</c:v>
                </c:pt>
                <c:pt idx="5">
                  <c:v>4.71</c:v>
                </c:pt>
                <c:pt idx="6">
                  <c:v>5.44</c:v>
                </c:pt>
                <c:pt idx="7">
                  <c:v>6.11</c:v>
                </c:pt>
                <c:pt idx="8">
                  <c:v>6.71</c:v>
                </c:pt>
                <c:pt idx="9">
                  <c:v>7.24</c:v>
                </c:pt>
                <c:pt idx="10">
                  <c:v>7.71</c:v>
                </c:pt>
                <c:pt idx="11">
                  <c:v>8.11</c:v>
                </c:pt>
                <c:pt idx="12">
                  <c:v>8.45</c:v>
                </c:pt>
                <c:pt idx="13">
                  <c:v>8.74</c:v>
                </c:pt>
                <c:pt idx="14">
                  <c:v>8.98</c:v>
                </c:pt>
                <c:pt idx="15">
                  <c:v>9.17</c:v>
                </c:pt>
                <c:pt idx="16">
                  <c:v>9.33</c:v>
                </c:pt>
                <c:pt idx="17">
                  <c:v>9.46</c:v>
                </c:pt>
                <c:pt idx="18">
                  <c:v>9.57</c:v>
                </c:pt>
                <c:pt idx="19">
                  <c:v>9.66</c:v>
                </c:pt>
                <c:pt idx="20">
                  <c:v>9.73</c:v>
                </c:pt>
                <c:pt idx="21">
                  <c:v>9.78</c:v>
                </c:pt>
                <c:pt idx="22">
                  <c:v>9.83</c:v>
                </c:pt>
                <c:pt idx="23">
                  <c:v>9.86</c:v>
                </c:pt>
                <c:pt idx="24">
                  <c:v>9.89</c:v>
                </c:pt>
                <c:pt idx="25">
                  <c:v>9.91</c:v>
                </c:pt>
                <c:pt idx="26">
                  <c:v>9.93</c:v>
                </c:pt>
                <c:pt idx="27">
                  <c:v>9.94</c:v>
                </c:pt>
                <c:pt idx="28">
                  <c:v>9.96</c:v>
                </c:pt>
                <c:pt idx="29">
                  <c:v>9.96</c:v>
                </c:pt>
                <c:pt idx="30">
                  <c:v>9.97</c:v>
                </c:pt>
                <c:pt idx="31">
                  <c:v>9.98</c:v>
                </c:pt>
                <c:pt idx="32">
                  <c:v>9.98</c:v>
                </c:pt>
                <c:pt idx="33">
                  <c:v>9.99</c:v>
                </c:pt>
                <c:pt idx="34">
                  <c:v>9.99</c:v>
                </c:pt>
                <c:pt idx="35">
                  <c:v>9.99</c:v>
                </c:pt>
                <c:pt idx="36">
                  <c:v>9.99</c:v>
                </c:pt>
                <c:pt idx="37">
                  <c:v>9.99</c:v>
                </c:pt>
                <c:pt idx="38">
                  <c:v>10.00</c:v>
                </c:pt>
                <c:pt idx="39">
                  <c:v>10.00</c:v>
                </c:pt>
                <c:pt idx="40">
                  <c:v>10.00</c:v>
                </c:pt>
                <c:pt idx="41">
                  <c:v>10.00</c:v>
                </c:pt>
                <c:pt idx="42">
                  <c:v>10.00</c:v>
                </c:pt>
                <c:pt idx="43">
                  <c:v>10.00</c:v>
                </c:pt>
                <c:pt idx="44">
                  <c:v>10.00</c:v>
                </c:pt>
                <c:pt idx="45">
                  <c:v>10.00</c:v>
                </c:pt>
                <c:pt idx="46">
                  <c:v>10.00</c:v>
                </c:pt>
                <c:pt idx="47">
                  <c:v>10.00</c:v>
                </c:pt>
                <c:pt idx="48">
                  <c:v>10.00</c:v>
                </c:pt>
                <c:pt idx="49">
                  <c:v>10.00</c:v>
                </c:pt>
                <c:pt idx="50">
                  <c:v>10.00</c:v>
                </c:pt>
                <c:pt idx="51">
                  <c:v>10.00</c:v>
                </c:pt>
                <c:pt idx="52">
                  <c:v>10.00</c:v>
                </c:pt>
                <c:pt idx="53">
                  <c:v>10.00</c:v>
                </c:pt>
                <c:pt idx="54">
                  <c:v>10.00</c:v>
                </c:pt>
                <c:pt idx="55">
                  <c:v>10.00</c:v>
                </c:pt>
                <c:pt idx="56">
                  <c:v>10.00</c:v>
                </c:pt>
                <c:pt idx="57">
                  <c:v>10.00</c:v>
                </c:pt>
                <c:pt idx="58">
                  <c:v>10.00</c:v>
                </c:pt>
                <c:pt idx="59">
                  <c:v>10.00</c:v>
                </c:pt>
                <c:pt idx="60">
                  <c:v>10.00</c:v>
                </c:pt>
                <c:pt idx="61">
                  <c:v>10.00</c:v>
                </c:pt>
                <c:pt idx="62">
                  <c:v>10.00</c:v>
                </c:pt>
                <c:pt idx="63">
                  <c:v>10.00</c:v>
                </c:pt>
                <c:pt idx="64">
                  <c:v>10.00</c:v>
                </c:pt>
                <c:pt idx="65">
                  <c:v>10.00</c:v>
                </c:pt>
                <c:pt idx="66">
                  <c:v>10.00</c:v>
                </c:pt>
                <c:pt idx="67">
                  <c:v>10.01</c:v>
                </c:pt>
                <c:pt idx="68">
                  <c:v>10.01</c:v>
                </c:pt>
                <c:pt idx="69">
                  <c:v>10.01</c:v>
                </c:pt>
                <c:pt idx="70">
                  <c:v>10.01</c:v>
                </c:pt>
                <c:pt idx="71">
                  <c:v>10.02</c:v>
                </c:pt>
                <c:pt idx="72">
                  <c:v>10.02</c:v>
                </c:pt>
                <c:pt idx="73">
                  <c:v>10.02</c:v>
                </c:pt>
                <c:pt idx="74">
                  <c:v>10.03</c:v>
                </c:pt>
                <c:pt idx="75">
                  <c:v>10.04</c:v>
                </c:pt>
                <c:pt idx="76">
                  <c:v>10.05</c:v>
                </c:pt>
                <c:pt idx="77">
                  <c:v>10.06</c:v>
                </c:pt>
                <c:pt idx="78">
                  <c:v>10.08</c:v>
                </c:pt>
                <c:pt idx="79">
                  <c:v>10.10</c:v>
                </c:pt>
                <c:pt idx="80">
                  <c:v>10.12</c:v>
                </c:pt>
                <c:pt idx="81">
                  <c:v>10.15</c:v>
                </c:pt>
                <c:pt idx="82">
                  <c:v>10.19</c:v>
                </c:pt>
                <c:pt idx="83">
                  <c:v>10.24</c:v>
                </c:pt>
                <c:pt idx="84">
                  <c:v>10.31</c:v>
                </c:pt>
                <c:pt idx="85">
                  <c:v>10.38</c:v>
                </c:pt>
                <c:pt idx="86">
                  <c:v>10.49</c:v>
                </c:pt>
                <c:pt idx="87">
                  <c:v>10.61</c:v>
                </c:pt>
                <c:pt idx="88">
                  <c:v>10.77</c:v>
                </c:pt>
                <c:pt idx="89">
                  <c:v>10.98</c:v>
                </c:pt>
                <c:pt idx="90">
                  <c:v>11.23</c:v>
                </c:pt>
                <c:pt idx="91">
                  <c:v>11.56</c:v>
                </c:pt>
                <c:pt idx="92">
                  <c:v>11.98</c:v>
                </c:pt>
                <c:pt idx="93">
                  <c:v>12.51</c:v>
                </c:pt>
                <c:pt idx="94">
                  <c:v>13.20</c:v>
                </c:pt>
                <c:pt idx="95">
                  <c:v>14.08</c:v>
                </c:pt>
                <c:pt idx="96">
                  <c:v>15.23</c:v>
                </c:pt>
                <c:pt idx="97">
                  <c:v>16.74</c:v>
                </c:pt>
                <c:pt idx="98">
                  <c:v>18.74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CalcSheet!$Q$1:$Q$1401</c:f>
              <c:numCache>
                <c:formatCode>0.00</c:formatCode>
                <c:ptCount val="1401"/>
                <c:pt idx="0">
                  <c:v>0.32983798465457181</c:v>
                </c:pt>
                <c:pt idx="1">
                  <c:v>1.3015315748408423</c:v>
                </c:pt>
                <c:pt idx="2">
                  <c:v>2.2228280441476511</c:v>
                </c:pt>
                <c:pt idx="3">
                  <c:v>3.0989503596347334</c:v>
                </c:pt>
                <c:pt idx="4">
                  <c:v>3.9298864311390758</c:v>
                </c:pt>
                <c:pt idx="5">
                  <c:v>4.7118425075812365</c:v>
                </c:pt>
                <c:pt idx="6">
                  <c:v>5.4390558931284572</c:v>
                </c:pt>
                <c:pt idx="7">
                  <c:v>6.1056105666666669</c:v>
                </c:pt>
                <c:pt idx="8">
                  <c:v>6.7069162600492742</c:v>
                </c:pt>
                <c:pt idx="9">
                  <c:v>7.2406316530026702</c:v>
                </c:pt>
                <c:pt idx="10">
                  <c:v>7.7069826374653703</c:v>
                </c:pt>
                <c:pt idx="11">
                  <c:v>8.1085764505315829</c:v>
                </c:pt>
                <c:pt idx="12">
                  <c:v>8.449894627689833</c:v>
                </c:pt>
                <c:pt idx="13">
                  <c:v>8.7366557092752029</c:v>
                </c:pt>
                <c:pt idx="14">
                  <c:v>8.975196276885077</c:v>
                </c:pt>
                <c:pt idx="15">
                  <c:v>9.1719584214508405</c:v>
                </c:pt>
                <c:pt idx="16">
                  <c:v>9.3331173204565196</c:v>
                </c:pt>
                <c:pt idx="17">
                  <c:v>9.4643452386298819</c:v>
                </c:pt>
                <c:pt idx="18">
                  <c:v>9.5706886592242046</c:v>
                </c:pt>
                <c:pt idx="19">
                  <c:v>9.6565289942390624</c:v>
                </c:pt>
                <c:pt idx="20">
                  <c:v>9.725598993290486</c:v>
                </c:pt>
                <c:pt idx="21">
                  <c:v>9.7810322114036126</c:v>
                </c:pt>
                <c:pt idx="22">
                  <c:v>9.8254289331264708</c:v>
                </c:pt>
                <c:pt idx="23">
                  <c:v>9.8609273619235083</c:v>
                </c:pt>
                <c:pt idx="24">
                  <c:v>9.8892731433339662</c:v>
                </c:pt>
                <c:pt idx="25">
                  <c:v>9.9118833629596459</c:v>
                </c:pt>
                <c:pt idx="26">
                  <c:v>9.9299032272222334</c:v>
                </c:pt>
                <c:pt idx="27">
                  <c:v>9.9442549361622632</c:v>
                </c:pt>
                <c:pt idx="28">
                  <c:v>9.9556790170719083</c:v>
                </c:pt>
                <c:pt idx="29">
                  <c:v>9.9647687853240665</c:v>
                </c:pt>
                <c:pt idx="30">
                  <c:v>9.971998767056073</c:v>
                </c:pt>
                <c:pt idx="31">
                  <c:v>9.9777479495745531</c:v>
                </c:pt>
                <c:pt idx="32">
                  <c:v>9.9823186805449389</c:v>
                </c:pt>
                <c:pt idx="33">
                  <c:v>9.985951954966378</c:v>
                </c:pt>
                <c:pt idx="34">
                  <c:v>9.988839733102532</c:v>
                </c:pt>
                <c:pt idx="35">
                  <c:v>9.9911348364058306</c:v>
                </c:pt>
                <c:pt idx="36">
                  <c:v>9.9929588791410975</c:v>
                </c:pt>
                <c:pt idx="37">
                  <c:v>9.9944086140997523</c:v>
                </c:pt>
                <c:pt idx="38">
                  <c:v>9.9955610024364496</c:v>
                </c:pt>
                <c:pt idx="39">
                  <c:v>9.9964772599407823</c:v>
                </c:pt>
                <c:pt idx="40">
                  <c:v>9.9972060840353123</c:v>
                </c:pt>
                <c:pt idx="41">
                  <c:v>9.9977862262726749</c:v>
                </c:pt>
                <c:pt idx="42">
                  <c:v>9.9982485428526005</c:v>
                </c:pt>
                <c:pt idx="43">
                  <c:v>9.9986176295289386</c:v>
                </c:pt>
                <c:pt idx="44">
                  <c:v>9.9989131261852631</c:v>
                </c:pt>
                <c:pt idx="45">
                  <c:v>9.9991507594242428</c:v>
                </c:pt>
                <c:pt idx="46">
                  <c:v>9.9993431779801956</c:v>
                </c:pt>
                <c:pt idx="47">
                  <c:v>9.9995006249937575</c:v>
                </c:pt>
                <c:pt idx="48">
                  <c:v>9.9996314826659649</c:v>
                </c:pt>
                <c:pt idx="49">
                  <c:v>9.9997427181174103</c:v>
                </c:pt>
                <c:pt idx="50">
                  <c:v>9.9998402540831535</c:v>
                </c:pt>
                <c:pt idx="51">
                  <c:v>9.9999292841131382</c:v>
                </c:pt>
                <c:pt idx="52">
                  <c:v>10.000014549019062</c:v>
                </c:pt>
                <c:pt idx="53">
                  <c:v>10.000100589261756</c:v>
                </c:pt>
                <c:pt idx="54">
                  <c:v>10.000191986702726</c:v>
                </c:pt>
                <c:pt idx="55">
                  <c:v>10.00029360858448</c:v>
                </c:pt>
                <c:pt idx="56">
                  <c:v>10.000410866727947</c:v>
                </c:pt>
                <c:pt idx="57">
                  <c:v>10.000550005750055</c:v>
                </c:pt>
                <c:pt idx="58">
                  <c:v>10.000718435654088</c:v>
                </c:pt>
                <c:pt idx="59">
                  <c:v>10.000925126513383</c:v>
                </c:pt>
                <c:pt idx="60">
                  <c:v>10.001181086282816</c:v>
                </c:pt>
                <c:pt idx="61">
                  <c:v>10.001499947209593</c:v>
                </c:pt>
                <c:pt idx="62">
                  <c:v>10.001898692114459</c:v>
                </c:pt>
                <c:pt idx="63">
                  <c:v>10.002398559288311</c:v>
                </c:pt>
                <c:pt idx="64">
                  <c:v>10.003026174301061</c:v>
                </c:pt>
                <c:pt idx="65">
                  <c:v>10.003814969166855</c:v>
                </c:pt>
                <c:pt idx="66">
                  <c:v>10.004806964712655</c:v>
                </c:pt>
                <c:pt idx="67">
                  <c:v>10.006055011498111</c:v>
                </c:pt>
                <c:pt idx="68">
                  <c:v>10.007625609305769</c:v>
                </c:pt>
                <c:pt idx="69">
                  <c:v>10.009602456431242</c:v>
                </c:pt>
                <c:pt idx="70">
                  <c:v>10.012090919500393</c:v>
                </c:pt>
                <c:pt idx="71">
                  <c:v>10.015223664566346</c:v>
                </c:pt>
                <c:pt idx="72">
                  <c:v>10.019167753674449</c:v>
                </c:pt>
                <c:pt idx="73">
                  <c:v>10.024133591652122</c:v>
                </c:pt>
                <c:pt idx="74">
                  <c:v>10.030386210422936</c:v>
                </c:pt>
                <c:pt idx="75">
                  <c:v>10.038259508994113</c:v>
                </c:pt>
                <c:pt idx="76">
                  <c:v>10.048174234781873</c:v>
                </c:pt>
                <c:pt idx="77">
                  <c:v>10.060660707253689</c:v>
                </c:pt>
                <c:pt idx="78">
                  <c:v>10.076387562976869</c:v>
                </c:pt>
                <c:pt idx="79">
                  <c:v>10.096198162517373</c:v>
                </c:pt>
                <c:pt idx="80">
                  <c:v>10.121156772499342</c:v>
                </c:pt>
                <c:pt idx="81">
                  <c:v>10.152607260175962</c:v>
                </c:pt>
                <c:pt idx="82">
                  <c:v>10.192247869612588</c:v>
                </c:pt>
                <c:pt idx="83">
                  <c:v>10.242226769990671</c:v>
                </c:pt>
                <c:pt idx="84">
                  <c:v>10.305264598450711</c:v>
                </c:pt>
                <c:pt idx="85">
                  <c:v>10.384812343702498</c:v>
                </c:pt>
                <c:pt idx="86">
                  <c:v>10.485255909629869</c:v>
                </c:pt>
                <c:pt idx="87">
                  <c:v>10.612182992159592</c:v>
                </c:pt>
                <c:pt idx="88">
                  <c:v>10.772734183474903</c:v>
                </c:pt>
                <c:pt idx="89">
                  <c:v>10.976069596429607</c:v>
                </c:pt>
                <c:pt idx="90">
                  <c:v>11.233996618943646</c:v>
                </c:pt>
                <c:pt idx="91">
                  <c:v>11.561826783343671</c:v>
                </c:pt>
                <c:pt idx="92">
                  <c:v>11.979565598590213</c:v>
                </c:pt>
                <c:pt idx="93">
                  <c:v>12.513598270455788</c:v>
                </c:pt>
                <c:pt idx="94">
                  <c:v>13.199134528355016</c:v>
                </c:pt>
                <c:pt idx="95">
                  <c:v>14.083851867923226</c:v>
                </c:pt>
                <c:pt idx="96">
                  <c:v>15.233497710057081</c:v>
                </c:pt>
                <c:pt idx="97">
                  <c:v>16.74082313051456</c:v>
                </c:pt>
                <c:pt idx="98">
                  <c:v>18.740448885398997</c:v>
                </c:pt>
              </c:numCache>
            </c:numRef>
          </c:xVal>
          <c:yVal>
            <c:numRef>
              <c:f>CalcSheet!$J$1:$J$1401</c:f>
              <c:numCache>
                <c:formatCode>0.00</c:formatCode>
                <c:ptCount val="1401"/>
                <c:pt idx="0">
                  <c:v>2.2999999999999998</c:v>
                </c:pt>
                <c:pt idx="1">
                  <c:v>2.4</c:v>
                </c:pt>
                <c:pt idx="2">
                  <c:v>2.5</c:v>
                </c:pt>
                <c:pt idx="3">
                  <c:v>2.6</c:v>
                </c:pt>
                <c:pt idx="4">
                  <c:v>2.7</c:v>
                </c:pt>
                <c:pt idx="5">
                  <c:v>2.8</c:v>
                </c:pt>
                <c:pt idx="6">
                  <c:v>2.9</c:v>
                </c:pt>
                <c:pt idx="7">
                  <c:v>3</c:v>
                </c:pt>
                <c:pt idx="8">
                  <c:v>3.1</c:v>
                </c:pt>
                <c:pt idx="9">
                  <c:v>3.2</c:v>
                </c:pt>
                <c:pt idx="10">
                  <c:v>3.3</c:v>
                </c:pt>
                <c:pt idx="11">
                  <c:v>3.4</c:v>
                </c:pt>
                <c:pt idx="12">
                  <c:v>3.5</c:v>
                </c:pt>
                <c:pt idx="13">
                  <c:v>3.6</c:v>
                </c:pt>
                <c:pt idx="14">
                  <c:v>3.7</c:v>
                </c:pt>
                <c:pt idx="15">
                  <c:v>3.8</c:v>
                </c:pt>
                <c:pt idx="16">
                  <c:v>3.9</c:v>
                </c:pt>
                <c:pt idx="17">
                  <c:v>4</c:v>
                </c:pt>
                <c:pt idx="18">
                  <c:v>4.0999999999999996</c:v>
                </c:pt>
                <c:pt idx="19">
                  <c:v>4.2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4.5</c:v>
                </c:pt>
                <c:pt idx="23">
                  <c:v>4.5999999999999996</c:v>
                </c:pt>
                <c:pt idx="24">
                  <c:v>4.7</c:v>
                </c:pt>
                <c:pt idx="25">
                  <c:v>4.8</c:v>
                </c:pt>
                <c:pt idx="26">
                  <c:v>4.9000000000000004</c:v>
                </c:pt>
                <c:pt idx="27">
                  <c:v>5</c:v>
                </c:pt>
                <c:pt idx="28">
                  <c:v>5.0999999999999996</c:v>
                </c:pt>
                <c:pt idx="29">
                  <c:v>5.2</c:v>
                </c:pt>
                <c:pt idx="30">
                  <c:v>5.3</c:v>
                </c:pt>
                <c:pt idx="31">
                  <c:v>5.4</c:v>
                </c:pt>
                <c:pt idx="32">
                  <c:v>5.5</c:v>
                </c:pt>
                <c:pt idx="33">
                  <c:v>5.6</c:v>
                </c:pt>
                <c:pt idx="34">
                  <c:v>5.7</c:v>
                </c:pt>
                <c:pt idx="35">
                  <c:v>5.8</c:v>
                </c:pt>
                <c:pt idx="36">
                  <c:v>5.9</c:v>
                </c:pt>
                <c:pt idx="37">
                  <c:v>6</c:v>
                </c:pt>
                <c:pt idx="38">
                  <c:v>6.1</c:v>
                </c:pt>
                <c:pt idx="39">
                  <c:v>6.2</c:v>
                </c:pt>
                <c:pt idx="40">
                  <c:v>6.3</c:v>
                </c:pt>
                <c:pt idx="41">
                  <c:v>6.4</c:v>
                </c:pt>
                <c:pt idx="42">
                  <c:v>6.5</c:v>
                </c:pt>
                <c:pt idx="43">
                  <c:v>6.6</c:v>
                </c:pt>
                <c:pt idx="44">
                  <c:v>6.7</c:v>
                </c:pt>
                <c:pt idx="45">
                  <c:v>6.8</c:v>
                </c:pt>
                <c:pt idx="46">
                  <c:v>6.9</c:v>
                </c:pt>
                <c:pt idx="47">
                  <c:v>7</c:v>
                </c:pt>
                <c:pt idx="48">
                  <c:v>7.1</c:v>
                </c:pt>
                <c:pt idx="49">
                  <c:v>7.2</c:v>
                </c:pt>
                <c:pt idx="50">
                  <c:v>7.3</c:v>
                </c:pt>
                <c:pt idx="51">
                  <c:v>7.4</c:v>
                </c:pt>
                <c:pt idx="52">
                  <c:v>7.5</c:v>
                </c:pt>
                <c:pt idx="53">
                  <c:v>7.6</c:v>
                </c:pt>
                <c:pt idx="54">
                  <c:v>7.7</c:v>
                </c:pt>
                <c:pt idx="55">
                  <c:v>7.8</c:v>
                </c:pt>
                <c:pt idx="56">
                  <c:v>7.9</c:v>
                </c:pt>
                <c:pt idx="57">
                  <c:v>8</c:v>
                </c:pt>
                <c:pt idx="58">
                  <c:v>8.1</c:v>
                </c:pt>
                <c:pt idx="59">
                  <c:v>8.1999999999999993</c:v>
                </c:pt>
                <c:pt idx="60">
                  <c:v>8.3000000000000007</c:v>
                </c:pt>
                <c:pt idx="61">
                  <c:v>8.4</c:v>
                </c:pt>
                <c:pt idx="62">
                  <c:v>8.5</c:v>
                </c:pt>
                <c:pt idx="63">
                  <c:v>8.6</c:v>
                </c:pt>
                <c:pt idx="64">
                  <c:v>8.6999999999999993</c:v>
                </c:pt>
                <c:pt idx="65">
                  <c:v>8.8000000000000007</c:v>
                </c:pt>
                <c:pt idx="66">
                  <c:v>8.9</c:v>
                </c:pt>
                <c:pt idx="67">
                  <c:v>9</c:v>
                </c:pt>
                <c:pt idx="68">
                  <c:v>9.1</c:v>
                </c:pt>
                <c:pt idx="69">
                  <c:v>9.1999999999999993</c:v>
                </c:pt>
                <c:pt idx="70">
                  <c:v>9.3000000000000007</c:v>
                </c:pt>
                <c:pt idx="71">
                  <c:v>9.4</c:v>
                </c:pt>
                <c:pt idx="72">
                  <c:v>9.5</c:v>
                </c:pt>
                <c:pt idx="73">
                  <c:v>9.6</c:v>
                </c:pt>
                <c:pt idx="74">
                  <c:v>9.6999999999999993</c:v>
                </c:pt>
                <c:pt idx="75">
                  <c:v>9.8000000000000007</c:v>
                </c:pt>
                <c:pt idx="76">
                  <c:v>9.9</c:v>
                </c:pt>
                <c:pt idx="77">
                  <c:v>10</c:v>
                </c:pt>
                <c:pt idx="78">
                  <c:v>10.1</c:v>
                </c:pt>
                <c:pt idx="79">
                  <c:v>10.199999999999999</c:v>
                </c:pt>
                <c:pt idx="80">
                  <c:v>10.3</c:v>
                </c:pt>
                <c:pt idx="81">
                  <c:v>10.4</c:v>
                </c:pt>
                <c:pt idx="82">
                  <c:v>10.5</c:v>
                </c:pt>
                <c:pt idx="83">
                  <c:v>10.6</c:v>
                </c:pt>
                <c:pt idx="84">
                  <c:v>10.7</c:v>
                </c:pt>
                <c:pt idx="85">
                  <c:v>10.8</c:v>
                </c:pt>
                <c:pt idx="86">
                  <c:v>10.9</c:v>
                </c:pt>
                <c:pt idx="87">
                  <c:v>11</c:v>
                </c:pt>
                <c:pt idx="88">
                  <c:v>11.1</c:v>
                </c:pt>
                <c:pt idx="89">
                  <c:v>11.2</c:v>
                </c:pt>
                <c:pt idx="90">
                  <c:v>11.3</c:v>
                </c:pt>
                <c:pt idx="91">
                  <c:v>11.4</c:v>
                </c:pt>
                <c:pt idx="92">
                  <c:v>11.5</c:v>
                </c:pt>
                <c:pt idx="93">
                  <c:v>11.6</c:v>
                </c:pt>
                <c:pt idx="94">
                  <c:v>11.7</c:v>
                </c:pt>
                <c:pt idx="95">
                  <c:v>11.8</c:v>
                </c:pt>
                <c:pt idx="96">
                  <c:v>11.9</c:v>
                </c:pt>
                <c:pt idx="97">
                  <c:v>12</c:v>
                </c:pt>
                <c:pt idx="98">
                  <c:v>12.1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CalcSheet!$AI:$AI</c:f>
              <c:strCache>
                <c:ptCount val="1048576"/>
                <c:pt idx="0">
                  <c:v>87.23770284</c:v>
                </c:pt>
                <c:pt idx="1">
                  <c:v>78.12257636</c:v>
                </c:pt>
                <c:pt idx="2">
                  <c:v>71.48596273</c:v>
                </c:pt>
                <c:pt idx="3">
                  <c:v>66.55053028</c:v>
                </c:pt>
                <c:pt idx="4">
                  <c:v>62.82078779</c:v>
                </c:pt>
                <c:pt idx="5">
                  <c:v>59.9662276</c:v>
                </c:pt>
                <c:pt idx="6">
                  <c:v>57.7582496</c:v>
                </c:pt>
                <c:pt idx="7">
                  <c:v>56.03398358</c:v>
                </c:pt>
                <c:pt idx="8">
                  <c:v>54.6744587</c:v>
                </c:pt>
                <c:pt idx="9">
                  <c:v>53.59084304</c:v>
                </c:pt>
                <c:pt idx="10">
                  <c:v>52.71542893</c:v>
                </c:pt>
                <c:pt idx="11">
                  <c:v>51.99551647</c:v>
                </c:pt>
                <c:pt idx="12">
                  <c:v>51.38912417</c:v>
                </c:pt>
                <c:pt idx="13">
                  <c:v>50.8618827</c:v>
                </c:pt>
                <c:pt idx="14">
                  <c:v>50.38471283</c:v>
                </c:pt>
                <c:pt idx="15">
                  <c:v>49.93203436</c:v>
                </c:pt>
                <c:pt idx="16">
                  <c:v>49.48034519</c:v>
                </c:pt>
                <c:pt idx="17">
                  <c:v>49.0070711</c:v>
                </c:pt>
                <c:pt idx="18">
                  <c:v>48.48963362</c:v>
                </c:pt>
                <c:pt idx="19">
                  <c:v>47.90472271</c:v>
                </c:pt>
                <c:pt idx="20">
                  <c:v>47.22779924</c:v>
                </c:pt>
                <c:pt idx="21">
                  <c:v>46.43289094</c:v>
                </c:pt>
                <c:pt idx="22">
                  <c:v>45.49278381</c:v>
                </c:pt>
                <c:pt idx="23">
                  <c:v>44.37974149</c:v>
                </c:pt>
                <c:pt idx="24">
                  <c:v>43.06689444</c:v>
                </c:pt>
                <c:pt idx="25">
                  <c:v>41.53040578</c:v>
                </c:pt>
                <c:pt idx="26">
                  <c:v>39.75241582</c:v>
                </c:pt>
                <c:pt idx="27">
                  <c:v>37.72457315</c:v>
                </c:pt>
                <c:pt idx="28">
                  <c:v>35.45168556</c:v>
                </c:pt>
                <c:pt idx="29">
                  <c:v>32.95473362</c:v>
                </c:pt>
                <c:pt idx="30">
                  <c:v>30.27230943</c:v>
                </c:pt>
                <c:pt idx="31">
                  <c:v>27.45962953</c:v>
                </c:pt>
                <c:pt idx="32">
                  <c:v>24.58472197</c:v>
                </c:pt>
                <c:pt idx="33">
                  <c:v>21.72213674</c:v>
                </c:pt>
                <c:pt idx="34">
                  <c:v>18.94531121</c:v>
                </c:pt>
                <c:pt idx="35">
                  <c:v>16.31918645</c:v>
                </c:pt>
                <c:pt idx="36">
                  <c:v>13.89458304</c:v>
                </c:pt>
                <c:pt idx="37">
                  <c:v>11.7052523</c:v>
                </c:pt>
                <c:pt idx="38">
                  <c:v>9.767709574</c:v>
                </c:pt>
                <c:pt idx="39">
                  <c:v>8.083277782</c:v>
                </c:pt>
                <c:pt idx="40">
                  <c:v>6.641429919</c:v>
                </c:pt>
                <c:pt idx="41">
                  <c:v>5.423528509</c:v>
                </c:pt>
                <c:pt idx="42">
                  <c:v>4.40629031</c:v>
                </c:pt>
                <c:pt idx="43">
                  <c:v>3.564601958</c:v>
                </c:pt>
                <c:pt idx="44">
                  <c:v>2.873567657</c:v>
                </c:pt>
                <c:pt idx="45">
                  <c:v>2.309838432</c:v>
                </c:pt>
                <c:pt idx="46">
                  <c:v>1.85235597</c:v>
                </c:pt>
                <c:pt idx="47">
                  <c:v>1.48266596</c:v>
                </c:pt>
                <c:pt idx="48">
                  <c:v>1.184942479</c:v>
                </c:pt>
                <c:pt idx="49">
                  <c:v>0.945836719</c:v>
                </c:pt>
                <c:pt idx="50">
                  <c:v>0.754232691</c:v>
                </c:pt>
                <c:pt idx="51">
                  <c:v>0.600965747</c:v>
                </c:pt>
                <c:pt idx="52">
                  <c:v>0.478538889</c:v>
                </c:pt>
                <c:pt idx="53">
                  <c:v>0.380856873</c:v>
                </c:pt>
                <c:pt idx="54">
                  <c:v>0.30298803</c:v>
                </c:pt>
                <c:pt idx="55">
                  <c:v>0.240957319</c:v>
                </c:pt>
                <c:pt idx="56">
                  <c:v>0.19157038</c:v>
                </c:pt>
                <c:pt idx="57">
                  <c:v>0.152266271</c:v>
                </c:pt>
                <c:pt idx="58">
                  <c:v>0.120995658</c:v>
                </c:pt>
                <c:pt idx="59">
                  <c:v>0.096120953</c:v>
                </c:pt>
                <c:pt idx="60">
                  <c:v>0.076334998</c:v>
                </c:pt>
                <c:pt idx="61">
                  <c:v>0.060595186</c:v>
                </c:pt>
                <c:pt idx="62">
                  <c:v>0.04807031</c:v>
                </c:pt>
                <c:pt idx="63">
                  <c:v>0.03809779</c:v>
                </c:pt>
                <c:pt idx="64">
                  <c:v>0.030149345</c:v>
                </c:pt>
                <c:pt idx="65">
                  <c:v>0.023803452</c:v>
                </c:pt>
                <c:pt idx="66">
                  <c:v>0.018723282</c:v>
                </c:pt>
                <c:pt idx="67">
                  <c:v>0.014638999</c:v>
                </c:pt>
                <c:pt idx="68">
                  <c:v>0.011333545</c:v>
                </c:pt>
                <c:pt idx="69">
                  <c:v>0.00863117</c:v>
                </c:pt>
                <c:pt idx="70">
                  <c:v>0.006388142</c:v>
                </c:pt>
                <c:pt idx="71">
                  <c:v>0.004485123</c:v>
                </c:pt>
                <c:pt idx="72">
                  <c:v>0.002820842</c:v>
                </c:pt>
                <c:pt idx="73">
                  <c:v>0.001306718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CalcSheet!$AI$1:$AI$1401</c:f>
              <c:numCache>
                <c:formatCode>General</c:formatCode>
                <c:ptCount val="1401"/>
                <c:pt idx="0">
                  <c:v>87.237702837348905</c:v>
                </c:pt>
                <c:pt idx="1">
                  <c:v>78.122576362505455</c:v>
                </c:pt>
                <c:pt idx="2">
                  <c:v>71.485962730313588</c:v>
                </c:pt>
                <c:pt idx="3">
                  <c:v>66.550530280851177</c:v>
                </c:pt>
                <c:pt idx="4">
                  <c:v>62.820787792732204</c:v>
                </c:pt>
                <c:pt idx="5">
                  <c:v>59.966227600656815</c:v>
                </c:pt>
                <c:pt idx="6">
                  <c:v>57.758249602823447</c:v>
                </c:pt>
                <c:pt idx="7">
                  <c:v>56.033983578295157</c:v>
                </c:pt>
                <c:pt idx="8">
                  <c:v>54.674458703263696</c:v>
                </c:pt>
                <c:pt idx="9">
                  <c:v>53.590843041946087</c:v>
                </c:pt>
                <c:pt idx="10">
                  <c:v>52.715428925593606</c:v>
                </c:pt>
                <c:pt idx="11">
                  <c:v>51.995516469160357</c:v>
                </c:pt>
                <c:pt idx="12">
                  <c:v>51.389124168132284</c:v>
                </c:pt>
                <c:pt idx="13">
                  <c:v>50.861882703979425</c:v>
                </c:pt>
                <c:pt idx="14">
                  <c:v>50.384712826052954</c:v>
                </c:pt>
                <c:pt idx="15">
                  <c:v>49.932034356424509</c:v>
                </c:pt>
                <c:pt idx="16">
                  <c:v>49.480345188177708</c:v>
                </c:pt>
                <c:pt idx="17">
                  <c:v>49.007071101848041</c:v>
                </c:pt>
                <c:pt idx="18">
                  <c:v>48.489633618645065</c:v>
                </c:pt>
                <c:pt idx="19">
                  <c:v>47.904722706296035</c:v>
                </c:pt>
                <c:pt idx="20">
                  <c:v>47.227799236510975</c:v>
                </c:pt>
                <c:pt idx="21">
                  <c:v>46.432890943470717</c:v>
                </c:pt>
                <c:pt idx="22">
                  <c:v>45.492783809230893</c:v>
                </c:pt>
                <c:pt idx="23">
                  <c:v>44.379741488607934</c:v>
                </c:pt>
                <c:pt idx="24">
                  <c:v>43.066894444744726</c:v>
                </c:pt>
                <c:pt idx="25">
                  <c:v>41.530405779737691</c:v>
                </c:pt>
                <c:pt idx="26">
                  <c:v>39.752415819874649</c:v>
                </c:pt>
                <c:pt idx="27">
                  <c:v>37.724573151539289</c:v>
                </c:pt>
                <c:pt idx="28">
                  <c:v>35.451685557569306</c:v>
                </c:pt>
                <c:pt idx="29">
                  <c:v>32.954733617104246</c:v>
                </c:pt>
                <c:pt idx="30">
                  <c:v>30.272309434422787</c:v>
                </c:pt>
                <c:pt idx="31">
                  <c:v>27.459629531587666</c:v>
                </c:pt>
                <c:pt idx="32">
                  <c:v>24.584721970849728</c:v>
                </c:pt>
                <c:pt idx="33">
                  <c:v>21.722136736855155</c:v>
                </c:pt>
                <c:pt idx="34">
                  <c:v>18.945311212553271</c:v>
                </c:pt>
                <c:pt idx="35">
                  <c:v>16.319186451329205</c:v>
                </c:pt>
                <c:pt idx="36">
                  <c:v>13.894583042873387</c:v>
                </c:pt>
                <c:pt idx="37">
                  <c:v>11.70525229832616</c:v>
                </c:pt>
                <c:pt idx="38">
                  <c:v>9.7677095742274584</c:v>
                </c:pt>
                <c:pt idx="39">
                  <c:v>8.0832777819554842</c:v>
                </c:pt>
                <c:pt idx="40">
                  <c:v>6.6414299186054588</c:v>
                </c:pt>
                <c:pt idx="41">
                  <c:v>5.4235285094130044</c:v>
                </c:pt>
                <c:pt idx="42">
                  <c:v>4.4062903099221087</c:v>
                </c:pt>
                <c:pt idx="43">
                  <c:v>3.5646019582096642</c:v>
                </c:pt>
                <c:pt idx="44">
                  <c:v>2.873567657246475</c:v>
                </c:pt>
                <c:pt idx="45">
                  <c:v>2.3098384319109346</c:v>
                </c:pt>
                <c:pt idx="46">
                  <c:v>1.8523559700877259</c:v>
                </c:pt>
                <c:pt idx="47">
                  <c:v>1.4826659598583414</c:v>
                </c:pt>
                <c:pt idx="48">
                  <c:v>1.1849424786227498</c:v>
                </c:pt>
                <c:pt idx="49">
                  <c:v>0.94583671850032669</c:v>
                </c:pt>
                <c:pt idx="50">
                  <c:v>0.75423269110902658</c:v>
                </c:pt>
                <c:pt idx="51">
                  <c:v>0.60096574728370378</c:v>
                </c:pt>
                <c:pt idx="52">
                  <c:v>0.47853888887456264</c:v>
                </c:pt>
                <c:pt idx="53">
                  <c:v>0.38085687326345297</c:v>
                </c:pt>
                <c:pt idx="54">
                  <c:v>0.30298802979300449</c:v>
                </c:pt>
                <c:pt idx="55">
                  <c:v>0.24095731891061553</c:v>
                </c:pt>
                <c:pt idx="56">
                  <c:v>0.19157038026820175</c:v>
                </c:pt>
                <c:pt idx="57">
                  <c:v>0.15226627110600263</c:v>
                </c:pt>
                <c:pt idx="58">
                  <c:v>0.12099565783493395</c:v>
                </c:pt>
                <c:pt idx="59">
                  <c:v>9.6120953194888323E-2</c:v>
                </c:pt>
                <c:pt idx="60">
                  <c:v>7.6334998109379604E-2</c:v>
                </c:pt>
                <c:pt idx="61">
                  <c:v>6.0595186460004072E-2</c:v>
                </c:pt>
                <c:pt idx="62">
                  <c:v>4.8070309604816515E-2</c:v>
                </c:pt>
                <c:pt idx="63">
                  <c:v>3.8097790051018557E-2</c:v>
                </c:pt>
                <c:pt idx="64">
                  <c:v>3.0149344846664646E-2</c:v>
                </c:pt>
                <c:pt idx="65">
                  <c:v>2.3803452046235966E-2</c:v>
                </c:pt>
                <c:pt idx="66">
                  <c:v>1.8723282008349666E-2</c:v>
                </c:pt>
                <c:pt idx="67">
                  <c:v>1.4638999377653259E-2</c:v>
                </c:pt>
                <c:pt idx="68">
                  <c:v>1.1333544592566323E-2</c:v>
                </c:pt>
                <c:pt idx="69">
                  <c:v>8.6311702002818316E-3</c:v>
                </c:pt>
                <c:pt idx="70">
                  <c:v>6.3881420285647672E-3</c:v>
                </c:pt>
                <c:pt idx="71">
                  <c:v>4.4851230037897174E-3</c:v>
                </c:pt>
                <c:pt idx="72">
                  <c:v>2.8208422464559724E-3</c:v>
                </c:pt>
                <c:pt idx="73">
                  <c:v>1.3067175194445143E-3</c:v>
                </c:pt>
              </c:numCache>
            </c:numRef>
          </c:xVal>
          <c:yVal>
            <c:numRef>
              <c:f>CalcSheet!$AB$1:$AB$1401</c:f>
              <c:numCache>
                <c:formatCode>General</c:formatCode>
                <c:ptCount val="140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19</xdr:row>
          <xdr:rowOff>22860</xdr:rowOff>
        </xdr:from>
        <xdr:to>
          <xdr:col>19</xdr:col>
          <xdr:colOff>533400</xdr:colOff>
          <xdr:row>26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SAWB Titration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14</xdr:row>
      <xdr:rowOff>83820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dpWASB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19</xdr:row>
          <xdr:rowOff>22860</xdr:rowOff>
        </xdr:from>
        <xdr:to>
          <xdr:col>19</xdr:col>
          <xdr:colOff>533400</xdr:colOff>
          <xdr:row>26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dpSAWB Titration Curve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chool%20File\Personal%20Projects\Titration%20Sheets\Master%20Titration%20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oprotic"/>
      <sheetName val="Diprotic"/>
      <sheetName val="Constant Sheet"/>
      <sheetName val="CalcSheet"/>
      <sheetName val="Safety Sheet"/>
      <sheetName val="SASB"/>
    </sheetNames>
    <sheetDataSet>
      <sheetData sheetId="0" refreshError="1"/>
      <sheetData sheetId="1" refreshError="1"/>
      <sheetData sheetId="2">
        <row r="14">
          <cell r="C14">
            <v>1.8E-5</v>
          </cell>
        </row>
        <row r="15">
          <cell r="C15">
            <v>4.5499999999999998E-10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/>
  <dimension ref="D1:S27"/>
  <sheetViews>
    <sheetView tabSelected="1" workbookViewId="0">
      <selection activeCell="O10" sqref="O10"/>
    </sheetView>
  </sheetViews>
  <sheetFormatPr defaultRowHeight="14.4" x14ac:dyDescent="0.3"/>
  <cols>
    <col min="1" max="7" width="9.33203125" customWidth="1"/>
    <col min="8" max="8" width="21" bestFit="1" customWidth="1"/>
    <col min="9" max="9" width="10.4414062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9" t="s">
        <v>0</v>
      </c>
      <c r="I3" s="30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16</v>
      </c>
      <c r="O4" t="s">
        <v>20</v>
      </c>
    </row>
    <row r="5" spans="4:19" x14ac:dyDescent="0.3">
      <c r="H5" s="3" t="s">
        <v>2</v>
      </c>
      <c r="I5" s="20">
        <v>5.6700000000000003E-5</v>
      </c>
      <c r="O5" t="s">
        <v>24</v>
      </c>
    </row>
    <row r="6" spans="4:19" x14ac:dyDescent="0.3">
      <c r="H6" s="3" t="s">
        <v>4</v>
      </c>
      <c r="I6" s="21">
        <v>0.02</v>
      </c>
      <c r="O6" t="s">
        <v>23</v>
      </c>
    </row>
    <row r="7" spans="4:19" x14ac:dyDescent="0.3">
      <c r="H7" s="3" t="s">
        <v>5</v>
      </c>
      <c r="I7" s="21">
        <v>50</v>
      </c>
    </row>
    <row r="8" spans="4:19" x14ac:dyDescent="0.3">
      <c r="H8" s="3" t="s">
        <v>3</v>
      </c>
      <c r="I8" s="19" t="s">
        <v>9</v>
      </c>
      <c r="N8" t="s">
        <v>21</v>
      </c>
    </row>
    <row r="9" spans="4:19" x14ac:dyDescent="0.3">
      <c r="H9" s="3" t="s">
        <v>6</v>
      </c>
      <c r="I9" s="21">
        <v>0.1</v>
      </c>
      <c r="O9" t="s">
        <v>28</v>
      </c>
    </row>
    <row r="10" spans="4:19" x14ac:dyDescent="0.3">
      <c r="H10" s="16" t="s">
        <v>15</v>
      </c>
      <c r="I10" s="17">
        <f>0.5*I11</f>
        <v>5</v>
      </c>
      <c r="O10" t="s">
        <v>22</v>
      </c>
    </row>
    <row r="11" spans="4:19" x14ac:dyDescent="0.3">
      <c r="H11" s="15" t="s">
        <v>10</v>
      </c>
      <c r="I11" s="14">
        <f>(I6*I7)/I9</f>
        <v>10</v>
      </c>
      <c r="O11" t="s">
        <v>31</v>
      </c>
    </row>
    <row r="12" spans="4:19" ht="15" thickBot="1" x14ac:dyDescent="0.35">
      <c r="H12" s="7" t="s">
        <v>14</v>
      </c>
      <c r="I12" s="6">
        <f>2*I11</f>
        <v>20</v>
      </c>
      <c r="O12" t="s">
        <v>30</v>
      </c>
    </row>
    <row r="13" spans="4:19" x14ac:dyDescent="0.3">
      <c r="H13" s="5"/>
      <c r="I13" s="5"/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29" t="s">
        <v>11</v>
      </c>
      <c r="I17" s="30"/>
      <c r="O17" t="s">
        <v>27</v>
      </c>
    </row>
    <row r="18" spans="8:15" x14ac:dyDescent="0.3">
      <c r="H18" s="3" t="s">
        <v>3</v>
      </c>
      <c r="I18" s="22" t="s">
        <v>17</v>
      </c>
    </row>
    <row r="19" spans="8:15" x14ac:dyDescent="0.3">
      <c r="H19" s="3" t="s">
        <v>8</v>
      </c>
      <c r="I19" s="23">
        <v>2.5999999999999998E-5</v>
      </c>
    </row>
    <row r="20" spans="8:15" x14ac:dyDescent="0.3">
      <c r="H20" s="3" t="s">
        <v>6</v>
      </c>
      <c r="I20" s="24">
        <v>0.1</v>
      </c>
    </row>
    <row r="21" spans="8:15" x14ac:dyDescent="0.3">
      <c r="H21" s="3" t="s">
        <v>7</v>
      </c>
      <c r="I21" s="24">
        <v>100</v>
      </c>
    </row>
    <row r="22" spans="8:15" x14ac:dyDescent="0.3">
      <c r="H22" s="3" t="s">
        <v>1</v>
      </c>
      <c r="I22" s="22" t="s">
        <v>18</v>
      </c>
    </row>
    <row r="23" spans="8:15" x14ac:dyDescent="0.3">
      <c r="H23" s="3" t="s">
        <v>4</v>
      </c>
      <c r="I23" s="24">
        <v>0.2</v>
      </c>
    </row>
    <row r="24" spans="8:15" x14ac:dyDescent="0.3">
      <c r="H24" s="16" t="s">
        <v>13</v>
      </c>
      <c r="I24" s="18">
        <f>0.5*I25</f>
        <v>25</v>
      </c>
    </row>
    <row r="25" spans="8:15" x14ac:dyDescent="0.3">
      <c r="H25" s="15" t="s">
        <v>10</v>
      </c>
      <c r="I25" s="4">
        <f>(I20*I21)/I23</f>
        <v>50</v>
      </c>
    </row>
    <row r="26" spans="8:15" ht="15" thickBot="1" x14ac:dyDescent="0.35">
      <c r="H26" s="7" t="s">
        <v>14</v>
      </c>
      <c r="I26" s="13">
        <f>2*I25</f>
        <v>100</v>
      </c>
    </row>
    <row r="27" spans="8:15" ht="15" thickBot="1" x14ac:dyDescent="0.35">
      <c r="N27" s="8" t="s">
        <v>12</v>
      </c>
      <c r="O27" s="9">
        <v>1.0099999999999999E-14</v>
      </c>
    </row>
  </sheetData>
  <mergeCells count="2">
    <mergeCell ref="H3:I3"/>
    <mergeCell ref="H17:I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Extremes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15</xdr:col>
                    <xdr:colOff>182880</xdr:colOff>
                    <xdr:row>19</xdr:row>
                    <xdr:rowOff>22860</xdr:rowOff>
                  </from>
                  <to>
                    <xdr:col>19</xdr:col>
                    <xdr:colOff>533400</xdr:colOff>
                    <xdr:row>26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D8DC-7CF4-482E-8B89-8B01EC0475B9}">
  <sheetPr codeName="Sheet3"/>
  <dimension ref="D1:S31"/>
  <sheetViews>
    <sheetView topLeftCell="F1" workbookViewId="0">
      <selection activeCell="P7" sqref="P7"/>
    </sheetView>
  </sheetViews>
  <sheetFormatPr defaultRowHeight="14.4" x14ac:dyDescent="0.3"/>
  <cols>
    <col min="1" max="7" width="9.33203125" customWidth="1"/>
    <col min="8" max="8" width="21" bestFit="1" customWidth="1"/>
    <col min="9" max="9" width="13.8867187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9" t="s">
        <v>32</v>
      </c>
      <c r="I3" s="30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38</v>
      </c>
      <c r="O4" t="s">
        <v>20</v>
      </c>
    </row>
    <row r="5" spans="4:19" x14ac:dyDescent="0.3">
      <c r="H5" s="3" t="s">
        <v>35</v>
      </c>
      <c r="I5" s="20">
        <v>1.2999999999999999E-2</v>
      </c>
      <c r="O5" t="s">
        <v>24</v>
      </c>
    </row>
    <row r="6" spans="4:19" x14ac:dyDescent="0.3">
      <c r="H6" s="3" t="s">
        <v>34</v>
      </c>
      <c r="I6" s="20">
        <v>6.1999999999999999E-8</v>
      </c>
      <c r="O6" t="s">
        <v>23</v>
      </c>
    </row>
    <row r="7" spans="4:19" x14ac:dyDescent="0.3">
      <c r="H7" s="3" t="s">
        <v>4</v>
      </c>
      <c r="I7" s="21">
        <v>0.02</v>
      </c>
    </row>
    <row r="8" spans="4:19" x14ac:dyDescent="0.3">
      <c r="H8" s="3" t="s">
        <v>5</v>
      </c>
      <c r="I8" s="21">
        <v>50</v>
      </c>
      <c r="N8" t="s">
        <v>21</v>
      </c>
    </row>
    <row r="9" spans="4:19" x14ac:dyDescent="0.3">
      <c r="H9" s="3" t="s">
        <v>3</v>
      </c>
      <c r="I9" s="19" t="s">
        <v>9</v>
      </c>
      <c r="O9" t="s">
        <v>28</v>
      </c>
    </row>
    <row r="10" spans="4:19" x14ac:dyDescent="0.3">
      <c r="H10" s="3" t="s">
        <v>6</v>
      </c>
      <c r="I10" s="21">
        <v>0.1</v>
      </c>
      <c r="O10" t="s">
        <v>22</v>
      </c>
    </row>
    <row r="11" spans="4:19" x14ac:dyDescent="0.3">
      <c r="H11" s="16" t="s">
        <v>15</v>
      </c>
      <c r="I11" s="17">
        <f>0.5*I12</f>
        <v>5</v>
      </c>
      <c r="O11" t="s">
        <v>31</v>
      </c>
    </row>
    <row r="12" spans="4:19" x14ac:dyDescent="0.3">
      <c r="H12" s="15" t="s">
        <v>10</v>
      </c>
      <c r="I12" s="14">
        <f>(I7*I8)/I10</f>
        <v>10</v>
      </c>
      <c r="O12" t="s">
        <v>30</v>
      </c>
    </row>
    <row r="13" spans="4:19" ht="15" thickBot="1" x14ac:dyDescent="0.35">
      <c r="H13" s="7" t="s">
        <v>14</v>
      </c>
      <c r="I13" s="6">
        <f>2*I12</f>
        <v>20</v>
      </c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31" t="s">
        <v>33</v>
      </c>
      <c r="I17" s="32"/>
      <c r="O17" t="s">
        <v>27</v>
      </c>
    </row>
    <row r="18" spans="8:15" x14ac:dyDescent="0.3">
      <c r="H18" s="3" t="s">
        <v>3</v>
      </c>
      <c r="I18" s="22" t="s">
        <v>39</v>
      </c>
    </row>
    <row r="19" spans="8:15" x14ac:dyDescent="0.3">
      <c r="H19" s="3" t="s">
        <v>36</v>
      </c>
      <c r="I19" s="23">
        <v>1000</v>
      </c>
    </row>
    <row r="20" spans="8:15" x14ac:dyDescent="0.3">
      <c r="H20" s="3" t="s">
        <v>37</v>
      </c>
      <c r="I20" s="23">
        <f>10^-1.99</f>
        <v>1.0232929922807535E-2</v>
      </c>
    </row>
    <row r="21" spans="8:15" x14ac:dyDescent="0.3">
      <c r="H21" s="3" t="s">
        <v>6</v>
      </c>
      <c r="I21" s="23">
        <v>0.1</v>
      </c>
    </row>
    <row r="22" spans="8:15" x14ac:dyDescent="0.3">
      <c r="H22" s="3" t="s">
        <v>7</v>
      </c>
      <c r="I22" s="24">
        <v>100</v>
      </c>
    </row>
    <row r="23" spans="8:15" x14ac:dyDescent="0.3">
      <c r="H23" s="3" t="s">
        <v>1</v>
      </c>
      <c r="I23" s="22" t="s">
        <v>18</v>
      </c>
    </row>
    <row r="24" spans="8:15" x14ac:dyDescent="0.3">
      <c r="H24" s="3" t="s">
        <v>4</v>
      </c>
      <c r="I24" s="24">
        <v>0.2</v>
      </c>
    </row>
    <row r="25" spans="8:15" x14ac:dyDescent="0.3">
      <c r="H25" s="16" t="s">
        <v>13</v>
      </c>
      <c r="I25" s="18">
        <f>0.5*I26</f>
        <v>25</v>
      </c>
    </row>
    <row r="26" spans="8:15" ht="15" thickBot="1" x14ac:dyDescent="0.35">
      <c r="H26" s="15" t="s">
        <v>10</v>
      </c>
      <c r="I26" s="4">
        <f>(I21*I22)/I24</f>
        <v>50</v>
      </c>
    </row>
    <row r="27" spans="8:15" ht="15" thickBot="1" x14ac:dyDescent="0.35">
      <c r="H27" s="7" t="s">
        <v>14</v>
      </c>
      <c r="I27" s="13">
        <f>2*I26</f>
        <v>100</v>
      </c>
      <c r="N27" s="8" t="s">
        <v>12</v>
      </c>
      <c r="O27" s="9">
        <v>1.0099999999999999E-14</v>
      </c>
    </row>
    <row r="31" spans="8:15" x14ac:dyDescent="0.3">
      <c r="H31">
        <f>-LOG(0.2)</f>
        <v>0.69897000433601875</v>
      </c>
    </row>
  </sheetData>
  <mergeCells count="2">
    <mergeCell ref="H3:I3"/>
    <mergeCell ref="H17:I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ExtremesDP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CalcSheet">
                <anchor moveWithCells="1">
                  <from>
                    <xdr:col>15</xdr:col>
                    <xdr:colOff>182880</xdr:colOff>
                    <xdr:row>19</xdr:row>
                    <xdr:rowOff>22860</xdr:rowOff>
                  </from>
                  <to>
                    <xdr:col>19</xdr:col>
                    <xdr:colOff>533400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/>
  <dimension ref="A1:BP1401"/>
  <sheetViews>
    <sheetView zoomScale="73" zoomScaleNormal="73" workbookViewId="0">
      <selection activeCell="A142" sqref="A142:XFD1401"/>
    </sheetView>
  </sheetViews>
  <sheetFormatPr defaultColWidth="9.44140625" defaultRowHeight="15" customHeight="1" x14ac:dyDescent="0.3"/>
  <cols>
    <col min="1" max="1" width="6.5546875" style="2" bestFit="1" customWidth="1"/>
    <col min="2" max="3" width="9.6640625" style="1" bestFit="1" customWidth="1"/>
    <col min="4" max="4" width="10.33203125" style="1" bestFit="1" customWidth="1"/>
    <col min="5" max="5" width="9.88671875" style="1" bestFit="1" customWidth="1"/>
    <col min="6" max="6" width="9.6640625" style="1" bestFit="1" customWidth="1"/>
    <col min="7" max="8" width="10.33203125" style="1" bestFit="1" customWidth="1"/>
    <col min="9" max="9" width="9.44140625" style="10"/>
    <col min="10" max="10" width="9.44140625" style="2"/>
    <col min="11" max="16" width="9.44140625" style="1"/>
    <col min="17" max="17" width="9.44140625" style="2"/>
    <col min="18" max="18" width="9.44140625" style="10"/>
    <col min="19" max="19" width="6.5546875" style="2" bestFit="1" customWidth="1"/>
    <col min="20" max="21" width="9.6640625" style="1" bestFit="1" customWidth="1"/>
    <col min="22" max="22" width="10.33203125" style="1" bestFit="1" customWidth="1"/>
    <col min="23" max="23" width="9.88671875" style="1" bestFit="1" customWidth="1"/>
    <col min="24" max="24" width="9.6640625" style="1" bestFit="1" customWidth="1"/>
    <col min="25" max="26" width="10.33203125" style="1" bestFit="1" customWidth="1"/>
    <col min="27" max="27" width="9.44140625" style="10"/>
    <col min="28" max="28" width="9.44140625" style="2"/>
    <col min="29" max="34" width="9.44140625" style="1"/>
    <col min="35" max="35" width="9.44140625" style="2"/>
    <col min="36" max="36" width="9.44140625" style="10"/>
    <col min="37" max="37" width="6.5546875" style="1" bestFit="1" customWidth="1"/>
    <col min="38" max="39" width="9.6640625" style="1" bestFit="1" customWidth="1"/>
    <col min="40" max="40" width="9.33203125" style="1" bestFit="1" customWidth="1"/>
    <col min="41" max="41" width="9.6640625" style="1" bestFit="1" customWidth="1"/>
    <col min="42" max="43" width="10.33203125" style="1" bestFit="1" customWidth="1"/>
    <col min="44" max="44" width="9.44140625" style="10"/>
    <col min="45" max="45" width="6.5546875" style="2" bestFit="1" customWidth="1"/>
    <col min="46" max="46" width="9.33203125" style="1" bestFit="1" customWidth="1"/>
    <col min="47" max="47" width="9.6640625" style="1" bestFit="1" customWidth="1"/>
    <col min="48" max="48" width="9.33203125" style="1" bestFit="1" customWidth="1"/>
    <col min="49" max="50" width="9.6640625" style="1" bestFit="1" customWidth="1"/>
    <col min="51" max="51" width="6.5546875" style="2" bestFit="1" customWidth="1"/>
    <col min="52" max="52" width="9.44140625" style="10"/>
    <col min="53" max="53" width="6.5546875" style="1" bestFit="1" customWidth="1"/>
    <col min="54" max="55" width="9.6640625" style="1" bestFit="1" customWidth="1"/>
    <col min="56" max="56" width="9.33203125" style="1" bestFit="1" customWidth="1"/>
    <col min="57" max="57" width="9.6640625" style="1" bestFit="1" customWidth="1"/>
    <col min="58" max="58" width="10.33203125" style="1" bestFit="1" customWidth="1"/>
    <col min="60" max="60" width="9.44140625" style="10"/>
    <col min="61" max="67" width="9.44140625" style="1"/>
    <col min="68" max="68" width="9.44140625" style="10"/>
    <col min="69" max="16384" width="9.44140625" style="1"/>
  </cols>
  <sheetData>
    <row r="1" spans="1:59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((WASB_Ca*WASB_Va)-(WASB_Cb*H1))/(WASB_Va+H1)</f>
        <v>1.2199850322183952</v>
      </c>
      <c r="E1" s="1">
        <f t="shared" ref="E1:E2" si="2">(WASB_Ca*H1)/(WASB_Va+H1)</f>
        <v>-0.19999750536973251</v>
      </c>
      <c r="F1" s="1">
        <f t="shared" ref="F1:F2" si="3">WASB_Ka/(B1+WASB_Ka)</f>
        <v>5.6696785292273931E-5</v>
      </c>
      <c r="G1" s="1">
        <f t="shared" ref="G1:G2" si="4">(F1-((B1-C1)/WASB_Ca)) / (1 + ((B1-C1)/WASB_Cb))</f>
        <v>-4.5454493912013332</v>
      </c>
      <c r="H1" s="1">
        <f>G1*(WASB_Va * WASB_Ca)/WASB_Cb</f>
        <v>-45.454493912013326</v>
      </c>
      <c r="J1" s="2">
        <v>2.2999999999999998</v>
      </c>
      <c r="K1" s="1">
        <v>5.0118723362727212E-3</v>
      </c>
      <c r="L1" s="1">
        <v>2.015214938118569E-12</v>
      </c>
      <c r="M1" s="1">
        <v>1.9213576682471804E-2</v>
      </c>
      <c r="N1" s="1">
        <v>1.3107055292136584E-4</v>
      </c>
      <c r="O1" s="1">
        <v>0.28523052104840996</v>
      </c>
      <c r="P1" s="1">
        <v>3.2983798465457181E-2</v>
      </c>
      <c r="Q1" s="2">
        <v>0.32983798465457181</v>
      </c>
      <c r="S1" s="2">
        <v>0</v>
      </c>
      <c r="T1" s="1">
        <f>10^-S1</f>
        <v>1</v>
      </c>
      <c r="U1" s="1">
        <f t="shared" ref="U1:U2" si="5">Kw/T1</f>
        <v>1.0099999999999999E-14</v>
      </c>
      <c r="V1" s="1">
        <f t="shared" ref="V1:V2" si="6">((SAWB_Cb*SAWB_Vb)-(SAWB_Ca*Z1))/(Z1+SAWB_Vb)</f>
        <v>-1.0000069332131474</v>
      </c>
      <c r="W1" s="1">
        <f t="shared" ref="W1:W2" si="7">(SAWB_Cb*Z1)/(Z1+SAWB_Vb)</f>
        <v>0.36666897773771584</v>
      </c>
      <c r="X1" s="1">
        <f t="shared" ref="X1:X2" si="8">T1/(T1+SAWB_Ka)</f>
        <v>0.9999740006759823</v>
      </c>
      <c r="Y1" s="1">
        <f t="shared" ref="Y1:Y2" si="9">(X1+((T1-U1)/SAWB_Cb))/(1-((T1-U1)/SAWB_Ca))</f>
        <v>-2.7499935001690048</v>
      </c>
      <c r="Z1" s="1">
        <f t="shared" ref="Z1:Z2" si="10">(Y1*SAWB_Cb*SAWB_Vb)/SAWB_Ca</f>
        <v>-137.49967500845025</v>
      </c>
      <c r="AB1">
        <v>1.4</v>
      </c>
      <c r="AC1">
        <v>3.9810717055349727E-2</v>
      </c>
      <c r="AD1">
        <v>2.5370052958246757E-13</v>
      </c>
      <c r="AE1">
        <v>-3.9775859533693225E-2</v>
      </c>
      <c r="AF1">
        <v>4.6591953177897744E-2</v>
      </c>
      <c r="AG1">
        <v>0.9993473357765934</v>
      </c>
      <c r="AH1">
        <v>1.7447540567469781</v>
      </c>
      <c r="AI1">
        <v>87.237702837348905</v>
      </c>
      <c r="AJ1" s="25"/>
      <c r="AK1" s="2">
        <v>0</v>
      </c>
      <c r="AL1" s="1">
        <f>10^(-AK1)</f>
        <v>1</v>
      </c>
      <c r="AM1" s="1">
        <f t="shared" ref="AM1:AM64" si="11">Kw/AL1</f>
        <v>1.0099999999999999E-14</v>
      </c>
      <c r="AN1" s="1">
        <f t="shared" ref="AN1:AN64" si="12">(AL1*dpWASB_Ka1)/((AL1^2)+(AL1*dpWASB_Ka1)+(dpWASB_Ka1*dpWASB_Ka2))</f>
        <v>1.2833168795317342E-2</v>
      </c>
      <c r="AO1" s="1">
        <f t="shared" ref="AO1:AO64" si="13">(dpWASB_Ka1*dpWASB_Ka2)/((AL1^2)+(AL1*dpWASB_Ka1)+(dpWASB_Ka1*dpWASB_Ka2))</f>
        <v>7.9565646530967511E-10</v>
      </c>
      <c r="AP1" s="1">
        <f t="shared" ref="AP1:AP64" si="14">(AN1+(2*AO1) - ((AL1-AM1)/dpWASB_Ca))/(1-((AL1-AM1)/dpWASB_Cb))</f>
        <v>5.5541296477348254</v>
      </c>
      <c r="AQ1" s="1">
        <f t="shared" ref="AQ1:AQ64" si="15">AP1*dpWASB_Ca*dpWASB_Va/dpWASB_Cb</f>
        <v>55.541296477348254</v>
      </c>
      <c r="AR1" s="25"/>
      <c r="BA1" s="2">
        <v>0</v>
      </c>
      <c r="BB1" s="1">
        <f>10^-BA1</f>
        <v>1</v>
      </c>
      <c r="BC1" s="1">
        <f t="shared" ref="BC1:BC64" si="16">Kw/BB1</f>
        <v>1.0099999999999999E-14</v>
      </c>
      <c r="BD1" s="1">
        <f t="shared" ref="BD1:BD64" si="17">(BB1*(Kw/dpSAWB_Kb1))/(BB1^2+(BB1*(Kw/dpSAWB_Kb1))+((Kw/dpSAWB_Kb1)*(Kw/dpSAWB_Kb2)))</f>
        <v>1.0099999999999999E-17</v>
      </c>
      <c r="BE1" s="1">
        <f t="shared" ref="BE1:BE64" si="18">BB1^2 / (BB1^2+(BB1*(Kw/dpSAWB_Kb1))+((Kw/dpSAWB_Kb1)*(Kw/dpSAWB_Kb2)))</f>
        <v>1</v>
      </c>
      <c r="BF1" s="1">
        <f t="shared" ref="BF1:BF64" si="19">(BD1+(2*BE1)+((BB1-BC1)/dpSAWB_Cb))/(1-((BB1-BC1)/dpSAWB_Ca))</f>
        <v>-3.0000000000000124</v>
      </c>
      <c r="BG1" s="1">
        <f>(dpSAWB_Cb*dpSAWB_Vb) /(dpSAWB_Ca * BF1)</f>
        <v>-16.666666666666597</v>
      </c>
    </row>
    <row r="2" spans="1:59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0.97317856183567919</v>
      </c>
      <c r="E2" s="1">
        <f t="shared" si="2"/>
        <v>-0.15886309363927989</v>
      </c>
      <c r="F2" s="1">
        <f t="shared" si="3"/>
        <v>7.1375975955132736E-5</v>
      </c>
      <c r="G2" s="1">
        <f t="shared" si="4"/>
        <v>-4.4409131701497131</v>
      </c>
      <c r="H2" s="1">
        <f t="shared" ref="H2:H3" si="20">G2*(WASB_Va * WASB_Ca)/WASB_Cb</f>
        <v>-44.409131701497131</v>
      </c>
      <c r="J2" s="2">
        <v>2.4</v>
      </c>
      <c r="K2" s="1">
        <v>3.9810717055349717E-3</v>
      </c>
      <c r="L2" s="1">
        <v>2.5370052958246762E-12</v>
      </c>
      <c r="M2" s="1">
        <v>1.6955572588450825E-2</v>
      </c>
      <c r="N2" s="1">
        <v>5.0740456859152947E-4</v>
      </c>
      <c r="O2" s="1">
        <v>0.33438823315713984</v>
      </c>
      <c r="P2" s="1">
        <v>0.13015315748408424</v>
      </c>
      <c r="Q2" s="2">
        <v>1.3015315748408423</v>
      </c>
      <c r="S2" s="2">
        <v>0.1</v>
      </c>
      <c r="T2" s="1">
        <f>10^-S2</f>
        <v>0.79432823472428149</v>
      </c>
      <c r="U2" s="1">
        <f t="shared" si="5"/>
        <v>1.2715146659121089E-14</v>
      </c>
      <c r="V2" s="1">
        <f t="shared" si="6"/>
        <v>-0.79433471911205689</v>
      </c>
      <c r="W2" s="1">
        <f t="shared" si="7"/>
        <v>0.29811157303735231</v>
      </c>
      <c r="X2" s="1">
        <f t="shared" si="8"/>
        <v>0.99996726901064614</v>
      </c>
      <c r="Y2" s="1">
        <f t="shared" si="9"/>
        <v>-3.0095321385504907</v>
      </c>
      <c r="Z2" s="1">
        <f t="shared" si="10"/>
        <v>-150.47660692752453</v>
      </c>
      <c r="AB2">
        <v>1.5</v>
      </c>
      <c r="AC2">
        <v>3.1622776601683784E-2</v>
      </c>
      <c r="AD2">
        <v>3.193900436770064E-13</v>
      </c>
      <c r="AE2">
        <v>-3.1576655735398654E-2</v>
      </c>
      <c r="AF2">
        <v>4.385888524513288E-2</v>
      </c>
      <c r="AG2">
        <v>0.99917848325301095</v>
      </c>
      <c r="AH2">
        <v>1.5624515272501089</v>
      </c>
      <c r="AI2">
        <v>78.122576362505455</v>
      </c>
      <c r="AJ2" s="25"/>
      <c r="AK2" s="2">
        <v>0.01</v>
      </c>
      <c r="AL2" s="1">
        <f t="shared" ref="AL2:AL3" si="21">10^(-AK2)</f>
        <v>0.97723722095581067</v>
      </c>
      <c r="AM2" s="1">
        <f t="shared" si="11"/>
        <v>1.0335259222035616E-14</v>
      </c>
      <c r="AN2" s="1">
        <f t="shared" si="12"/>
        <v>1.3128167386622959E-2</v>
      </c>
      <c r="AO2" s="1">
        <f t="shared" si="13"/>
        <v>8.3290562466964094E-10</v>
      </c>
      <c r="AP2" s="1">
        <f t="shared" si="14"/>
        <v>5.5684747194737216</v>
      </c>
      <c r="AQ2" s="1">
        <f t="shared" si="15"/>
        <v>55.684747194737213</v>
      </c>
      <c r="AR2" s="25"/>
      <c r="BA2" s="2">
        <v>0.01</v>
      </c>
      <c r="BB2" s="1">
        <f t="shared" ref="BB2:BB65" si="22">10^-BA2</f>
        <v>0.97723722095581067</v>
      </c>
      <c r="BC2" s="1">
        <f t="shared" si="16"/>
        <v>1.0335259222035616E-14</v>
      </c>
      <c r="BD2" s="1">
        <f t="shared" si="17"/>
        <v>1.0335259222035615E-17</v>
      </c>
      <c r="BE2" s="1">
        <f t="shared" si="18"/>
        <v>1</v>
      </c>
      <c r="BF2" s="1">
        <f t="shared" si="19"/>
        <v>-3.0292867845626428</v>
      </c>
      <c r="BG2" s="1">
        <f t="shared" ref="BG2:BG64" si="23">(dpSAWB_Cb*dpSAWB_Vb) /(dpSAWB_Ca * BF2)</f>
        <v>-16.505535314385497</v>
      </c>
    </row>
    <row r="3" spans="1:59" ht="15" customHeight="1" x14ac:dyDescent="0.3">
      <c r="A3" s="2">
        <v>0.2</v>
      </c>
      <c r="B3" s="1">
        <f t="shared" ref="B3:B66" si="24">10^(-A3)</f>
        <v>0.63095734448019325</v>
      </c>
      <c r="C3" s="1">
        <f t="shared" ref="C3:C66" si="25">Kw/B3</f>
        <v>1.6007421243857246E-14</v>
      </c>
      <c r="D3" s="1">
        <f t="shared" ref="D3:D66" si="26">((WASB_Ca*WASB_Va)-(WASB_Cb*H3))/(WASB_Va+H3)</f>
        <v>0.77713305035338009</v>
      </c>
      <c r="E3" s="1">
        <f t="shared" ref="E3:E66" si="27">(WASB_Ca*H3)/(WASB_Va+H3)</f>
        <v>-0.12618884172556336</v>
      </c>
      <c r="F3" s="1">
        <f t="shared" ref="F3:F66" si="28">WASB_Ka/(B3+WASB_Ka)</f>
        <v>8.9855369299596857E-5</v>
      </c>
      <c r="G3" s="1">
        <f t="shared" ref="G3:G66" si="29">(F3-((B3-C3)/WASB_Ca)) / (1 + ((B3-C3)/WASB_Cb))</f>
        <v>-4.315953264150437</v>
      </c>
      <c r="H3" s="1">
        <f t="shared" si="20"/>
        <v>-43.15953264150437</v>
      </c>
      <c r="J3" s="2">
        <v>2.5</v>
      </c>
      <c r="K3" s="1">
        <v>3.1622776601683764E-3</v>
      </c>
      <c r="L3" s="1">
        <v>3.1939004367700658E-12</v>
      </c>
      <c r="M3" s="1">
        <v>1.4892284173652478E-2</v>
      </c>
      <c r="N3" s="1">
        <v>8.5128597105792018E-4</v>
      </c>
      <c r="O3" s="1">
        <v>0.38742588672279332</v>
      </c>
      <c r="P3" s="1">
        <v>0.22228280441476514</v>
      </c>
      <c r="Q3" s="2">
        <v>2.2228280441476511</v>
      </c>
      <c r="S3" s="2">
        <v>0.2</v>
      </c>
      <c r="T3" s="1">
        <f t="shared" ref="T3:T66" si="30">10^-S3</f>
        <v>0.63095734448019325</v>
      </c>
      <c r="U3" s="1">
        <f t="shared" ref="U3:U66" si="31">Kw/T3</f>
        <v>1.6007421243857246E-14</v>
      </c>
      <c r="V3" s="1">
        <f t="shared" ref="V3:V66" si="32">((SAWB_Cb*SAWB_Vb)-(SAWB_Ca*Z3))/(Z3+SAWB_Vb)</f>
        <v>-0.63096326383603041</v>
      </c>
      <c r="W3" s="1">
        <f t="shared" ref="W3:W66" si="33">(SAWB_Cb*Z3)/(Z3+SAWB_Vb)</f>
        <v>0.24365442127867681</v>
      </c>
      <c r="X3" s="1">
        <f t="shared" ref="X3:X66" si="34">T3/(T3+SAWB_Ka)</f>
        <v>0.99995879447496128</v>
      </c>
      <c r="Y3" s="1">
        <f t="shared" ref="Y3:Y66" si="35">(X3+((T3-U3)/SAWB_Cb))/(1-((T3-U3)/SAWB_Ca))</f>
        <v>-3.3922300352456114</v>
      </c>
      <c r="Z3" s="1">
        <f t="shared" ref="Z3:Z66" si="36">(Y3*SAWB_Cb*SAWB_Vb)/SAWB_Ca</f>
        <v>-169.61150176228054</v>
      </c>
      <c r="AB3">
        <v>1.6</v>
      </c>
      <c r="AC3">
        <v>2.511886431509578E-2</v>
      </c>
      <c r="AD3">
        <v>4.0208824225903255E-13</v>
      </c>
      <c r="AE3">
        <v>-2.5058567346533622E-2</v>
      </c>
      <c r="AF3">
        <v>4.168618911551121E-2</v>
      </c>
      <c r="AG3">
        <v>0.99896599163653499</v>
      </c>
      <c r="AH3">
        <v>1.4297192546062716</v>
      </c>
      <c r="AI3">
        <v>71.485962730313588</v>
      </c>
      <c r="AJ3" s="25"/>
      <c r="AK3" s="2">
        <v>0.02</v>
      </c>
      <c r="AL3" s="1">
        <f t="shared" si="21"/>
        <v>0.95499258602143589</v>
      </c>
      <c r="AM3" s="1">
        <f t="shared" si="11"/>
        <v>1.0575998335314086E-14</v>
      </c>
      <c r="AN3" s="1">
        <f t="shared" si="12"/>
        <v>1.3429854914588688E-2</v>
      </c>
      <c r="AO3" s="1">
        <f t="shared" si="13"/>
        <v>8.7189263758934439E-10</v>
      </c>
      <c r="AP3" s="1">
        <f t="shared" si="14"/>
        <v>5.5832296355393964</v>
      </c>
      <c r="AQ3" s="1">
        <f t="shared" si="15"/>
        <v>55.832296355393964</v>
      </c>
      <c r="AR3" s="25"/>
      <c r="BA3" s="2">
        <v>0.02</v>
      </c>
      <c r="BB3" s="1">
        <f t="shared" si="22"/>
        <v>0.95499258602143589</v>
      </c>
      <c r="BC3" s="1">
        <f t="shared" si="16"/>
        <v>1.0575998335314086E-14</v>
      </c>
      <c r="BD3" s="1">
        <f t="shared" si="17"/>
        <v>1.0575998335314083E-17</v>
      </c>
      <c r="BE3" s="1">
        <f t="shared" si="18"/>
        <v>1</v>
      </c>
      <c r="BF3" s="1">
        <f t="shared" si="19"/>
        <v>-3.0596130542363995</v>
      </c>
      <c r="BG3" s="1">
        <f t="shared" si="23"/>
        <v>-16.34193576562534</v>
      </c>
    </row>
    <row r="4" spans="1:59" ht="15" customHeight="1" x14ac:dyDescent="0.3">
      <c r="A4" s="2">
        <v>0.3</v>
      </c>
      <c r="B4" s="1">
        <f t="shared" si="24"/>
        <v>0.50118723362727224</v>
      </c>
      <c r="C4" s="1">
        <f t="shared" si="25"/>
        <v>2.0152149381185686E-14</v>
      </c>
      <c r="D4" s="1">
        <f t="shared" si="26"/>
        <v>0.62140835941543637</v>
      </c>
      <c r="E4" s="1">
        <f t="shared" si="27"/>
        <v>-0.1002347265692394</v>
      </c>
      <c r="F4" s="1">
        <f t="shared" si="28"/>
        <v>1.1311857599889166E-4</v>
      </c>
      <c r="G4" s="1">
        <f t="shared" si="29"/>
        <v>-4.1682935300525417</v>
      </c>
      <c r="H4" s="1">
        <f t="shared" ref="H4:H67" si="37">G4*(WASB_Va * WASB_Ca)/WASB_Cb</f>
        <v>-41.682935300525415</v>
      </c>
      <c r="J4" s="2">
        <v>2.6</v>
      </c>
      <c r="K4" s="1">
        <v>2.5118864315095777E-3</v>
      </c>
      <c r="L4" s="1">
        <v>4.0208824225903259E-12</v>
      </c>
      <c r="M4" s="1">
        <v>1.2996583912911717E-2</v>
      </c>
      <c r="N4" s="1">
        <v>1.1672360145147137E-3</v>
      </c>
      <c r="O4" s="1">
        <v>0.44327356868573575</v>
      </c>
      <c r="P4" s="1">
        <v>0.30989503596347334</v>
      </c>
      <c r="Q4" s="2">
        <v>3.0989503596347334</v>
      </c>
      <c r="S4" s="2">
        <v>0.3</v>
      </c>
      <c r="T4" s="1">
        <f t="shared" si="30"/>
        <v>0.50118723362727224</v>
      </c>
      <c r="U4" s="1">
        <f t="shared" si="31"/>
        <v>2.0152149381185686E-14</v>
      </c>
      <c r="V4" s="1">
        <f t="shared" si="32"/>
        <v>-0.50119244165912213</v>
      </c>
      <c r="W4" s="1">
        <f t="shared" si="33"/>
        <v>0.20039748055304071</v>
      </c>
      <c r="X4" s="1">
        <f t="shared" si="34"/>
        <v>0.99994812587087578</v>
      </c>
      <c r="Y4" s="1">
        <f t="shared" si="35"/>
        <v>-3.9920818619979075</v>
      </c>
      <c r="Z4" s="1">
        <f t="shared" si="36"/>
        <v>-199.60409309989535</v>
      </c>
      <c r="AB4">
        <v>1.7</v>
      </c>
      <c r="AC4">
        <v>1.9952623149688792E-2</v>
      </c>
      <c r="AD4">
        <v>5.0619910596354508E-13</v>
      </c>
      <c r="AE4">
        <v>-1.9874485242337345E-2</v>
      </c>
      <c r="AF4">
        <v>3.9958161747445785E-2</v>
      </c>
      <c r="AG4">
        <v>0.99869860901798901</v>
      </c>
      <c r="AH4">
        <v>1.3310106056170237</v>
      </c>
      <c r="AI4">
        <v>66.550530280851177</v>
      </c>
      <c r="AJ4" s="25"/>
      <c r="AK4" s="2">
        <v>0.03</v>
      </c>
      <c r="AL4" s="1">
        <f t="shared" ref="AL4:AL67" si="38">10^(-AK4)</f>
        <v>0.93325430079699101</v>
      </c>
      <c r="AM4" s="1">
        <f t="shared" si="11"/>
        <v>1.0822344982899825E-14</v>
      </c>
      <c r="AN4" s="1">
        <f t="shared" si="12"/>
        <v>1.3738378760535682E-2</v>
      </c>
      <c r="AO4" s="1">
        <f t="shared" si="13"/>
        <v>9.1269816000397743E-10</v>
      </c>
      <c r="AP4" s="1">
        <f t="shared" si="14"/>
        <v>5.5984081467860261</v>
      </c>
      <c r="AQ4" s="1">
        <f t="shared" si="15"/>
        <v>55.984081467860257</v>
      </c>
      <c r="AR4" s="25"/>
      <c r="BA4" s="2">
        <v>0.03</v>
      </c>
      <c r="BB4" s="1">
        <f t="shared" si="22"/>
        <v>0.93325430079699101</v>
      </c>
      <c r="BC4" s="1">
        <f t="shared" si="16"/>
        <v>1.0822344982899825E-14</v>
      </c>
      <c r="BD4" s="1">
        <f t="shared" si="17"/>
        <v>1.0822344982899823E-17</v>
      </c>
      <c r="BE4" s="1">
        <f t="shared" si="18"/>
        <v>1</v>
      </c>
      <c r="BF4" s="1">
        <f t="shared" si="19"/>
        <v>-3.091026672643411</v>
      </c>
      <c r="BG4" s="1">
        <f t="shared" si="23"/>
        <v>-16.175855240110423</v>
      </c>
    </row>
    <row r="5" spans="1:59" ht="15" customHeight="1" x14ac:dyDescent="0.3">
      <c r="A5" s="2">
        <v>0.4</v>
      </c>
      <c r="B5" s="1">
        <f t="shared" si="24"/>
        <v>0.3981071705534972</v>
      </c>
      <c r="C5" s="1">
        <f t="shared" si="25"/>
        <v>2.537005295824676E-14</v>
      </c>
      <c r="D5" s="1">
        <f t="shared" si="26"/>
        <v>0.49771158139853483</v>
      </c>
      <c r="E5" s="1">
        <f t="shared" si="27"/>
        <v>-7.9618596899755797E-2</v>
      </c>
      <c r="F5" s="1">
        <f t="shared" si="28"/>
        <v>1.4240367897062071E-4</v>
      </c>
      <c r="G5" s="1">
        <f t="shared" si="29"/>
        <v>-3.99617136647058</v>
      </c>
      <c r="H5" s="1">
        <f t="shared" si="37"/>
        <v>-39.961713664705798</v>
      </c>
      <c r="J5" s="2">
        <v>2.7</v>
      </c>
      <c r="K5" s="1">
        <v>1.9952623149688781E-3</v>
      </c>
      <c r="L5" s="1">
        <v>5.0619910596354535E-12</v>
      </c>
      <c r="M5" s="1">
        <v>1.1255565272905981E-2</v>
      </c>
      <c r="N5" s="1">
        <v>1.4574057878490032E-3</v>
      </c>
      <c r="O5" s="1">
        <v>0.50059291288751817</v>
      </c>
      <c r="P5" s="1">
        <v>0.39298864311390758</v>
      </c>
      <c r="Q5" s="2">
        <v>3.9298864311390758</v>
      </c>
      <c r="S5" s="2">
        <v>0.4</v>
      </c>
      <c r="T5" s="1">
        <f t="shared" si="30"/>
        <v>0.3981071705534972</v>
      </c>
      <c r="U5" s="1">
        <f t="shared" si="31"/>
        <v>2.537005295824676E-14</v>
      </c>
      <c r="V5" s="1">
        <f t="shared" si="32"/>
        <v>-0.39811148309589184</v>
      </c>
      <c r="W5" s="1">
        <f t="shared" si="33"/>
        <v>0.16603716103196395</v>
      </c>
      <c r="X5" s="1">
        <f t="shared" si="34"/>
        <v>0.99993469521777378</v>
      </c>
      <c r="Y5" s="1">
        <f t="shared" si="35"/>
        <v>-5.0285977906166206</v>
      </c>
      <c r="Z5" s="1">
        <f t="shared" si="36"/>
        <v>-251.42988953083105</v>
      </c>
      <c r="AB5">
        <v>1.8</v>
      </c>
      <c r="AC5">
        <v>1.5848931924611124E-2</v>
      </c>
      <c r="AD5">
        <v>6.3726691792499559E-13</v>
      </c>
      <c r="AE5">
        <v>-1.5748342661322613E-2</v>
      </c>
      <c r="AF5">
        <v>3.8582780887107537E-2</v>
      </c>
      <c r="AG5">
        <v>0.99836219770116341</v>
      </c>
      <c r="AH5">
        <v>1.256415755854644</v>
      </c>
      <c r="AI5">
        <v>62.820787792732204</v>
      </c>
      <c r="AJ5" s="25"/>
      <c r="AK5" s="2">
        <v>0.04</v>
      </c>
      <c r="AL5" s="1">
        <f t="shared" si="38"/>
        <v>0.91201083935590965</v>
      </c>
      <c r="AM5" s="1">
        <f t="shared" si="11"/>
        <v>1.107442978104617E-14</v>
      </c>
      <c r="AN5" s="1">
        <f t="shared" si="12"/>
        <v>1.4053889354022801E-2</v>
      </c>
      <c r="AO5" s="1">
        <f t="shared" si="13"/>
        <v>9.5540656135707964E-10</v>
      </c>
      <c r="AP5" s="1">
        <f t="shared" si="14"/>
        <v>5.6140245754219373</v>
      </c>
      <c r="AQ5" s="1">
        <f t="shared" si="15"/>
        <v>56.140245754219372</v>
      </c>
      <c r="AR5" s="25"/>
      <c r="BA5" s="2">
        <v>0.04</v>
      </c>
      <c r="BB5" s="1">
        <f t="shared" si="22"/>
        <v>0.91201083935590965</v>
      </c>
      <c r="BC5" s="1">
        <f t="shared" si="16"/>
        <v>1.107442978104617E-14</v>
      </c>
      <c r="BD5" s="1">
        <f t="shared" si="17"/>
        <v>1.1074429781046169E-17</v>
      </c>
      <c r="BE5" s="1">
        <f t="shared" si="18"/>
        <v>1</v>
      </c>
      <c r="BF5" s="1">
        <f t="shared" si="19"/>
        <v>-3.1235784004688729</v>
      </c>
      <c r="BG5" s="1">
        <f t="shared" si="23"/>
        <v>-16.007281902222982</v>
      </c>
    </row>
    <row r="6" spans="1:59" ht="15" customHeight="1" x14ac:dyDescent="0.3">
      <c r="A6" s="2">
        <v>0.5</v>
      </c>
      <c r="B6" s="1">
        <f t="shared" si="24"/>
        <v>0.31622776601683794</v>
      </c>
      <c r="C6" s="1">
        <f t="shared" si="25"/>
        <v>3.193900436770063E-14</v>
      </c>
      <c r="D6" s="1">
        <f t="shared" si="26"/>
        <v>0.39945541184570249</v>
      </c>
      <c r="E6" s="1">
        <f t="shared" si="27"/>
        <v>-6.3242568640950417E-2</v>
      </c>
      <c r="F6" s="1">
        <f t="shared" si="28"/>
        <v>1.7926900019484825E-4</v>
      </c>
      <c r="G6" s="1">
        <f t="shared" si="29"/>
        <v>-3.7986915633114435</v>
      </c>
      <c r="H6" s="1">
        <f t="shared" si="37"/>
        <v>-37.986915633114435</v>
      </c>
      <c r="J6" s="2">
        <v>2.8</v>
      </c>
      <c r="K6" s="1">
        <v>1.5848931924611134E-3</v>
      </c>
      <c r="L6" s="1">
        <v>6.3726691792499515E-12</v>
      </c>
      <c r="M6" s="1">
        <v>9.6654714044514239E-3</v>
      </c>
      <c r="N6" s="1">
        <v>1.7224214325914293E-3</v>
      </c>
      <c r="O6" s="1">
        <v>0.5578966771467333</v>
      </c>
      <c r="P6" s="1">
        <v>0.47118425075812365</v>
      </c>
      <c r="Q6" s="2">
        <v>4.7118425075812365</v>
      </c>
      <c r="S6" s="2">
        <v>0.5</v>
      </c>
      <c r="T6" s="1">
        <f t="shared" si="30"/>
        <v>0.31622776601683794</v>
      </c>
      <c r="U6" s="1">
        <f t="shared" si="31"/>
        <v>3.193900436770063E-14</v>
      </c>
      <c r="V6" s="1">
        <f t="shared" si="32"/>
        <v>-0.3162309512276047</v>
      </c>
      <c r="W6" s="1">
        <f t="shared" si="33"/>
        <v>0.13874365040920156</v>
      </c>
      <c r="X6" s="1">
        <f t="shared" si="34"/>
        <v>0.99991778754027982</v>
      </c>
      <c r="Y6" s="1">
        <f t="shared" si="35"/>
        <v>-7.1621361923217304</v>
      </c>
      <c r="Z6" s="1">
        <f t="shared" si="36"/>
        <v>-358.10680961608654</v>
      </c>
      <c r="AB6">
        <v>1.9</v>
      </c>
      <c r="AC6">
        <v>1.2589254117941664E-2</v>
      </c>
      <c r="AD6">
        <v>8.0227151707152477E-13</v>
      </c>
      <c r="AE6">
        <v>-1.2460414613935544E-2</v>
      </c>
      <c r="AF6">
        <v>3.7486804871311848E-2</v>
      </c>
      <c r="AG6">
        <v>0.99793900307065375</v>
      </c>
      <c r="AH6">
        <v>1.1993245520131364</v>
      </c>
      <c r="AI6">
        <v>59.966227600656815</v>
      </c>
      <c r="AJ6" s="25"/>
      <c r="AK6" s="2">
        <v>0.05</v>
      </c>
      <c r="AL6" s="1">
        <f t="shared" si="38"/>
        <v>0.89125093813374545</v>
      </c>
      <c r="AM6" s="1">
        <f t="shared" si="11"/>
        <v>1.133238638844983E-14</v>
      </c>
      <c r="AN6" s="1">
        <f t="shared" si="12"/>
        <v>1.4376540226575715E-2</v>
      </c>
      <c r="AO6" s="1">
        <f t="shared" si="13"/>
        <v>1.0001060934804141E-9</v>
      </c>
      <c r="AP6" s="1">
        <f t="shared" si="14"/>
        <v>5.6300938447583322</v>
      </c>
      <c r="AQ6" s="1">
        <f t="shared" si="15"/>
        <v>56.300938447583327</v>
      </c>
      <c r="AR6" s="25"/>
      <c r="BA6" s="2">
        <v>0.05</v>
      </c>
      <c r="BB6" s="1">
        <f t="shared" si="22"/>
        <v>0.89125093813374545</v>
      </c>
      <c r="BC6" s="1">
        <f t="shared" si="16"/>
        <v>1.133238638844983E-14</v>
      </c>
      <c r="BD6" s="1">
        <f t="shared" si="17"/>
        <v>1.1332386388449831E-17</v>
      </c>
      <c r="BE6" s="1">
        <f t="shared" si="18"/>
        <v>1</v>
      </c>
      <c r="BF6" s="1">
        <f t="shared" si="19"/>
        <v>-3.1573221183031892</v>
      </c>
      <c r="BG6" s="1">
        <f t="shared" si="23"/>
        <v>-15.836204899762029</v>
      </c>
    </row>
    <row r="7" spans="1:59" ht="15" customHeight="1" x14ac:dyDescent="0.3">
      <c r="A7" s="2">
        <v>0.6</v>
      </c>
      <c r="B7" s="1">
        <f t="shared" si="24"/>
        <v>0.25118864315095801</v>
      </c>
      <c r="C7" s="1">
        <f t="shared" si="25"/>
        <v>4.0208824225903217E-14</v>
      </c>
      <c r="D7" s="1">
        <f t="shared" si="26"/>
        <v>0.32140735149079064</v>
      </c>
      <c r="E7" s="1">
        <f t="shared" si="27"/>
        <v>-5.0234558581798427E-2</v>
      </c>
      <c r="F7" s="1">
        <f t="shared" si="28"/>
        <v>2.256758246298417E-4</v>
      </c>
      <c r="G7" s="1">
        <f t="shared" si="29"/>
        <v>-3.5761994946756115</v>
      </c>
      <c r="H7" s="1">
        <f t="shared" si="37"/>
        <v>-35.761994946756111</v>
      </c>
      <c r="J7" s="2">
        <v>2.9</v>
      </c>
      <c r="K7" s="1">
        <v>1.2589254117941662E-3</v>
      </c>
      <c r="L7" s="1">
        <v>8.0227151707152493E-12</v>
      </c>
      <c r="M7" s="1">
        <v>8.2269512591697323E-3</v>
      </c>
      <c r="N7" s="1">
        <v>1.9621747901383785E-3</v>
      </c>
      <c r="O7" s="1">
        <v>0.61369922513781061</v>
      </c>
      <c r="P7" s="1">
        <v>0.54390558931284572</v>
      </c>
      <c r="Q7" s="2">
        <v>5.4390558931284572</v>
      </c>
      <c r="S7" s="2">
        <v>0.6</v>
      </c>
      <c r="T7" s="1">
        <f t="shared" si="30"/>
        <v>0.25118864315095801</v>
      </c>
      <c r="U7" s="1">
        <f t="shared" si="31"/>
        <v>4.0208824225903217E-14</v>
      </c>
      <c r="V7" s="1">
        <f t="shared" si="32"/>
        <v>-0.25119040917143021</v>
      </c>
      <c r="W7" s="1">
        <f t="shared" si="33"/>
        <v>0.11706346972381008</v>
      </c>
      <c r="X7" s="1">
        <f t="shared" si="34"/>
        <v>0.99989650284842513</v>
      </c>
      <c r="Y7" s="1">
        <f t="shared" si="35"/>
        <v>-13.720945577728745</v>
      </c>
      <c r="Z7" s="1">
        <f t="shared" si="36"/>
        <v>-686.04727888643731</v>
      </c>
      <c r="AB7">
        <v>2</v>
      </c>
      <c r="AC7">
        <v>0.01</v>
      </c>
      <c r="AD7">
        <v>1.0099999999999999E-12</v>
      </c>
      <c r="AE7">
        <v>-9.8356182606688883E-3</v>
      </c>
      <c r="AF7">
        <v>3.6611872753556297E-2</v>
      </c>
      <c r="AG7">
        <v>0.99740674246957906</v>
      </c>
      <c r="AH7">
        <v>1.1551649920564691</v>
      </c>
      <c r="AI7">
        <v>57.758249602823447</v>
      </c>
      <c r="AJ7" s="25"/>
      <c r="AK7" s="2">
        <v>0.06</v>
      </c>
      <c r="AL7" s="1">
        <f t="shared" si="38"/>
        <v>0.87096358995608059</v>
      </c>
      <c r="AM7" s="1">
        <f t="shared" si="11"/>
        <v>1.1596351577118515E-14</v>
      </c>
      <c r="AN7" s="1">
        <f t="shared" si="12"/>
        <v>1.4706488065912694E-2</v>
      </c>
      <c r="AO7" s="1">
        <f t="shared" si="13"/>
        <v>1.0468890670074575E-9</v>
      </c>
      <c r="AP7" s="1">
        <f t="shared" si="14"/>
        <v>5.6466315108505176</v>
      </c>
      <c r="AQ7" s="1">
        <f t="shared" si="15"/>
        <v>56.466315108505171</v>
      </c>
      <c r="AR7" s="25"/>
      <c r="BA7" s="2">
        <v>0.06</v>
      </c>
      <c r="BB7" s="1">
        <f t="shared" si="22"/>
        <v>0.87096358995608059</v>
      </c>
      <c r="BC7" s="1">
        <f t="shared" si="16"/>
        <v>1.1596351577118515E-14</v>
      </c>
      <c r="BD7" s="1">
        <f t="shared" si="17"/>
        <v>1.1596351577118514E-17</v>
      </c>
      <c r="BE7" s="1">
        <f t="shared" si="18"/>
        <v>1</v>
      </c>
      <c r="BF7" s="1">
        <f t="shared" si="19"/>
        <v>-3.1923150704084846</v>
      </c>
      <c r="BG7" s="1">
        <f t="shared" si="23"/>
        <v>-15.662614402782637</v>
      </c>
    </row>
    <row r="8" spans="1:59" ht="15" customHeight="1" x14ac:dyDescent="0.3">
      <c r="A8" s="2">
        <v>0.7</v>
      </c>
      <c r="B8" s="1">
        <f t="shared" si="24"/>
        <v>0.19952623149688795</v>
      </c>
      <c r="C8" s="1">
        <f t="shared" si="25"/>
        <v>5.0619910596354503E-14</v>
      </c>
      <c r="D8" s="1">
        <f t="shared" si="26"/>
        <v>0.25941105660411518</v>
      </c>
      <c r="E8" s="1">
        <f t="shared" si="27"/>
        <v>-3.9901842767352536E-2</v>
      </c>
      <c r="F8" s="1">
        <f t="shared" si="28"/>
        <v>2.8409243002267513E-4</v>
      </c>
      <c r="G8" s="1">
        <f t="shared" si="29"/>
        <v>-3.330602275653169</v>
      </c>
      <c r="H8" s="1">
        <f t="shared" si="37"/>
        <v>-33.306022756531689</v>
      </c>
      <c r="J8" s="2">
        <v>3</v>
      </c>
      <c r="K8" s="1">
        <v>1E-3</v>
      </c>
      <c r="L8" s="1">
        <v>1.0099999999999999E-11</v>
      </c>
      <c r="M8" s="1">
        <v>6.9411764598941161E-3</v>
      </c>
      <c r="N8" s="1">
        <v>2.1764705900176469E-3</v>
      </c>
      <c r="O8" s="1">
        <v>0.66666666666666663</v>
      </c>
      <c r="P8" s="1">
        <v>0.61056105666666671</v>
      </c>
      <c r="Q8" s="2">
        <v>6.1056105666666669</v>
      </c>
      <c r="S8" s="2">
        <v>0.7</v>
      </c>
      <c r="T8" s="1">
        <f t="shared" si="30"/>
        <v>0.19952623149688795</v>
      </c>
      <c r="U8" s="1">
        <f t="shared" si="31"/>
        <v>5.0619910596354503E-14</v>
      </c>
      <c r="V8" s="1">
        <f t="shared" si="32"/>
        <v>-0.19952621091990869</v>
      </c>
      <c r="W8" s="1">
        <f t="shared" si="33"/>
        <v>9.9842070306636221E-2</v>
      </c>
      <c r="X8" s="1">
        <f t="shared" si="34"/>
        <v>0.99986970829739674</v>
      </c>
      <c r="Y8" s="1">
        <f t="shared" si="35"/>
        <v>1264.3862997524807</v>
      </c>
      <c r="Z8" s="1">
        <f t="shared" si="36"/>
        <v>63219.314987624035</v>
      </c>
      <c r="AB8">
        <v>2.1</v>
      </c>
      <c r="AC8">
        <v>7.9432823472428121E-3</v>
      </c>
      <c r="AD8">
        <v>1.2715146659121093E-12</v>
      </c>
      <c r="AE8">
        <v>-7.7341915394570542E-3</v>
      </c>
      <c r="AF8">
        <v>3.5911397179819018E-2</v>
      </c>
      <c r="AG8">
        <v>0.99673747285299841</v>
      </c>
      <c r="AH8">
        <v>1.1206796715659031</v>
      </c>
      <c r="AI8">
        <v>56.033983578295157</v>
      </c>
      <c r="AJ8" s="25"/>
      <c r="AK8" s="2">
        <v>7.0000000000000007E-2</v>
      </c>
      <c r="AL8" s="1">
        <f t="shared" si="38"/>
        <v>0.85113803820237643</v>
      </c>
      <c r="AM8" s="1">
        <f t="shared" si="11"/>
        <v>1.1866465304889248E-14</v>
      </c>
      <c r="AN8" s="1">
        <f t="shared" si="12"/>
        <v>1.5043892770647129E-2</v>
      </c>
      <c r="AO8" s="1">
        <f t="shared" si="13"/>
        <v>1.0958520356463581E-9</v>
      </c>
      <c r="AP8" s="1">
        <f t="shared" si="14"/>
        <v>5.6636537961740991</v>
      </c>
      <c r="AQ8" s="1">
        <f t="shared" si="15"/>
        <v>56.636537961740991</v>
      </c>
      <c r="AR8" s="25"/>
      <c r="BA8" s="2">
        <v>7.0000000000000007E-2</v>
      </c>
      <c r="BB8" s="1">
        <f t="shared" si="22"/>
        <v>0.85113803820237643</v>
      </c>
      <c r="BC8" s="1">
        <f t="shared" si="16"/>
        <v>1.1866465304889248E-14</v>
      </c>
      <c r="BD8" s="1">
        <f t="shared" si="17"/>
        <v>1.1866465304889248E-17</v>
      </c>
      <c r="BE8" s="1">
        <f t="shared" si="18"/>
        <v>1</v>
      </c>
      <c r="BF8" s="1">
        <f t="shared" si="19"/>
        <v>-3.2286181317384059</v>
      </c>
      <c r="BG8" s="1">
        <f t="shared" si="23"/>
        <v>-15.486501642446694</v>
      </c>
    </row>
    <row r="9" spans="1:59" ht="15" customHeight="1" x14ac:dyDescent="0.3">
      <c r="A9" s="2">
        <v>0.8</v>
      </c>
      <c r="B9" s="1">
        <f t="shared" si="24"/>
        <v>0.15848931924611132</v>
      </c>
      <c r="C9" s="1">
        <f t="shared" si="25"/>
        <v>6.3726691792499529E-14</v>
      </c>
      <c r="D9" s="1">
        <f t="shared" si="26"/>
        <v>0.21016499855161286</v>
      </c>
      <c r="E9" s="1">
        <f t="shared" si="27"/>
        <v>-3.1694166425268816E-2</v>
      </c>
      <c r="F9" s="1">
        <f t="shared" si="28"/>
        <v>3.5762487301547747E-4</v>
      </c>
      <c r="G9" s="1">
        <f t="shared" si="29"/>
        <v>-3.0655457488696705</v>
      </c>
      <c r="H9" s="1">
        <f t="shared" si="37"/>
        <v>-30.655457488696705</v>
      </c>
      <c r="J9" s="2">
        <v>3.1</v>
      </c>
      <c r="K9" s="1">
        <v>7.9432823472428099E-4</v>
      </c>
      <c r="L9" s="1">
        <v>1.2715146659121097E-11</v>
      </c>
      <c r="M9" s="1">
        <v>5.8071994690191671E-3</v>
      </c>
      <c r="N9" s="1">
        <v>2.3654667551634718E-3</v>
      </c>
      <c r="O9" s="1">
        <v>0.71573552997339329</v>
      </c>
      <c r="P9" s="1">
        <v>0.67069162600492749</v>
      </c>
      <c r="Q9" s="2">
        <v>6.7069162600492742</v>
      </c>
      <c r="S9" s="2">
        <v>0.8</v>
      </c>
      <c r="T9" s="1">
        <f t="shared" si="30"/>
        <v>0.15848931924611132</v>
      </c>
      <c r="U9" s="1">
        <f t="shared" si="31"/>
        <v>6.3726691792499529E-14</v>
      </c>
      <c r="V9" s="1">
        <f t="shared" si="32"/>
        <v>-0.15848704956696885</v>
      </c>
      <c r="W9" s="1">
        <f t="shared" si="33"/>
        <v>8.6162349855656281E-2</v>
      </c>
      <c r="X9" s="1">
        <f t="shared" si="34"/>
        <v>0.99983597799806567</v>
      </c>
      <c r="Y9" s="1">
        <f t="shared" si="35"/>
        <v>12.453321041777608</v>
      </c>
      <c r="Z9" s="1">
        <f t="shared" si="36"/>
        <v>622.66605208888052</v>
      </c>
      <c r="AB9">
        <v>2.2000000000000002</v>
      </c>
      <c r="AC9">
        <v>6.3095734448019251E-3</v>
      </c>
      <c r="AD9">
        <v>1.6007421243857264E-12</v>
      </c>
      <c r="AE9">
        <v>-6.0442541612270272E-3</v>
      </c>
      <c r="AF9">
        <v>3.5348084720409012E-2</v>
      </c>
      <c r="AG9">
        <v>0.99589618836771088</v>
      </c>
      <c r="AH9">
        <v>1.0934891740652739</v>
      </c>
      <c r="AI9">
        <v>54.674458703263696</v>
      </c>
      <c r="AJ9" s="25"/>
      <c r="AK9" s="2">
        <v>0.08</v>
      </c>
      <c r="AL9" s="1">
        <f t="shared" si="38"/>
        <v>0.83176377110267097</v>
      </c>
      <c r="AM9" s="1">
        <f t="shared" si="11"/>
        <v>1.214287078963587E-14</v>
      </c>
      <c r="AN9" s="1">
        <f t="shared" si="12"/>
        <v>1.5388917505445148E-2</v>
      </c>
      <c r="AO9" s="1">
        <f t="shared" si="13"/>
        <v>1.1470959886515972E-9</v>
      </c>
      <c r="AP9" s="1">
        <f t="shared" si="14"/>
        <v>5.6811776254909834</v>
      </c>
      <c r="AQ9" s="1">
        <f t="shared" si="15"/>
        <v>56.81177625490983</v>
      </c>
      <c r="AR9" s="25"/>
      <c r="BA9" s="2">
        <v>0.08</v>
      </c>
      <c r="BB9" s="1">
        <f t="shared" si="22"/>
        <v>0.83176377110267097</v>
      </c>
      <c r="BC9" s="1">
        <f t="shared" si="16"/>
        <v>1.214287078963587E-14</v>
      </c>
      <c r="BD9" s="1">
        <f t="shared" si="17"/>
        <v>1.214287078963587E-17</v>
      </c>
      <c r="BE9" s="1">
        <f t="shared" si="18"/>
        <v>1</v>
      </c>
      <c r="BF9" s="1">
        <f t="shared" si="19"/>
        <v>-3.2662961008411537</v>
      </c>
      <c r="BG9" s="1">
        <f t="shared" si="23"/>
        <v>-15.307858949812827</v>
      </c>
    </row>
    <row r="10" spans="1:59" ht="15" customHeight="1" x14ac:dyDescent="0.3">
      <c r="A10" s="2">
        <v>0.9</v>
      </c>
      <c r="B10" s="1">
        <f t="shared" si="24"/>
        <v>0.12589254117941667</v>
      </c>
      <c r="C10" s="1">
        <f t="shared" si="25"/>
        <v>8.0227151707152451E-14</v>
      </c>
      <c r="D10" s="1">
        <f t="shared" si="26"/>
        <v>0.17104664538600997</v>
      </c>
      <c r="E10" s="1">
        <f t="shared" si="27"/>
        <v>-2.5174440897668328E-2</v>
      </c>
      <c r="F10" s="1">
        <f t="shared" si="28"/>
        <v>4.5018135456036584E-4</v>
      </c>
      <c r="G10" s="1">
        <f t="shared" si="29"/>
        <v>-2.7863588787623161</v>
      </c>
      <c r="H10" s="1">
        <f t="shared" si="37"/>
        <v>-27.863588787623161</v>
      </c>
      <c r="J10" s="2">
        <v>3.2</v>
      </c>
      <c r="K10" s="1">
        <v>6.3095734448019244E-4</v>
      </c>
      <c r="L10" s="1">
        <v>1.6007421243857267E-11</v>
      </c>
      <c r="M10" s="1">
        <v>4.8206462215945539E-3</v>
      </c>
      <c r="N10" s="1">
        <v>2.5298922964009075E-3</v>
      </c>
      <c r="O10" s="1">
        <v>0.76017956132813969</v>
      </c>
      <c r="P10" s="1">
        <v>0.72406316530026704</v>
      </c>
      <c r="Q10" s="2">
        <v>7.2406316530026702</v>
      </c>
      <c r="S10" s="2">
        <v>0.9</v>
      </c>
      <c r="T10" s="1">
        <f t="shared" si="30"/>
        <v>0.12589254117941667</v>
      </c>
      <c r="U10" s="1">
        <f t="shared" si="31"/>
        <v>8.0227151707152451E-14</v>
      </c>
      <c r="V10" s="1">
        <f t="shared" si="32"/>
        <v>-0.12588744019225664</v>
      </c>
      <c r="W10" s="1">
        <f t="shared" si="33"/>
        <v>7.5295813397418879E-2</v>
      </c>
      <c r="X10" s="1">
        <f t="shared" si="34"/>
        <v>0.99979351730288113</v>
      </c>
      <c r="Y10" s="1">
        <f t="shared" si="35"/>
        <v>6.0957937704009959</v>
      </c>
      <c r="Z10" s="1">
        <f t="shared" si="36"/>
        <v>304.78968852004982</v>
      </c>
      <c r="AB10">
        <v>2.2999999999999998</v>
      </c>
      <c r="AC10">
        <v>5.0118723362727212E-3</v>
      </c>
      <c r="AD10">
        <v>2.015214938118569E-12</v>
      </c>
      <c r="AE10">
        <v>-4.6758556315306165E-3</v>
      </c>
      <c r="AF10">
        <v>3.4891951877176877E-2</v>
      </c>
      <c r="AG10">
        <v>0.99483909113520008</v>
      </c>
      <c r="AH10">
        <v>1.0718168608389218</v>
      </c>
      <c r="AI10">
        <v>53.590843041946087</v>
      </c>
      <c r="AJ10" s="25"/>
      <c r="AK10" s="2">
        <v>0.09</v>
      </c>
      <c r="AL10" s="1">
        <f t="shared" si="38"/>
        <v>0.81283051616409918</v>
      </c>
      <c r="AM10" s="1">
        <f t="shared" si="11"/>
        <v>1.2425714585205053E-14</v>
      </c>
      <c r="AN10" s="1">
        <f t="shared" si="12"/>
        <v>1.5741728756614934E-2</v>
      </c>
      <c r="AO10" s="1">
        <f t="shared" si="13"/>
        <v>1.2007265518474796E-9</v>
      </c>
      <c r="AP10" s="1">
        <f t="shared" si="14"/>
        <v>5.6992206640736187</v>
      </c>
      <c r="AQ10" s="1">
        <f t="shared" si="15"/>
        <v>56.992206640736185</v>
      </c>
      <c r="AR10" s="25"/>
      <c r="BA10" s="2">
        <v>0.09</v>
      </c>
      <c r="BB10" s="1">
        <f t="shared" si="22"/>
        <v>0.81283051616409918</v>
      </c>
      <c r="BC10" s="1">
        <f t="shared" si="16"/>
        <v>1.2425714585205053E-14</v>
      </c>
      <c r="BD10" s="1">
        <f t="shared" si="17"/>
        <v>1.2425714585205054E-17</v>
      </c>
      <c r="BE10" s="1">
        <f t="shared" si="18"/>
        <v>1</v>
      </c>
      <c r="BF10" s="1">
        <f t="shared" si="19"/>
        <v>-3.3054180216211657</v>
      </c>
      <c r="BG10" s="1">
        <f t="shared" si="23"/>
        <v>-15.12667979449</v>
      </c>
    </row>
    <row r="11" spans="1:59" ht="15" customHeight="1" x14ac:dyDescent="0.3">
      <c r="A11" s="2">
        <v>1</v>
      </c>
      <c r="B11" s="1">
        <f t="shared" si="24"/>
        <v>0.1</v>
      </c>
      <c r="C11" s="1">
        <f t="shared" si="25"/>
        <v>1.0099999999999999E-13</v>
      </c>
      <c r="D11" s="1">
        <f t="shared" si="26"/>
        <v>0.13997280250505428</v>
      </c>
      <c r="E11" s="1">
        <f t="shared" si="27"/>
        <v>-1.9995467084175714E-2</v>
      </c>
      <c r="F11" s="1">
        <f t="shared" si="28"/>
        <v>5.6667869318096633E-4</v>
      </c>
      <c r="G11" s="1">
        <f t="shared" si="29"/>
        <v>-2.499716660652147</v>
      </c>
      <c r="H11" s="1">
        <f t="shared" si="37"/>
        <v>-24.997166606521468</v>
      </c>
      <c r="J11" s="2">
        <v>3.3</v>
      </c>
      <c r="K11" s="1">
        <v>5.0118723362727209E-4</v>
      </c>
      <c r="L11" s="1">
        <v>2.0152149381185689E-11</v>
      </c>
      <c r="M11" s="1">
        <v>3.9735526928173217E-3</v>
      </c>
      <c r="N11" s="1">
        <v>2.671074551197113E-3</v>
      </c>
      <c r="O11" s="1">
        <v>0.79962026557266552</v>
      </c>
      <c r="P11" s="1">
        <v>0.77069826374653705</v>
      </c>
      <c r="Q11" s="2">
        <v>7.7069826374653703</v>
      </c>
      <c r="S11" s="2">
        <v>1</v>
      </c>
      <c r="T11" s="1">
        <f t="shared" si="30"/>
        <v>0.1</v>
      </c>
      <c r="U11" s="1">
        <f t="shared" si="31"/>
        <v>1.0099999999999999E-13</v>
      </c>
      <c r="V11" s="1">
        <f t="shared" si="32"/>
        <v>-9.999133483519422E-2</v>
      </c>
      <c r="W11" s="1">
        <f t="shared" si="33"/>
        <v>6.6663778278398075E-2</v>
      </c>
      <c r="X11" s="1">
        <f t="shared" si="34"/>
        <v>0.99974006758242862</v>
      </c>
      <c r="Y11" s="1">
        <f t="shared" si="35"/>
        <v>3.9994801351587972</v>
      </c>
      <c r="Z11" s="1">
        <f t="shared" si="36"/>
        <v>199.97400675793986</v>
      </c>
      <c r="AB11">
        <v>2.4</v>
      </c>
      <c r="AC11">
        <v>3.9810717055349717E-3</v>
      </c>
      <c r="AD11">
        <v>2.5370052958246762E-12</v>
      </c>
      <c r="AE11">
        <v>-3.5561946094086225E-3</v>
      </c>
      <c r="AF11">
        <v>3.4518731536469539E-2</v>
      </c>
      <c r="AG11">
        <v>0.99351147124118444</v>
      </c>
      <c r="AH11">
        <v>1.0543085785118722</v>
      </c>
      <c r="AI11">
        <v>52.715428925593606</v>
      </c>
      <c r="AJ11" s="25"/>
      <c r="AK11" s="2">
        <v>0.1</v>
      </c>
      <c r="AL11" s="1">
        <f t="shared" si="38"/>
        <v>0.79432823472428149</v>
      </c>
      <c r="AM11" s="1">
        <f t="shared" si="11"/>
        <v>1.2715146659121089E-14</v>
      </c>
      <c r="AN11" s="1">
        <f t="shared" si="12"/>
        <v>1.6102496388102478E-2</v>
      </c>
      <c r="AO11" s="1">
        <f t="shared" si="13"/>
        <v>1.2568541975709721E-9</v>
      </c>
      <c r="AP11" s="1">
        <f t="shared" si="14"/>
        <v>5.7178013584709539</v>
      </c>
      <c r="AQ11" s="1">
        <f t="shared" si="15"/>
        <v>57.178013584709539</v>
      </c>
      <c r="AR11" s="25"/>
      <c r="BA11" s="2">
        <v>0.1</v>
      </c>
      <c r="BB11" s="1">
        <f t="shared" si="22"/>
        <v>0.79432823472428149</v>
      </c>
      <c r="BC11" s="1">
        <f t="shared" si="16"/>
        <v>1.2715146659121089E-14</v>
      </c>
      <c r="BD11" s="1">
        <f t="shared" si="17"/>
        <v>1.2715146659121088E-17</v>
      </c>
      <c r="BE11" s="1">
        <f t="shared" si="18"/>
        <v>1</v>
      </c>
      <c r="BF11" s="1">
        <f t="shared" si="19"/>
        <v>-3.3460575373322961</v>
      </c>
      <c r="BG11" s="1">
        <f t="shared" si="23"/>
        <v>-14.942958823076122</v>
      </c>
    </row>
    <row r="12" spans="1:59" ht="15" customHeight="1" x14ac:dyDescent="0.3">
      <c r="A12" s="2">
        <v>1.1000000000000001</v>
      </c>
      <c r="B12" s="1">
        <f t="shared" si="24"/>
        <v>7.9432823472428096E-2</v>
      </c>
      <c r="C12" s="1">
        <f t="shared" si="25"/>
        <v>1.2715146659121095E-13</v>
      </c>
      <c r="D12" s="1">
        <f t="shared" si="26"/>
        <v>0.11528867501780701</v>
      </c>
      <c r="E12" s="1">
        <f t="shared" si="27"/>
        <v>-1.5881445836301168E-2</v>
      </c>
      <c r="F12" s="1">
        <f t="shared" si="28"/>
        <v>7.1330154620523139E-4</v>
      </c>
      <c r="G12" s="1">
        <f t="shared" si="29"/>
        <v>-2.2130442999364801</v>
      </c>
      <c r="H12" s="1">
        <f t="shared" si="37"/>
        <v>-22.130442999364799</v>
      </c>
      <c r="J12" s="2">
        <v>3.4</v>
      </c>
      <c r="K12" s="1">
        <v>3.9810717055349708E-4</v>
      </c>
      <c r="L12" s="1">
        <v>2.537005295824677E-11</v>
      </c>
      <c r="M12" s="1">
        <v>3.2549817341999488E-3</v>
      </c>
      <c r="N12" s="1">
        <v>2.7908363776333418E-3</v>
      </c>
      <c r="O12" s="1">
        <v>0.83399108453455328</v>
      </c>
      <c r="P12" s="1">
        <v>0.81085764505315827</v>
      </c>
      <c r="Q12" s="2">
        <v>8.1085764505315829</v>
      </c>
      <c r="S12" s="2">
        <v>1.1000000000000001</v>
      </c>
      <c r="T12" s="1">
        <f t="shared" si="30"/>
        <v>7.9432823472428096E-2</v>
      </c>
      <c r="U12" s="1">
        <f t="shared" si="31"/>
        <v>1.2715146659121095E-13</v>
      </c>
      <c r="V12" s="1">
        <f t="shared" si="32"/>
        <v>-7.941967163507474E-2</v>
      </c>
      <c r="W12" s="1">
        <f t="shared" si="33"/>
        <v>5.9806557211691584E-2</v>
      </c>
      <c r="X12" s="1">
        <f t="shared" si="34"/>
        <v>0.99967278649665614</v>
      </c>
      <c r="Y12" s="1">
        <f t="shared" si="35"/>
        <v>2.9759360265146664</v>
      </c>
      <c r="Z12" s="1">
        <f t="shared" si="36"/>
        <v>148.79680132573333</v>
      </c>
      <c r="AB12">
        <v>2.5</v>
      </c>
      <c r="AC12">
        <v>3.1622776601683764E-3</v>
      </c>
      <c r="AD12">
        <v>3.1939004367700658E-12</v>
      </c>
      <c r="AE12">
        <v>-2.6257570164120543E-3</v>
      </c>
      <c r="AF12">
        <v>3.4208585672137352E-2</v>
      </c>
      <c r="AG12">
        <v>0.99184512681413484</v>
      </c>
      <c r="AH12">
        <v>1.039910329383207</v>
      </c>
      <c r="AI12">
        <v>51.995516469160357</v>
      </c>
      <c r="AJ12" s="25"/>
      <c r="AK12" s="2">
        <v>0.11</v>
      </c>
      <c r="AL12" s="1">
        <f t="shared" si="38"/>
        <v>0.77624711662869172</v>
      </c>
      <c r="AM12" s="1">
        <f t="shared" si="11"/>
        <v>1.3011320472100651E-14</v>
      </c>
      <c r="AN12" s="1">
        <f t="shared" si="12"/>
        <v>1.6471393697866665E-2</v>
      </c>
      <c r="AO12" s="1">
        <f t="shared" si="13"/>
        <v>1.3155944639163462E-9</v>
      </c>
      <c r="AP12" s="1">
        <f t="shared" si="14"/>
        <v>5.7369389800159931</v>
      </c>
      <c r="AQ12" s="1">
        <f t="shared" si="15"/>
        <v>57.369389800159929</v>
      </c>
      <c r="AR12" s="25"/>
      <c r="BA12" s="2">
        <v>0.11</v>
      </c>
      <c r="BB12" s="1">
        <f t="shared" si="22"/>
        <v>0.77624711662869172</v>
      </c>
      <c r="BC12" s="1">
        <f t="shared" si="16"/>
        <v>1.3011320472100651E-14</v>
      </c>
      <c r="BD12" s="1">
        <f t="shared" si="17"/>
        <v>1.301132047210065E-17</v>
      </c>
      <c r="BE12" s="1">
        <f t="shared" si="18"/>
        <v>1</v>
      </c>
      <c r="BF12" s="1">
        <f t="shared" si="19"/>
        <v>-3.3882932806334596</v>
      </c>
      <c r="BG12" s="1">
        <f t="shared" si="23"/>
        <v>-14.756691897300056</v>
      </c>
    </row>
    <row r="13" spans="1:59" ht="15" customHeight="1" x14ac:dyDescent="0.3">
      <c r="A13" s="2">
        <v>1.2</v>
      </c>
      <c r="B13" s="1">
        <f t="shared" si="24"/>
        <v>6.3095734448019317E-2</v>
      </c>
      <c r="C13" s="1">
        <f t="shared" si="25"/>
        <v>1.6007421243857248E-13</v>
      </c>
      <c r="D13" s="1">
        <f t="shared" si="26"/>
        <v>9.5679744001612194E-2</v>
      </c>
      <c r="E13" s="1">
        <f t="shared" si="27"/>
        <v>-1.2613290666935367E-2</v>
      </c>
      <c r="F13" s="1">
        <f t="shared" si="28"/>
        <v>8.9782762130365199E-4</v>
      </c>
      <c r="G13" s="1">
        <f t="shared" si="29"/>
        <v>-1.9337654080585032</v>
      </c>
      <c r="H13" s="1">
        <f t="shared" si="37"/>
        <v>-19.337654080585029</v>
      </c>
      <c r="J13" s="2">
        <v>3.5</v>
      </c>
      <c r="K13" s="1">
        <v>3.1622776601683783E-4</v>
      </c>
      <c r="L13" s="1">
        <v>3.1939004367700641E-11</v>
      </c>
      <c r="M13" s="1">
        <v>2.6520242374839555E-3</v>
      </c>
      <c r="N13" s="1">
        <v>2.8913292937526743E-3</v>
      </c>
      <c r="O13" s="1">
        <v>0.86347294050418577</v>
      </c>
      <c r="P13" s="1">
        <v>0.84498946276898335</v>
      </c>
      <c r="Q13" s="2">
        <v>8.449894627689833</v>
      </c>
      <c r="S13" s="2">
        <v>1.2</v>
      </c>
      <c r="T13" s="1">
        <f t="shared" si="30"/>
        <v>6.3095734448019317E-2</v>
      </c>
      <c r="U13" s="1">
        <f t="shared" si="31"/>
        <v>1.6007421243857248E-13</v>
      </c>
      <c r="V13" s="1">
        <f t="shared" si="32"/>
        <v>-6.3076934797065914E-2</v>
      </c>
      <c r="W13" s="1">
        <f t="shared" si="33"/>
        <v>5.435897826568864E-2</v>
      </c>
      <c r="X13" s="1">
        <f t="shared" si="34"/>
        <v>0.99958809750354038</v>
      </c>
      <c r="Y13" s="1">
        <f t="shared" si="35"/>
        <v>2.3820228469961444</v>
      </c>
      <c r="Z13" s="1">
        <f t="shared" si="36"/>
        <v>119.10114234980722</v>
      </c>
      <c r="AB13">
        <v>2.6</v>
      </c>
      <c r="AC13">
        <v>2.5118864315095777E-3</v>
      </c>
      <c r="AD13">
        <v>4.0208824225903259E-12</v>
      </c>
      <c r="AE13">
        <v>-1.8351703608371899E-3</v>
      </c>
      <c r="AF13">
        <v>3.3945056786945725E-2</v>
      </c>
      <c r="AG13">
        <v>0.98975525473591242</v>
      </c>
      <c r="AH13">
        <v>1.0277824833626457</v>
      </c>
      <c r="AI13">
        <v>51.389124168132284</v>
      </c>
      <c r="AJ13" s="25"/>
      <c r="AK13" s="2">
        <v>0.12</v>
      </c>
      <c r="AL13" s="1">
        <f t="shared" si="38"/>
        <v>0.75857757502918366</v>
      </c>
      <c r="AM13" s="1">
        <f t="shared" si="11"/>
        <v>1.3314393059419712E-14</v>
      </c>
      <c r="AN13" s="1">
        <f t="shared" si="12"/>
        <v>1.6848597474604425E-2</v>
      </c>
      <c r="AO13" s="1">
        <f t="shared" si="13"/>
        <v>1.3770681836795486E-9</v>
      </c>
      <c r="AP13" s="1">
        <f t="shared" si="14"/>
        <v>5.7566536712930958</v>
      </c>
      <c r="AQ13" s="1">
        <f t="shared" si="15"/>
        <v>57.566536712930954</v>
      </c>
      <c r="AR13" s="25"/>
      <c r="BA13" s="2">
        <v>0.12</v>
      </c>
      <c r="BB13" s="1">
        <f t="shared" si="22"/>
        <v>0.75857757502918366</v>
      </c>
      <c r="BC13" s="1">
        <f t="shared" si="16"/>
        <v>1.3314393059419712E-14</v>
      </c>
      <c r="BD13" s="1">
        <f t="shared" si="17"/>
        <v>1.331439305941971E-17</v>
      </c>
      <c r="BE13" s="1">
        <f t="shared" si="18"/>
        <v>1</v>
      </c>
      <c r="BF13" s="1">
        <f t="shared" si="19"/>
        <v>-3.4322093040670705</v>
      </c>
      <c r="BG13" s="1">
        <f t="shared" si="23"/>
        <v>-14.567876131782352</v>
      </c>
    </row>
    <row r="14" spans="1:59" ht="15" customHeight="1" x14ac:dyDescent="0.3">
      <c r="A14" s="2">
        <v>1.3</v>
      </c>
      <c r="B14" s="1">
        <f t="shared" si="24"/>
        <v>5.0118723362727206E-2</v>
      </c>
      <c r="C14" s="1">
        <f t="shared" si="25"/>
        <v>2.0152149381185691E-13</v>
      </c>
      <c r="D14" s="1">
        <f t="shared" si="26"/>
        <v>8.0101763764608896E-2</v>
      </c>
      <c r="E14" s="1">
        <f t="shared" si="27"/>
        <v>-1.0016960627434816E-2</v>
      </c>
      <c r="F14" s="1">
        <f t="shared" si="28"/>
        <v>1.1300353081249649E-3</v>
      </c>
      <c r="G14" s="1">
        <f t="shared" si="29"/>
        <v>-1.668550116010004</v>
      </c>
      <c r="H14" s="1">
        <f t="shared" si="37"/>
        <v>-16.685501160100038</v>
      </c>
      <c r="J14" s="2">
        <v>3.6</v>
      </c>
      <c r="K14" s="1">
        <v>2.5118864315095774E-4</v>
      </c>
      <c r="L14" s="1">
        <v>4.020882422590326E-11</v>
      </c>
      <c r="M14" s="1">
        <v>2.1508618008112103E-3</v>
      </c>
      <c r="N14" s="1">
        <v>2.9748563665314646E-3</v>
      </c>
      <c r="O14" s="1">
        <v>0.88841954941662626</v>
      </c>
      <c r="P14" s="1">
        <v>0.87366557092752029</v>
      </c>
      <c r="Q14" s="2">
        <v>8.7366557092752029</v>
      </c>
      <c r="S14" s="2">
        <v>1.3</v>
      </c>
      <c r="T14" s="1">
        <f t="shared" si="30"/>
        <v>5.0118723362727206E-2</v>
      </c>
      <c r="U14" s="1">
        <f t="shared" si="31"/>
        <v>2.0152149381185691E-13</v>
      </c>
      <c r="V14" s="1">
        <f t="shared" si="32"/>
        <v>-5.0092814442881967E-2</v>
      </c>
      <c r="W14" s="1">
        <f t="shared" si="33"/>
        <v>5.0030938147627324E-2</v>
      </c>
      <c r="X14" s="1">
        <f t="shared" si="34"/>
        <v>0.99948150077901665</v>
      </c>
      <c r="Y14" s="1">
        <f t="shared" si="35"/>
        <v>2.0024765842287553</v>
      </c>
      <c r="Z14" s="1">
        <f t="shared" si="36"/>
        <v>100.12382921143777</v>
      </c>
      <c r="AB14">
        <v>2.7</v>
      </c>
      <c r="AC14">
        <v>1.9952623149688781E-3</v>
      </c>
      <c r="AD14">
        <v>5.0619910596354535E-12</v>
      </c>
      <c r="AE14">
        <v>-1.1426116239986392E-3</v>
      </c>
      <c r="AF14">
        <v>3.3714203874666213E-2</v>
      </c>
      <c r="AG14">
        <v>0.98713675122350442</v>
      </c>
      <c r="AH14">
        <v>1.0172376540795887</v>
      </c>
      <c r="AI14">
        <v>50.861882703979425</v>
      </c>
      <c r="AJ14" s="25"/>
      <c r="AK14" s="2">
        <v>0.13</v>
      </c>
      <c r="AL14" s="1">
        <f t="shared" si="38"/>
        <v>0.74131024130091738</v>
      </c>
      <c r="AM14" s="1">
        <f t="shared" si="11"/>
        <v>1.3624525114175703E-14</v>
      </c>
      <c r="AN14" s="1">
        <f t="shared" si="12"/>
        <v>1.7234288054794791E-2</v>
      </c>
      <c r="AO14" s="1">
        <f t="shared" si="13"/>
        <v>1.4414017234162748E-9</v>
      </c>
      <c r="AP14" s="1">
        <f t="shared" si="14"/>
        <v>5.7769664958031566</v>
      </c>
      <c r="AQ14" s="1">
        <f t="shared" si="15"/>
        <v>57.769664958031562</v>
      </c>
      <c r="AR14" s="25"/>
      <c r="BA14" s="2">
        <v>0.13</v>
      </c>
      <c r="BB14" s="1">
        <f t="shared" si="22"/>
        <v>0.74131024130091738</v>
      </c>
      <c r="BC14" s="1">
        <f t="shared" si="16"/>
        <v>1.3624525114175703E-14</v>
      </c>
      <c r="BD14" s="1">
        <f t="shared" si="17"/>
        <v>1.36245251141757E-17</v>
      </c>
      <c r="BE14" s="1">
        <f t="shared" si="18"/>
        <v>1</v>
      </c>
      <c r="BF14" s="1">
        <f t="shared" si="19"/>
        <v>-3.4778955559336917</v>
      </c>
      <c r="BG14" s="1">
        <f t="shared" si="23"/>
        <v>-14.376509931327355</v>
      </c>
    </row>
    <row r="15" spans="1:59" ht="15" customHeight="1" x14ac:dyDescent="0.3">
      <c r="A15" s="2">
        <v>1.4</v>
      </c>
      <c r="B15" s="1">
        <f t="shared" si="24"/>
        <v>3.9810717055349727E-2</v>
      </c>
      <c r="C15" s="1">
        <f t="shared" si="25"/>
        <v>2.5370052958246757E-13</v>
      </c>
      <c r="D15" s="1">
        <f t="shared" si="26"/>
        <v>6.7725152253067231E-2</v>
      </c>
      <c r="E15" s="1">
        <f t="shared" si="27"/>
        <v>-7.9541920421778711E-3</v>
      </c>
      <c r="F15" s="1">
        <f t="shared" si="28"/>
        <v>1.4222140331108194E-3</v>
      </c>
      <c r="G15" s="1">
        <f t="shared" si="29"/>
        <v>-1.4227190022477525</v>
      </c>
      <c r="H15" s="1">
        <f t="shared" si="37"/>
        <v>-14.227190022477524</v>
      </c>
      <c r="J15" s="2">
        <v>3.7</v>
      </c>
      <c r="K15" s="1">
        <v>1.9952623149688758E-4</v>
      </c>
      <c r="L15" s="1">
        <v>5.0619910596354591E-11</v>
      </c>
      <c r="M15" s="1">
        <v>1.7376859897227453E-3</v>
      </c>
      <c r="N15" s="1">
        <v>3.0437190017128754E-3</v>
      </c>
      <c r="O15" s="1">
        <v>0.90928672336810468</v>
      </c>
      <c r="P15" s="1">
        <v>0.89751962768850768</v>
      </c>
      <c r="Q15" s="2">
        <v>8.975196276885077</v>
      </c>
      <c r="S15" s="2">
        <v>1.4</v>
      </c>
      <c r="T15" s="1">
        <f t="shared" si="30"/>
        <v>3.9810717055349727E-2</v>
      </c>
      <c r="U15" s="1">
        <f t="shared" si="31"/>
        <v>2.5370052958246757E-13</v>
      </c>
      <c r="V15" s="1">
        <f t="shared" si="32"/>
        <v>-3.9775859533693225E-2</v>
      </c>
      <c r="W15" s="1">
        <f t="shared" si="33"/>
        <v>4.6591953177897744E-2</v>
      </c>
      <c r="X15" s="1">
        <f t="shared" si="34"/>
        <v>0.9993473357765934</v>
      </c>
      <c r="Y15" s="1">
        <f t="shared" si="35"/>
        <v>1.7447540567469781</v>
      </c>
      <c r="Z15" s="1">
        <f t="shared" si="36"/>
        <v>87.237702837348905</v>
      </c>
      <c r="AB15">
        <v>2.8</v>
      </c>
      <c r="AC15">
        <v>1.5848931924611134E-3</v>
      </c>
      <c r="AD15">
        <v>6.3726691792499515E-12</v>
      </c>
      <c r="AE15">
        <v>-5.1163820952725364E-4</v>
      </c>
      <c r="AF15">
        <v>3.3503879403175757E-2</v>
      </c>
      <c r="AG15">
        <v>0.98385988585607131</v>
      </c>
      <c r="AH15">
        <v>1.0076942565210592</v>
      </c>
      <c r="AI15">
        <v>50.384712826052954</v>
      </c>
      <c r="AJ15" s="25"/>
      <c r="AK15" s="2">
        <v>0.14000000000000001</v>
      </c>
      <c r="AL15" s="1">
        <f t="shared" si="38"/>
        <v>0.72443596007499</v>
      </c>
      <c r="AM15" s="1">
        <f t="shared" si="11"/>
        <v>1.3941881072489138E-14</v>
      </c>
      <c r="AN15" s="1">
        <f t="shared" si="12"/>
        <v>1.7628649380028297E-2</v>
      </c>
      <c r="AO15" s="1">
        <f t="shared" si="13"/>
        <v>1.5087272330443327E-9</v>
      </c>
      <c r="AP15" s="1">
        <f t="shared" si="14"/>
        <v>5.7978994910870103</v>
      </c>
      <c r="AQ15" s="1">
        <f t="shared" si="15"/>
        <v>57.978994910870099</v>
      </c>
      <c r="AR15" s="25"/>
      <c r="BA15" s="2">
        <v>0.14000000000000001</v>
      </c>
      <c r="BB15" s="1">
        <f t="shared" si="22"/>
        <v>0.72443596007499</v>
      </c>
      <c r="BC15" s="1">
        <f t="shared" si="16"/>
        <v>1.3941881072489138E-14</v>
      </c>
      <c r="BD15" s="1">
        <f t="shared" si="17"/>
        <v>1.3941881072489137E-17</v>
      </c>
      <c r="BE15" s="1">
        <f t="shared" si="18"/>
        <v>1</v>
      </c>
      <c r="BF15" s="1">
        <f t="shared" si="19"/>
        <v>-3.5254484072481</v>
      </c>
      <c r="BG15" s="1">
        <f t="shared" si="23"/>
        <v>-14.182593027656608</v>
      </c>
    </row>
    <row r="16" spans="1:59" ht="15" customHeight="1" x14ac:dyDescent="0.3">
      <c r="A16" s="2">
        <v>1.5</v>
      </c>
      <c r="B16" s="1">
        <f t="shared" si="24"/>
        <v>3.1622776601683784E-2</v>
      </c>
      <c r="C16" s="1">
        <f t="shared" si="25"/>
        <v>3.193900436770064E-13</v>
      </c>
      <c r="D16" s="1">
        <f t="shared" si="26"/>
        <v>5.7890813253579469E-2</v>
      </c>
      <c r="E16" s="1">
        <f t="shared" si="27"/>
        <v>-6.3151355422632434E-3</v>
      </c>
      <c r="F16" s="1">
        <f t="shared" si="28"/>
        <v>1.7898022973329793E-3</v>
      </c>
      <c r="G16" s="1">
        <f t="shared" si="29"/>
        <v>-1.1999055699562831</v>
      </c>
      <c r="H16" s="1">
        <f t="shared" si="37"/>
        <v>-11.999055699562829</v>
      </c>
      <c r="J16" s="2">
        <v>3.8</v>
      </c>
      <c r="K16" s="1">
        <v>1.584893192461112E-4</v>
      </c>
      <c r="L16" s="1">
        <v>6.3726691792499571E-11</v>
      </c>
      <c r="M16" s="1">
        <v>1.3993817352663115E-3</v>
      </c>
      <c r="N16" s="1">
        <v>3.1001030441222812E-3</v>
      </c>
      <c r="O16" s="1">
        <v>0.92657396178292584</v>
      </c>
      <c r="P16" s="1">
        <v>0.91719584214508409</v>
      </c>
      <c r="Q16" s="2">
        <v>9.1719584214508405</v>
      </c>
      <c r="S16" s="2">
        <v>1.5</v>
      </c>
      <c r="T16" s="1">
        <f t="shared" si="30"/>
        <v>3.1622776601683784E-2</v>
      </c>
      <c r="U16" s="1">
        <f t="shared" si="31"/>
        <v>3.193900436770064E-13</v>
      </c>
      <c r="V16" s="1">
        <f t="shared" si="32"/>
        <v>-3.1576655735398654E-2</v>
      </c>
      <c r="W16" s="1">
        <f t="shared" si="33"/>
        <v>4.385888524513288E-2</v>
      </c>
      <c r="X16" s="1">
        <f t="shared" si="34"/>
        <v>0.99917848325301095</v>
      </c>
      <c r="Y16" s="1">
        <f t="shared" si="35"/>
        <v>1.5624515272501089</v>
      </c>
      <c r="Z16" s="1">
        <f t="shared" si="36"/>
        <v>78.122576362505455</v>
      </c>
      <c r="AB16">
        <v>2.9</v>
      </c>
      <c r="AC16">
        <v>1.2589254117941662E-3</v>
      </c>
      <c r="AD16">
        <v>8.0227151707152493E-12</v>
      </c>
      <c r="AE16">
        <v>9.0661937413476953E-5</v>
      </c>
      <c r="AF16">
        <v>3.3303112687528842E-2</v>
      </c>
      <c r="AG16">
        <v>0.97976536243944645</v>
      </c>
      <c r="AH16">
        <v>0.99864068712849019</v>
      </c>
      <c r="AI16">
        <v>49.932034356424509</v>
      </c>
      <c r="AJ16" s="25"/>
      <c r="AK16" s="2">
        <v>0.15</v>
      </c>
      <c r="AL16" s="1">
        <f t="shared" si="38"/>
        <v>0.70794578438413791</v>
      </c>
      <c r="AM16" s="1">
        <f t="shared" si="11"/>
        <v>1.4266629200689818E-14</v>
      </c>
      <c r="AN16" s="1">
        <f t="shared" si="12"/>
        <v>1.8031869054586078E-2</v>
      </c>
      <c r="AO16" s="1">
        <f t="shared" si="13"/>
        <v>1.5791829064380904E-9</v>
      </c>
      <c r="AP16" s="1">
        <f t="shared" si="14"/>
        <v>5.8194757255918814</v>
      </c>
      <c r="AQ16" s="1">
        <f t="shared" si="15"/>
        <v>58.194757255918809</v>
      </c>
      <c r="AR16" s="25"/>
      <c r="BA16" s="2">
        <v>0.15</v>
      </c>
      <c r="BB16" s="1">
        <f t="shared" si="22"/>
        <v>0.70794578438413791</v>
      </c>
      <c r="BC16" s="1">
        <f t="shared" si="16"/>
        <v>1.4266629200689818E-14</v>
      </c>
      <c r="BD16" s="1">
        <f t="shared" si="17"/>
        <v>1.426662920068982E-17</v>
      </c>
      <c r="BE16" s="1">
        <f t="shared" si="18"/>
        <v>1</v>
      </c>
      <c r="BF16" s="1">
        <f t="shared" si="19"/>
        <v>-3.5749712362904789</v>
      </c>
      <c r="BG16" s="1">
        <f t="shared" si="23"/>
        <v>-13.986126515491025</v>
      </c>
    </row>
    <row r="17" spans="1:59" ht="15" customHeight="1" x14ac:dyDescent="0.3">
      <c r="A17" s="2">
        <v>1.6</v>
      </c>
      <c r="B17" s="1">
        <f t="shared" si="24"/>
        <v>2.511886431509578E-2</v>
      </c>
      <c r="C17" s="1">
        <f t="shared" si="25"/>
        <v>4.0208824225903255E-13</v>
      </c>
      <c r="D17" s="1">
        <f t="shared" si="26"/>
        <v>5.0075037861563483E-2</v>
      </c>
      <c r="E17" s="1">
        <f t="shared" si="27"/>
        <v>-5.0125063102605802E-3</v>
      </c>
      <c r="F17" s="1">
        <f t="shared" si="28"/>
        <v>2.252183875219096E-3</v>
      </c>
      <c r="G17" s="1">
        <f t="shared" si="29"/>
        <v>-1.0020000091323036</v>
      </c>
      <c r="H17" s="1">
        <f t="shared" si="37"/>
        <v>-10.020000091323036</v>
      </c>
      <c r="J17" s="2">
        <v>3.9</v>
      </c>
      <c r="K17" s="1">
        <v>1.2589254117941672E-4</v>
      </c>
      <c r="L17" s="1">
        <v>8.0227151707152435E-11</v>
      </c>
      <c r="M17" s="1">
        <v>1.1239636642411104E-3</v>
      </c>
      <c r="N17" s="1">
        <v>3.1460060559598147E-3</v>
      </c>
      <c r="O17" s="1">
        <v>0.94078132420109384</v>
      </c>
      <c r="P17" s="1">
        <v>0.93331173204565199</v>
      </c>
      <c r="Q17" s="2">
        <v>9.3331173204565196</v>
      </c>
      <c r="S17" s="2">
        <v>1.6</v>
      </c>
      <c r="T17" s="1">
        <f t="shared" si="30"/>
        <v>2.511886431509578E-2</v>
      </c>
      <c r="U17" s="1">
        <f t="shared" si="31"/>
        <v>4.0208824225903255E-13</v>
      </c>
      <c r="V17" s="1">
        <f t="shared" si="32"/>
        <v>-2.5058567346533622E-2</v>
      </c>
      <c r="W17" s="1">
        <f t="shared" si="33"/>
        <v>4.168618911551121E-2</v>
      </c>
      <c r="X17" s="1">
        <f t="shared" si="34"/>
        <v>0.99896599163653499</v>
      </c>
      <c r="Y17" s="1">
        <f t="shared" si="35"/>
        <v>1.4297192546062716</v>
      </c>
      <c r="Z17" s="1">
        <f t="shared" si="36"/>
        <v>71.485962730313588</v>
      </c>
      <c r="AB17">
        <v>3</v>
      </c>
      <c r="AC17">
        <v>1E-3</v>
      </c>
      <c r="AD17">
        <v>1.0099999999999999E-11</v>
      </c>
      <c r="AE17">
        <v>6.9528179262378547E-4</v>
      </c>
      <c r="AF17">
        <v>3.3101572735792076E-2</v>
      </c>
      <c r="AG17">
        <v>0.97465886939571156</v>
      </c>
      <c r="AH17">
        <v>0.9896069037635542</v>
      </c>
      <c r="AI17">
        <v>49.480345188177708</v>
      </c>
      <c r="AJ17" s="25"/>
      <c r="AK17" s="2">
        <v>0.16</v>
      </c>
      <c r="AL17" s="1">
        <f t="shared" si="38"/>
        <v>0.69183097091893653</v>
      </c>
      <c r="AM17" s="1">
        <f t="shared" si="11"/>
        <v>1.4598941684533865E-14</v>
      </c>
      <c r="AN17" s="1">
        <f t="shared" si="12"/>
        <v>1.8444138403230399E-2</v>
      </c>
      <c r="AO17" s="1">
        <f t="shared" si="13"/>
        <v>1.6529132534806334E-9</v>
      </c>
      <c r="AP17" s="1">
        <f t="shared" si="14"/>
        <v>5.8417193595928589</v>
      </c>
      <c r="AQ17" s="1">
        <f t="shared" si="15"/>
        <v>58.417193595928588</v>
      </c>
      <c r="AR17" s="25"/>
      <c r="BA17" s="2">
        <v>0.16</v>
      </c>
      <c r="BB17" s="1">
        <f t="shared" si="22"/>
        <v>0.69183097091893653</v>
      </c>
      <c r="BC17" s="1">
        <f t="shared" si="16"/>
        <v>1.4598941684533865E-14</v>
      </c>
      <c r="BD17" s="1">
        <f t="shared" si="17"/>
        <v>1.4598941684533863E-17</v>
      </c>
      <c r="BE17" s="1">
        <f t="shared" si="18"/>
        <v>1</v>
      </c>
      <c r="BF17" s="1">
        <f t="shared" si="19"/>
        <v>-3.6265750782332895</v>
      </c>
      <c r="BG17" s="1">
        <f t="shared" si="23"/>
        <v>-13.787112887887002</v>
      </c>
    </row>
    <row r="18" spans="1:59" ht="15" customHeight="1" x14ac:dyDescent="0.3">
      <c r="A18" s="2">
        <v>1.7</v>
      </c>
      <c r="B18" s="1">
        <f t="shared" si="24"/>
        <v>1.9952623149688792E-2</v>
      </c>
      <c r="C18" s="1">
        <f t="shared" si="25"/>
        <v>5.0619910596354508E-13</v>
      </c>
      <c r="D18" s="1">
        <f t="shared" si="26"/>
        <v>4.3861616249138723E-2</v>
      </c>
      <c r="E18" s="1">
        <f t="shared" si="27"/>
        <v>-3.9769360415231204E-3</v>
      </c>
      <c r="F18" s="1">
        <f t="shared" si="28"/>
        <v>2.8336790592980087E-3</v>
      </c>
      <c r="G18" s="1">
        <f t="shared" si="29"/>
        <v>-0.82932532218376143</v>
      </c>
      <c r="H18" s="1">
        <f t="shared" si="37"/>
        <v>-8.2932532218376132</v>
      </c>
      <c r="J18" s="2">
        <v>4</v>
      </c>
      <c r="K18" s="1">
        <v>1E-4</v>
      </c>
      <c r="L18" s="1">
        <v>1.0099999999999999E-10</v>
      </c>
      <c r="M18" s="1">
        <v>9.007998981920009E-4</v>
      </c>
      <c r="N18" s="1">
        <v>3.1832000169679997E-3</v>
      </c>
      <c r="O18" s="1">
        <v>0.95238095238095244</v>
      </c>
      <c r="P18" s="1">
        <v>0.94643452386298821</v>
      </c>
      <c r="Q18" s="2">
        <v>9.4643452386298819</v>
      </c>
      <c r="S18" s="2">
        <v>1.7</v>
      </c>
      <c r="T18" s="1">
        <f t="shared" si="30"/>
        <v>1.9952623149688792E-2</v>
      </c>
      <c r="U18" s="1">
        <f t="shared" si="31"/>
        <v>5.0619910596354508E-13</v>
      </c>
      <c r="V18" s="1">
        <f t="shared" si="32"/>
        <v>-1.9874485242337345E-2</v>
      </c>
      <c r="W18" s="1">
        <f t="shared" si="33"/>
        <v>3.9958161747445785E-2</v>
      </c>
      <c r="X18" s="1">
        <f t="shared" si="34"/>
        <v>0.99869860901798901</v>
      </c>
      <c r="Y18" s="1">
        <f t="shared" si="35"/>
        <v>1.3310106056170237</v>
      </c>
      <c r="Z18" s="1">
        <f t="shared" si="36"/>
        <v>66.550530280851177</v>
      </c>
      <c r="AB18">
        <v>3.1</v>
      </c>
      <c r="AC18">
        <v>7.9432823472428099E-4</v>
      </c>
      <c r="AD18">
        <v>1.2715146659121097E-11</v>
      </c>
      <c r="AE18">
        <v>1.3327272200032449E-3</v>
      </c>
      <c r="AF18">
        <v>3.288909092666558E-2</v>
      </c>
      <c r="AG18">
        <v>0.96830536985144877</v>
      </c>
      <c r="AH18">
        <v>0.98014142203696075</v>
      </c>
      <c r="AI18">
        <v>49.007071101848041</v>
      </c>
      <c r="AJ18" s="25"/>
      <c r="AK18" s="2">
        <v>0.17</v>
      </c>
      <c r="AL18" s="1">
        <f t="shared" si="38"/>
        <v>0.67608297539198181</v>
      </c>
      <c r="AM18" s="1">
        <f t="shared" si="11"/>
        <v>1.4938994720498893E-14</v>
      </c>
      <c r="AN18" s="1">
        <f t="shared" si="12"/>
        <v>1.886565252916618E-2</v>
      </c>
      <c r="AO18" s="1">
        <f t="shared" si="13"/>
        <v>1.7300693840576999E-9</v>
      </c>
      <c r="AP18" s="1">
        <f t="shared" si="14"/>
        <v>5.8646557105114132</v>
      </c>
      <c r="AQ18" s="1">
        <f t="shared" si="15"/>
        <v>58.646557105114127</v>
      </c>
      <c r="AR18" s="25"/>
      <c r="BA18" s="2">
        <v>0.17</v>
      </c>
      <c r="BB18" s="1">
        <f t="shared" si="22"/>
        <v>0.67608297539198181</v>
      </c>
      <c r="BC18" s="1">
        <f t="shared" si="16"/>
        <v>1.4938994720498893E-14</v>
      </c>
      <c r="BD18" s="1">
        <f t="shared" si="17"/>
        <v>1.4938994720498891E-17</v>
      </c>
      <c r="BE18" s="1">
        <f t="shared" si="18"/>
        <v>1</v>
      </c>
      <c r="BF18" s="1">
        <f t="shared" si="19"/>
        <v>-3.6803793484556913</v>
      </c>
      <c r="BG18" s="1">
        <f t="shared" si="23"/>
        <v>-13.585556070729583</v>
      </c>
    </row>
    <row r="19" spans="1:59" ht="15" customHeight="1" x14ac:dyDescent="0.3">
      <c r="A19" s="2">
        <v>1.8</v>
      </c>
      <c r="B19" s="1">
        <f t="shared" si="24"/>
        <v>1.5848931924611124E-2</v>
      </c>
      <c r="C19" s="1">
        <f t="shared" si="25"/>
        <v>6.3726691792499559E-13</v>
      </c>
      <c r="D19" s="1">
        <f t="shared" si="26"/>
        <v>3.8919674830330132E-2</v>
      </c>
      <c r="E19" s="1">
        <f t="shared" si="27"/>
        <v>-3.1532791383883547E-3</v>
      </c>
      <c r="F19" s="1">
        <f t="shared" si="28"/>
        <v>3.5647750601010002E-3</v>
      </c>
      <c r="G19" s="1">
        <f t="shared" si="29"/>
        <v>-0.68095735371673294</v>
      </c>
      <c r="H19" s="1">
        <f t="shared" si="37"/>
        <v>-6.8095735371673287</v>
      </c>
      <c r="J19" s="2">
        <v>4.0999999999999996</v>
      </c>
      <c r="K19" s="1">
        <v>7.9432823472428153E-5</v>
      </c>
      <c r="L19" s="1">
        <v>1.2715146659121088E-10</v>
      </c>
      <c r="M19" s="1">
        <v>7.2067547050141208E-4</v>
      </c>
      <c r="N19" s="1">
        <v>3.2132207549164316E-3</v>
      </c>
      <c r="O19" s="1">
        <v>0.96180072634431923</v>
      </c>
      <c r="P19" s="1">
        <v>0.95706886592242058</v>
      </c>
      <c r="Q19" s="2">
        <v>9.5706886592242046</v>
      </c>
      <c r="S19" s="2">
        <v>1.8</v>
      </c>
      <c r="T19" s="1">
        <f t="shared" si="30"/>
        <v>1.5848931924611124E-2</v>
      </c>
      <c r="U19" s="1">
        <f t="shared" si="31"/>
        <v>6.3726691792499559E-13</v>
      </c>
      <c r="V19" s="1">
        <f t="shared" si="32"/>
        <v>-1.5748342661322613E-2</v>
      </c>
      <c r="W19" s="1">
        <f t="shared" si="33"/>
        <v>3.8582780887107537E-2</v>
      </c>
      <c r="X19" s="1">
        <f t="shared" si="34"/>
        <v>0.99836219770116341</v>
      </c>
      <c r="Y19" s="1">
        <f t="shared" si="35"/>
        <v>1.256415755854644</v>
      </c>
      <c r="Z19" s="1">
        <f t="shared" si="36"/>
        <v>62.820787792732204</v>
      </c>
      <c r="AB19">
        <v>3.2</v>
      </c>
      <c r="AC19">
        <v>6.3095734448019244E-4</v>
      </c>
      <c r="AD19">
        <v>1.6007421243857267E-11</v>
      </c>
      <c r="AE19">
        <v>2.034305485908727E-3</v>
      </c>
      <c r="AF19">
        <v>3.2655231504697096E-2</v>
      </c>
      <c r="AG19">
        <v>0.96042361011950927</v>
      </c>
      <c r="AH19">
        <v>0.96979267237290134</v>
      </c>
      <c r="AI19">
        <v>48.489633618645065</v>
      </c>
      <c r="AJ19" s="25"/>
      <c r="AK19" s="2">
        <v>0.18</v>
      </c>
      <c r="AL19" s="1">
        <f t="shared" si="38"/>
        <v>0.660693448007596</v>
      </c>
      <c r="AM19" s="1">
        <f t="shared" si="11"/>
        <v>1.5286968609205701E-14</v>
      </c>
      <c r="AN19" s="1">
        <f t="shared" si="12"/>
        <v>1.9296610372130121E-2</v>
      </c>
      <c r="AO19" s="1">
        <f t="shared" si="13"/>
        <v>1.8108093044965574E-9</v>
      </c>
      <c r="AP19" s="1">
        <f t="shared" si="14"/>
        <v>5.8883113230063842</v>
      </c>
      <c r="AQ19" s="1">
        <f t="shared" si="15"/>
        <v>58.883113230063842</v>
      </c>
      <c r="AR19" s="25"/>
      <c r="BA19" s="2">
        <v>0.18</v>
      </c>
      <c r="BB19" s="1">
        <f t="shared" si="22"/>
        <v>0.660693448007596</v>
      </c>
      <c r="BC19" s="1">
        <f t="shared" si="16"/>
        <v>1.5286968609205701E-14</v>
      </c>
      <c r="BD19" s="1">
        <f t="shared" si="17"/>
        <v>1.52869686092057E-17</v>
      </c>
      <c r="BE19" s="1">
        <f t="shared" si="18"/>
        <v>1</v>
      </c>
      <c r="BF19" s="1">
        <f t="shared" si="19"/>
        <v>-3.7365126494849483</v>
      </c>
      <c r="BG19" s="1">
        <f t="shared" si="23"/>
        <v>-13.38146145628388</v>
      </c>
    </row>
    <row r="20" spans="1:59" ht="15" customHeight="1" x14ac:dyDescent="0.3">
      <c r="A20" s="2">
        <v>1.9</v>
      </c>
      <c r="B20" s="1">
        <f t="shared" si="24"/>
        <v>1.2589254117941664E-2</v>
      </c>
      <c r="C20" s="1">
        <f t="shared" si="25"/>
        <v>8.0227151707152477E-13</v>
      </c>
      <c r="D20" s="1">
        <f t="shared" si="26"/>
        <v>3.498605896061692E-2</v>
      </c>
      <c r="E20" s="1">
        <f t="shared" si="27"/>
        <v>-2.4976764934361538E-3</v>
      </c>
      <c r="F20" s="1">
        <f t="shared" si="28"/>
        <v>4.4836474552407161E-3</v>
      </c>
      <c r="G20" s="1">
        <f t="shared" si="29"/>
        <v>-0.55509654389529239</v>
      </c>
      <c r="H20" s="1">
        <f t="shared" si="37"/>
        <v>-5.5509654389529235</v>
      </c>
      <c r="J20" s="2">
        <v>4.2</v>
      </c>
      <c r="K20" s="1">
        <v>6.3095734448019279E-5</v>
      </c>
      <c r="L20" s="1">
        <v>1.6007421243857255E-10</v>
      </c>
      <c r="M20" s="1">
        <v>5.7574755278522053E-4</v>
      </c>
      <c r="N20" s="1">
        <v>3.2373754078691298E-3</v>
      </c>
      <c r="O20" s="1">
        <v>0.96941696238594544</v>
      </c>
      <c r="P20" s="1">
        <v>0.96565289942390631</v>
      </c>
      <c r="Q20" s="2">
        <v>9.6565289942390624</v>
      </c>
      <c r="S20" s="2">
        <v>1.9</v>
      </c>
      <c r="T20" s="1">
        <f t="shared" si="30"/>
        <v>1.2589254117941664E-2</v>
      </c>
      <c r="U20" s="1">
        <f t="shared" si="31"/>
        <v>8.0227151707152477E-13</v>
      </c>
      <c r="V20" s="1">
        <f t="shared" si="32"/>
        <v>-1.2460414613935544E-2</v>
      </c>
      <c r="W20" s="1">
        <f t="shared" si="33"/>
        <v>3.7486804871311848E-2</v>
      </c>
      <c r="X20" s="1">
        <f t="shared" si="34"/>
        <v>0.99793900307065375</v>
      </c>
      <c r="Y20" s="1">
        <f t="shared" si="35"/>
        <v>1.1993245520131364</v>
      </c>
      <c r="Z20" s="1">
        <f t="shared" si="36"/>
        <v>59.966227600656815</v>
      </c>
      <c r="AB20">
        <v>3.3</v>
      </c>
      <c r="AC20">
        <v>5.0118723362727209E-4</v>
      </c>
      <c r="AD20">
        <v>2.0152149381185689E-11</v>
      </c>
      <c r="AE20">
        <v>2.8332797700648042E-3</v>
      </c>
      <c r="AF20">
        <v>3.2388906743311734E-2</v>
      </c>
      <c r="AG20">
        <v>0.95068165854262265</v>
      </c>
      <c r="AH20">
        <v>0.95809445412592054</v>
      </c>
      <c r="AI20">
        <v>47.904722706296035</v>
      </c>
      <c r="AJ20" s="25"/>
      <c r="AK20" s="2">
        <v>0.19</v>
      </c>
      <c r="AL20" s="1">
        <f t="shared" si="38"/>
        <v>0.64565422903465541</v>
      </c>
      <c r="AM20" s="1">
        <f t="shared" si="11"/>
        <v>1.5643047851016064E-14</v>
      </c>
      <c r="AN20" s="1">
        <f t="shared" si="12"/>
        <v>1.9737214766561716E-2</v>
      </c>
      <c r="AO20" s="1">
        <f t="shared" si="13"/>
        <v>1.8952982269727283E-9</v>
      </c>
      <c r="AP20" s="1">
        <f t="shared" si="14"/>
        <v>5.9127140442499302</v>
      </c>
      <c r="AQ20" s="1">
        <f t="shared" si="15"/>
        <v>59.127140442499297</v>
      </c>
      <c r="AR20" s="25"/>
      <c r="BA20" s="2">
        <v>0.19</v>
      </c>
      <c r="BB20" s="1">
        <f t="shared" si="22"/>
        <v>0.64565422903465541</v>
      </c>
      <c r="BC20" s="1">
        <f t="shared" si="16"/>
        <v>1.5643047851016064E-14</v>
      </c>
      <c r="BD20" s="1">
        <f t="shared" si="17"/>
        <v>1.5643047851016063E-17</v>
      </c>
      <c r="BE20" s="1">
        <f t="shared" si="18"/>
        <v>1</v>
      </c>
      <c r="BF20" s="1">
        <f t="shared" si="19"/>
        <v>-3.7951136730665196</v>
      </c>
      <c r="BG20" s="1">
        <f t="shared" si="23"/>
        <v>-13.174835935704426</v>
      </c>
    </row>
    <row r="21" spans="1:59" ht="15" customHeight="1" x14ac:dyDescent="0.3">
      <c r="A21" s="2">
        <v>2</v>
      </c>
      <c r="B21" s="1">
        <f t="shared" si="24"/>
        <v>0.01</v>
      </c>
      <c r="C21" s="1">
        <f t="shared" si="25"/>
        <v>1.0099999999999999E-12</v>
      </c>
      <c r="D21" s="1">
        <f t="shared" si="26"/>
        <v>3.1851323593053989E-2</v>
      </c>
      <c r="E21" s="1">
        <f t="shared" si="27"/>
        <v>-1.9752205988423314E-3</v>
      </c>
      <c r="F21" s="1">
        <f t="shared" si="28"/>
        <v>5.6380323565384275E-3</v>
      </c>
      <c r="G21" s="1">
        <f t="shared" si="29"/>
        <v>-0.4494199705431825</v>
      </c>
      <c r="H21" s="1">
        <f t="shared" si="37"/>
        <v>-4.494199705431825</v>
      </c>
      <c r="J21" s="2">
        <v>4.3</v>
      </c>
      <c r="K21" s="1">
        <v>5.0118723362727238E-5</v>
      </c>
      <c r="L21" s="1">
        <v>2.0152149381185678E-10</v>
      </c>
      <c r="M21" s="1">
        <v>4.5943617365870143E-4</v>
      </c>
      <c r="N21" s="1">
        <v>3.2567606377235498E-3</v>
      </c>
      <c r="O21" s="1">
        <v>0.97555325806667448</v>
      </c>
      <c r="P21" s="1">
        <v>0.97255989932904863</v>
      </c>
      <c r="Q21" s="2">
        <v>9.725598993290486</v>
      </c>
      <c r="S21" s="2">
        <v>2</v>
      </c>
      <c r="T21" s="1">
        <f t="shared" si="30"/>
        <v>0.01</v>
      </c>
      <c r="U21" s="1">
        <f t="shared" si="31"/>
        <v>1.0099999999999999E-12</v>
      </c>
      <c r="V21" s="1">
        <f t="shared" si="32"/>
        <v>-9.8356182606688883E-3</v>
      </c>
      <c r="W21" s="1">
        <f t="shared" si="33"/>
        <v>3.6611872753556297E-2</v>
      </c>
      <c r="X21" s="1">
        <f t="shared" si="34"/>
        <v>0.99740674246957906</v>
      </c>
      <c r="Y21" s="1">
        <f t="shared" si="35"/>
        <v>1.1551649920564691</v>
      </c>
      <c r="Z21" s="1">
        <f t="shared" si="36"/>
        <v>57.758249602823447</v>
      </c>
      <c r="AB21">
        <v>3.4</v>
      </c>
      <c r="AC21">
        <v>3.9810717055349708E-4</v>
      </c>
      <c r="AD21">
        <v>2.537005295824677E-11</v>
      </c>
      <c r="AE21">
        <v>3.7658659273112926E-3</v>
      </c>
      <c r="AF21">
        <v>3.2078044690896236E-2</v>
      </c>
      <c r="AG21">
        <v>0.93869474084565063</v>
      </c>
      <c r="AH21">
        <v>0.94455598473021951</v>
      </c>
      <c r="AI21">
        <v>47.227799236510975</v>
      </c>
      <c r="AJ21" s="25"/>
      <c r="AK21" s="2">
        <v>0.2</v>
      </c>
      <c r="AL21" s="1">
        <f t="shared" si="38"/>
        <v>0.63095734448019325</v>
      </c>
      <c r="AM21" s="1">
        <f t="shared" si="11"/>
        <v>1.6007421243857246E-14</v>
      </c>
      <c r="AN21" s="1">
        <f t="shared" si="12"/>
        <v>2.018767249980738E-2</v>
      </c>
      <c r="AO21" s="1">
        <f t="shared" si="13"/>
        <v>1.9837088924279068E-9</v>
      </c>
      <c r="AP21" s="1">
        <f t="shared" si="14"/>
        <v>5.9378931048421899</v>
      </c>
      <c r="AQ21" s="1">
        <f t="shared" si="15"/>
        <v>59.378931048421897</v>
      </c>
      <c r="AR21" s="25"/>
      <c r="BA21" s="2">
        <v>0.2</v>
      </c>
      <c r="BB21" s="1">
        <f t="shared" si="22"/>
        <v>0.63095734448019325</v>
      </c>
      <c r="BC21" s="1">
        <f t="shared" si="16"/>
        <v>1.6007421243857246E-14</v>
      </c>
      <c r="BD21" s="1">
        <f t="shared" si="17"/>
        <v>1.6007421243857244E-17</v>
      </c>
      <c r="BE21" s="1">
        <f t="shared" si="18"/>
        <v>1</v>
      </c>
      <c r="BF21" s="1">
        <f t="shared" si="19"/>
        <v>-3.8563322107086111</v>
      </c>
      <c r="BG21" s="1">
        <f t="shared" si="23"/>
        <v>-12.965687930400676</v>
      </c>
    </row>
    <row r="22" spans="1:59" ht="15" customHeight="1" x14ac:dyDescent="0.3">
      <c r="A22" s="2">
        <v>2.1</v>
      </c>
      <c r="B22" s="1">
        <f t="shared" si="24"/>
        <v>7.9432823472428121E-3</v>
      </c>
      <c r="C22" s="1">
        <f t="shared" si="25"/>
        <v>1.2715146659121093E-12</v>
      </c>
      <c r="D22" s="1">
        <f t="shared" si="26"/>
        <v>2.934858678880882E-2</v>
      </c>
      <c r="E22" s="1">
        <f t="shared" si="27"/>
        <v>-1.5580977981348035E-3</v>
      </c>
      <c r="F22" s="1">
        <f t="shared" si="28"/>
        <v>7.0875156392740815E-3</v>
      </c>
      <c r="G22" s="1">
        <f t="shared" si="29"/>
        <v>-0.36137181784879213</v>
      </c>
      <c r="H22" s="1">
        <f t="shared" si="37"/>
        <v>-3.6137181784879213</v>
      </c>
      <c r="J22" s="2">
        <v>4.4000000000000004</v>
      </c>
      <c r="K22" s="1">
        <v>3.9810717055349634E-5</v>
      </c>
      <c r="L22" s="1">
        <v>2.5370052958246817E-10</v>
      </c>
      <c r="M22" s="1">
        <v>3.6628305082128958E-4</v>
      </c>
      <c r="N22" s="1">
        <v>3.2722861581964517E-3</v>
      </c>
      <c r="O22" s="1">
        <v>0.98048313173252666</v>
      </c>
      <c r="P22" s="1">
        <v>0.9781032211403613</v>
      </c>
      <c r="Q22" s="2">
        <v>9.7810322114036126</v>
      </c>
      <c r="S22" s="2">
        <v>2.1</v>
      </c>
      <c r="T22" s="1">
        <f t="shared" si="30"/>
        <v>7.9432823472428121E-3</v>
      </c>
      <c r="U22" s="1">
        <f t="shared" si="31"/>
        <v>1.2715146659121093E-12</v>
      </c>
      <c r="V22" s="1">
        <f t="shared" si="32"/>
        <v>-7.7341915394570542E-3</v>
      </c>
      <c r="W22" s="1">
        <f t="shared" si="33"/>
        <v>3.5911397179819018E-2</v>
      </c>
      <c r="X22" s="1">
        <f t="shared" si="34"/>
        <v>0.99673747285299841</v>
      </c>
      <c r="Y22" s="1">
        <f t="shared" si="35"/>
        <v>1.1206796715659031</v>
      </c>
      <c r="Z22" s="1">
        <f t="shared" si="36"/>
        <v>56.033983578295157</v>
      </c>
      <c r="AB22">
        <v>3.5</v>
      </c>
      <c r="AC22">
        <v>3.1622776601683783E-4</v>
      </c>
      <c r="AD22">
        <v>3.1939004367700641E-11</v>
      </c>
      <c r="AE22">
        <v>4.8720052353625086E-3</v>
      </c>
      <c r="AF22">
        <v>3.17093315882125E-2</v>
      </c>
      <c r="AG22">
        <v>0.92402720473966227</v>
      </c>
      <c r="AH22">
        <v>0.92865781886941423</v>
      </c>
      <c r="AI22">
        <v>46.432890943470717</v>
      </c>
      <c r="AJ22" s="25"/>
      <c r="AK22" s="2">
        <v>0.21</v>
      </c>
      <c r="AL22" s="1">
        <f t="shared" si="38"/>
        <v>0.61659500186148219</v>
      </c>
      <c r="AM22" s="1">
        <f t="shared" si="11"/>
        <v>1.6380281983325192E-14</v>
      </c>
      <c r="AN22" s="1">
        <f t="shared" si="12"/>
        <v>2.06481943703061E-2</v>
      </c>
      <c r="AO22" s="1">
        <f t="shared" si="13"/>
        <v>2.076221907563519E-9</v>
      </c>
      <c r="AP22" s="1">
        <f t="shared" si="14"/>
        <v>5.9638792058643562</v>
      </c>
      <c r="AQ22" s="1">
        <f t="shared" si="15"/>
        <v>59.63879205864356</v>
      </c>
      <c r="AR22" s="25"/>
      <c r="BA22" s="2">
        <v>0.21</v>
      </c>
      <c r="BB22" s="1">
        <f t="shared" si="22"/>
        <v>0.61659500186148219</v>
      </c>
      <c r="BC22" s="1">
        <f t="shared" si="16"/>
        <v>1.6380281983325192E-14</v>
      </c>
      <c r="BD22" s="1">
        <f t="shared" si="17"/>
        <v>1.6380281983325189E-17</v>
      </c>
      <c r="BE22" s="1">
        <f t="shared" si="18"/>
        <v>1</v>
      </c>
      <c r="BF22" s="1">
        <f t="shared" si="19"/>
        <v>-3.920330288230466</v>
      </c>
      <c r="BG22" s="1">
        <f t="shared" si="23"/>
        <v>-12.754027422155973</v>
      </c>
    </row>
    <row r="23" spans="1:59" ht="15" customHeight="1" x14ac:dyDescent="0.3">
      <c r="A23" s="2">
        <v>2.2000000000000002</v>
      </c>
      <c r="B23" s="1">
        <f t="shared" si="24"/>
        <v>6.3095734448019251E-3</v>
      </c>
      <c r="C23" s="1">
        <f t="shared" si="25"/>
        <v>1.6007421243857264E-12</v>
      </c>
      <c r="D23" s="1">
        <f t="shared" si="26"/>
        <v>2.7344653958222106E-2</v>
      </c>
      <c r="E23" s="1">
        <f t="shared" si="27"/>
        <v>-1.2241089930370174E-3</v>
      </c>
      <c r="F23" s="1">
        <f t="shared" si="28"/>
        <v>8.906309239088004E-3</v>
      </c>
      <c r="G23" s="1">
        <f t="shared" si="29"/>
        <v>-0.2883770040567098</v>
      </c>
      <c r="H23" s="1">
        <f t="shared" si="37"/>
        <v>-2.8837700405670978</v>
      </c>
      <c r="J23" s="2">
        <v>4.5</v>
      </c>
      <c r="K23" s="1">
        <v>3.1622776601683748E-5</v>
      </c>
      <c r="L23" s="1">
        <v>3.1939004367700672E-10</v>
      </c>
      <c r="M23" s="1">
        <v>2.9180077767376549E-4</v>
      </c>
      <c r="N23" s="1">
        <v>3.2846998703877054E-3</v>
      </c>
      <c r="O23" s="1">
        <v>0.98443472037925295</v>
      </c>
      <c r="P23" s="1">
        <v>0.9825428933126471</v>
      </c>
      <c r="Q23" s="2">
        <v>9.8254289331264708</v>
      </c>
      <c r="S23" s="2">
        <v>2.2000000000000002</v>
      </c>
      <c r="T23" s="1">
        <f t="shared" si="30"/>
        <v>6.3095734448019251E-3</v>
      </c>
      <c r="U23" s="1">
        <f t="shared" si="31"/>
        <v>1.6007421243857264E-12</v>
      </c>
      <c r="V23" s="1">
        <f t="shared" si="32"/>
        <v>-6.0442541612270272E-3</v>
      </c>
      <c r="W23" s="1">
        <f t="shared" si="33"/>
        <v>3.5348084720409012E-2</v>
      </c>
      <c r="X23" s="1">
        <f t="shared" si="34"/>
        <v>0.99589618836771088</v>
      </c>
      <c r="Y23" s="1">
        <f t="shared" si="35"/>
        <v>1.0934891740652739</v>
      </c>
      <c r="Z23" s="1">
        <f t="shared" si="36"/>
        <v>54.674458703263696</v>
      </c>
      <c r="AB23">
        <v>3.6</v>
      </c>
      <c r="AC23">
        <v>2.5118864315095774E-4</v>
      </c>
      <c r="AD23">
        <v>4.020882422590326E-11</v>
      </c>
      <c r="AE23">
        <v>6.1957934582912823E-3</v>
      </c>
      <c r="AF23">
        <v>3.1268068847236236E-2</v>
      </c>
      <c r="AG23">
        <v>0.90620106327429761</v>
      </c>
      <c r="AH23">
        <v>0.90985567618461782</v>
      </c>
      <c r="AI23">
        <v>45.492783809230893</v>
      </c>
      <c r="AJ23" s="25"/>
      <c r="AK23" s="2">
        <v>0.22</v>
      </c>
      <c r="AL23" s="1">
        <f t="shared" si="38"/>
        <v>0.60255958607435778</v>
      </c>
      <c r="AM23" s="1">
        <f t="shared" si="11"/>
        <v>1.6761827765119362E-14</v>
      </c>
      <c r="AN23" s="1">
        <f t="shared" si="12"/>
        <v>2.1118995245702012E-2</v>
      </c>
      <c r="AO23" s="1">
        <f t="shared" si="13"/>
        <v>2.1730260964961952E-9</v>
      </c>
      <c r="AP23" s="1">
        <f t="shared" si="14"/>
        <v>5.9907046126211485</v>
      </c>
      <c r="AQ23" s="1">
        <f t="shared" si="15"/>
        <v>59.907046126211483</v>
      </c>
      <c r="AR23" s="25"/>
      <c r="BA23" s="2">
        <v>0.22</v>
      </c>
      <c r="BB23" s="1">
        <f t="shared" si="22"/>
        <v>0.60255958607435778</v>
      </c>
      <c r="BC23" s="1">
        <f t="shared" si="16"/>
        <v>1.6761827765119362E-14</v>
      </c>
      <c r="BD23" s="1">
        <f t="shared" si="17"/>
        <v>1.676182776511936E-17</v>
      </c>
      <c r="BE23" s="1">
        <f t="shared" si="18"/>
        <v>1</v>
      </c>
      <c r="BF23" s="1">
        <f t="shared" si="19"/>
        <v>-3.9872834424374219</v>
      </c>
      <c r="BG23" s="1">
        <f t="shared" si="23"/>
        <v>-12.539865981896449</v>
      </c>
    </row>
    <row r="24" spans="1:59" ht="15" customHeight="1" x14ac:dyDescent="0.3">
      <c r="A24" s="2">
        <v>2.2999999999999998</v>
      </c>
      <c r="B24" s="1">
        <f t="shared" si="24"/>
        <v>5.0118723362727212E-3</v>
      </c>
      <c r="C24" s="1">
        <f t="shared" si="25"/>
        <v>2.015214938118569E-12</v>
      </c>
      <c r="D24" s="1">
        <f t="shared" si="26"/>
        <v>2.5732942427306945E-2</v>
      </c>
      <c r="E24" s="1">
        <f t="shared" si="27"/>
        <v>-9.5549040455115725E-4</v>
      </c>
      <c r="F24" s="1">
        <f t="shared" si="28"/>
        <v>1.1186581987640234E-2</v>
      </c>
      <c r="G24" s="1">
        <f t="shared" si="29"/>
        <v>-0.22798092196965283</v>
      </c>
      <c r="H24" s="1">
        <f t="shared" si="37"/>
        <v>-2.2798092196965283</v>
      </c>
      <c r="J24" s="2">
        <v>4.5999999999999996</v>
      </c>
      <c r="K24" s="1">
        <v>2.5118864315095791E-5</v>
      </c>
      <c r="L24" s="1">
        <v>4.0208824225903234E-10</v>
      </c>
      <c r="M24" s="1">
        <v>2.3232623383137463E-4</v>
      </c>
      <c r="N24" s="1">
        <v>3.2946122943614377E-3</v>
      </c>
      <c r="O24" s="1">
        <v>0.98759635063515583</v>
      </c>
      <c r="P24" s="1">
        <v>0.98609273619235083</v>
      </c>
      <c r="Q24" s="2">
        <v>9.8609273619235083</v>
      </c>
      <c r="S24" s="2">
        <v>2.2999999999999998</v>
      </c>
      <c r="T24" s="1">
        <f t="shared" si="30"/>
        <v>5.0118723362727212E-3</v>
      </c>
      <c r="U24" s="1">
        <f t="shared" si="31"/>
        <v>2.015214938118569E-12</v>
      </c>
      <c r="V24" s="1">
        <f t="shared" si="32"/>
        <v>-4.6758556315306165E-3</v>
      </c>
      <c r="W24" s="1">
        <f t="shared" si="33"/>
        <v>3.4891951877176877E-2</v>
      </c>
      <c r="X24" s="1">
        <f t="shared" si="34"/>
        <v>0.99483909113520008</v>
      </c>
      <c r="Y24" s="1">
        <f t="shared" si="35"/>
        <v>1.0718168608389218</v>
      </c>
      <c r="Z24" s="1">
        <f t="shared" si="36"/>
        <v>53.590843041946087</v>
      </c>
      <c r="AB24">
        <v>3.7</v>
      </c>
      <c r="AC24">
        <v>1.9952623149688758E-4</v>
      </c>
      <c r="AD24">
        <v>5.0619910596354591E-11</v>
      </c>
      <c r="AE24">
        <v>7.7853838127775327E-3</v>
      </c>
      <c r="AF24">
        <v>3.0738205395740827E-2</v>
      </c>
      <c r="AG24">
        <v>0.88471407593063589</v>
      </c>
      <c r="AH24">
        <v>0.88759482977215853</v>
      </c>
      <c r="AI24">
        <v>44.379741488607934</v>
      </c>
      <c r="AJ24" s="25"/>
      <c r="AK24" s="2">
        <v>0.23</v>
      </c>
      <c r="AL24" s="1">
        <f t="shared" si="38"/>
        <v>0.58884365535558891</v>
      </c>
      <c r="AM24" s="1">
        <f t="shared" si="11"/>
        <v>1.7152260889863618E-14</v>
      </c>
      <c r="AN24" s="1">
        <f t="shared" si="12"/>
        <v>2.1600294120826164E-2</v>
      </c>
      <c r="AO24" s="1">
        <f t="shared" si="13"/>
        <v>2.2743188676839859E-9</v>
      </c>
      <c r="AP24" s="1">
        <f t="shared" si="14"/>
        <v>6.018403255680874</v>
      </c>
      <c r="AQ24" s="1">
        <f t="shared" si="15"/>
        <v>60.184032556808738</v>
      </c>
      <c r="AR24" s="25"/>
      <c r="BA24" s="2">
        <v>0.23</v>
      </c>
      <c r="BB24" s="1">
        <f t="shared" si="22"/>
        <v>0.58884365535558891</v>
      </c>
      <c r="BC24" s="1">
        <f t="shared" si="16"/>
        <v>1.7152260889863618E-14</v>
      </c>
      <c r="BD24" s="1">
        <f t="shared" si="17"/>
        <v>1.7152260889863619E-17</v>
      </c>
      <c r="BE24" s="1">
        <f t="shared" si="18"/>
        <v>1</v>
      </c>
      <c r="BF24" s="1">
        <f t="shared" si="19"/>
        <v>-4.057382161137367</v>
      </c>
      <c r="BG24" s="1">
        <f t="shared" si="23"/>
        <v>-12.323216797005875</v>
      </c>
    </row>
    <row r="25" spans="1:59" ht="15" customHeight="1" x14ac:dyDescent="0.3">
      <c r="A25" s="2">
        <v>2.4</v>
      </c>
      <c r="B25" s="1">
        <f t="shared" si="24"/>
        <v>3.9810717055349717E-3</v>
      </c>
      <c r="C25" s="1">
        <f t="shared" si="25"/>
        <v>2.5370052958246762E-12</v>
      </c>
      <c r="D25" s="1">
        <f t="shared" si="26"/>
        <v>2.4427832996451397E-2</v>
      </c>
      <c r="E25" s="1">
        <f t="shared" si="27"/>
        <v>-7.379721660752326E-4</v>
      </c>
      <c r="F25" s="1">
        <f t="shared" si="28"/>
        <v>1.4042398663172494E-2</v>
      </c>
      <c r="G25" s="1">
        <f t="shared" si="29"/>
        <v>-0.17792775498138244</v>
      </c>
      <c r="H25" s="1">
        <f t="shared" si="37"/>
        <v>-1.7792775498138242</v>
      </c>
      <c r="J25" s="2">
        <v>4.7</v>
      </c>
      <c r="K25" s="1">
        <v>1.9952623149688769E-5</v>
      </c>
      <c r="L25" s="1">
        <v>5.0619910596354569E-10</v>
      </c>
      <c r="M25" s="1">
        <v>1.8488595846042274E-4</v>
      </c>
      <c r="N25" s="1">
        <v>3.302519006923263E-3</v>
      </c>
      <c r="O25" s="1">
        <v>0.99012223211523798</v>
      </c>
      <c r="P25" s="1">
        <v>0.98892731433339676</v>
      </c>
      <c r="Q25" s="2">
        <v>9.8892731433339662</v>
      </c>
      <c r="S25" s="2">
        <v>2.4</v>
      </c>
      <c r="T25" s="1">
        <f t="shared" si="30"/>
        <v>3.9810717055349717E-3</v>
      </c>
      <c r="U25" s="1">
        <f t="shared" si="31"/>
        <v>2.5370052958246762E-12</v>
      </c>
      <c r="V25" s="1">
        <f t="shared" si="32"/>
        <v>-3.5561946094086225E-3</v>
      </c>
      <c r="W25" s="1">
        <f t="shared" si="33"/>
        <v>3.4518731536469539E-2</v>
      </c>
      <c r="X25" s="1">
        <f t="shared" si="34"/>
        <v>0.99351147124118444</v>
      </c>
      <c r="Y25" s="1">
        <f t="shared" si="35"/>
        <v>1.0543085785118722</v>
      </c>
      <c r="Z25" s="1">
        <f t="shared" si="36"/>
        <v>52.715428925593606</v>
      </c>
      <c r="AB25">
        <v>3.8</v>
      </c>
      <c r="AC25">
        <v>1.584893192461112E-4</v>
      </c>
      <c r="AD25">
        <v>6.3726691792499571E-11</v>
      </c>
      <c r="AE25">
        <v>9.692117218540696E-3</v>
      </c>
      <c r="AF25">
        <v>3.0102627593819771E-2</v>
      </c>
      <c r="AG25">
        <v>0.8590704323358922</v>
      </c>
      <c r="AH25">
        <v>0.86133788889489449</v>
      </c>
      <c r="AI25">
        <v>43.066894444744726</v>
      </c>
      <c r="AJ25" s="25"/>
      <c r="AK25" s="2">
        <v>0.24</v>
      </c>
      <c r="AL25" s="1">
        <f t="shared" si="38"/>
        <v>0.57543993733715693</v>
      </c>
      <c r="AM25" s="1">
        <f t="shared" si="11"/>
        <v>1.7551788370368691E-14</v>
      </c>
      <c r="AN25" s="1">
        <f t="shared" si="12"/>
        <v>2.2092314175486419E-2</v>
      </c>
      <c r="AO25" s="1">
        <f t="shared" si="13"/>
        <v>2.3803065967554161E-9</v>
      </c>
      <c r="AP25" s="1">
        <f t="shared" si="14"/>
        <v>6.0470108398853366</v>
      </c>
      <c r="AQ25" s="1">
        <f t="shared" si="15"/>
        <v>60.470108398853363</v>
      </c>
      <c r="AR25" s="25"/>
      <c r="BA25" s="2">
        <v>0.24</v>
      </c>
      <c r="BB25" s="1">
        <f t="shared" si="22"/>
        <v>0.57543993733715693</v>
      </c>
      <c r="BC25" s="1">
        <f t="shared" si="16"/>
        <v>1.7551788370368691E-14</v>
      </c>
      <c r="BD25" s="1">
        <f t="shared" si="17"/>
        <v>1.755178837036869E-17</v>
      </c>
      <c r="BE25" s="1">
        <f t="shared" si="18"/>
        <v>1</v>
      </c>
      <c r="BF25" s="1">
        <f t="shared" si="19"/>
        <v>-4.1308335114109402</v>
      </c>
      <c r="BG25" s="1">
        <f t="shared" si="23"/>
        <v>-12.104094697082536</v>
      </c>
    </row>
    <row r="26" spans="1:59" ht="15" customHeight="1" x14ac:dyDescent="0.3">
      <c r="A26" s="2">
        <v>2.5</v>
      </c>
      <c r="B26" s="1">
        <f t="shared" si="24"/>
        <v>3.1622776601683764E-3</v>
      </c>
      <c r="C26" s="1">
        <f t="shared" si="25"/>
        <v>3.1939004367700658E-12</v>
      </c>
      <c r="D26" s="1">
        <f t="shared" si="26"/>
        <v>2.336015293279075E-2</v>
      </c>
      <c r="E26" s="1">
        <f t="shared" si="27"/>
        <v>-5.6002548879845811E-4</v>
      </c>
      <c r="F26" s="1">
        <f t="shared" si="28"/>
        <v>1.761428813303233E-2</v>
      </c>
      <c r="G26" s="1">
        <f t="shared" si="29"/>
        <v>-0.13619280022380614</v>
      </c>
      <c r="H26" s="1">
        <f t="shared" si="37"/>
        <v>-1.3619280022380613</v>
      </c>
      <c r="J26" s="2">
        <v>4.8</v>
      </c>
      <c r="K26" s="1">
        <v>1.5848931924611131E-5</v>
      </c>
      <c r="L26" s="1">
        <v>6.3726691792499525E-10</v>
      </c>
      <c r="M26" s="1">
        <v>1.4707706066678582E-4</v>
      </c>
      <c r="N26" s="1">
        <v>3.3088204898888691E-3</v>
      </c>
      <c r="O26" s="1">
        <v>0.99213783747699813</v>
      </c>
      <c r="P26" s="1">
        <v>0.9911883362959647</v>
      </c>
      <c r="Q26" s="2">
        <v>9.9118833629596459</v>
      </c>
      <c r="S26" s="2">
        <v>2.5</v>
      </c>
      <c r="T26" s="1">
        <f t="shared" si="30"/>
        <v>3.1622776601683764E-3</v>
      </c>
      <c r="U26" s="1">
        <f t="shared" si="31"/>
        <v>3.1939004367700658E-12</v>
      </c>
      <c r="V26" s="1">
        <f t="shared" si="32"/>
        <v>-2.6257570164120543E-3</v>
      </c>
      <c r="W26" s="1">
        <f t="shared" si="33"/>
        <v>3.4208585672137352E-2</v>
      </c>
      <c r="X26" s="1">
        <f t="shared" si="34"/>
        <v>0.99184512681413484</v>
      </c>
      <c r="Y26" s="1">
        <f t="shared" si="35"/>
        <v>1.039910329383207</v>
      </c>
      <c r="Z26" s="1">
        <f t="shared" si="36"/>
        <v>51.995516469160357</v>
      </c>
      <c r="AB26">
        <v>3.9</v>
      </c>
      <c r="AC26">
        <v>1.2589254117941672E-4</v>
      </c>
      <c r="AD26">
        <v>8.0227151707152435E-11</v>
      </c>
      <c r="AE26">
        <v>1.1968586076752229E-2</v>
      </c>
      <c r="AF26">
        <v>2.9343804641082591E-2</v>
      </c>
      <c r="AG26">
        <v>0.82882635448643527</v>
      </c>
      <c r="AH26">
        <v>0.83060811559475378</v>
      </c>
      <c r="AI26">
        <v>41.530405779737691</v>
      </c>
      <c r="AJ26" s="25"/>
      <c r="AK26" s="2">
        <v>0.25</v>
      </c>
      <c r="AL26" s="1">
        <f t="shared" si="38"/>
        <v>0.56234132519034907</v>
      </c>
      <c r="AM26" s="1">
        <f t="shared" si="11"/>
        <v>1.796062204139312E-14</v>
      </c>
      <c r="AN26" s="1">
        <f t="shared" si="12"/>
        <v>2.2595282832001237E-2</v>
      </c>
      <c r="AO26" s="1">
        <f t="shared" si="13"/>
        <v>2.4912050258975325E-9</v>
      </c>
      <c r="AP26" s="1">
        <f t="shared" si="14"/>
        <v>6.0765649620735402</v>
      </c>
      <c r="AQ26" s="1">
        <f t="shared" si="15"/>
        <v>60.765649620735402</v>
      </c>
      <c r="AR26" s="25"/>
      <c r="BA26" s="2">
        <v>0.25</v>
      </c>
      <c r="BB26" s="1">
        <f t="shared" si="22"/>
        <v>0.56234132519034907</v>
      </c>
      <c r="BC26" s="1">
        <f t="shared" si="16"/>
        <v>1.796062204139312E-14</v>
      </c>
      <c r="BD26" s="1">
        <f t="shared" si="17"/>
        <v>1.7960622041393117E-17</v>
      </c>
      <c r="BE26" s="1">
        <f t="shared" si="18"/>
        <v>1</v>
      </c>
      <c r="BF26" s="1">
        <f t="shared" si="19"/>
        <v>-4.207862985486889</v>
      </c>
      <c r="BG26" s="1">
        <f t="shared" si="23"/>
        <v>-11.882516178034377</v>
      </c>
    </row>
    <row r="27" spans="1:59" ht="15" customHeight="1" x14ac:dyDescent="0.3">
      <c r="A27" s="2">
        <v>2.6</v>
      </c>
      <c r="B27" s="1">
        <f t="shared" si="24"/>
        <v>2.5118864315095777E-3</v>
      </c>
      <c r="C27" s="1">
        <f t="shared" si="25"/>
        <v>4.0208824225903259E-12</v>
      </c>
      <c r="D27" s="1">
        <f t="shared" si="26"/>
        <v>2.2473557693827188E-2</v>
      </c>
      <c r="E27" s="1">
        <f t="shared" si="27"/>
        <v>-4.1225961563786436E-4</v>
      </c>
      <c r="F27" s="1">
        <f t="shared" si="28"/>
        <v>2.2074398316694752E-2</v>
      </c>
      <c r="G27" s="1">
        <f t="shared" si="29"/>
        <v>-0.10098333633823461</v>
      </c>
      <c r="H27" s="1">
        <f t="shared" si="37"/>
        <v>-1.009833363382346</v>
      </c>
      <c r="J27" s="2">
        <v>4.9000000000000004</v>
      </c>
      <c r="K27" s="1">
        <v>1.2589254117941658E-5</v>
      </c>
      <c r="L27" s="1">
        <v>8.0227151707152515E-10</v>
      </c>
      <c r="M27" s="1">
        <v>1.1696460198174546E-4</v>
      </c>
      <c r="N27" s="1">
        <v>3.3138392330030425E-3</v>
      </c>
      <c r="O27" s="1">
        <v>0.9937447474231601</v>
      </c>
      <c r="P27" s="1">
        <v>0.99299032272222343</v>
      </c>
      <c r="Q27" s="2">
        <v>9.9299032272222334</v>
      </c>
      <c r="S27" s="2">
        <v>2.6</v>
      </c>
      <c r="T27" s="1">
        <f t="shared" si="30"/>
        <v>2.5118864315095777E-3</v>
      </c>
      <c r="U27" s="1">
        <f t="shared" si="31"/>
        <v>4.0208824225903259E-12</v>
      </c>
      <c r="V27" s="1">
        <f t="shared" si="32"/>
        <v>-1.8351703608371899E-3</v>
      </c>
      <c r="W27" s="1">
        <f t="shared" si="33"/>
        <v>3.3945056786945725E-2</v>
      </c>
      <c r="X27" s="1">
        <f t="shared" si="34"/>
        <v>0.98975525473591242</v>
      </c>
      <c r="Y27" s="1">
        <f t="shared" si="35"/>
        <v>1.0277824833626457</v>
      </c>
      <c r="Z27" s="1">
        <f t="shared" si="36"/>
        <v>51.389124168132284</v>
      </c>
      <c r="AB27">
        <v>4</v>
      </c>
      <c r="AC27">
        <v>1E-4</v>
      </c>
      <c r="AD27">
        <v>1.0099999999999999E-10</v>
      </c>
      <c r="AE27">
        <v>1.4665341017551138E-2</v>
      </c>
      <c r="AF27">
        <v>2.8444886327482957E-2</v>
      </c>
      <c r="AG27">
        <v>0.79365079365079372</v>
      </c>
      <c r="AH27">
        <v>0.79504831639749307</v>
      </c>
      <c r="AI27">
        <v>39.752415819874649</v>
      </c>
      <c r="AJ27" s="25"/>
      <c r="AK27" s="2">
        <v>0.26</v>
      </c>
      <c r="AL27" s="1">
        <f t="shared" si="38"/>
        <v>0.54954087385762451</v>
      </c>
      <c r="AM27" s="1">
        <f t="shared" si="11"/>
        <v>1.8378978671960833E-14</v>
      </c>
      <c r="AN27" s="1">
        <f t="shared" si="12"/>
        <v>2.3109431812409244E-2</v>
      </c>
      <c r="AO27" s="1">
        <f t="shared" si="13"/>
        <v>2.6072396804838577E-9</v>
      </c>
      <c r="AP27" s="1">
        <f t="shared" si="14"/>
        <v>6.1071052383435918</v>
      </c>
      <c r="AQ27" s="1">
        <f t="shared" si="15"/>
        <v>61.071052383435912</v>
      </c>
      <c r="AR27" s="25"/>
      <c r="BA27" s="2">
        <v>0.26</v>
      </c>
      <c r="BB27" s="1">
        <f t="shared" si="22"/>
        <v>0.54954087385762451</v>
      </c>
      <c r="BC27" s="1">
        <f t="shared" si="16"/>
        <v>1.8378978671960833E-14</v>
      </c>
      <c r="BD27" s="1">
        <f t="shared" si="17"/>
        <v>1.837897867196083E-17</v>
      </c>
      <c r="BE27" s="1">
        <f t="shared" si="18"/>
        <v>1</v>
      </c>
      <c r="BF27" s="1">
        <f t="shared" si="19"/>
        <v>-4.2887165989231333</v>
      </c>
      <c r="BG27" s="1">
        <f t="shared" si="23"/>
        <v>-11.658499424409309</v>
      </c>
    </row>
    <row r="28" spans="1:59" ht="15" customHeight="1" x14ac:dyDescent="0.3">
      <c r="A28" s="2">
        <v>2.7</v>
      </c>
      <c r="B28" s="1">
        <f t="shared" si="24"/>
        <v>1.9952623149688781E-3</v>
      </c>
      <c r="C28" s="1">
        <f t="shared" si="25"/>
        <v>5.0619910596354535E-12</v>
      </c>
      <c r="D28" s="1">
        <f t="shared" si="26"/>
        <v>2.1721630250844559E-2</v>
      </c>
      <c r="E28" s="1">
        <f t="shared" si="27"/>
        <v>-2.8693837514075937E-4</v>
      </c>
      <c r="F28" s="1">
        <f t="shared" si="28"/>
        <v>2.7632086411323774E-2</v>
      </c>
      <c r="G28" s="1">
        <f t="shared" si="29"/>
        <v>-7.0719979977946892E-2</v>
      </c>
      <c r="H28" s="1">
        <f t="shared" si="37"/>
        <v>-0.7071997997794689</v>
      </c>
      <c r="J28" s="2">
        <v>5</v>
      </c>
      <c r="K28" s="1">
        <v>1.0000000000000001E-5</v>
      </c>
      <c r="L28" s="1">
        <v>1.0099999999999998E-9</v>
      </c>
      <c r="M28" s="1">
        <v>9.2994839784233511E-5</v>
      </c>
      <c r="N28" s="1">
        <v>3.3178341933692945E-3</v>
      </c>
      <c r="O28" s="1">
        <v>0.99502487562189057</v>
      </c>
      <c r="P28" s="1">
        <v>0.99442549361622645</v>
      </c>
      <c r="Q28" s="2">
        <v>9.9442549361622632</v>
      </c>
      <c r="S28" s="2">
        <v>2.7</v>
      </c>
      <c r="T28" s="1">
        <f t="shared" si="30"/>
        <v>1.9952623149688781E-3</v>
      </c>
      <c r="U28" s="1">
        <f t="shared" si="31"/>
        <v>5.0619910596354535E-12</v>
      </c>
      <c r="V28" s="1">
        <f t="shared" si="32"/>
        <v>-1.1426116239986392E-3</v>
      </c>
      <c r="W28" s="1">
        <f t="shared" si="33"/>
        <v>3.3714203874666213E-2</v>
      </c>
      <c r="X28" s="1">
        <f t="shared" si="34"/>
        <v>0.98713675122350442</v>
      </c>
      <c r="Y28" s="1">
        <f t="shared" si="35"/>
        <v>1.0172376540795887</v>
      </c>
      <c r="Z28" s="1">
        <f t="shared" si="36"/>
        <v>50.861882703979425</v>
      </c>
      <c r="AB28">
        <v>4.0999999999999996</v>
      </c>
      <c r="AC28">
        <v>7.9432823472428153E-5</v>
      </c>
      <c r="AD28">
        <v>1.2715146659121088E-10</v>
      </c>
      <c r="AE28">
        <v>1.7826051760500249E-2</v>
      </c>
      <c r="AF28">
        <v>2.739131607983325E-2</v>
      </c>
      <c r="AG28">
        <v>0.7533974796112779</v>
      </c>
      <c r="AH28">
        <v>0.75449146303078585</v>
      </c>
      <c r="AI28">
        <v>37.724573151539289</v>
      </c>
      <c r="AJ28" s="25"/>
      <c r="AK28" s="2">
        <v>0.27</v>
      </c>
      <c r="AL28" s="1">
        <f t="shared" si="38"/>
        <v>0.53703179637025267</v>
      </c>
      <c r="AM28" s="1">
        <f t="shared" si="11"/>
        <v>1.8807080080294961E-14</v>
      </c>
      <c r="AN28" s="1">
        <f t="shared" si="12"/>
        <v>2.3634997195283378E-2</v>
      </c>
      <c r="AO28" s="1">
        <f t="shared" si="13"/>
        <v>2.728646303648808E-9</v>
      </c>
      <c r="AP28" s="1">
        <f t="shared" si="14"/>
        <v>6.1386734417675353</v>
      </c>
      <c r="AQ28" s="1">
        <f t="shared" si="15"/>
        <v>61.386734417675349</v>
      </c>
      <c r="AR28" s="25"/>
      <c r="BA28" s="2">
        <v>0.27</v>
      </c>
      <c r="BB28" s="1">
        <f t="shared" si="22"/>
        <v>0.53703179637025267</v>
      </c>
      <c r="BC28" s="1">
        <f t="shared" si="16"/>
        <v>1.8807080080294961E-14</v>
      </c>
      <c r="BD28" s="1">
        <f t="shared" si="17"/>
        <v>1.8807080080294962E-17</v>
      </c>
      <c r="BE28" s="1">
        <f t="shared" si="18"/>
        <v>1</v>
      </c>
      <c r="BF28" s="1">
        <f t="shared" si="19"/>
        <v>-4.37366328226548</v>
      </c>
      <c r="BG28" s="1">
        <f t="shared" si="23"/>
        <v>-11.432064329858719</v>
      </c>
    </row>
    <row r="29" spans="1:59" ht="15" customHeight="1" x14ac:dyDescent="0.3">
      <c r="A29" s="2">
        <v>2.8</v>
      </c>
      <c r="B29" s="1">
        <f t="shared" si="24"/>
        <v>1.5848931924611134E-3</v>
      </c>
      <c r="C29" s="1">
        <f t="shared" si="25"/>
        <v>6.3726691792499515E-12</v>
      </c>
      <c r="D29" s="1">
        <f t="shared" si="26"/>
        <v>2.1065560209030887E-2</v>
      </c>
      <c r="E29" s="1">
        <f t="shared" si="27"/>
        <v>-1.7759336817181436E-4</v>
      </c>
      <c r="F29" s="1">
        <f t="shared" si="28"/>
        <v>3.4539616916292204E-2</v>
      </c>
      <c r="G29" s="1">
        <f t="shared" si="29"/>
        <v>-4.4007569419044434E-2</v>
      </c>
      <c r="H29" s="1">
        <f t="shared" si="37"/>
        <v>-0.44007569419044434</v>
      </c>
      <c r="J29" s="2">
        <v>5.0999999999999996</v>
      </c>
      <c r="K29" s="1">
        <v>7.9432823472428065E-6</v>
      </c>
      <c r="L29" s="1">
        <v>1.2715146659121102E-9</v>
      </c>
      <c r="M29" s="1">
        <v>7.3922910481042178E-5</v>
      </c>
      <c r="N29" s="1">
        <v>3.3210128482531595E-3</v>
      </c>
      <c r="O29" s="1">
        <v>0.99604407035941911</v>
      </c>
      <c r="P29" s="1">
        <v>0.99556790170719089</v>
      </c>
      <c r="Q29" s="2">
        <v>9.9556790170719083</v>
      </c>
      <c r="S29" s="2">
        <v>2.8</v>
      </c>
      <c r="T29" s="1">
        <f t="shared" si="30"/>
        <v>1.5848931924611134E-3</v>
      </c>
      <c r="U29" s="1">
        <f t="shared" si="31"/>
        <v>6.3726691792499515E-12</v>
      </c>
      <c r="V29" s="1">
        <f t="shared" si="32"/>
        <v>-5.1163820952725364E-4</v>
      </c>
      <c r="W29" s="1">
        <f t="shared" si="33"/>
        <v>3.3503879403175757E-2</v>
      </c>
      <c r="X29" s="1">
        <f t="shared" si="34"/>
        <v>0.98385988585607131</v>
      </c>
      <c r="Y29" s="1">
        <f t="shared" si="35"/>
        <v>1.0076942565210592</v>
      </c>
      <c r="Z29" s="1">
        <f t="shared" si="36"/>
        <v>50.384712826052954</v>
      </c>
      <c r="AB29">
        <v>4.2</v>
      </c>
      <c r="AC29">
        <v>6.3095734448019279E-5</v>
      </c>
      <c r="AD29">
        <v>1.6007421243857255E-10</v>
      </c>
      <c r="AE29">
        <v>2.1481186273237491E-2</v>
      </c>
      <c r="AF29">
        <v>2.6172937908920835E-2</v>
      </c>
      <c r="AG29">
        <v>0.70817907096137067</v>
      </c>
      <c r="AH29">
        <v>0.70903371115138614</v>
      </c>
      <c r="AI29">
        <v>35.451685557569306</v>
      </c>
      <c r="AJ29" s="25"/>
      <c r="AK29" s="2">
        <v>0.28000000000000003</v>
      </c>
      <c r="AL29" s="1">
        <f t="shared" si="38"/>
        <v>0.52480746024977254</v>
      </c>
      <c r="AM29" s="1">
        <f t="shared" si="11"/>
        <v>1.9245153251428798E-14</v>
      </c>
      <c r="AN29" s="1">
        <f t="shared" si="12"/>
        <v>2.4172219472074107E-2</v>
      </c>
      <c r="AO29" s="1">
        <f t="shared" si="13"/>
        <v>2.855671309541458E-9</v>
      </c>
      <c r="AP29" s="1">
        <f t="shared" si="14"/>
        <v>6.171313651575514</v>
      </c>
      <c r="AQ29" s="1">
        <f t="shared" si="15"/>
        <v>61.713136515755139</v>
      </c>
      <c r="AR29" s="25"/>
      <c r="BA29" s="2">
        <v>0.28000000000000003</v>
      </c>
      <c r="BB29" s="1">
        <f t="shared" si="22"/>
        <v>0.52480746024977254</v>
      </c>
      <c r="BC29" s="1">
        <f t="shared" si="16"/>
        <v>1.9245153251428798E-14</v>
      </c>
      <c r="BD29" s="1">
        <f t="shared" si="17"/>
        <v>1.9245153251428798E-17</v>
      </c>
      <c r="BE29" s="1">
        <f t="shared" si="18"/>
        <v>1</v>
      </c>
      <c r="BF29" s="1">
        <f t="shared" si="19"/>
        <v>-4.4629976152175148</v>
      </c>
      <c r="BG29" s="1">
        <f t="shared" si="23"/>
        <v>-11.203232515633582</v>
      </c>
    </row>
    <row r="30" spans="1:59" ht="15" customHeight="1" x14ac:dyDescent="0.3">
      <c r="A30" s="2">
        <v>2.9</v>
      </c>
      <c r="B30" s="1">
        <f t="shared" si="24"/>
        <v>1.2589254117941662E-3</v>
      </c>
      <c r="C30" s="1">
        <f t="shared" si="25"/>
        <v>8.0227151707152493E-12</v>
      </c>
      <c r="D30" s="1">
        <f t="shared" si="26"/>
        <v>2.047230251650535E-2</v>
      </c>
      <c r="E30" s="1">
        <f t="shared" si="27"/>
        <v>-7.8717086084224993E-5</v>
      </c>
      <c r="F30" s="1">
        <f t="shared" si="28"/>
        <v>4.309737368380271E-2</v>
      </c>
      <c r="G30" s="1">
        <f t="shared" si="29"/>
        <v>-1.9602120430986286E-2</v>
      </c>
      <c r="H30" s="1">
        <f t="shared" si="37"/>
        <v>-0.19602120430986283</v>
      </c>
      <c r="J30" s="2">
        <v>5.2</v>
      </c>
      <c r="K30" s="1">
        <v>6.3095734448019212E-6</v>
      </c>
      <c r="L30" s="1">
        <v>1.6007421243857275E-9</v>
      </c>
      <c r="M30" s="1">
        <v>5.875319023085298E-5</v>
      </c>
      <c r="N30" s="1">
        <v>3.3235411349615243E-3</v>
      </c>
      <c r="O30" s="1">
        <v>0.9968551346570268</v>
      </c>
      <c r="P30" s="1">
        <v>0.99647687853240674</v>
      </c>
      <c r="Q30" s="2">
        <v>9.9647687853240665</v>
      </c>
      <c r="S30" s="2">
        <v>2.9</v>
      </c>
      <c r="T30" s="1">
        <f t="shared" si="30"/>
        <v>1.2589254117941662E-3</v>
      </c>
      <c r="U30" s="1">
        <f t="shared" si="31"/>
        <v>8.0227151707152493E-12</v>
      </c>
      <c r="V30" s="1">
        <f t="shared" si="32"/>
        <v>9.0661937413476953E-5</v>
      </c>
      <c r="W30" s="1">
        <f t="shared" si="33"/>
        <v>3.3303112687528842E-2</v>
      </c>
      <c r="X30" s="1">
        <f t="shared" si="34"/>
        <v>0.97976536243944645</v>
      </c>
      <c r="Y30" s="1">
        <f t="shared" si="35"/>
        <v>0.99864068712849019</v>
      </c>
      <c r="Z30" s="1">
        <f t="shared" si="36"/>
        <v>49.932034356424509</v>
      </c>
      <c r="AB30">
        <v>4.3</v>
      </c>
      <c r="AC30">
        <v>5.0118723362727238E-5</v>
      </c>
      <c r="AD30">
        <v>2.0152149381185678E-10</v>
      </c>
      <c r="AE30">
        <v>2.5640706305326957E-2</v>
      </c>
      <c r="AF30">
        <v>2.4786431231557684E-2</v>
      </c>
      <c r="AG30">
        <v>0.65842832287001651</v>
      </c>
      <c r="AH30">
        <v>0.65909467234208496</v>
      </c>
      <c r="AI30">
        <v>32.954733617104246</v>
      </c>
      <c r="AJ30" s="25"/>
      <c r="AK30" s="2">
        <v>0.28999999999999998</v>
      </c>
      <c r="AL30" s="1">
        <f t="shared" si="38"/>
        <v>0.51286138399136483</v>
      </c>
      <c r="AM30" s="1">
        <f t="shared" si="11"/>
        <v>1.9693430457556257E-14</v>
      </c>
      <c r="AN30" s="1">
        <f t="shared" si="12"/>
        <v>2.4721343602902842E-2</v>
      </c>
      <c r="AO30" s="1">
        <f t="shared" si="13"/>
        <v>2.9885722560187585E-9</v>
      </c>
      <c r="AP30" s="1">
        <f t="shared" si="14"/>
        <v>6.2050724149401804</v>
      </c>
      <c r="AQ30" s="1">
        <f t="shared" si="15"/>
        <v>62.050724149401802</v>
      </c>
      <c r="AR30" s="25"/>
      <c r="BA30" s="2">
        <v>0.28999999999999998</v>
      </c>
      <c r="BB30" s="1">
        <f t="shared" si="22"/>
        <v>0.51286138399136483</v>
      </c>
      <c r="BC30" s="1">
        <f t="shared" si="16"/>
        <v>1.9693430457556257E-14</v>
      </c>
      <c r="BD30" s="1">
        <f t="shared" si="17"/>
        <v>1.9693430457556259E-17</v>
      </c>
      <c r="BE30" s="1">
        <f t="shared" si="18"/>
        <v>1</v>
      </c>
      <c r="BF30" s="1">
        <f t="shared" si="19"/>
        <v>-4.5570429619467863</v>
      </c>
      <c r="BG30" s="1">
        <f t="shared" si="23"/>
        <v>-10.972027347014478</v>
      </c>
    </row>
    <row r="31" spans="1:59" ht="15" customHeight="1" x14ac:dyDescent="0.3">
      <c r="A31" s="2">
        <v>3</v>
      </c>
      <c r="B31" s="1">
        <f t="shared" si="24"/>
        <v>1E-3</v>
      </c>
      <c r="C31" s="1">
        <f t="shared" si="25"/>
        <v>1.0099999999999999E-11</v>
      </c>
      <c r="D31" s="1">
        <f t="shared" si="26"/>
        <v>1.9913149308258861E-2</v>
      </c>
      <c r="E31" s="1">
        <f t="shared" si="27"/>
        <v>1.4475115290189538E-5</v>
      </c>
      <c r="F31" s="1">
        <f t="shared" si="28"/>
        <v>5.3657613324500808E-2</v>
      </c>
      <c r="G31" s="1">
        <f t="shared" si="29"/>
        <v>3.6213998315510632E-3</v>
      </c>
      <c r="H31" s="1">
        <f t="shared" si="37"/>
        <v>3.6213998315510629E-2</v>
      </c>
      <c r="J31" s="2">
        <v>5.3</v>
      </c>
      <c r="K31" s="1">
        <v>5.011872336272719E-6</v>
      </c>
      <c r="L31" s="1">
        <v>2.0152149381185696E-9</v>
      </c>
      <c r="M31" s="1">
        <v>4.6690511437994259E-5</v>
      </c>
      <c r="N31" s="1">
        <v>3.3255515814270007E-3</v>
      </c>
      <c r="O31" s="1">
        <v>0.99750032785071097</v>
      </c>
      <c r="P31" s="1">
        <v>0.99719987670560728</v>
      </c>
      <c r="Q31" s="2">
        <v>9.971998767056073</v>
      </c>
      <c r="S31" s="2">
        <v>3</v>
      </c>
      <c r="T31" s="1">
        <f t="shared" si="30"/>
        <v>1E-3</v>
      </c>
      <c r="U31" s="1">
        <f t="shared" si="31"/>
        <v>1.0099999999999999E-11</v>
      </c>
      <c r="V31" s="1">
        <f t="shared" si="32"/>
        <v>6.9528179262378547E-4</v>
      </c>
      <c r="W31" s="1">
        <f t="shared" si="33"/>
        <v>3.3101572735792076E-2</v>
      </c>
      <c r="X31" s="1">
        <f t="shared" si="34"/>
        <v>0.97465886939571156</v>
      </c>
      <c r="Y31" s="1">
        <f t="shared" si="35"/>
        <v>0.9896069037635542</v>
      </c>
      <c r="Z31" s="1">
        <f t="shared" si="36"/>
        <v>49.480345188177708</v>
      </c>
      <c r="AB31">
        <v>4.4000000000000004</v>
      </c>
      <c r="AC31">
        <v>3.9810717055349634E-5</v>
      </c>
      <c r="AD31">
        <v>2.5370052958246817E-10</v>
      </c>
      <c r="AE31">
        <v>3.0286851674350405E-2</v>
      </c>
      <c r="AF31">
        <v>2.3237716108549862E-2</v>
      </c>
      <c r="AG31">
        <v>0.60492756858836705</v>
      </c>
      <c r="AH31">
        <v>0.60544618868845568</v>
      </c>
      <c r="AI31">
        <v>30.272309434422787</v>
      </c>
      <c r="AJ31" s="25"/>
      <c r="AK31" s="2">
        <v>0.3</v>
      </c>
      <c r="AL31" s="1">
        <f t="shared" si="38"/>
        <v>0.50118723362727224</v>
      </c>
      <c r="AM31" s="1">
        <f t="shared" si="11"/>
        <v>2.0152149381185686E-14</v>
      </c>
      <c r="AN31" s="1">
        <f t="shared" si="12"/>
        <v>2.5282619071722218E-2</v>
      </c>
      <c r="AO31" s="1">
        <f t="shared" si="13"/>
        <v>3.1276183375662912E-9</v>
      </c>
      <c r="AP31" s="1">
        <f t="shared" si="14"/>
        <v>6.2399989226215293</v>
      </c>
      <c r="AQ31" s="1">
        <f t="shared" si="15"/>
        <v>62.39998922621529</v>
      </c>
      <c r="AR31" s="25"/>
      <c r="BA31" s="2">
        <v>0.3</v>
      </c>
      <c r="BB31" s="1">
        <f t="shared" si="22"/>
        <v>0.50118723362727224</v>
      </c>
      <c r="BC31" s="1">
        <f t="shared" si="16"/>
        <v>2.0152149381185686E-14</v>
      </c>
      <c r="BD31" s="1">
        <f t="shared" si="17"/>
        <v>2.0152149381185683E-17</v>
      </c>
      <c r="BE31" s="1">
        <f t="shared" si="18"/>
        <v>1</v>
      </c>
      <c r="BF31" s="1">
        <f t="shared" si="19"/>
        <v>-4.6561550779077061</v>
      </c>
      <c r="BG31" s="1">
        <f t="shared" si="23"/>
        <v>-10.738473947579092</v>
      </c>
    </row>
    <row r="32" spans="1:59" ht="15" customHeight="1" x14ac:dyDescent="0.3">
      <c r="A32" s="2">
        <v>3.1</v>
      </c>
      <c r="B32" s="1">
        <f t="shared" si="24"/>
        <v>7.9432823472428099E-4</v>
      </c>
      <c r="C32" s="1">
        <f t="shared" si="25"/>
        <v>1.2715146659121097E-11</v>
      </c>
      <c r="D32" s="1">
        <f t="shared" si="26"/>
        <v>1.9362679323764762E-2</v>
      </c>
      <c r="E32" s="1">
        <f t="shared" si="27"/>
        <v>1.0622011270587306E-4</v>
      </c>
      <c r="F32" s="1">
        <f t="shared" si="28"/>
        <v>6.6625286549241061E-2</v>
      </c>
      <c r="G32" s="1">
        <f t="shared" si="29"/>
        <v>2.6696815111972347E-2</v>
      </c>
      <c r="H32" s="1">
        <f t="shared" si="37"/>
        <v>0.26696815111972344</v>
      </c>
      <c r="J32" s="2">
        <v>5.4</v>
      </c>
      <c r="K32" s="1">
        <v>3.9810717055349657E-6</v>
      </c>
      <c r="L32" s="1">
        <v>2.53700529582468E-9</v>
      </c>
      <c r="M32" s="1">
        <v>3.7100510082763565E-5</v>
      </c>
      <c r="N32" s="1">
        <v>3.3271499149862063E-3</v>
      </c>
      <c r="O32" s="1">
        <v>0.99801341850891501</v>
      </c>
      <c r="P32" s="1">
        <v>0.99777479495745536</v>
      </c>
      <c r="Q32" s="2">
        <v>9.9777479495745531</v>
      </c>
      <c r="S32" s="2">
        <v>3.1</v>
      </c>
      <c r="T32" s="1">
        <f t="shared" si="30"/>
        <v>7.9432823472428099E-4</v>
      </c>
      <c r="U32" s="1">
        <f t="shared" si="31"/>
        <v>1.2715146659121097E-11</v>
      </c>
      <c r="V32" s="1">
        <f t="shared" si="32"/>
        <v>1.3327272200032449E-3</v>
      </c>
      <c r="W32" s="1">
        <f t="shared" si="33"/>
        <v>3.288909092666558E-2</v>
      </c>
      <c r="X32" s="1">
        <f t="shared" si="34"/>
        <v>0.96830536985144877</v>
      </c>
      <c r="Y32" s="1">
        <f t="shared" si="35"/>
        <v>0.98014142203696075</v>
      </c>
      <c r="Z32" s="1">
        <f t="shared" si="36"/>
        <v>49.007071101848041</v>
      </c>
      <c r="AB32">
        <v>4.5</v>
      </c>
      <c r="AC32">
        <v>3.1622776601683748E-5</v>
      </c>
      <c r="AD32">
        <v>3.1939004367700672E-10</v>
      </c>
      <c r="AE32">
        <v>3.5368642685135482E-2</v>
      </c>
      <c r="AF32">
        <v>2.1543785771621506E-2</v>
      </c>
      <c r="AG32">
        <v>0.54878953196364588</v>
      </c>
      <c r="AH32">
        <v>0.5491925906317533</v>
      </c>
      <c r="AI32">
        <v>27.459629531587666</v>
      </c>
      <c r="AJ32" s="25"/>
      <c r="AK32" s="2">
        <v>0.31</v>
      </c>
      <c r="AL32" s="1">
        <f t="shared" si="38"/>
        <v>0.48977881936844614</v>
      </c>
      <c r="AM32" s="1">
        <f t="shared" si="11"/>
        <v>2.0621553241162247E-14</v>
      </c>
      <c r="AN32" s="1">
        <f t="shared" si="12"/>
        <v>2.5856299940756184E-2</v>
      </c>
      <c r="AO32" s="1">
        <f t="shared" si="13"/>
        <v>3.2730908992635013E-9</v>
      </c>
      <c r="AP32" s="1">
        <f t="shared" si="14"/>
        <v>6.2761451998784512</v>
      </c>
      <c r="AQ32" s="1">
        <f t="shared" si="15"/>
        <v>62.761451998784509</v>
      </c>
      <c r="AR32" s="25"/>
      <c r="BA32" s="2">
        <v>0.31</v>
      </c>
      <c r="BB32" s="1">
        <f t="shared" si="22"/>
        <v>0.48977881936844614</v>
      </c>
      <c r="BC32" s="1">
        <f t="shared" si="16"/>
        <v>2.0621553241162247E-14</v>
      </c>
      <c r="BD32" s="1">
        <f t="shared" si="17"/>
        <v>2.0621553241162246E-17</v>
      </c>
      <c r="BE32" s="1">
        <f t="shared" si="18"/>
        <v>1</v>
      </c>
      <c r="BF32" s="1">
        <f t="shared" si="19"/>
        <v>-4.7607262730368083</v>
      </c>
      <c r="BG32" s="1">
        <f t="shared" si="23"/>
        <v>-10.502599211213548</v>
      </c>
    </row>
    <row r="33" spans="1:59" ht="15" customHeight="1" x14ac:dyDescent="0.3">
      <c r="A33" s="2">
        <v>3.2</v>
      </c>
      <c r="B33" s="1">
        <f t="shared" si="24"/>
        <v>6.3095734448019244E-4</v>
      </c>
      <c r="C33" s="1">
        <f t="shared" si="25"/>
        <v>1.6007421243857267E-11</v>
      </c>
      <c r="D33" s="1">
        <f t="shared" si="26"/>
        <v>1.8798076877600607E-2</v>
      </c>
      <c r="E33" s="1">
        <f t="shared" si="27"/>
        <v>2.0032052039989883E-4</v>
      </c>
      <c r="F33" s="1">
        <f t="shared" si="28"/>
        <v>8.2453856495723371E-2</v>
      </c>
      <c r="G33" s="1">
        <f t="shared" si="29"/>
        <v>5.0586808894126797E-2</v>
      </c>
      <c r="H33" s="1">
        <f t="shared" si="37"/>
        <v>0.50586808894126789</v>
      </c>
      <c r="J33" s="2">
        <v>5.5</v>
      </c>
      <c r="K33" s="1">
        <v>3.1622776601683767E-6</v>
      </c>
      <c r="L33" s="1">
        <v>3.1939004367700655E-9</v>
      </c>
      <c r="M33" s="1">
        <v>2.9477552458797431E-5</v>
      </c>
      <c r="N33" s="1">
        <v>3.3284204079235343E-3</v>
      </c>
      <c r="O33" s="1">
        <v>0.99842135722330883</v>
      </c>
      <c r="P33" s="1">
        <v>0.99823186805449393</v>
      </c>
      <c r="Q33" s="2">
        <v>9.9823186805449389</v>
      </c>
      <c r="S33" s="2">
        <v>3.2</v>
      </c>
      <c r="T33" s="1">
        <f t="shared" si="30"/>
        <v>6.3095734448019244E-4</v>
      </c>
      <c r="U33" s="1">
        <f t="shared" si="31"/>
        <v>1.6007421243857267E-11</v>
      </c>
      <c r="V33" s="1">
        <f t="shared" si="32"/>
        <v>2.034305485908727E-3</v>
      </c>
      <c r="W33" s="1">
        <f t="shared" si="33"/>
        <v>3.2655231504697096E-2</v>
      </c>
      <c r="X33" s="1">
        <f t="shared" si="34"/>
        <v>0.96042361011950927</v>
      </c>
      <c r="Y33" s="1">
        <f t="shared" si="35"/>
        <v>0.96979267237290134</v>
      </c>
      <c r="Z33" s="1">
        <f t="shared" si="36"/>
        <v>48.489633618645065</v>
      </c>
      <c r="AB33">
        <v>4.5999999999999996</v>
      </c>
      <c r="AC33">
        <v>2.5118864315095791E-5</v>
      </c>
      <c r="AD33">
        <v>4.0208824225903234E-10</v>
      </c>
      <c r="AE33">
        <v>4.0799991567339898E-2</v>
      </c>
      <c r="AF33">
        <v>1.9733336144220036E-2</v>
      </c>
      <c r="AG33">
        <v>0.49138150175370776</v>
      </c>
      <c r="AH33">
        <v>0.49169443941699453</v>
      </c>
      <c r="AI33">
        <v>24.584721970849728</v>
      </c>
      <c r="AJ33" s="25"/>
      <c r="AK33" s="2">
        <v>0.32</v>
      </c>
      <c r="AL33" s="1">
        <f t="shared" si="38"/>
        <v>0.47863009232263831</v>
      </c>
      <c r="AM33" s="1">
        <f t="shared" si="11"/>
        <v>2.1101890921625798E-14</v>
      </c>
      <c r="AN33" s="1">
        <f t="shared" si="12"/>
        <v>2.6442644904128242E-2</v>
      </c>
      <c r="AO33" s="1">
        <f t="shared" si="13"/>
        <v>3.4252839726400301E-9</v>
      </c>
      <c r="AP33" s="1">
        <f t="shared" si="14"/>
        <v>6.3135663142187637</v>
      </c>
      <c r="AQ33" s="1">
        <f t="shared" si="15"/>
        <v>63.135663142187624</v>
      </c>
      <c r="AR33" s="25"/>
      <c r="BA33" s="2">
        <v>0.32</v>
      </c>
      <c r="BB33" s="1">
        <f t="shared" si="22"/>
        <v>0.47863009232263831</v>
      </c>
      <c r="BC33" s="1">
        <f t="shared" si="16"/>
        <v>2.1101890921625798E-14</v>
      </c>
      <c r="BD33" s="1">
        <f t="shared" si="17"/>
        <v>2.1101890921625797E-17</v>
      </c>
      <c r="BE33" s="1">
        <f t="shared" si="18"/>
        <v>1</v>
      </c>
      <c r="BF33" s="1">
        <f t="shared" si="19"/>
        <v>-4.8711902340889468</v>
      </c>
      <c r="BG33" s="1">
        <f t="shared" si="23"/>
        <v>-10.264431811776992</v>
      </c>
    </row>
    <row r="34" spans="1:59" ht="15" customHeight="1" x14ac:dyDescent="0.3">
      <c r="A34" s="2">
        <v>3.3</v>
      </c>
      <c r="B34" s="1">
        <f t="shared" si="24"/>
        <v>5.0118723362727209E-4</v>
      </c>
      <c r="C34" s="1">
        <f t="shared" si="25"/>
        <v>2.0152149381185689E-11</v>
      </c>
      <c r="D34" s="1">
        <f t="shared" si="26"/>
        <v>1.8198833784180204E-2</v>
      </c>
      <c r="E34" s="1">
        <f t="shared" si="27"/>
        <v>3.0019436930329893E-4</v>
      </c>
      <c r="F34" s="1">
        <f t="shared" si="28"/>
        <v>0.10163344235598985</v>
      </c>
      <c r="G34" s="1">
        <f t="shared" si="29"/>
        <v>7.6192216037788973E-2</v>
      </c>
      <c r="H34" s="1">
        <f t="shared" si="37"/>
        <v>0.76192216037788973</v>
      </c>
      <c r="J34" s="2">
        <v>5.6</v>
      </c>
      <c r="K34" s="1">
        <v>2.5118864315095806E-6</v>
      </c>
      <c r="L34" s="1">
        <v>4.0208824225903214E-9</v>
      </c>
      <c r="M34" s="1">
        <v>2.341889155008741E-5</v>
      </c>
      <c r="N34" s="1">
        <v>3.3294301847416516E-3</v>
      </c>
      <c r="O34" s="1">
        <v>0.99874563219897494</v>
      </c>
      <c r="P34" s="1">
        <v>0.99859519549663789</v>
      </c>
      <c r="Q34" s="2">
        <v>9.985951954966378</v>
      </c>
      <c r="S34" s="2">
        <v>3.3</v>
      </c>
      <c r="T34" s="1">
        <f t="shared" si="30"/>
        <v>5.0118723362727209E-4</v>
      </c>
      <c r="U34" s="1">
        <f t="shared" si="31"/>
        <v>2.0152149381185689E-11</v>
      </c>
      <c r="V34" s="1">
        <f t="shared" si="32"/>
        <v>2.8332797700648042E-3</v>
      </c>
      <c r="W34" s="1">
        <f t="shared" si="33"/>
        <v>3.2388906743311734E-2</v>
      </c>
      <c r="X34" s="1">
        <f t="shared" si="34"/>
        <v>0.95068165854262265</v>
      </c>
      <c r="Y34" s="1">
        <f t="shared" si="35"/>
        <v>0.95809445412592054</v>
      </c>
      <c r="Z34" s="1">
        <f t="shared" si="36"/>
        <v>47.904722706296035</v>
      </c>
      <c r="AB34">
        <v>4.7</v>
      </c>
      <c r="AC34">
        <v>1.9952623149688769E-5</v>
      </c>
      <c r="AD34">
        <v>5.0619910596354569E-10</v>
      </c>
      <c r="AE34">
        <v>4.646297546399026E-2</v>
      </c>
      <c r="AF34">
        <v>1.7845674845336577E-2</v>
      </c>
      <c r="AG34">
        <v>0.43419987330633825</v>
      </c>
      <c r="AH34">
        <v>0.4344427347371031</v>
      </c>
      <c r="AI34">
        <v>21.722136736855155</v>
      </c>
      <c r="AJ34" s="25"/>
      <c r="AK34" s="2">
        <v>0.33</v>
      </c>
      <c r="AL34" s="1">
        <f t="shared" si="38"/>
        <v>0.46773514128719818</v>
      </c>
      <c r="AM34" s="1">
        <f t="shared" si="11"/>
        <v>2.1593417103972542E-14</v>
      </c>
      <c r="AN34" s="1">
        <f t="shared" si="12"/>
        <v>2.704191734058203E-2</v>
      </c>
      <c r="AO34" s="1">
        <f t="shared" si="13"/>
        <v>3.5845048343002787E-9</v>
      </c>
      <c r="AP34" s="1">
        <f t="shared" si="14"/>
        <v>6.3523206017471301</v>
      </c>
      <c r="AQ34" s="1">
        <f t="shared" si="15"/>
        <v>63.523206017471296</v>
      </c>
      <c r="AR34" s="25"/>
      <c r="BA34" s="2">
        <v>0.33</v>
      </c>
      <c r="BB34" s="1">
        <f t="shared" si="22"/>
        <v>0.46773514128719818</v>
      </c>
      <c r="BC34" s="1">
        <f t="shared" si="16"/>
        <v>2.1593417103972542E-14</v>
      </c>
      <c r="BD34" s="1">
        <f t="shared" si="17"/>
        <v>2.1593417103972543E-17</v>
      </c>
      <c r="BE34" s="1">
        <f t="shared" si="18"/>
        <v>1</v>
      </c>
      <c r="BF34" s="1">
        <f t="shared" si="19"/>
        <v>-4.988027631165191</v>
      </c>
      <c r="BG34" s="1">
        <f t="shared" si="23"/>
        <v>-10.024002210332608</v>
      </c>
    </row>
    <row r="35" spans="1:59" ht="15" customHeight="1" x14ac:dyDescent="0.3">
      <c r="A35" s="2">
        <v>3.4</v>
      </c>
      <c r="B35" s="1">
        <f t="shared" si="24"/>
        <v>3.9810717055349708E-4</v>
      </c>
      <c r="C35" s="1">
        <f t="shared" si="25"/>
        <v>2.537005295824677E-11</v>
      </c>
      <c r="D35" s="1">
        <f t="shared" si="26"/>
        <v>1.7546857106289893E-2</v>
      </c>
      <c r="E35" s="1">
        <f t="shared" si="27"/>
        <v>4.0885714895168464E-4</v>
      </c>
      <c r="F35" s="1">
        <f t="shared" si="28"/>
        <v>0.12466821912899154</v>
      </c>
      <c r="G35" s="1">
        <f t="shared" si="29"/>
        <v>0.10434744722659373</v>
      </c>
      <c r="H35" s="1">
        <f t="shared" si="37"/>
        <v>1.0434744722659373</v>
      </c>
      <c r="J35" s="2">
        <v>5.7</v>
      </c>
      <c r="K35" s="1">
        <v>1.9952623149688749E-6</v>
      </c>
      <c r="L35" s="1">
        <v>5.0619910596354619E-9</v>
      </c>
      <c r="M35" s="1">
        <v>1.8603905238242433E-5</v>
      </c>
      <c r="N35" s="1">
        <v>3.3302326824602929E-3</v>
      </c>
      <c r="O35" s="1">
        <v>0.99900336311852111</v>
      </c>
      <c r="P35" s="1">
        <v>0.99888397331025325</v>
      </c>
      <c r="Q35" s="2">
        <v>9.988839733102532</v>
      </c>
      <c r="S35" s="2">
        <v>3.4</v>
      </c>
      <c r="T35" s="1">
        <f t="shared" si="30"/>
        <v>3.9810717055349708E-4</v>
      </c>
      <c r="U35" s="1">
        <f t="shared" si="31"/>
        <v>2.537005295824677E-11</v>
      </c>
      <c r="V35" s="1">
        <f t="shared" si="32"/>
        <v>3.7658659273112926E-3</v>
      </c>
      <c r="W35" s="1">
        <f t="shared" si="33"/>
        <v>3.2078044690896236E-2</v>
      </c>
      <c r="X35" s="1">
        <f t="shared" si="34"/>
        <v>0.93869474084565063</v>
      </c>
      <c r="Y35" s="1">
        <f t="shared" si="35"/>
        <v>0.94455598473021951</v>
      </c>
      <c r="Z35" s="1">
        <f t="shared" si="36"/>
        <v>47.227799236510975</v>
      </c>
      <c r="AB35">
        <v>4.8</v>
      </c>
      <c r="AC35">
        <v>1.5848931924611131E-5</v>
      </c>
      <c r="AD35">
        <v>6.3726691792499525E-10</v>
      </c>
      <c r="AE35">
        <v>5.2216751498430268E-2</v>
      </c>
      <c r="AF35">
        <v>1.5927749500523246E-2</v>
      </c>
      <c r="AG35">
        <v>0.3787177162170407</v>
      </c>
      <c r="AH35">
        <v>0.37890622425106546</v>
      </c>
      <c r="AI35">
        <v>18.945311212553271</v>
      </c>
      <c r="AJ35" s="25"/>
      <c r="AK35" s="2">
        <v>0.34</v>
      </c>
      <c r="AL35" s="1">
        <f t="shared" si="38"/>
        <v>0.45708818961487502</v>
      </c>
      <c r="AM35" s="1">
        <f t="shared" si="11"/>
        <v>2.2096392401890481E-14</v>
      </c>
      <c r="AN35" s="1">
        <f t="shared" si="12"/>
        <v>2.7654385365193761E-2</v>
      </c>
      <c r="AO35" s="1">
        <f t="shared" si="13"/>
        <v>3.7510745882247487E-9</v>
      </c>
      <c r="AP35" s="1">
        <f t="shared" si="14"/>
        <v>6.3924699140836099</v>
      </c>
      <c r="AQ35" s="1">
        <f t="shared" si="15"/>
        <v>63.92469914083609</v>
      </c>
      <c r="AR35" s="25"/>
      <c r="BA35" s="2">
        <v>0.34</v>
      </c>
      <c r="BB35" s="1">
        <f t="shared" si="22"/>
        <v>0.45708818961487502</v>
      </c>
      <c r="BC35" s="1">
        <f t="shared" si="16"/>
        <v>2.2096392401890481E-14</v>
      </c>
      <c r="BD35" s="1">
        <f t="shared" si="17"/>
        <v>2.2096392401890476E-17</v>
      </c>
      <c r="BE35" s="1">
        <f t="shared" si="18"/>
        <v>1</v>
      </c>
      <c r="BF35" s="1">
        <f t="shared" si="19"/>
        <v>-5.1117726613520844</v>
      </c>
      <c r="BG35" s="1">
        <f t="shared" si="23"/>
        <v>-9.7813426598621085</v>
      </c>
    </row>
    <row r="36" spans="1:59" ht="15" customHeight="1" x14ac:dyDescent="0.3">
      <c r="A36" s="2">
        <v>3.5</v>
      </c>
      <c r="B36" s="1">
        <f t="shared" si="24"/>
        <v>3.1622776601683783E-4</v>
      </c>
      <c r="C36" s="1">
        <f t="shared" si="25"/>
        <v>3.1939004367700641E-11</v>
      </c>
      <c r="D36" s="1">
        <f t="shared" si="26"/>
        <v>1.6826994130337964E-2</v>
      </c>
      <c r="E36" s="1">
        <f t="shared" si="27"/>
        <v>5.2883431161033947E-4</v>
      </c>
      <c r="F36" s="1">
        <f t="shared" si="28"/>
        <v>0.15204016747157403</v>
      </c>
      <c r="G36" s="1">
        <f t="shared" si="29"/>
        <v>0.13579934557428031</v>
      </c>
      <c r="H36" s="1">
        <f t="shared" si="37"/>
        <v>1.3579934557428031</v>
      </c>
      <c r="J36" s="2">
        <v>5.8</v>
      </c>
      <c r="K36" s="1">
        <v>1.5848931924611111E-6</v>
      </c>
      <c r="L36" s="1">
        <v>6.3726691792499607E-9</v>
      </c>
      <c r="M36" s="1">
        <v>1.4777456066374642E-5</v>
      </c>
      <c r="N36" s="1">
        <v>3.3308704239889374E-3</v>
      </c>
      <c r="O36" s="1">
        <v>0.99920818087813734</v>
      </c>
      <c r="P36" s="1">
        <v>0.99911348364058317</v>
      </c>
      <c r="Q36" s="2">
        <v>9.9911348364058306</v>
      </c>
      <c r="S36" s="2">
        <v>3.5</v>
      </c>
      <c r="T36" s="1">
        <f t="shared" si="30"/>
        <v>3.1622776601683783E-4</v>
      </c>
      <c r="U36" s="1">
        <f t="shared" si="31"/>
        <v>3.1939004367700641E-11</v>
      </c>
      <c r="V36" s="1">
        <f t="shared" si="32"/>
        <v>4.8720052353625086E-3</v>
      </c>
      <c r="W36" s="1">
        <f t="shared" si="33"/>
        <v>3.17093315882125E-2</v>
      </c>
      <c r="X36" s="1">
        <f t="shared" si="34"/>
        <v>0.92402720473966227</v>
      </c>
      <c r="Y36" s="1">
        <f t="shared" si="35"/>
        <v>0.92865781886941423</v>
      </c>
      <c r="Z36" s="1">
        <f t="shared" si="36"/>
        <v>46.432890943470717</v>
      </c>
      <c r="AB36">
        <v>4.9000000000000004</v>
      </c>
      <c r="AC36">
        <v>1.2589254117941658E-5</v>
      </c>
      <c r="AD36">
        <v>8.0227151707152515E-10</v>
      </c>
      <c r="AE36">
        <v>5.7911019800269442E-2</v>
      </c>
      <c r="AF36">
        <v>1.4029660066576853E-2</v>
      </c>
      <c r="AG36">
        <v>0.32623730117883831</v>
      </c>
      <c r="AH36">
        <v>0.32638372902658408</v>
      </c>
      <c r="AI36">
        <v>16.319186451329205</v>
      </c>
      <c r="AJ36" s="25"/>
      <c r="AK36" s="2">
        <v>0.35</v>
      </c>
      <c r="AL36" s="1">
        <f t="shared" si="38"/>
        <v>0.44668359215096315</v>
      </c>
      <c r="AM36" s="1">
        <f t="shared" si="11"/>
        <v>2.2611083499540228E-14</v>
      </c>
      <c r="AN36" s="1">
        <f t="shared" si="12"/>
        <v>2.8280321879971388E-2</v>
      </c>
      <c r="AO36" s="1">
        <f t="shared" si="13"/>
        <v>3.9253287726889365E-9</v>
      </c>
      <c r="AP36" s="1">
        <f t="shared" si="14"/>
        <v>6.4340798880683012</v>
      </c>
      <c r="AQ36" s="1">
        <f t="shared" si="15"/>
        <v>64.34079888068301</v>
      </c>
      <c r="AR36" s="25"/>
      <c r="BA36" s="2">
        <v>0.35</v>
      </c>
      <c r="BB36" s="1">
        <f t="shared" si="22"/>
        <v>0.44668359215096315</v>
      </c>
      <c r="BC36" s="1">
        <f t="shared" si="16"/>
        <v>2.2611083499540228E-14</v>
      </c>
      <c r="BD36" s="1">
        <f t="shared" si="17"/>
        <v>2.2611083499540226E-17</v>
      </c>
      <c r="BE36" s="1">
        <f t="shared" si="18"/>
        <v>1</v>
      </c>
      <c r="BF36" s="1">
        <f t="shared" si="19"/>
        <v>-5.2430207174480286</v>
      </c>
      <c r="BG36" s="1">
        <f t="shared" si="23"/>
        <v>-9.5364872073854468</v>
      </c>
    </row>
    <row r="37" spans="1:59" ht="15" customHeight="1" x14ac:dyDescent="0.3">
      <c r="A37" s="2">
        <v>3.6</v>
      </c>
      <c r="B37" s="1">
        <f t="shared" si="24"/>
        <v>2.5118864315095774E-4</v>
      </c>
      <c r="C37" s="1">
        <f t="shared" si="25"/>
        <v>4.020882422590326E-11</v>
      </c>
      <c r="D37" s="1">
        <f t="shared" si="26"/>
        <v>1.6027943339537422E-2</v>
      </c>
      <c r="E37" s="1">
        <f t="shared" si="27"/>
        <v>6.620094434104302E-4</v>
      </c>
      <c r="F37" s="1">
        <f t="shared" si="28"/>
        <v>0.1841574909023195</v>
      </c>
      <c r="G37" s="1">
        <f t="shared" si="29"/>
        <v>0.17116810598111637</v>
      </c>
      <c r="H37" s="1">
        <f t="shared" si="37"/>
        <v>1.7116810598111636</v>
      </c>
      <c r="J37" s="2">
        <v>5.9</v>
      </c>
      <c r="K37" s="1">
        <v>1.2589254117941642E-6</v>
      </c>
      <c r="L37" s="1">
        <v>8.0227151707152622E-9</v>
      </c>
      <c r="M37" s="1">
        <v>1.1736578742659332E-5</v>
      </c>
      <c r="N37" s="1">
        <v>3.331377236876223E-3</v>
      </c>
      <c r="O37" s="1">
        <v>0.99937093326815019</v>
      </c>
      <c r="P37" s="1">
        <v>0.99929588791410984</v>
      </c>
      <c r="Q37" s="2">
        <v>9.9929588791410975</v>
      </c>
      <c r="S37" s="2">
        <v>3.6</v>
      </c>
      <c r="T37" s="1">
        <f t="shared" si="30"/>
        <v>2.5118864315095774E-4</v>
      </c>
      <c r="U37" s="1">
        <f t="shared" si="31"/>
        <v>4.020882422590326E-11</v>
      </c>
      <c r="V37" s="1">
        <f t="shared" si="32"/>
        <v>6.1957934582912823E-3</v>
      </c>
      <c r="W37" s="1">
        <f t="shared" si="33"/>
        <v>3.1268068847236236E-2</v>
      </c>
      <c r="X37" s="1">
        <f t="shared" si="34"/>
        <v>0.90620106327429761</v>
      </c>
      <c r="Y37" s="1">
        <f t="shared" si="35"/>
        <v>0.90985567618461782</v>
      </c>
      <c r="Z37" s="1">
        <f t="shared" si="36"/>
        <v>45.492783809230893</v>
      </c>
      <c r="AB37">
        <v>5</v>
      </c>
      <c r="AC37">
        <v>1.0000000000000001E-5</v>
      </c>
      <c r="AD37">
        <v>1.0099999999999998E-9</v>
      </c>
      <c r="AE37">
        <v>6.3401464744878053E-2</v>
      </c>
      <c r="AF37">
        <v>1.2199511751707316E-2</v>
      </c>
      <c r="AG37">
        <v>0.27777777777777779</v>
      </c>
      <c r="AH37">
        <v>0.27789166085746775</v>
      </c>
      <c r="AI37">
        <v>13.894583042873387</v>
      </c>
      <c r="AJ37" s="25"/>
      <c r="AK37" s="2">
        <v>0.36</v>
      </c>
      <c r="AL37" s="1">
        <f t="shared" si="38"/>
        <v>0.43651583224016594</v>
      </c>
      <c r="AM37" s="1">
        <f t="shared" si="11"/>
        <v>2.3137763292954508E-14</v>
      </c>
      <c r="AN37" s="1">
        <f t="shared" si="12"/>
        <v>2.8920004623230636E-2</v>
      </c>
      <c r="AO37" s="1">
        <f t="shared" si="13"/>
        <v>4.107617992773718E-9</v>
      </c>
      <c r="AP37" s="1">
        <f t="shared" si="14"/>
        <v>6.4772202407446011</v>
      </c>
      <c r="AQ37" s="1">
        <f t="shared" si="15"/>
        <v>64.772202407446002</v>
      </c>
      <c r="AR37" s="25"/>
      <c r="BA37" s="2">
        <v>0.36</v>
      </c>
      <c r="BB37" s="1">
        <f t="shared" si="22"/>
        <v>0.43651583224016594</v>
      </c>
      <c r="BC37" s="1">
        <f t="shared" si="16"/>
        <v>2.3137763292954508E-14</v>
      </c>
      <c r="BD37" s="1">
        <f t="shared" si="17"/>
        <v>2.3137763292954506E-17</v>
      </c>
      <c r="BE37" s="1">
        <f t="shared" si="18"/>
        <v>1</v>
      </c>
      <c r="BF37" s="1">
        <f t="shared" si="19"/>
        <v>-5.3824374141166675</v>
      </c>
      <c r="BG37" s="1">
        <f t="shared" si="23"/>
        <v>-9.2894716934122847</v>
      </c>
    </row>
    <row r="38" spans="1:59" ht="15" customHeight="1" x14ac:dyDescent="0.3">
      <c r="A38" s="2">
        <v>3.7</v>
      </c>
      <c r="B38" s="1">
        <f t="shared" si="24"/>
        <v>1.9952623149688758E-4</v>
      </c>
      <c r="C38" s="1">
        <f t="shared" si="25"/>
        <v>5.0619910596354591E-11</v>
      </c>
      <c r="D38" s="1">
        <f t="shared" si="26"/>
        <v>1.5143440250150452E-2</v>
      </c>
      <c r="E38" s="1">
        <f t="shared" si="27"/>
        <v>8.0942662497492481E-4</v>
      </c>
      <c r="F38" s="1">
        <f t="shared" si="28"/>
        <v>0.22128881835694775</v>
      </c>
      <c r="G38" s="1">
        <f t="shared" si="29"/>
        <v>0.21089172510820492</v>
      </c>
      <c r="H38" s="1">
        <f t="shared" si="37"/>
        <v>2.1089172510820489</v>
      </c>
      <c r="J38" s="2">
        <v>6</v>
      </c>
      <c r="K38" s="1">
        <v>9.9999999999999995E-7</v>
      </c>
      <c r="L38" s="1">
        <v>1.0099999999999999E-8</v>
      </c>
      <c r="M38" s="1">
        <v>9.3198450145795477E-6</v>
      </c>
      <c r="N38" s="1">
        <v>3.3317800258309033E-3</v>
      </c>
      <c r="O38" s="1">
        <v>0.99950024987506236</v>
      </c>
      <c r="P38" s="1">
        <v>0.99944086140997535</v>
      </c>
      <c r="Q38" s="2">
        <v>9.9944086140997523</v>
      </c>
      <c r="S38" s="2">
        <v>3.7</v>
      </c>
      <c r="T38" s="1">
        <f t="shared" si="30"/>
        <v>1.9952623149688758E-4</v>
      </c>
      <c r="U38" s="1">
        <f t="shared" si="31"/>
        <v>5.0619910596354591E-11</v>
      </c>
      <c r="V38" s="1">
        <f t="shared" si="32"/>
        <v>7.7853838127775327E-3</v>
      </c>
      <c r="W38" s="1">
        <f t="shared" si="33"/>
        <v>3.0738205395740827E-2</v>
      </c>
      <c r="X38" s="1">
        <f t="shared" si="34"/>
        <v>0.88471407593063589</v>
      </c>
      <c r="Y38" s="1">
        <f t="shared" si="35"/>
        <v>0.88759482977215853</v>
      </c>
      <c r="Z38" s="1">
        <f t="shared" si="36"/>
        <v>44.379741488607934</v>
      </c>
      <c r="AB38">
        <v>5.0999999999999996</v>
      </c>
      <c r="AC38">
        <v>7.9432823472428065E-6</v>
      </c>
      <c r="AD38">
        <v>1.2715146659121102E-9</v>
      </c>
      <c r="AE38">
        <v>6.8563916044702702E-2</v>
      </c>
      <c r="AF38">
        <v>1.0478694651765768E-2</v>
      </c>
      <c r="AG38">
        <v>0.23401632953414228</v>
      </c>
      <c r="AH38">
        <v>0.23410504596652318</v>
      </c>
      <c r="AI38">
        <v>11.70525229832616</v>
      </c>
      <c r="AJ38" s="25"/>
      <c r="AK38" s="2">
        <v>0.37</v>
      </c>
      <c r="AL38" s="1">
        <f t="shared" si="38"/>
        <v>0.42657951880159267</v>
      </c>
      <c r="AM38" s="1">
        <f t="shared" si="11"/>
        <v>2.3676711034731209E-14</v>
      </c>
      <c r="AN38" s="1">
        <f t="shared" si="12"/>
        <v>2.957371621763304E-2</v>
      </c>
      <c r="AO38" s="1">
        <f t="shared" si="13"/>
        <v>4.298308579475106E-9</v>
      </c>
      <c r="AP38" s="1">
        <f t="shared" si="14"/>
        <v>6.5219650924300021</v>
      </c>
      <c r="AQ38" s="1">
        <f t="shared" si="15"/>
        <v>65.219650924300012</v>
      </c>
      <c r="AR38" s="25"/>
      <c r="BA38" s="2">
        <v>0.37</v>
      </c>
      <c r="BB38" s="1">
        <f t="shared" si="22"/>
        <v>0.42657951880159267</v>
      </c>
      <c r="BC38" s="1">
        <f t="shared" si="16"/>
        <v>2.3676711034731209E-14</v>
      </c>
      <c r="BD38" s="1">
        <f t="shared" si="17"/>
        <v>2.3676711034731212E-17</v>
      </c>
      <c r="BE38" s="1">
        <f t="shared" si="18"/>
        <v>1</v>
      </c>
      <c r="BF38" s="1">
        <f t="shared" si="19"/>
        <v>-5.5307692603081851</v>
      </c>
      <c r="BG38" s="1">
        <f t="shared" si="23"/>
        <v>-9.0403337486572184</v>
      </c>
    </row>
    <row r="39" spans="1:59" ht="15" customHeight="1" x14ac:dyDescent="0.3">
      <c r="A39" s="2">
        <v>3.8</v>
      </c>
      <c r="B39" s="1">
        <f t="shared" si="24"/>
        <v>1.584893192461112E-4</v>
      </c>
      <c r="C39" s="1">
        <f t="shared" si="25"/>
        <v>6.3726691792499571E-11</v>
      </c>
      <c r="D39" s="1">
        <f t="shared" si="26"/>
        <v>1.4173496965475025E-2</v>
      </c>
      <c r="E39" s="1">
        <f t="shared" si="27"/>
        <v>9.7108383908749607E-4</v>
      </c>
      <c r="F39" s="1">
        <f t="shared" si="28"/>
        <v>0.26348891384870471</v>
      </c>
      <c r="G39" s="1">
        <f t="shared" si="29"/>
        <v>0.25516004980940782</v>
      </c>
      <c r="H39" s="1">
        <f t="shared" si="37"/>
        <v>2.5516004980940781</v>
      </c>
      <c r="J39" s="2">
        <v>6.1</v>
      </c>
      <c r="K39" s="1">
        <v>7.9432823472428114E-7</v>
      </c>
      <c r="L39" s="1">
        <v>1.2715146659121094E-8</v>
      </c>
      <c r="M39" s="1">
        <v>7.3988766658406869E-6</v>
      </c>
      <c r="N39" s="1">
        <v>3.3321001872223597E-3</v>
      </c>
      <c r="O39" s="1">
        <v>0.99960299355935045</v>
      </c>
      <c r="P39" s="1">
        <v>0.99955610024364505</v>
      </c>
      <c r="Q39" s="2">
        <v>9.9955610024364496</v>
      </c>
      <c r="S39" s="2">
        <v>3.8</v>
      </c>
      <c r="T39" s="1">
        <f t="shared" si="30"/>
        <v>1.584893192461112E-4</v>
      </c>
      <c r="U39" s="1">
        <f t="shared" si="31"/>
        <v>6.3726691792499571E-11</v>
      </c>
      <c r="V39" s="1">
        <f t="shared" si="32"/>
        <v>9.692117218540696E-3</v>
      </c>
      <c r="W39" s="1">
        <f t="shared" si="33"/>
        <v>3.0102627593819771E-2</v>
      </c>
      <c r="X39" s="1">
        <f t="shared" si="34"/>
        <v>0.8590704323358922</v>
      </c>
      <c r="Y39" s="1">
        <f t="shared" si="35"/>
        <v>0.86133788889489449</v>
      </c>
      <c r="Z39" s="1">
        <f t="shared" si="36"/>
        <v>43.066894444744726</v>
      </c>
      <c r="AB39">
        <v>5.2</v>
      </c>
      <c r="AC39">
        <v>6.3095734448019212E-6</v>
      </c>
      <c r="AD39">
        <v>1.6007421243857275E-9</v>
      </c>
      <c r="AE39">
        <v>7.3304418178766026E-2</v>
      </c>
      <c r="AF39">
        <v>8.8985272737446604E-3</v>
      </c>
      <c r="AG39">
        <v>0.19528495031298621</v>
      </c>
      <c r="AH39">
        <v>0.19535419148454916</v>
      </c>
      <c r="AI39">
        <v>9.7677095742274584</v>
      </c>
      <c r="AJ39" s="25"/>
      <c r="AK39" s="2">
        <v>0.38</v>
      </c>
      <c r="AL39" s="1">
        <f t="shared" si="38"/>
        <v>0.41686938347033536</v>
      </c>
      <c r="AM39" s="1">
        <f t="shared" si="11"/>
        <v>2.4228212482096853E-14</v>
      </c>
      <c r="AN39" s="1">
        <f t="shared" si="12"/>
        <v>3.0241744216766085E-2</v>
      </c>
      <c r="AO39" s="1">
        <f t="shared" si="13"/>
        <v>4.497783276456239E-9</v>
      </c>
      <c r="AP39" s="1">
        <f t="shared" si="14"/>
        <v>6.568393321045896</v>
      </c>
      <c r="AQ39" s="1">
        <f t="shared" si="15"/>
        <v>65.68393321045896</v>
      </c>
      <c r="AR39" s="25"/>
      <c r="BA39" s="2">
        <v>0.38</v>
      </c>
      <c r="BB39" s="1">
        <f t="shared" si="22"/>
        <v>0.41686938347033536</v>
      </c>
      <c r="BC39" s="1">
        <f t="shared" si="16"/>
        <v>2.4228212482096853E-14</v>
      </c>
      <c r="BD39" s="1">
        <f t="shared" si="17"/>
        <v>2.4228212482096851E-17</v>
      </c>
      <c r="BE39" s="1">
        <f t="shared" si="18"/>
        <v>1</v>
      </c>
      <c r="BF39" s="1">
        <f t="shared" si="19"/>
        <v>-5.6888563392329559</v>
      </c>
      <c r="BG39" s="1">
        <f t="shared" si="23"/>
        <v>-8.7891127879565403</v>
      </c>
    </row>
    <row r="40" spans="1:59" ht="15" customHeight="1" x14ac:dyDescent="0.3">
      <c r="A40" s="2">
        <v>3.9</v>
      </c>
      <c r="B40" s="1">
        <f t="shared" si="24"/>
        <v>1.2589254117941672E-4</v>
      </c>
      <c r="C40" s="1">
        <f t="shared" si="25"/>
        <v>8.0227151707152435E-11</v>
      </c>
      <c r="D40" s="1">
        <f t="shared" si="26"/>
        <v>1.3125364301116181E-2</v>
      </c>
      <c r="E40" s="1">
        <f t="shared" si="27"/>
        <v>1.1457726164806367E-3</v>
      </c>
      <c r="F40" s="1">
        <f t="shared" si="28"/>
        <v>0.31052747080334558</v>
      </c>
      <c r="G40" s="1">
        <f t="shared" si="29"/>
        <v>0.30385032310636234</v>
      </c>
      <c r="H40" s="1">
        <f t="shared" si="37"/>
        <v>3.0385032310636233</v>
      </c>
      <c r="J40" s="2">
        <v>6.2</v>
      </c>
      <c r="K40" s="1">
        <v>6.3095734448019254E-7</v>
      </c>
      <c r="L40" s="1">
        <v>1.6007421243857263E-8</v>
      </c>
      <c r="M40" s="1">
        <v>5.8715781660894226E-6</v>
      </c>
      <c r="N40" s="1">
        <v>3.3323547369723183E-3</v>
      </c>
      <c r="O40" s="1">
        <v>0.99968462082316378</v>
      </c>
      <c r="P40" s="1">
        <v>0.99964772599407836</v>
      </c>
      <c r="Q40" s="2">
        <v>9.9964772599407823</v>
      </c>
      <c r="S40" s="2">
        <v>3.9</v>
      </c>
      <c r="T40" s="1">
        <f t="shared" si="30"/>
        <v>1.2589254117941672E-4</v>
      </c>
      <c r="U40" s="1">
        <f t="shared" si="31"/>
        <v>8.0227151707152435E-11</v>
      </c>
      <c r="V40" s="1">
        <f t="shared" si="32"/>
        <v>1.1968586076752229E-2</v>
      </c>
      <c r="W40" s="1">
        <f t="shared" si="33"/>
        <v>2.9343804641082591E-2</v>
      </c>
      <c r="X40" s="1">
        <f t="shared" si="34"/>
        <v>0.82882635448643527</v>
      </c>
      <c r="Y40" s="1">
        <f t="shared" si="35"/>
        <v>0.83060811559475378</v>
      </c>
      <c r="Z40" s="1">
        <f t="shared" si="36"/>
        <v>41.530405779737691</v>
      </c>
      <c r="AB40">
        <v>5.3</v>
      </c>
      <c r="AC40">
        <v>5.011872336272719E-6</v>
      </c>
      <c r="AD40">
        <v>2.0152149381185696E-9</v>
      </c>
      <c r="AE40">
        <v>7.7563750985802385E-2</v>
      </c>
      <c r="AF40">
        <v>7.4787496713992034E-3</v>
      </c>
      <c r="AG40">
        <v>0.16161140746122038</v>
      </c>
      <c r="AH40">
        <v>0.1616655556391097</v>
      </c>
      <c r="AI40">
        <v>8.0832777819554842</v>
      </c>
      <c r="AJ40" s="25"/>
      <c r="AK40" s="2">
        <v>0.39</v>
      </c>
      <c r="AL40" s="1">
        <f t="shared" si="38"/>
        <v>0.40738027780411268</v>
      </c>
      <c r="AM40" s="1">
        <f t="shared" si="11"/>
        <v>2.4792560048418809E-14</v>
      </c>
      <c r="AN40" s="1">
        <f t="shared" si="12"/>
        <v>3.0924381150140321E-2</v>
      </c>
      <c r="AO40" s="1">
        <f t="shared" si="13"/>
        <v>4.706441955520076E-9</v>
      </c>
      <c r="AP40" s="1">
        <f t="shared" si="14"/>
        <v>6.6165889512937692</v>
      </c>
      <c r="AQ40" s="1">
        <f t="shared" si="15"/>
        <v>66.165889512937696</v>
      </c>
      <c r="AR40" s="25"/>
      <c r="BA40" s="2">
        <v>0.39</v>
      </c>
      <c r="BB40" s="1">
        <f t="shared" si="22"/>
        <v>0.40738027780411268</v>
      </c>
      <c r="BC40" s="1">
        <f t="shared" si="16"/>
        <v>2.4792560048418809E-14</v>
      </c>
      <c r="BD40" s="1">
        <f t="shared" si="17"/>
        <v>2.4792560048418806E-17</v>
      </c>
      <c r="BE40" s="1">
        <f t="shared" si="18"/>
        <v>1</v>
      </c>
      <c r="BF40" s="1">
        <f t="shared" si="19"/>
        <v>-5.8576474507173728</v>
      </c>
      <c r="BG40" s="1">
        <f t="shared" si="23"/>
        <v>-8.5358500013305871</v>
      </c>
    </row>
    <row r="41" spans="1:59" ht="15" customHeight="1" x14ac:dyDescent="0.3">
      <c r="A41" s="2">
        <v>4</v>
      </c>
      <c r="B41" s="1">
        <f t="shared" si="24"/>
        <v>1E-4</v>
      </c>
      <c r="C41" s="1">
        <f t="shared" si="25"/>
        <v>1.0099999999999999E-10</v>
      </c>
      <c r="D41" s="1">
        <f t="shared" si="26"/>
        <v>1.201382992744561E-2</v>
      </c>
      <c r="E41" s="1">
        <f t="shared" si="27"/>
        <v>1.3310283454257318E-3</v>
      </c>
      <c r="F41" s="1">
        <f t="shared" si="28"/>
        <v>0.36183790682833439</v>
      </c>
      <c r="G41" s="1">
        <f t="shared" si="29"/>
        <v>0.35648143080757305</v>
      </c>
      <c r="H41" s="1">
        <f t="shared" si="37"/>
        <v>3.5648143080757304</v>
      </c>
      <c r="J41" s="2">
        <v>6.3</v>
      </c>
      <c r="K41" s="1">
        <v>5.0118723362727218E-7</v>
      </c>
      <c r="L41" s="1">
        <v>2.0152149381185686E-8</v>
      </c>
      <c r="M41" s="1">
        <v>4.6567434503099121E-6</v>
      </c>
      <c r="N41" s="1">
        <v>3.3325572094249482E-3</v>
      </c>
      <c r="O41" s="1">
        <v>0.99974946916461449</v>
      </c>
      <c r="P41" s="1">
        <v>0.99972060840353127</v>
      </c>
      <c r="Q41" s="2">
        <v>9.9972060840353123</v>
      </c>
      <c r="S41" s="2">
        <v>4</v>
      </c>
      <c r="T41" s="1">
        <f t="shared" si="30"/>
        <v>1E-4</v>
      </c>
      <c r="U41" s="1">
        <f t="shared" si="31"/>
        <v>1.0099999999999999E-10</v>
      </c>
      <c r="V41" s="1">
        <f t="shared" si="32"/>
        <v>1.4665341017551138E-2</v>
      </c>
      <c r="W41" s="1">
        <f t="shared" si="33"/>
        <v>2.8444886327482957E-2</v>
      </c>
      <c r="X41" s="1">
        <f t="shared" si="34"/>
        <v>0.79365079365079372</v>
      </c>
      <c r="Y41" s="1">
        <f t="shared" si="35"/>
        <v>0.79504831639749307</v>
      </c>
      <c r="Z41" s="1">
        <f t="shared" si="36"/>
        <v>39.752415819874649</v>
      </c>
      <c r="AB41">
        <v>5.4</v>
      </c>
      <c r="AC41">
        <v>3.9810717055349657E-6</v>
      </c>
      <c r="AD41">
        <v>2.53700529582468E-9</v>
      </c>
      <c r="AE41">
        <v>8.1316557954048754E-2</v>
      </c>
      <c r="AF41">
        <v>6.2278140153170869E-3</v>
      </c>
      <c r="AG41">
        <v>0.13278617070916776</v>
      </c>
      <c r="AH41">
        <v>0.1328285983721092</v>
      </c>
      <c r="AI41">
        <v>6.6414299186054588</v>
      </c>
      <c r="AJ41" s="25"/>
      <c r="AK41" s="2">
        <v>0.4</v>
      </c>
      <c r="AL41" s="1">
        <f t="shared" si="38"/>
        <v>0.3981071705534972</v>
      </c>
      <c r="AM41" s="1">
        <f t="shared" si="11"/>
        <v>2.537005295824676E-14</v>
      </c>
      <c r="AN41" s="1">
        <f t="shared" si="12"/>
        <v>3.1621924566473072E-2</v>
      </c>
      <c r="AO41" s="1">
        <f t="shared" si="13"/>
        <v>4.9247023619180775E-9</v>
      </c>
      <c r="AP41" s="1">
        <f t="shared" si="14"/>
        <v>6.6666415827434582</v>
      </c>
      <c r="AQ41" s="1">
        <f t="shared" si="15"/>
        <v>66.666415827434577</v>
      </c>
      <c r="AR41" s="25"/>
      <c r="BA41" s="2">
        <v>0.4</v>
      </c>
      <c r="BB41" s="1">
        <f t="shared" si="22"/>
        <v>0.3981071705534972</v>
      </c>
      <c r="BC41" s="1">
        <f t="shared" si="16"/>
        <v>2.537005295824676E-14</v>
      </c>
      <c r="BD41" s="1">
        <f t="shared" si="17"/>
        <v>2.5370052958246757E-17</v>
      </c>
      <c r="BE41" s="1">
        <f t="shared" si="18"/>
        <v>1</v>
      </c>
      <c r="BF41" s="1">
        <f t="shared" si="19"/>
        <v>-6.038218292477552</v>
      </c>
      <c r="BG41" s="1">
        <f t="shared" si="23"/>
        <v>-8.2805883421422983</v>
      </c>
    </row>
    <row r="42" spans="1:59" ht="15" customHeight="1" x14ac:dyDescent="0.3">
      <c r="A42" s="2">
        <v>4.0999999999999996</v>
      </c>
      <c r="B42" s="1">
        <f t="shared" si="24"/>
        <v>7.9432823472428153E-5</v>
      </c>
      <c r="C42" s="1">
        <f t="shared" si="25"/>
        <v>1.2715146659121088E-10</v>
      </c>
      <c r="D42" s="1">
        <f t="shared" si="26"/>
        <v>1.0860526762881491E-2</v>
      </c>
      <c r="E42" s="1">
        <f t="shared" si="27"/>
        <v>1.5232455395197517E-3</v>
      </c>
      <c r="F42" s="1">
        <f t="shared" si="28"/>
        <v>0.4165049879501237</v>
      </c>
      <c r="G42" s="1">
        <f t="shared" si="29"/>
        <v>0.41220592685198232</v>
      </c>
      <c r="H42" s="1">
        <f t="shared" si="37"/>
        <v>4.1220592685198225</v>
      </c>
      <c r="J42" s="2">
        <v>6.4</v>
      </c>
      <c r="K42" s="1">
        <v>3.9810717055349618E-7</v>
      </c>
      <c r="L42" s="1">
        <v>2.5370052958246826E-8</v>
      </c>
      <c r="M42" s="1">
        <v>3.6897590170665871E-6</v>
      </c>
      <c r="N42" s="1">
        <v>3.3327183734971557E-3</v>
      </c>
      <c r="O42" s="1">
        <v>0.99980098602916756</v>
      </c>
      <c r="P42" s="1">
        <v>0.99977862262726747</v>
      </c>
      <c r="Q42" s="2">
        <v>9.9977862262726749</v>
      </c>
      <c r="S42" s="2">
        <v>4.0999999999999996</v>
      </c>
      <c r="T42" s="1">
        <f t="shared" si="30"/>
        <v>7.9432823472428153E-5</v>
      </c>
      <c r="U42" s="1">
        <f t="shared" si="31"/>
        <v>1.2715146659121088E-10</v>
      </c>
      <c r="V42" s="1">
        <f t="shared" si="32"/>
        <v>1.7826051760500249E-2</v>
      </c>
      <c r="W42" s="1">
        <f t="shared" si="33"/>
        <v>2.739131607983325E-2</v>
      </c>
      <c r="X42" s="1">
        <f t="shared" si="34"/>
        <v>0.7533974796112779</v>
      </c>
      <c r="Y42" s="1">
        <f t="shared" si="35"/>
        <v>0.75449146303078585</v>
      </c>
      <c r="Z42" s="1">
        <f t="shared" si="36"/>
        <v>37.724573151539289</v>
      </c>
      <c r="AB42">
        <v>5.5</v>
      </c>
      <c r="AC42">
        <v>3.1622776601683767E-6</v>
      </c>
      <c r="AD42">
        <v>3.1939004367700655E-9</v>
      </c>
      <c r="AE42">
        <v>8.4566457072449197E-2</v>
      </c>
      <c r="AF42">
        <v>5.1445143091836008E-3</v>
      </c>
      <c r="AG42">
        <v>0.10843726601257929</v>
      </c>
      <c r="AH42">
        <v>0.10847057018826008</v>
      </c>
      <c r="AI42">
        <v>5.4235285094130044</v>
      </c>
      <c r="AJ42" s="25"/>
      <c r="AK42" s="2">
        <v>0.41</v>
      </c>
      <c r="AL42" s="1">
        <f t="shared" si="38"/>
        <v>0.38904514499428056</v>
      </c>
      <c r="AM42" s="1">
        <f t="shared" si="11"/>
        <v>2.5960997405965525E-14</v>
      </c>
      <c r="AN42" s="1">
        <f t="shared" si="12"/>
        <v>3.233467707512281E-2</v>
      </c>
      <c r="AO42" s="1">
        <f t="shared" si="13"/>
        <v>5.1530008906475008E-9</v>
      </c>
      <c r="AP42" s="1">
        <f t="shared" si="14"/>
        <v>6.7186468614505266</v>
      </c>
      <c r="AQ42" s="1">
        <f t="shared" si="15"/>
        <v>67.186468614505259</v>
      </c>
      <c r="AR42" s="25"/>
      <c r="BA42" s="2">
        <v>0.41</v>
      </c>
      <c r="BB42" s="1">
        <f t="shared" si="22"/>
        <v>0.38904514499428056</v>
      </c>
      <c r="BC42" s="1">
        <f t="shared" si="16"/>
        <v>2.5960997405965525E-14</v>
      </c>
      <c r="BD42" s="1">
        <f t="shared" si="17"/>
        <v>2.5960997405965524E-17</v>
      </c>
      <c r="BE42" s="1">
        <f t="shared" si="18"/>
        <v>1</v>
      </c>
      <c r="BF42" s="1">
        <f t="shared" si="19"/>
        <v>-6.2317934164578181</v>
      </c>
      <c r="BG42" s="1">
        <f t="shared" si="23"/>
        <v>-8.0233725123096651</v>
      </c>
    </row>
    <row r="43" spans="1:59" ht="15" customHeight="1" x14ac:dyDescent="0.3">
      <c r="A43" s="2">
        <v>4.2</v>
      </c>
      <c r="B43" s="1">
        <f t="shared" si="24"/>
        <v>6.3095734448019279E-5</v>
      </c>
      <c r="C43" s="1">
        <f t="shared" si="25"/>
        <v>1.6007421243857255E-10</v>
      </c>
      <c r="D43" s="1">
        <f t="shared" si="26"/>
        <v>9.6921330491440173E-3</v>
      </c>
      <c r="E43" s="1">
        <f t="shared" si="27"/>
        <v>1.7179778251426637E-3</v>
      </c>
      <c r="F43" s="1">
        <f t="shared" si="28"/>
        <v>0.47330566702775856</v>
      </c>
      <c r="G43" s="1">
        <f t="shared" si="29"/>
        <v>0.46985443095713503</v>
      </c>
      <c r="H43" s="1">
        <f t="shared" si="37"/>
        <v>4.6985443095713499</v>
      </c>
      <c r="J43" s="2">
        <v>6.5</v>
      </c>
      <c r="K43" s="1">
        <v>3.1622776601683734E-7</v>
      </c>
      <c r="L43" s="1">
        <v>3.1939004367700689E-8</v>
      </c>
      <c r="M43" s="1">
        <v>2.9191804593224348E-6</v>
      </c>
      <c r="N43" s="1">
        <v>3.3328468032567792E-3</v>
      </c>
      <c r="O43" s="1">
        <v>0.99984191111303944</v>
      </c>
      <c r="P43" s="1">
        <v>0.99982485428526013</v>
      </c>
      <c r="Q43" s="2">
        <v>9.9982485428526005</v>
      </c>
      <c r="S43" s="2">
        <v>4.2</v>
      </c>
      <c r="T43" s="1">
        <f t="shared" si="30"/>
        <v>6.3095734448019279E-5</v>
      </c>
      <c r="U43" s="1">
        <f t="shared" si="31"/>
        <v>1.6007421243857255E-10</v>
      </c>
      <c r="V43" s="1">
        <f t="shared" si="32"/>
        <v>2.1481186273237491E-2</v>
      </c>
      <c r="W43" s="1">
        <f t="shared" si="33"/>
        <v>2.6172937908920835E-2</v>
      </c>
      <c r="X43" s="1">
        <f t="shared" si="34"/>
        <v>0.70817907096137067</v>
      </c>
      <c r="Y43" s="1">
        <f t="shared" si="35"/>
        <v>0.70903371115138614</v>
      </c>
      <c r="Z43" s="1">
        <f t="shared" si="36"/>
        <v>35.451685557569306</v>
      </c>
      <c r="AB43">
        <v>5.6</v>
      </c>
      <c r="AC43">
        <v>2.5118864315095806E-6</v>
      </c>
      <c r="AD43">
        <v>4.0208824225903214E-9</v>
      </c>
      <c r="AE43">
        <v>8.7339009086016633E-2</v>
      </c>
      <c r="AF43">
        <v>4.2203303046611197E-3</v>
      </c>
      <c r="AG43">
        <v>8.8099622504584557E-2</v>
      </c>
      <c r="AH43">
        <v>8.812580619844218E-2</v>
      </c>
      <c r="AI43">
        <v>4.4062903099221087</v>
      </c>
      <c r="AJ43" s="25"/>
      <c r="AK43" s="2">
        <v>0.42</v>
      </c>
      <c r="AL43" s="1">
        <f t="shared" si="38"/>
        <v>0.38018939632056115</v>
      </c>
      <c r="AM43" s="1">
        <f t="shared" si="11"/>
        <v>2.656570671814336E-14</v>
      </c>
      <c r="AN43" s="1">
        <f t="shared" si="12"/>
        <v>3.3062946385532713E-2</v>
      </c>
      <c r="AO43" s="1">
        <f t="shared" si="13"/>
        <v>5.3917933949284282E-9</v>
      </c>
      <c r="AP43" s="1">
        <f t="shared" si="14"/>
        <v>6.7727070003565526</v>
      </c>
      <c r="AQ43" s="1">
        <f t="shared" si="15"/>
        <v>67.727070003565515</v>
      </c>
      <c r="AR43" s="25"/>
      <c r="BA43" s="2">
        <v>0.42</v>
      </c>
      <c r="BB43" s="1">
        <f t="shared" si="22"/>
        <v>0.38018939632056115</v>
      </c>
      <c r="BC43" s="1">
        <f t="shared" si="16"/>
        <v>2.656570671814336E-14</v>
      </c>
      <c r="BD43" s="1">
        <f t="shared" si="17"/>
        <v>2.6565706718143356E-17</v>
      </c>
      <c r="BE43" s="1">
        <f t="shared" si="18"/>
        <v>1</v>
      </c>
      <c r="BF43" s="1">
        <f t="shared" si="19"/>
        <v>-6.4397729074850742</v>
      </c>
      <c r="BG43" s="1">
        <f t="shared" si="23"/>
        <v>-7.7642489445371607</v>
      </c>
    </row>
    <row r="44" spans="1:59" ht="15" customHeight="1" x14ac:dyDescent="0.3">
      <c r="A44" s="2">
        <v>4.3</v>
      </c>
      <c r="B44" s="1">
        <f t="shared" si="24"/>
        <v>5.0118723362727238E-5</v>
      </c>
      <c r="C44" s="1">
        <f t="shared" si="25"/>
        <v>2.0152149381185678E-10</v>
      </c>
      <c r="D44" s="1">
        <f t="shared" si="26"/>
        <v>8.5376581124830906E-3</v>
      </c>
      <c r="E44" s="1">
        <f t="shared" si="27"/>
        <v>1.9103903145861513E-3</v>
      </c>
      <c r="F44" s="1">
        <f t="shared" si="28"/>
        <v>0.53080581957024775</v>
      </c>
      <c r="G44" s="1">
        <f t="shared" si="29"/>
        <v>0.52803525001607743</v>
      </c>
      <c r="H44" s="1">
        <f t="shared" si="37"/>
        <v>5.2803525001607738</v>
      </c>
      <c r="J44" s="2">
        <v>6.6</v>
      </c>
      <c r="K44" s="1">
        <v>2.511886431509578E-7</v>
      </c>
      <c r="L44" s="1">
        <v>4.0208824225903253E-8</v>
      </c>
      <c r="M44" s="1">
        <v>2.3040038682175078E-6</v>
      </c>
      <c r="N44" s="1">
        <v>3.3329493326886305E-3</v>
      </c>
      <c r="O44" s="1">
        <v>0.99987442145037719</v>
      </c>
      <c r="P44" s="1">
        <v>0.99986176295289397</v>
      </c>
      <c r="Q44" s="2">
        <v>9.9986176295289386</v>
      </c>
      <c r="S44" s="2">
        <v>4.3</v>
      </c>
      <c r="T44" s="1">
        <f t="shared" si="30"/>
        <v>5.0118723362727238E-5</v>
      </c>
      <c r="U44" s="1">
        <f t="shared" si="31"/>
        <v>2.0152149381185678E-10</v>
      </c>
      <c r="V44" s="1">
        <f t="shared" si="32"/>
        <v>2.5640706305326957E-2</v>
      </c>
      <c r="W44" s="1">
        <f t="shared" si="33"/>
        <v>2.4786431231557684E-2</v>
      </c>
      <c r="X44" s="1">
        <f t="shared" si="34"/>
        <v>0.65842832287001651</v>
      </c>
      <c r="Y44" s="1">
        <f t="shared" si="35"/>
        <v>0.65909467234208496</v>
      </c>
      <c r="Z44" s="1">
        <f t="shared" si="36"/>
        <v>32.954733617104246</v>
      </c>
      <c r="AB44">
        <v>5.7</v>
      </c>
      <c r="AC44">
        <v>1.9952623149688749E-6</v>
      </c>
      <c r="AD44">
        <v>5.0619910596354619E-9</v>
      </c>
      <c r="AE44">
        <v>8.9674265460949532E-2</v>
      </c>
      <c r="AF44">
        <v>3.4419115130168228E-3</v>
      </c>
      <c r="AG44">
        <v>7.1271427733757012E-2</v>
      </c>
      <c r="AH44">
        <v>7.1292039164193285E-2</v>
      </c>
      <c r="AI44">
        <v>3.5646019582096642</v>
      </c>
      <c r="AJ44" s="25"/>
      <c r="AK44" s="2">
        <v>0.43</v>
      </c>
      <c r="AL44" s="1">
        <f t="shared" si="38"/>
        <v>0.37153522909717251</v>
      </c>
      <c r="AM44" s="1">
        <f t="shared" si="11"/>
        <v>2.7184501519661848E-14</v>
      </c>
      <c r="AN44" s="1">
        <f t="shared" si="12"/>
        <v>3.3807045344536317E-2</v>
      </c>
      <c r="AO44" s="1">
        <f t="shared" si="13"/>
        <v>5.6415560280908039E-9</v>
      </c>
      <c r="AP44" s="1">
        <f t="shared" si="14"/>
        <v>6.8289313544636352</v>
      </c>
      <c r="AQ44" s="1">
        <f t="shared" si="15"/>
        <v>68.289313544636343</v>
      </c>
      <c r="AR44" s="25"/>
      <c r="BA44" s="2">
        <v>0.43</v>
      </c>
      <c r="BB44" s="1">
        <f t="shared" si="22"/>
        <v>0.37153522909717251</v>
      </c>
      <c r="BC44" s="1">
        <f t="shared" si="16"/>
        <v>2.7184501519661848E-14</v>
      </c>
      <c r="BD44" s="1">
        <f t="shared" si="17"/>
        <v>2.7184501519661847E-17</v>
      </c>
      <c r="BE44" s="1">
        <f t="shared" si="18"/>
        <v>1</v>
      </c>
      <c r="BF44" s="1">
        <f t="shared" si="19"/>
        <v>-6.6637650132319877</v>
      </c>
      <c r="BG44" s="1">
        <f t="shared" si="23"/>
        <v>-7.5032657815389463</v>
      </c>
    </row>
    <row r="45" spans="1:59" ht="15" customHeight="1" x14ac:dyDescent="0.3">
      <c r="A45" s="2">
        <v>4.4000000000000004</v>
      </c>
      <c r="B45" s="1">
        <f t="shared" si="24"/>
        <v>3.9810717055349634E-5</v>
      </c>
      <c r="C45" s="1">
        <f t="shared" si="25"/>
        <v>2.5370052958246817E-10</v>
      </c>
      <c r="D45" s="1">
        <f t="shared" si="26"/>
        <v>7.4253090439224401E-3</v>
      </c>
      <c r="E45" s="1">
        <f t="shared" si="27"/>
        <v>2.0957818260129266E-3</v>
      </c>
      <c r="F45" s="1">
        <f t="shared" si="28"/>
        <v>0.58749952057119337</v>
      </c>
      <c r="G45" s="1">
        <f t="shared" si="29"/>
        <v>0.58527599631741389</v>
      </c>
      <c r="H45" s="1">
        <f t="shared" si="37"/>
        <v>5.8527599631741385</v>
      </c>
      <c r="J45" s="2">
        <v>6.7</v>
      </c>
      <c r="K45" s="1">
        <v>1.9952623149688761E-7</v>
      </c>
      <c r="L45" s="1">
        <v>5.0619910596354589E-8</v>
      </c>
      <c r="M45" s="1">
        <v>1.8114891722295606E-6</v>
      </c>
      <c r="N45" s="1">
        <v>3.3330314184712947E-3</v>
      </c>
      <c r="O45" s="1">
        <v>0.99990024683593792</v>
      </c>
      <c r="P45" s="1">
        <v>0.99989131261852637</v>
      </c>
      <c r="Q45" s="2">
        <v>9.9989131261852631</v>
      </c>
      <c r="S45" s="2">
        <v>4.4000000000000004</v>
      </c>
      <c r="T45" s="1">
        <f t="shared" si="30"/>
        <v>3.9810717055349634E-5</v>
      </c>
      <c r="U45" s="1">
        <f t="shared" si="31"/>
        <v>2.5370052958246817E-10</v>
      </c>
      <c r="V45" s="1">
        <f t="shared" si="32"/>
        <v>3.0286851674350405E-2</v>
      </c>
      <c r="W45" s="1">
        <f t="shared" si="33"/>
        <v>2.3237716108549862E-2</v>
      </c>
      <c r="X45" s="1">
        <f t="shared" si="34"/>
        <v>0.60492756858836705</v>
      </c>
      <c r="Y45" s="1">
        <f t="shared" si="35"/>
        <v>0.60544618868845568</v>
      </c>
      <c r="Z45" s="1">
        <f t="shared" si="36"/>
        <v>30.272309434422787</v>
      </c>
      <c r="AB45">
        <v>5.8</v>
      </c>
      <c r="AC45">
        <v>1.5848931924611111E-6</v>
      </c>
      <c r="AD45">
        <v>6.3726691792499607E-9</v>
      </c>
      <c r="AE45">
        <v>9.1620099148829154E-2</v>
      </c>
      <c r="AF45">
        <v>2.7933002837236195E-3</v>
      </c>
      <c r="AG45">
        <v>5.7455114341144482E-2</v>
      </c>
      <c r="AH45">
        <v>5.7471353144929502E-2</v>
      </c>
      <c r="AI45">
        <v>2.873567657246475</v>
      </c>
      <c r="AJ45" s="25"/>
      <c r="AK45" s="2">
        <v>0.44</v>
      </c>
      <c r="AL45" s="1">
        <f t="shared" si="38"/>
        <v>0.36307805477010135</v>
      </c>
      <c r="AM45" s="1">
        <f t="shared" si="11"/>
        <v>2.7817709903715479E-14</v>
      </c>
      <c r="AN45" s="1">
        <f t="shared" si="12"/>
        <v>3.4567291971372156E-2</v>
      </c>
      <c r="AO45" s="1">
        <f t="shared" si="13"/>
        <v>5.9027861201418955E-9</v>
      </c>
      <c r="AP45" s="1">
        <f t="shared" si="14"/>
        <v>6.8874370576302058</v>
      </c>
      <c r="AQ45" s="1">
        <f t="shared" si="15"/>
        <v>68.874370576302056</v>
      </c>
      <c r="AR45" s="25"/>
      <c r="BA45" s="2">
        <v>0.44</v>
      </c>
      <c r="BB45" s="1">
        <f t="shared" si="22"/>
        <v>0.36307805477010135</v>
      </c>
      <c r="BC45" s="1">
        <f t="shared" si="16"/>
        <v>2.7817709903715479E-14</v>
      </c>
      <c r="BD45" s="1">
        <f t="shared" si="17"/>
        <v>2.7817709903715472E-17</v>
      </c>
      <c r="BE45" s="1">
        <f t="shared" si="18"/>
        <v>1</v>
      </c>
      <c r="BF45" s="1">
        <f t="shared" si="19"/>
        <v>-6.9056263341375601</v>
      </c>
      <c r="BG45" s="1">
        <f t="shared" si="23"/>
        <v>-7.2404728522346948</v>
      </c>
    </row>
    <row r="46" spans="1:59" ht="15" customHeight="1" x14ac:dyDescent="0.3">
      <c r="A46" s="2">
        <v>4.5</v>
      </c>
      <c r="B46" s="1">
        <f t="shared" si="24"/>
        <v>3.1622776601683748E-5</v>
      </c>
      <c r="C46" s="1">
        <f t="shared" si="25"/>
        <v>3.1939004367700672E-10</v>
      </c>
      <c r="D46" s="1">
        <f t="shared" si="26"/>
        <v>6.3795845709120379E-3</v>
      </c>
      <c r="E46" s="1">
        <f t="shared" si="27"/>
        <v>2.2700692381813271E-3</v>
      </c>
      <c r="F46" s="1">
        <f t="shared" si="28"/>
        <v>0.64196351362123161</v>
      </c>
      <c r="G46" s="1">
        <f t="shared" si="29"/>
        <v>0.6401799501298423</v>
      </c>
      <c r="H46" s="1">
        <f t="shared" si="37"/>
        <v>6.4017995012984228</v>
      </c>
      <c r="J46" s="2">
        <v>6.8</v>
      </c>
      <c r="K46" s="1">
        <v>1.5848931924611122E-7</v>
      </c>
      <c r="L46" s="1">
        <v>6.3726691792499566E-8</v>
      </c>
      <c r="M46" s="1">
        <v>1.4154209934765355E-6</v>
      </c>
      <c r="N46" s="1">
        <v>3.3330974298344204E-3</v>
      </c>
      <c r="O46" s="1">
        <v>0.99992076161959531</v>
      </c>
      <c r="P46" s="1">
        <v>0.99991507594242435</v>
      </c>
      <c r="Q46" s="2">
        <v>9.9991507594242428</v>
      </c>
      <c r="S46" s="2">
        <v>4.5</v>
      </c>
      <c r="T46" s="1">
        <f t="shared" si="30"/>
        <v>3.1622776601683748E-5</v>
      </c>
      <c r="U46" s="1">
        <f t="shared" si="31"/>
        <v>3.1939004367700672E-10</v>
      </c>
      <c r="V46" s="1">
        <f t="shared" si="32"/>
        <v>3.5368642685135482E-2</v>
      </c>
      <c r="W46" s="1">
        <f t="shared" si="33"/>
        <v>2.1543785771621506E-2</v>
      </c>
      <c r="X46" s="1">
        <f t="shared" si="34"/>
        <v>0.54878953196364588</v>
      </c>
      <c r="Y46" s="1">
        <f t="shared" si="35"/>
        <v>0.5491925906317533</v>
      </c>
      <c r="Z46" s="1">
        <f t="shared" si="36"/>
        <v>27.459629531587666</v>
      </c>
      <c r="AB46">
        <v>5.9</v>
      </c>
      <c r="AC46">
        <v>1.2589254117941642E-6</v>
      </c>
      <c r="AD46">
        <v>8.0227151707152622E-9</v>
      </c>
      <c r="AE46">
        <v>9.322693164026008E-2</v>
      </c>
      <c r="AF46">
        <v>2.257689453246644E-3</v>
      </c>
      <c r="AG46">
        <v>4.6183970672940132E-2</v>
      </c>
      <c r="AH46">
        <v>4.6196768638218692E-2</v>
      </c>
      <c r="AI46">
        <v>2.3098384319109346</v>
      </c>
      <c r="AJ46" s="25"/>
      <c r="AK46" s="2">
        <v>0.45</v>
      </c>
      <c r="AL46" s="1">
        <f t="shared" si="38"/>
        <v>0.35481338923357542</v>
      </c>
      <c r="AM46" s="1">
        <f t="shared" si="11"/>
        <v>2.8465667605770986E-14</v>
      </c>
      <c r="AN46" s="1">
        <f t="shared" si="12"/>
        <v>3.5344009490248511E-2</v>
      </c>
      <c r="AO46" s="1">
        <f t="shared" si="13"/>
        <v>6.1760030903254473E-9</v>
      </c>
      <c r="AP46" s="1">
        <f t="shared" si="14"/>
        <v>6.9483497288313343</v>
      </c>
      <c r="AQ46" s="1">
        <f t="shared" si="15"/>
        <v>69.483497288313345</v>
      </c>
      <c r="AR46" s="25"/>
      <c r="BA46" s="2">
        <v>0.45</v>
      </c>
      <c r="BB46" s="1">
        <f t="shared" si="22"/>
        <v>0.35481338923357542</v>
      </c>
      <c r="BC46" s="1">
        <f t="shared" si="16"/>
        <v>2.8465667605770986E-14</v>
      </c>
      <c r="BD46" s="1">
        <f t="shared" si="17"/>
        <v>2.8465667605770982E-17</v>
      </c>
      <c r="BE46" s="1">
        <f t="shared" si="18"/>
        <v>1</v>
      </c>
      <c r="BF46" s="1">
        <f t="shared" si="19"/>
        <v>-7.1675116988308014</v>
      </c>
      <c r="BG46" s="1">
        <f t="shared" si="23"/>
        <v>-6.9759216449072881</v>
      </c>
    </row>
    <row r="47" spans="1:59" ht="15" customHeight="1" x14ac:dyDescent="0.3">
      <c r="A47" s="2">
        <v>4.5999999999999996</v>
      </c>
      <c r="B47" s="1">
        <f t="shared" si="24"/>
        <v>2.5118864315095791E-5</v>
      </c>
      <c r="C47" s="1">
        <f t="shared" si="25"/>
        <v>4.0208824225903234E-10</v>
      </c>
      <c r="D47" s="1">
        <f t="shared" si="26"/>
        <v>5.4191674284225959E-3</v>
      </c>
      <c r="E47" s="1">
        <f t="shared" si="27"/>
        <v>2.4301387619295668E-3</v>
      </c>
      <c r="F47" s="1">
        <f t="shared" si="28"/>
        <v>0.69299421929935912</v>
      </c>
      <c r="G47" s="1">
        <f t="shared" si="29"/>
        <v>0.69156458579875824</v>
      </c>
      <c r="H47" s="1">
        <f t="shared" si="37"/>
        <v>6.9156458579875819</v>
      </c>
      <c r="J47" s="2">
        <v>6.9</v>
      </c>
      <c r="K47" s="1">
        <v>1.2589254117941651E-7</v>
      </c>
      <c r="L47" s="1">
        <v>8.0227151707152563E-8</v>
      </c>
      <c r="M47" s="1">
        <v>1.0947153502265196E-6</v>
      </c>
      <c r="N47" s="1">
        <v>3.3331508807749621E-3</v>
      </c>
      <c r="O47" s="1">
        <v>0.99993705769139385</v>
      </c>
      <c r="P47" s="1">
        <v>0.99993431779801956</v>
      </c>
      <c r="Q47" s="2">
        <v>9.9993431779801956</v>
      </c>
      <c r="S47" s="2">
        <v>4.5999999999999996</v>
      </c>
      <c r="T47" s="1">
        <f t="shared" si="30"/>
        <v>2.5118864315095791E-5</v>
      </c>
      <c r="U47" s="1">
        <f t="shared" si="31"/>
        <v>4.0208824225903234E-10</v>
      </c>
      <c r="V47" s="1">
        <f t="shared" si="32"/>
        <v>4.0799991567339898E-2</v>
      </c>
      <c r="W47" s="1">
        <f t="shared" si="33"/>
        <v>1.9733336144220036E-2</v>
      </c>
      <c r="X47" s="1">
        <f t="shared" si="34"/>
        <v>0.49138150175370776</v>
      </c>
      <c r="Y47" s="1">
        <f t="shared" si="35"/>
        <v>0.49169443941699453</v>
      </c>
      <c r="Z47" s="1">
        <f t="shared" si="36"/>
        <v>24.584721970849728</v>
      </c>
      <c r="AB47">
        <v>6</v>
      </c>
      <c r="AC47">
        <v>9.9999999999999995E-7</v>
      </c>
      <c r="AD47">
        <v>1.0099999999999999E-8</v>
      </c>
      <c r="AE47">
        <v>9.454399669272727E-2</v>
      </c>
      <c r="AF47">
        <v>1.8186677690909092E-3</v>
      </c>
      <c r="AG47">
        <v>3.7037037037037035E-2</v>
      </c>
      <c r="AH47">
        <v>3.7047119401754515E-2</v>
      </c>
      <c r="AI47">
        <v>1.8523559700877259</v>
      </c>
      <c r="AJ47" s="25"/>
      <c r="AK47" s="2">
        <v>0.46</v>
      </c>
      <c r="AL47" s="1">
        <f t="shared" si="38"/>
        <v>0.34673685045253166</v>
      </c>
      <c r="AM47" s="1">
        <f t="shared" si="11"/>
        <v>2.9128718181578717E-14</v>
      </c>
      <c r="AN47" s="1">
        <f t="shared" si="12"/>
        <v>3.6137526360293312E-2</v>
      </c>
      <c r="AO47" s="1">
        <f t="shared" si="13"/>
        <v>6.4617493970255517E-9</v>
      </c>
      <c r="AP47" s="1">
        <f t="shared" si="14"/>
        <v>7.0118042568885617</v>
      </c>
      <c r="AQ47" s="1">
        <f t="shared" si="15"/>
        <v>70.118042568885627</v>
      </c>
      <c r="AR47" s="25"/>
      <c r="BA47" s="2">
        <v>0.46</v>
      </c>
      <c r="BB47" s="1">
        <f t="shared" si="22"/>
        <v>0.34673685045253166</v>
      </c>
      <c r="BC47" s="1">
        <f t="shared" si="16"/>
        <v>2.9128718181578717E-14</v>
      </c>
      <c r="BD47" s="1">
        <f t="shared" si="17"/>
        <v>2.9128718181578714E-17</v>
      </c>
      <c r="BE47" s="1">
        <f t="shared" si="18"/>
        <v>1</v>
      </c>
      <c r="BF47" s="1">
        <f t="shared" si="19"/>
        <v>-7.45193656217225</v>
      </c>
      <c r="BG47" s="1">
        <f t="shared" si="23"/>
        <v>-6.709665277320199</v>
      </c>
    </row>
    <row r="48" spans="1:59" ht="15" customHeight="1" x14ac:dyDescent="0.3">
      <c r="A48" s="2">
        <v>4.7</v>
      </c>
      <c r="B48" s="1">
        <f t="shared" si="24"/>
        <v>1.9952623149688769E-5</v>
      </c>
      <c r="C48" s="1">
        <f t="shared" si="25"/>
        <v>5.0619910596354569E-10</v>
      </c>
      <c r="D48" s="1">
        <f t="shared" si="26"/>
        <v>4.5559242032572047E-3</v>
      </c>
      <c r="E48" s="1">
        <f t="shared" si="27"/>
        <v>2.5740126327904659E-3</v>
      </c>
      <c r="F48" s="1">
        <f t="shared" si="28"/>
        <v>0.73970071303724483</v>
      </c>
      <c r="G48" s="1">
        <f t="shared" si="29"/>
        <v>0.73855574968279369</v>
      </c>
      <c r="H48" s="1">
        <f t="shared" si="37"/>
        <v>7.3855574968279365</v>
      </c>
      <c r="J48" s="2">
        <v>7</v>
      </c>
      <c r="K48" s="1">
        <v>9.9999999999999995E-8</v>
      </c>
      <c r="L48" s="1">
        <v>1.0099999999999999E-7</v>
      </c>
      <c r="M48" s="1">
        <v>8.3229860422215554E-7</v>
      </c>
      <c r="N48" s="1">
        <v>3.3331946168992962E-3</v>
      </c>
      <c r="O48" s="1">
        <v>0.99995000249987509</v>
      </c>
      <c r="P48" s="1">
        <v>0.99995006249937579</v>
      </c>
      <c r="Q48" s="2">
        <v>9.9995006249937575</v>
      </c>
      <c r="S48" s="2">
        <v>4.7</v>
      </c>
      <c r="T48" s="1">
        <f t="shared" si="30"/>
        <v>1.9952623149688769E-5</v>
      </c>
      <c r="U48" s="1">
        <f t="shared" si="31"/>
        <v>5.0619910596354569E-10</v>
      </c>
      <c r="V48" s="1">
        <f t="shared" si="32"/>
        <v>4.646297546399026E-2</v>
      </c>
      <c r="W48" s="1">
        <f t="shared" si="33"/>
        <v>1.7845674845336577E-2</v>
      </c>
      <c r="X48" s="1">
        <f t="shared" si="34"/>
        <v>0.43419987330633825</v>
      </c>
      <c r="Y48" s="1">
        <f t="shared" si="35"/>
        <v>0.4344427347371031</v>
      </c>
      <c r="Z48" s="1">
        <f t="shared" si="36"/>
        <v>21.722136736855155</v>
      </c>
      <c r="AB48">
        <v>6.1</v>
      </c>
      <c r="AC48">
        <v>7.9432823472428114E-7</v>
      </c>
      <c r="AD48">
        <v>1.2715146659121094E-8</v>
      </c>
      <c r="AE48">
        <v>9.5616987553978489E-2</v>
      </c>
      <c r="AF48">
        <v>1.4610041486738364E-3</v>
      </c>
      <c r="AG48">
        <v>2.9645387179174226E-2</v>
      </c>
      <c r="AH48">
        <v>2.9653319197166825E-2</v>
      </c>
      <c r="AI48">
        <v>1.4826659598583414</v>
      </c>
      <c r="AJ48" s="25"/>
      <c r="AK48" s="2">
        <v>0.47</v>
      </c>
      <c r="AL48" s="1">
        <f t="shared" si="38"/>
        <v>0.33884415613920255</v>
      </c>
      <c r="AM48" s="1">
        <f t="shared" si="11"/>
        <v>2.9807213189330497E-14</v>
      </c>
      <c r="AN48" s="1">
        <f t="shared" si="12"/>
        <v>3.6948176302718037E-2</v>
      </c>
      <c r="AO48" s="1">
        <f t="shared" si="13"/>
        <v>6.7605915264108221E-9</v>
      </c>
      <c r="AP48" s="1">
        <f t="shared" si="14"/>
        <v>7.0779456740336428</v>
      </c>
      <c r="AQ48" s="1">
        <f t="shared" si="15"/>
        <v>70.779456740336428</v>
      </c>
      <c r="AR48" s="25"/>
      <c r="BA48" s="2">
        <v>0.47</v>
      </c>
      <c r="BB48" s="1">
        <f t="shared" si="22"/>
        <v>0.33884415613920255</v>
      </c>
      <c r="BC48" s="1">
        <f t="shared" si="16"/>
        <v>2.9807213189330497E-14</v>
      </c>
      <c r="BD48" s="1">
        <f t="shared" si="17"/>
        <v>2.9807213189330492E-17</v>
      </c>
      <c r="BE48" s="1">
        <f t="shared" si="18"/>
        <v>1</v>
      </c>
      <c r="BF48" s="1">
        <f t="shared" si="19"/>
        <v>-7.7618557542897726</v>
      </c>
      <c r="BG48" s="1">
        <f t="shared" si="23"/>
        <v>-6.4417584638011753</v>
      </c>
    </row>
    <row r="49" spans="1:59" ht="15" customHeight="1" x14ac:dyDescent="0.3">
      <c r="A49" s="2">
        <v>4.8</v>
      </c>
      <c r="B49" s="1">
        <f t="shared" si="24"/>
        <v>1.5848931924611131E-5</v>
      </c>
      <c r="C49" s="1">
        <f t="shared" si="25"/>
        <v>6.3726691792499525E-10</v>
      </c>
      <c r="D49" s="1">
        <f t="shared" si="26"/>
        <v>3.7949984987127221E-3</v>
      </c>
      <c r="E49" s="1">
        <f t="shared" si="27"/>
        <v>2.7008335835478799E-3</v>
      </c>
      <c r="F49" s="1">
        <f t="shared" si="28"/>
        <v>0.78154148511682475</v>
      </c>
      <c r="G49" s="1">
        <f t="shared" si="29"/>
        <v>0.78062535457757409</v>
      </c>
      <c r="H49" s="1">
        <f t="shared" si="37"/>
        <v>7.8062535457757409</v>
      </c>
      <c r="J49" s="2">
        <v>7.1</v>
      </c>
      <c r="K49" s="1">
        <v>7.943282347242818E-8</v>
      </c>
      <c r="L49" s="1">
        <v>1.2715146659121083E-7</v>
      </c>
      <c r="M49" s="1">
        <v>6.1419932911013894E-7</v>
      </c>
      <c r="N49" s="1">
        <v>3.3332309667784819E-3</v>
      </c>
      <c r="O49" s="1">
        <v>0.99996028516559454</v>
      </c>
      <c r="P49" s="1">
        <v>0.99996314826659649</v>
      </c>
      <c r="Q49" s="2">
        <v>9.9996314826659649</v>
      </c>
      <c r="S49" s="2">
        <v>4.8</v>
      </c>
      <c r="T49" s="1">
        <f t="shared" si="30"/>
        <v>1.5848931924611131E-5</v>
      </c>
      <c r="U49" s="1">
        <f t="shared" si="31"/>
        <v>6.3726691792499525E-10</v>
      </c>
      <c r="V49" s="1">
        <f t="shared" si="32"/>
        <v>5.2216751498430268E-2</v>
      </c>
      <c r="W49" s="1">
        <f t="shared" si="33"/>
        <v>1.5927749500523246E-2</v>
      </c>
      <c r="X49" s="1">
        <f t="shared" si="34"/>
        <v>0.3787177162170407</v>
      </c>
      <c r="Y49" s="1">
        <f t="shared" si="35"/>
        <v>0.37890622425106546</v>
      </c>
      <c r="Z49" s="1">
        <f t="shared" si="36"/>
        <v>18.945311212553271</v>
      </c>
      <c r="AB49">
        <v>6.2</v>
      </c>
      <c r="AC49">
        <v>6.3095734448019254E-7</v>
      </c>
      <c r="AD49">
        <v>1.6007421243857263E-8</v>
      </c>
      <c r="AE49">
        <v>9.6486801940299308E-2</v>
      </c>
      <c r="AF49">
        <v>1.1710660199002352E-3</v>
      </c>
      <c r="AG49">
        <v>2.3692627205194008E-2</v>
      </c>
      <c r="AH49">
        <v>2.3698849572454998E-2</v>
      </c>
      <c r="AI49">
        <v>1.1849424786227498</v>
      </c>
      <c r="AJ49" s="25"/>
      <c r="AK49" s="2">
        <v>0.48</v>
      </c>
      <c r="AL49" s="1">
        <f t="shared" si="38"/>
        <v>0.33113112148259105</v>
      </c>
      <c r="AM49" s="1">
        <f t="shared" si="11"/>
        <v>3.0501512376060364E-14</v>
      </c>
      <c r="AN49" s="1">
        <f t="shared" si="12"/>
        <v>3.7776298325018158E-2</v>
      </c>
      <c r="AO49" s="1">
        <f t="shared" si="13"/>
        <v>7.0731210212576215E-9</v>
      </c>
      <c r="AP49" s="1">
        <f t="shared" si="14"/>
        <v>7.1469301302651074</v>
      </c>
      <c r="AQ49" s="1">
        <f t="shared" si="15"/>
        <v>71.469301302651076</v>
      </c>
      <c r="AR49" s="25"/>
      <c r="BA49" s="2">
        <v>0.48</v>
      </c>
      <c r="BB49" s="1">
        <f t="shared" si="22"/>
        <v>0.33113112148259105</v>
      </c>
      <c r="BC49" s="1">
        <f t="shared" si="16"/>
        <v>3.0501512376060364E-14</v>
      </c>
      <c r="BD49" s="1">
        <f t="shared" si="17"/>
        <v>3.0501512376060364E-17</v>
      </c>
      <c r="BE49" s="1">
        <f t="shared" si="18"/>
        <v>1</v>
      </c>
      <c r="BF49" s="1">
        <f t="shared" si="19"/>
        <v>-8.1007638076701269</v>
      </c>
      <c r="BG49" s="1">
        <f t="shared" si="23"/>
        <v>-6.1722574793080627</v>
      </c>
    </row>
    <row r="50" spans="1:59" ht="15" customHeight="1" x14ac:dyDescent="0.3">
      <c r="A50" s="2">
        <v>4.9000000000000004</v>
      </c>
      <c r="B50" s="1">
        <f t="shared" si="24"/>
        <v>1.2589254117941658E-5</v>
      </c>
      <c r="C50" s="1">
        <f t="shared" si="25"/>
        <v>8.0227151707152515E-10</v>
      </c>
      <c r="D50" s="1">
        <f t="shared" si="26"/>
        <v>3.1357325384124934E-3</v>
      </c>
      <c r="E50" s="1">
        <f t="shared" si="27"/>
        <v>2.8107112435979175E-3</v>
      </c>
      <c r="F50" s="1">
        <f t="shared" si="28"/>
        <v>0.81830870777577303</v>
      </c>
      <c r="G50" s="1">
        <f t="shared" si="29"/>
        <v>0.81757636497643904</v>
      </c>
      <c r="H50" s="1">
        <f t="shared" si="37"/>
        <v>8.1757636497643897</v>
      </c>
      <c r="J50" s="2">
        <v>7.2</v>
      </c>
      <c r="K50" s="1">
        <v>6.3095734448019177E-8</v>
      </c>
      <c r="L50" s="1">
        <v>1.6007421243857284E-7</v>
      </c>
      <c r="M50" s="1">
        <v>4.2880497637863662E-7</v>
      </c>
      <c r="N50" s="1">
        <v>3.3332618658372701E-3</v>
      </c>
      <c r="O50" s="1">
        <v>0.99996845312801252</v>
      </c>
      <c r="P50" s="1">
        <v>0.99997427181174114</v>
      </c>
      <c r="Q50" s="2">
        <v>9.9997427181174103</v>
      </c>
      <c r="S50" s="2">
        <v>4.9000000000000004</v>
      </c>
      <c r="T50" s="1">
        <f t="shared" si="30"/>
        <v>1.2589254117941658E-5</v>
      </c>
      <c r="U50" s="1">
        <f t="shared" si="31"/>
        <v>8.0227151707152515E-10</v>
      </c>
      <c r="V50" s="1">
        <f t="shared" si="32"/>
        <v>5.7911019800269442E-2</v>
      </c>
      <c r="W50" s="1">
        <f t="shared" si="33"/>
        <v>1.4029660066576853E-2</v>
      </c>
      <c r="X50" s="1">
        <f t="shared" si="34"/>
        <v>0.32623730117883831</v>
      </c>
      <c r="Y50" s="1">
        <f t="shared" si="35"/>
        <v>0.32638372902658408</v>
      </c>
      <c r="Z50" s="1">
        <f t="shared" si="36"/>
        <v>16.319186451329205</v>
      </c>
      <c r="AB50">
        <v>6.3</v>
      </c>
      <c r="AC50">
        <v>5.0118723362727218E-7</v>
      </c>
      <c r="AD50">
        <v>2.0152149381185686E-8</v>
      </c>
      <c r="AE50">
        <v>9.7189076590237469E-2</v>
      </c>
      <c r="AF50">
        <v>9.3697446992084164E-4</v>
      </c>
      <c r="AG50">
        <v>1.8911878521099514E-2</v>
      </c>
      <c r="AH50">
        <v>1.8916734370006533E-2</v>
      </c>
      <c r="AI50">
        <v>0.94583671850032669</v>
      </c>
      <c r="AJ50" s="25"/>
      <c r="AK50" s="2">
        <v>0.49</v>
      </c>
      <c r="AL50" s="1">
        <f t="shared" si="38"/>
        <v>0.32359365692962827</v>
      </c>
      <c r="AM50" s="1">
        <f t="shared" si="11"/>
        <v>3.1211983868387263E-14</v>
      </c>
      <c r="AN50" s="1">
        <f t="shared" si="12"/>
        <v>3.8622236742026569E-2</v>
      </c>
      <c r="AO50" s="1">
        <f t="shared" si="13"/>
        <v>7.3999555514352841E-9</v>
      </c>
      <c r="AP50" s="1">
        <f t="shared" si="14"/>
        <v>7.2189259823324292</v>
      </c>
      <c r="AQ50" s="1">
        <f t="shared" si="15"/>
        <v>72.189259823324292</v>
      </c>
      <c r="AR50" s="25"/>
      <c r="BA50" s="2">
        <v>0.49</v>
      </c>
      <c r="BB50" s="1">
        <f t="shared" si="22"/>
        <v>0.32359365692962827</v>
      </c>
      <c r="BC50" s="1">
        <f t="shared" si="16"/>
        <v>3.1211983868387263E-14</v>
      </c>
      <c r="BD50" s="1">
        <f t="shared" si="17"/>
        <v>3.1211983868387259E-17</v>
      </c>
      <c r="BE50" s="1">
        <f t="shared" si="18"/>
        <v>1</v>
      </c>
      <c r="BF50" s="1">
        <f t="shared" si="19"/>
        <v>-8.47282409044427</v>
      </c>
      <c r="BG50" s="1">
        <f t="shared" si="23"/>
        <v>-5.9012201205015531</v>
      </c>
    </row>
    <row r="51" spans="1:59" ht="15" customHeight="1" x14ac:dyDescent="0.3">
      <c r="A51" s="2">
        <v>5</v>
      </c>
      <c r="B51" s="1">
        <f t="shared" si="24"/>
        <v>1.0000000000000001E-5</v>
      </c>
      <c r="C51" s="1">
        <f t="shared" si="25"/>
        <v>1.0099999999999998E-9</v>
      </c>
      <c r="D51" s="1">
        <f t="shared" si="26"/>
        <v>2.573043556632498E-3</v>
      </c>
      <c r="E51" s="1">
        <f t="shared" si="27"/>
        <v>2.9044927405612502E-3</v>
      </c>
      <c r="F51" s="1">
        <f t="shared" si="28"/>
        <v>0.8500749625187406</v>
      </c>
      <c r="G51" s="1">
        <f t="shared" si="29"/>
        <v>0.84949007259133114</v>
      </c>
      <c r="H51" s="1">
        <f t="shared" si="37"/>
        <v>8.4949007259133111</v>
      </c>
      <c r="J51" s="2">
        <v>7.3</v>
      </c>
      <c r="K51" s="1">
        <v>5.0118723362727164E-8</v>
      </c>
      <c r="L51" s="1">
        <v>2.0152149381185708E-7</v>
      </c>
      <c r="M51" s="1">
        <v>2.6624390359901456E-7</v>
      </c>
      <c r="N51" s="1">
        <v>3.3332889593494001E-3</v>
      </c>
      <c r="O51" s="1">
        <v>0.9999749412662744</v>
      </c>
      <c r="P51" s="1">
        <v>0.99998402540831544</v>
      </c>
      <c r="Q51" s="2">
        <v>9.9998402540831535</v>
      </c>
      <c r="S51" s="2">
        <v>5</v>
      </c>
      <c r="T51" s="1">
        <f t="shared" si="30"/>
        <v>1.0000000000000001E-5</v>
      </c>
      <c r="U51" s="1">
        <f t="shared" si="31"/>
        <v>1.0099999999999998E-9</v>
      </c>
      <c r="V51" s="1">
        <f t="shared" si="32"/>
        <v>6.3401464744878053E-2</v>
      </c>
      <c r="W51" s="1">
        <f t="shared" si="33"/>
        <v>1.2199511751707316E-2</v>
      </c>
      <c r="X51" s="1">
        <f t="shared" si="34"/>
        <v>0.27777777777777779</v>
      </c>
      <c r="Y51" s="1">
        <f t="shared" si="35"/>
        <v>0.27789166085746775</v>
      </c>
      <c r="Z51" s="1">
        <f t="shared" si="36"/>
        <v>13.894583042873387</v>
      </c>
      <c r="AB51">
        <v>6.4</v>
      </c>
      <c r="AC51">
        <v>3.9810717055349618E-7</v>
      </c>
      <c r="AD51">
        <v>2.5370052958246826E-8</v>
      </c>
      <c r="AE51">
        <v>9.7754240181388688E-2</v>
      </c>
      <c r="AF51">
        <v>7.4858660620377422E-4</v>
      </c>
      <c r="AG51">
        <v>1.5080898337952651E-2</v>
      </c>
      <c r="AH51">
        <v>1.5084653822180532E-2</v>
      </c>
      <c r="AI51">
        <v>0.75423269110902658</v>
      </c>
      <c r="AJ51" s="25"/>
      <c r="AK51" s="2">
        <v>0.5</v>
      </c>
      <c r="AL51" s="1">
        <f t="shared" si="38"/>
        <v>0.31622776601683794</v>
      </c>
      <c r="AM51" s="1">
        <f t="shared" si="11"/>
        <v>3.193900436770063E-14</v>
      </c>
      <c r="AN51" s="1">
        <f t="shared" si="12"/>
        <v>3.9486341193629794E-2</v>
      </c>
      <c r="AO51" s="1">
        <f t="shared" si="13"/>
        <v>7.7417400275809187E-9</v>
      </c>
      <c r="AP51" s="1">
        <f t="shared" si="14"/>
        <v>7.2941150133962633</v>
      </c>
      <c r="AQ51" s="1">
        <f t="shared" si="15"/>
        <v>72.941150133962623</v>
      </c>
      <c r="AR51" s="25"/>
      <c r="BA51" s="2">
        <v>0.5</v>
      </c>
      <c r="BB51" s="1">
        <f t="shared" si="22"/>
        <v>0.31622776601683794</v>
      </c>
      <c r="BC51" s="1">
        <f t="shared" si="16"/>
        <v>3.193900436770063E-14</v>
      </c>
      <c r="BD51" s="1">
        <f t="shared" si="17"/>
        <v>3.1939004367700622E-17</v>
      </c>
      <c r="BE51" s="1">
        <f t="shared" si="18"/>
        <v>1</v>
      </c>
      <c r="BF51" s="1">
        <f t="shared" si="19"/>
        <v>-8.8830368802263955</v>
      </c>
      <c r="BG51" s="1">
        <f t="shared" si="23"/>
        <v>-5.6287056638591464</v>
      </c>
    </row>
    <row r="52" spans="1:59" ht="15" customHeight="1" x14ac:dyDescent="0.3">
      <c r="A52" s="2">
        <v>5.0999999999999996</v>
      </c>
      <c r="B52" s="1">
        <f t="shared" si="24"/>
        <v>7.9432823472428065E-6</v>
      </c>
      <c r="C52" s="1">
        <f t="shared" si="25"/>
        <v>1.2715146659121102E-9</v>
      </c>
      <c r="D52" s="1">
        <f t="shared" si="26"/>
        <v>2.0989054328347185E-3</v>
      </c>
      <c r="E52" s="1">
        <f t="shared" si="27"/>
        <v>2.9835157611942131E-3</v>
      </c>
      <c r="F52" s="1">
        <f t="shared" si="28"/>
        <v>0.8771213023408363</v>
      </c>
      <c r="G52" s="1">
        <f t="shared" si="29"/>
        <v>0.87665457779767442</v>
      </c>
      <c r="H52" s="1">
        <f t="shared" si="37"/>
        <v>8.7665457779767433</v>
      </c>
      <c r="J52" s="2">
        <v>7.4</v>
      </c>
      <c r="K52" s="1">
        <v>3.981071705534957E-8</v>
      </c>
      <c r="L52" s="1">
        <v>2.5370052958246857E-7</v>
      </c>
      <c r="M52" s="1">
        <v>1.1785995034585723E-7</v>
      </c>
      <c r="N52" s="1">
        <v>3.3333136900082759E-3</v>
      </c>
      <c r="O52" s="1">
        <v>0.9999800950376877</v>
      </c>
      <c r="P52" s="1">
        <v>0.99999292841131393</v>
      </c>
      <c r="Q52" s="2">
        <v>9.9999292841131382</v>
      </c>
      <c r="S52" s="2">
        <v>5.0999999999999996</v>
      </c>
      <c r="T52" s="1">
        <f t="shared" si="30"/>
        <v>7.9432823472428065E-6</v>
      </c>
      <c r="U52" s="1">
        <f t="shared" si="31"/>
        <v>1.2715146659121102E-9</v>
      </c>
      <c r="V52" s="1">
        <f t="shared" si="32"/>
        <v>6.8563916044702702E-2</v>
      </c>
      <c r="W52" s="1">
        <f t="shared" si="33"/>
        <v>1.0478694651765768E-2</v>
      </c>
      <c r="X52" s="1">
        <f t="shared" si="34"/>
        <v>0.23401632953414228</v>
      </c>
      <c r="Y52" s="1">
        <f t="shared" si="35"/>
        <v>0.23410504596652318</v>
      </c>
      <c r="Z52" s="1">
        <f t="shared" si="36"/>
        <v>11.70525229832616</v>
      </c>
      <c r="AB52">
        <v>6.5</v>
      </c>
      <c r="AC52">
        <v>3.1622776601683734E-7</v>
      </c>
      <c r="AD52">
        <v>3.1939004367700689E-8</v>
      </c>
      <c r="AE52">
        <v>9.8207872828596776E-2</v>
      </c>
      <c r="AF52">
        <v>5.9737572380107119E-4</v>
      </c>
      <c r="AG52">
        <v>1.2016454973276774E-2</v>
      </c>
      <c r="AH52">
        <v>1.2019314945674075E-2</v>
      </c>
      <c r="AI52">
        <v>0.60096574728370378</v>
      </c>
      <c r="AJ52" s="25"/>
      <c r="AK52" s="2">
        <v>0.51</v>
      </c>
      <c r="AL52" s="1">
        <f t="shared" si="38"/>
        <v>0.30902954325135895</v>
      </c>
      <c r="AM52" s="1">
        <f t="shared" si="11"/>
        <v>3.2682959349892461E-14</v>
      </c>
      <c r="AN52" s="1">
        <f t="shared" si="12"/>
        <v>4.0368966658950227E-2</v>
      </c>
      <c r="AO52" s="1">
        <f t="shared" si="13"/>
        <v>8.0991477595367657E-9</v>
      </c>
      <c r="AP52" s="1">
        <f t="shared" si="14"/>
        <v>7.3726938020333108</v>
      </c>
      <c r="AQ52" s="1">
        <f t="shared" si="15"/>
        <v>73.726938020333108</v>
      </c>
      <c r="AR52" s="25"/>
      <c r="BA52" s="2">
        <v>0.51</v>
      </c>
      <c r="BB52" s="1">
        <f t="shared" si="22"/>
        <v>0.30902954325135895</v>
      </c>
      <c r="BC52" s="1">
        <f t="shared" si="16"/>
        <v>3.2682959349892461E-14</v>
      </c>
      <c r="BD52" s="1">
        <f t="shared" si="17"/>
        <v>3.2682959349892461E-17</v>
      </c>
      <c r="BE52" s="1">
        <f t="shared" si="18"/>
        <v>1</v>
      </c>
      <c r="BF52" s="1">
        <f t="shared" si="19"/>
        <v>-9.3374608032237969</v>
      </c>
      <c r="BG52" s="1">
        <f t="shared" si="23"/>
        <v>-5.3547748208739243</v>
      </c>
    </row>
    <row r="53" spans="1:59" ht="15" customHeight="1" x14ac:dyDescent="0.3">
      <c r="A53" s="2">
        <v>5.2</v>
      </c>
      <c r="B53" s="1">
        <f t="shared" si="24"/>
        <v>6.3095734448019212E-6</v>
      </c>
      <c r="C53" s="1">
        <f t="shared" si="25"/>
        <v>1.6007421243857275E-9</v>
      </c>
      <c r="D53" s="1">
        <f t="shared" si="26"/>
        <v>1.7036873008186807E-3</v>
      </c>
      <c r="E53" s="1">
        <f t="shared" si="27"/>
        <v>3.049385449863553E-3</v>
      </c>
      <c r="F53" s="1">
        <f t="shared" si="28"/>
        <v>0.89986325728217675</v>
      </c>
      <c r="G53" s="1">
        <f t="shared" si="29"/>
        <v>0.89949111899279388</v>
      </c>
      <c r="H53" s="1">
        <f t="shared" si="37"/>
        <v>8.9949111899279384</v>
      </c>
      <c r="J53" s="2">
        <v>7.5</v>
      </c>
      <c r="K53" s="1">
        <v>3.1622776601683699E-8</v>
      </c>
      <c r="L53" s="1">
        <v>3.1939004367700723E-7</v>
      </c>
      <c r="M53" s="1">
        <v>-2.4248359224898042E-8</v>
      </c>
      <c r="N53" s="1">
        <v>3.3333373747265371E-3</v>
      </c>
      <c r="O53" s="1">
        <v>0.99998418886169516</v>
      </c>
      <c r="P53" s="1">
        <v>1.0000014549019063</v>
      </c>
      <c r="Q53" s="2">
        <v>10.000014549019062</v>
      </c>
      <c r="S53" s="2">
        <v>5.2</v>
      </c>
      <c r="T53" s="1">
        <f t="shared" si="30"/>
        <v>6.3095734448019212E-6</v>
      </c>
      <c r="U53" s="1">
        <f t="shared" si="31"/>
        <v>1.6007421243857275E-9</v>
      </c>
      <c r="V53" s="1">
        <f t="shared" si="32"/>
        <v>7.3304418178766026E-2</v>
      </c>
      <c r="W53" s="1">
        <f t="shared" si="33"/>
        <v>8.8985272737446604E-3</v>
      </c>
      <c r="X53" s="1">
        <f t="shared" si="34"/>
        <v>0.19528495031298621</v>
      </c>
      <c r="Y53" s="1">
        <f t="shared" si="35"/>
        <v>0.19535419148454916</v>
      </c>
      <c r="Z53" s="1">
        <f t="shared" si="36"/>
        <v>9.7677095742274584</v>
      </c>
      <c r="AB53">
        <v>6.6</v>
      </c>
      <c r="AC53">
        <v>2.511886431509578E-7</v>
      </c>
      <c r="AD53">
        <v>4.0208824225903253E-8</v>
      </c>
      <c r="AE53">
        <v>9.8571220598448958E-2</v>
      </c>
      <c r="AF53">
        <v>4.7625980051701231E-4</v>
      </c>
      <c r="AG53">
        <v>9.5686578830971886E-3</v>
      </c>
      <c r="AH53">
        <v>9.5707777774912527E-3</v>
      </c>
      <c r="AI53">
        <v>0.47853888887456264</v>
      </c>
      <c r="AJ53" s="25"/>
      <c r="AK53" s="2">
        <v>0.52</v>
      </c>
      <c r="AL53" s="1">
        <f t="shared" si="38"/>
        <v>0.30199517204020154</v>
      </c>
      <c r="AM53" s="1">
        <f t="shared" si="11"/>
        <v>3.3444243269741704E-14</v>
      </c>
      <c r="AN53" s="1">
        <f t="shared" si="12"/>
        <v>4.1270473466791427E-2</v>
      </c>
      <c r="AO53" s="1">
        <f t="shared" si="13"/>
        <v>8.4728816611692216E-9</v>
      </c>
      <c r="AP53" s="1">
        <f t="shared" si="14"/>
        <v>7.4548752623658592</v>
      </c>
      <c r="AQ53" s="1">
        <f t="shared" si="15"/>
        <v>74.548752623658586</v>
      </c>
      <c r="AR53" s="25"/>
      <c r="BA53" s="2">
        <v>0.52</v>
      </c>
      <c r="BB53" s="1">
        <f t="shared" si="22"/>
        <v>0.30199517204020154</v>
      </c>
      <c r="BC53" s="1">
        <f t="shared" si="16"/>
        <v>3.3444243269741704E-14</v>
      </c>
      <c r="BD53" s="1">
        <f t="shared" si="17"/>
        <v>3.344424326974171E-17</v>
      </c>
      <c r="BE53" s="1">
        <f t="shared" si="18"/>
        <v>1</v>
      </c>
      <c r="BF53" s="1">
        <f t="shared" si="19"/>
        <v>-9.8435085112160117</v>
      </c>
      <c r="BG53" s="1">
        <f t="shared" si="23"/>
        <v>-5.0794896903912239</v>
      </c>
    </row>
    <row r="54" spans="1:59" ht="15" customHeight="1" x14ac:dyDescent="0.3">
      <c r="A54" s="2">
        <v>5.3</v>
      </c>
      <c r="B54" s="1">
        <f t="shared" si="24"/>
        <v>5.011872336272719E-6</v>
      </c>
      <c r="C54" s="1">
        <f t="shared" si="25"/>
        <v>2.0152149381185696E-9</v>
      </c>
      <c r="D54" s="1">
        <f t="shared" si="26"/>
        <v>1.3772192923139168E-3</v>
      </c>
      <c r="E54" s="1">
        <f t="shared" si="27"/>
        <v>3.1037967846143473E-3</v>
      </c>
      <c r="F54" s="1">
        <f t="shared" si="28"/>
        <v>0.91878592973224593</v>
      </c>
      <c r="G54" s="1">
        <f t="shared" si="29"/>
        <v>0.91848942186846905</v>
      </c>
      <c r="H54" s="1">
        <f t="shared" si="37"/>
        <v>9.1848942186846898</v>
      </c>
      <c r="J54" s="2">
        <v>7.6</v>
      </c>
      <c r="K54" s="1">
        <v>2.5118864315095751E-8</v>
      </c>
      <c r="L54" s="1">
        <v>4.02088242259033E-7</v>
      </c>
      <c r="M54" s="1">
        <v>-1.6764848853204084E-7</v>
      </c>
      <c r="N54" s="1">
        <v>3.3333612747480884E-3</v>
      </c>
      <c r="O54" s="1">
        <v>0.99998744072557988</v>
      </c>
      <c r="P54" s="1">
        <v>1.0000100589261756</v>
      </c>
      <c r="Q54" s="2">
        <v>10.000100589261756</v>
      </c>
      <c r="S54" s="2">
        <v>5.3</v>
      </c>
      <c r="T54" s="1">
        <f t="shared" si="30"/>
        <v>5.011872336272719E-6</v>
      </c>
      <c r="U54" s="1">
        <f t="shared" si="31"/>
        <v>2.0152149381185696E-9</v>
      </c>
      <c r="V54" s="1">
        <f t="shared" si="32"/>
        <v>7.7563750985802385E-2</v>
      </c>
      <c r="W54" s="1">
        <f t="shared" si="33"/>
        <v>7.4787496713992034E-3</v>
      </c>
      <c r="X54" s="1">
        <f t="shared" si="34"/>
        <v>0.16161140746122038</v>
      </c>
      <c r="Y54" s="1">
        <f t="shared" si="35"/>
        <v>0.1616655556391097</v>
      </c>
      <c r="Z54" s="1">
        <f t="shared" si="36"/>
        <v>8.0832777819554842</v>
      </c>
      <c r="AB54">
        <v>6.7</v>
      </c>
      <c r="AC54">
        <v>1.9952623149688761E-7</v>
      </c>
      <c r="AD54">
        <v>5.0619910596354589E-8</v>
      </c>
      <c r="AE54">
        <v>9.8861764428617188E-2</v>
      </c>
      <c r="AF54">
        <v>3.79411857127606E-4</v>
      </c>
      <c r="AG54">
        <v>7.6156427308604752E-3</v>
      </c>
      <c r="AH54">
        <v>7.6171374652690589E-3</v>
      </c>
      <c r="AI54">
        <v>0.38085687326345297</v>
      </c>
      <c r="AJ54" s="25"/>
      <c r="AK54" s="2">
        <v>0.53</v>
      </c>
      <c r="AL54" s="1">
        <f t="shared" si="38"/>
        <v>0.29512092266663847</v>
      </c>
      <c r="AM54" s="1">
        <f t="shared" si="11"/>
        <v>3.4223259770059464E-14</v>
      </c>
      <c r="AN54" s="1">
        <f t="shared" si="12"/>
        <v>4.2191227302136661E-2</v>
      </c>
      <c r="AO54" s="1">
        <f t="shared" si="13"/>
        <v>8.8636755032352655E-9</v>
      </c>
      <c r="AP54" s="1">
        <f t="shared" si="14"/>
        <v>7.5408903808033623</v>
      </c>
      <c r="AQ54" s="1">
        <f t="shared" si="15"/>
        <v>75.408903808033614</v>
      </c>
      <c r="AR54" s="25"/>
      <c r="BA54" s="2">
        <v>0.53</v>
      </c>
      <c r="BB54" s="1">
        <f t="shared" si="22"/>
        <v>0.29512092266663847</v>
      </c>
      <c r="BC54" s="1">
        <f t="shared" si="16"/>
        <v>3.4223259770059464E-14</v>
      </c>
      <c r="BD54" s="1">
        <f t="shared" si="17"/>
        <v>3.4223259770059461E-17</v>
      </c>
      <c r="BE54" s="1">
        <f t="shared" si="18"/>
        <v>1</v>
      </c>
      <c r="BF54" s="1">
        <f t="shared" si="19"/>
        <v>-10.410347351275961</v>
      </c>
      <c r="BG54" s="1">
        <f t="shared" si="23"/>
        <v>-4.8029137081455469</v>
      </c>
    </row>
    <row r="55" spans="1:59" ht="15" customHeight="1" x14ac:dyDescent="0.3">
      <c r="A55" s="2">
        <v>5.4</v>
      </c>
      <c r="B55" s="1">
        <f t="shared" si="24"/>
        <v>3.9810717055349657E-6</v>
      </c>
      <c r="C55" s="1">
        <f t="shared" si="25"/>
        <v>2.53700529582468E-9</v>
      </c>
      <c r="D55" s="1">
        <f t="shared" si="26"/>
        <v>1.1095522229485509E-3</v>
      </c>
      <c r="E55" s="1">
        <f t="shared" si="27"/>
        <v>3.148407962841908E-3</v>
      </c>
      <c r="F55" s="1">
        <f t="shared" si="28"/>
        <v>0.93439351689677175</v>
      </c>
      <c r="G55" s="1">
        <f t="shared" si="29"/>
        <v>0.93415742438447569</v>
      </c>
      <c r="H55" s="1">
        <f t="shared" si="37"/>
        <v>9.3415742438447555</v>
      </c>
      <c r="J55" s="2">
        <v>7.7</v>
      </c>
      <c r="K55" s="1">
        <v>1.9952623149688773E-8</v>
      </c>
      <c r="L55" s="1">
        <v>5.0619910596354556E-7</v>
      </c>
      <c r="M55" s="1">
        <v>-3.1997681402292131E-7</v>
      </c>
      <c r="N55" s="1">
        <v>3.3333866628023371E-3</v>
      </c>
      <c r="O55" s="1">
        <v>0.99999002378795099</v>
      </c>
      <c r="P55" s="1">
        <v>1.0000191986702727</v>
      </c>
      <c r="Q55" s="2">
        <v>10.000191986702726</v>
      </c>
      <c r="S55" s="2">
        <v>5.4</v>
      </c>
      <c r="T55" s="1">
        <f t="shared" si="30"/>
        <v>3.9810717055349657E-6</v>
      </c>
      <c r="U55" s="1">
        <f t="shared" si="31"/>
        <v>2.53700529582468E-9</v>
      </c>
      <c r="V55" s="1">
        <f t="shared" si="32"/>
        <v>8.1316557954048754E-2</v>
      </c>
      <c r="W55" s="1">
        <f t="shared" si="33"/>
        <v>6.2278140153170869E-3</v>
      </c>
      <c r="X55" s="1">
        <f t="shared" si="34"/>
        <v>0.13278617070916776</v>
      </c>
      <c r="Y55" s="1">
        <f t="shared" si="35"/>
        <v>0.1328285983721092</v>
      </c>
      <c r="Z55" s="1">
        <f t="shared" si="36"/>
        <v>6.6414299186054588</v>
      </c>
      <c r="AB55">
        <v>6.8</v>
      </c>
      <c r="AC55">
        <v>1.5848931924611122E-7</v>
      </c>
      <c r="AD55">
        <v>6.3726691792499566E-8</v>
      </c>
      <c r="AE55">
        <v>9.9093781643764187E-2</v>
      </c>
      <c r="AF55">
        <v>3.02072785411944E-4</v>
      </c>
      <c r="AG55">
        <v>6.0588100983913745E-3</v>
      </c>
      <c r="AH55">
        <v>6.0597605958600895E-3</v>
      </c>
      <c r="AI55">
        <v>0.30298802979300449</v>
      </c>
      <c r="AJ55" s="25"/>
      <c r="AK55" s="2">
        <v>0.54</v>
      </c>
      <c r="AL55" s="1">
        <f t="shared" si="38"/>
        <v>0.28840315031266056</v>
      </c>
      <c r="AM55" s="1">
        <f t="shared" si="11"/>
        <v>3.5020421895705695E-14</v>
      </c>
      <c r="AN55" s="1">
        <f t="shared" si="12"/>
        <v>4.3131599208484084E-2</v>
      </c>
      <c r="AO55" s="1">
        <f t="shared" si="13"/>
        <v>9.2722952160090204E-9</v>
      </c>
      <c r="AP55" s="1">
        <f t="shared" si="14"/>
        <v>7.6309901793158872</v>
      </c>
      <c r="AQ55" s="1">
        <f t="shared" si="15"/>
        <v>76.309901793158872</v>
      </c>
      <c r="AR55" s="25"/>
      <c r="BA55" s="2">
        <v>0.54</v>
      </c>
      <c r="BB55" s="1">
        <f t="shared" si="22"/>
        <v>0.28840315031266056</v>
      </c>
      <c r="BC55" s="1">
        <f t="shared" si="16"/>
        <v>3.5020421895705695E-14</v>
      </c>
      <c r="BD55" s="1">
        <f t="shared" si="17"/>
        <v>3.5020421895705692E-17</v>
      </c>
      <c r="BE55" s="1">
        <f t="shared" si="18"/>
        <v>1</v>
      </c>
      <c r="BF55" s="1">
        <f t="shared" si="19"/>
        <v>-11.049451260174674</v>
      </c>
      <c r="BG55" s="1">
        <f t="shared" si="23"/>
        <v>-4.525111593569723</v>
      </c>
    </row>
    <row r="56" spans="1:59" ht="15" customHeight="1" x14ac:dyDescent="0.3">
      <c r="A56" s="2">
        <v>5.5</v>
      </c>
      <c r="B56" s="1">
        <f t="shared" si="24"/>
        <v>3.1622776601683767E-6</v>
      </c>
      <c r="C56" s="1">
        <f t="shared" si="25"/>
        <v>3.1939004367700655E-9</v>
      </c>
      <c r="D56" s="1">
        <f t="shared" si="26"/>
        <v>8.9143897117054539E-4</v>
      </c>
      <c r="E56" s="1">
        <f t="shared" si="27"/>
        <v>3.1847601714715757E-3</v>
      </c>
      <c r="F56" s="1">
        <f t="shared" si="28"/>
        <v>0.94717411726095213</v>
      </c>
      <c r="G56" s="1">
        <f t="shared" si="29"/>
        <v>0.94698624698423006</v>
      </c>
      <c r="H56" s="1">
        <f t="shared" si="37"/>
        <v>9.4698624698422993</v>
      </c>
      <c r="J56" s="2">
        <v>7.8</v>
      </c>
      <c r="K56" s="1">
        <v>1.5848931924611133E-8</v>
      </c>
      <c r="L56" s="1">
        <v>6.3726691792499521E-7</v>
      </c>
      <c r="M56" s="1">
        <v>-4.8934524620172707E-7</v>
      </c>
      <c r="N56" s="1">
        <v>3.3334148908743672E-3</v>
      </c>
      <c r="O56" s="1">
        <v>0.99999207559683434</v>
      </c>
      <c r="P56" s="1">
        <v>1.0000293608584481</v>
      </c>
      <c r="Q56" s="2">
        <v>10.00029360858448</v>
      </c>
      <c r="S56" s="2">
        <v>5.5</v>
      </c>
      <c r="T56" s="1">
        <f t="shared" si="30"/>
        <v>3.1622776601683767E-6</v>
      </c>
      <c r="U56" s="1">
        <f t="shared" si="31"/>
        <v>3.1939004367700655E-9</v>
      </c>
      <c r="V56" s="1">
        <f t="shared" si="32"/>
        <v>8.4566457072449197E-2</v>
      </c>
      <c r="W56" s="1">
        <f t="shared" si="33"/>
        <v>5.1445143091836008E-3</v>
      </c>
      <c r="X56" s="1">
        <f t="shared" si="34"/>
        <v>0.10843726601257929</v>
      </c>
      <c r="Y56" s="1">
        <f t="shared" si="35"/>
        <v>0.10847057018826008</v>
      </c>
      <c r="Z56" s="1">
        <f t="shared" si="36"/>
        <v>5.4235285094130044</v>
      </c>
      <c r="AB56">
        <v>6.9</v>
      </c>
      <c r="AC56">
        <v>1.2589254117941651E-7</v>
      </c>
      <c r="AD56">
        <v>8.0227151707152563E-8</v>
      </c>
      <c r="AE56">
        <v>9.9278865669217356E-2</v>
      </c>
      <c r="AF56">
        <v>2.4037811026088291E-4</v>
      </c>
      <c r="AG56">
        <v>4.8186886239766063E-3</v>
      </c>
      <c r="AH56">
        <v>4.8191463782123103E-3</v>
      </c>
      <c r="AI56">
        <v>0.24095731891061553</v>
      </c>
      <c r="AJ56" s="25"/>
      <c r="AK56" s="2">
        <v>0.55000000000000004</v>
      </c>
      <c r="AL56" s="1">
        <f t="shared" si="38"/>
        <v>0.28183829312644532</v>
      </c>
      <c r="AM56" s="1">
        <f t="shared" si="11"/>
        <v>3.5836152312591126E-14</v>
      </c>
      <c r="AN56" s="1">
        <f t="shared" si="12"/>
        <v>4.4091965585795714E-2</v>
      </c>
      <c r="AO56" s="1">
        <f t="shared" si="13"/>
        <v>9.6995402434291376E-9</v>
      </c>
      <c r="AP56" s="1">
        <f t="shared" si="14"/>
        <v>7.7254479404785776</v>
      </c>
      <c r="AQ56" s="1">
        <f t="shared" si="15"/>
        <v>77.254479404785769</v>
      </c>
      <c r="AR56" s="25"/>
      <c r="BA56" s="2">
        <v>0.55000000000000004</v>
      </c>
      <c r="BB56" s="1">
        <f t="shared" si="22"/>
        <v>0.28183829312644532</v>
      </c>
      <c r="BC56" s="1">
        <f t="shared" si="16"/>
        <v>3.5836152312591126E-14</v>
      </c>
      <c r="BD56" s="1">
        <f t="shared" si="17"/>
        <v>3.5836152312591131E-17</v>
      </c>
      <c r="BE56" s="1">
        <f t="shared" si="18"/>
        <v>1</v>
      </c>
      <c r="BF56" s="1">
        <f t="shared" si="19"/>
        <v>-11.775374942929227</v>
      </c>
      <c r="BG56" s="1">
        <f t="shared" si="23"/>
        <v>-4.2461492939571785</v>
      </c>
    </row>
    <row r="57" spans="1:59" ht="15" customHeight="1" x14ac:dyDescent="0.3">
      <c r="A57" s="2">
        <v>5.6</v>
      </c>
      <c r="B57" s="1">
        <f t="shared" si="24"/>
        <v>2.5118864315095806E-6</v>
      </c>
      <c r="C57" s="1">
        <f t="shared" si="25"/>
        <v>4.0208824225903214E-9</v>
      </c>
      <c r="D57" s="1">
        <f t="shared" si="26"/>
        <v>7.1459355263630198E-4</v>
      </c>
      <c r="E57" s="1">
        <f t="shared" si="27"/>
        <v>3.2142344078939494E-3</v>
      </c>
      <c r="F57" s="1">
        <f t="shared" si="28"/>
        <v>0.95757800362575718</v>
      </c>
      <c r="G57" s="1">
        <f t="shared" si="29"/>
        <v>0.9574285993263032</v>
      </c>
      <c r="H57" s="1">
        <f t="shared" si="37"/>
        <v>9.5742859932630306</v>
      </c>
      <c r="J57" s="2">
        <v>7.9</v>
      </c>
      <c r="K57" s="1">
        <v>1.2589254117941638E-8</v>
      </c>
      <c r="L57" s="1">
        <v>8.0227151707152647E-7</v>
      </c>
      <c r="M57" s="1">
        <v>-6.847731907359425E-7</v>
      </c>
      <c r="N57" s="1">
        <v>3.3334474621984564E-3</v>
      </c>
      <c r="O57" s="1">
        <v>0.99999370541256316</v>
      </c>
      <c r="P57" s="1">
        <v>1.0000410866727947</v>
      </c>
      <c r="Q57" s="2">
        <v>10.000410866727947</v>
      </c>
      <c r="S57" s="2">
        <v>5.6</v>
      </c>
      <c r="T57" s="1">
        <f t="shared" si="30"/>
        <v>2.5118864315095806E-6</v>
      </c>
      <c r="U57" s="1">
        <f t="shared" si="31"/>
        <v>4.0208824225903214E-9</v>
      </c>
      <c r="V57" s="1">
        <f t="shared" si="32"/>
        <v>8.7339009086016633E-2</v>
      </c>
      <c r="W57" s="1">
        <f t="shared" si="33"/>
        <v>4.2203303046611197E-3</v>
      </c>
      <c r="X57" s="1">
        <f t="shared" si="34"/>
        <v>8.8099622504584557E-2</v>
      </c>
      <c r="Y57" s="1">
        <f t="shared" si="35"/>
        <v>8.812580619844218E-2</v>
      </c>
      <c r="Z57" s="1">
        <f t="shared" si="36"/>
        <v>4.4062903099221087</v>
      </c>
      <c r="AB57">
        <v>7</v>
      </c>
      <c r="AC57">
        <v>9.9999999999999995E-8</v>
      </c>
      <c r="AD57">
        <v>1.0099999999999999E-7</v>
      </c>
      <c r="AE57">
        <v>9.9426387730401536E-2</v>
      </c>
      <c r="AF57">
        <v>1.912040898661568E-4</v>
      </c>
      <c r="AG57">
        <v>3.831417624521073E-3</v>
      </c>
      <c r="AH57">
        <v>3.8314076053640352E-3</v>
      </c>
      <c r="AI57">
        <v>0.19157038026820175</v>
      </c>
      <c r="AJ57" s="25"/>
      <c r="AK57" s="2">
        <v>0.56000000000000005</v>
      </c>
      <c r="AL57" s="1">
        <f t="shared" si="38"/>
        <v>0.27542287033381663</v>
      </c>
      <c r="AM57" s="1">
        <f t="shared" si="11"/>
        <v>3.6670883531780238E-14</v>
      </c>
      <c r="AN57" s="1">
        <f t="shared" si="12"/>
        <v>4.5072708183830204E-2</v>
      </c>
      <c r="AO57" s="1">
        <f t="shared" si="13"/>
        <v>1.0146244950575408E-8</v>
      </c>
      <c r="AP57" s="1">
        <f t="shared" si="14"/>
        <v>7.8245617359332114</v>
      </c>
      <c r="AQ57" s="1">
        <f t="shared" si="15"/>
        <v>78.245617359332101</v>
      </c>
      <c r="AR57" s="25"/>
      <c r="BA57" s="2">
        <v>0.56000000000000005</v>
      </c>
      <c r="BB57" s="1">
        <f t="shared" si="22"/>
        <v>0.27542287033381663</v>
      </c>
      <c r="BC57" s="1">
        <f t="shared" si="16"/>
        <v>3.6670883531780238E-14</v>
      </c>
      <c r="BD57" s="1">
        <f t="shared" si="17"/>
        <v>3.6670883531780231E-17</v>
      </c>
      <c r="BE57" s="1">
        <f t="shared" si="18"/>
        <v>1</v>
      </c>
      <c r="BF57" s="1">
        <f t="shared" si="19"/>
        <v>-12.606862301310498</v>
      </c>
      <c r="BG57" s="1">
        <f t="shared" si="23"/>
        <v>-3.9660939260677446</v>
      </c>
    </row>
    <row r="58" spans="1:59" ht="15" customHeight="1" x14ac:dyDescent="0.3">
      <c r="A58" s="2">
        <v>5.7</v>
      </c>
      <c r="B58" s="1">
        <f t="shared" si="24"/>
        <v>1.9952623149688749E-6</v>
      </c>
      <c r="C58" s="1">
        <f t="shared" si="25"/>
        <v>5.0619910596354619E-9</v>
      </c>
      <c r="D58" s="1">
        <f t="shared" si="26"/>
        <v>5.7178945822130743E-4</v>
      </c>
      <c r="E58" s="1">
        <f t="shared" si="27"/>
        <v>3.2380350902964489E-3</v>
      </c>
      <c r="F58" s="1">
        <f t="shared" si="28"/>
        <v>0.9660064162544848</v>
      </c>
      <c r="G58" s="1">
        <f t="shared" si="29"/>
        <v>0.96588768313849083</v>
      </c>
      <c r="H58" s="1">
        <f t="shared" si="37"/>
        <v>9.6588768313849069</v>
      </c>
      <c r="J58" s="2">
        <v>8</v>
      </c>
      <c r="K58" s="1">
        <v>1E-8</v>
      </c>
      <c r="L58" s="1">
        <v>1.0099999999999999E-6</v>
      </c>
      <c r="M58" s="1">
        <v>-9.1666784721546759E-7</v>
      </c>
      <c r="N58" s="1">
        <v>3.3334861113078693E-3</v>
      </c>
      <c r="O58" s="1">
        <v>0.99999500002499986</v>
      </c>
      <c r="P58" s="1">
        <v>1.0000550005750055</v>
      </c>
      <c r="Q58" s="2">
        <v>10.000550005750055</v>
      </c>
      <c r="S58" s="2">
        <v>5.7</v>
      </c>
      <c r="T58" s="1">
        <f t="shared" si="30"/>
        <v>1.9952623149688749E-6</v>
      </c>
      <c r="U58" s="1">
        <f t="shared" si="31"/>
        <v>5.0619910596354619E-9</v>
      </c>
      <c r="V58" s="1">
        <f t="shared" si="32"/>
        <v>8.9674265460949532E-2</v>
      </c>
      <c r="W58" s="1">
        <f t="shared" si="33"/>
        <v>3.4419115130168228E-3</v>
      </c>
      <c r="X58" s="1">
        <f t="shared" si="34"/>
        <v>7.1271427733757012E-2</v>
      </c>
      <c r="Y58" s="1">
        <f t="shared" si="35"/>
        <v>7.1292039164193285E-2</v>
      </c>
      <c r="Z58" s="1">
        <f t="shared" si="36"/>
        <v>3.5646019582096642</v>
      </c>
      <c r="AB58">
        <v>7.1</v>
      </c>
      <c r="AC58">
        <v>7.943282347242818E-8</v>
      </c>
      <c r="AD58">
        <v>1.2715146659121083E-7</v>
      </c>
      <c r="AE58">
        <v>9.9543895679722841E-2</v>
      </c>
      <c r="AF58">
        <v>1.5203477342572283E-4</v>
      </c>
      <c r="AG58">
        <v>3.0458033351452251E-3</v>
      </c>
      <c r="AH58">
        <v>3.0453254221200522E-3</v>
      </c>
      <c r="AI58">
        <v>0.15226627110600263</v>
      </c>
      <c r="AJ58" s="25"/>
      <c r="AK58" s="2">
        <v>0.56999999999999995</v>
      </c>
      <c r="AL58" s="1">
        <f t="shared" si="38"/>
        <v>0.26915348039269155</v>
      </c>
      <c r="AM58" s="1">
        <f t="shared" si="11"/>
        <v>3.7525058138814426E-14</v>
      </c>
      <c r="AN58" s="1">
        <f t="shared" si="12"/>
        <v>4.6074214090623317E-2</v>
      </c>
      <c r="AO58" s="1">
        <f t="shared" si="13"/>
        <v>1.0613280086331784E-8</v>
      </c>
      <c r="AP58" s="1">
        <f t="shared" si="14"/>
        <v>7.9286573076612603</v>
      </c>
      <c r="AQ58" s="1">
        <f t="shared" si="15"/>
        <v>79.286573076612598</v>
      </c>
      <c r="AR58" s="25"/>
      <c r="BA58" s="2">
        <v>0.56999999999999995</v>
      </c>
      <c r="BB58" s="1">
        <f t="shared" si="22"/>
        <v>0.26915348039269155</v>
      </c>
      <c r="BC58" s="1">
        <f t="shared" si="16"/>
        <v>3.7525058138814426E-14</v>
      </c>
      <c r="BD58" s="1">
        <f t="shared" si="17"/>
        <v>3.7525058138814433E-17</v>
      </c>
      <c r="BE58" s="1">
        <f t="shared" si="18"/>
        <v>1</v>
      </c>
      <c r="BF58" s="1">
        <f t="shared" si="19"/>
        <v>-13.568470530443211</v>
      </c>
      <c r="BG58" s="1">
        <f t="shared" si="23"/>
        <v>-3.6850137152758928</v>
      </c>
    </row>
    <row r="59" spans="1:59" ht="15" customHeight="1" x14ac:dyDescent="0.3">
      <c r="A59" s="2">
        <v>5.8</v>
      </c>
      <c r="B59" s="1">
        <f t="shared" si="24"/>
        <v>1.5848931924611111E-6</v>
      </c>
      <c r="C59" s="1">
        <f t="shared" si="25"/>
        <v>6.3726691792499607E-9</v>
      </c>
      <c r="D59" s="1">
        <f t="shared" si="26"/>
        <v>4.5685195439248852E-4</v>
      </c>
      <c r="E59" s="1">
        <f t="shared" si="27"/>
        <v>3.2571913409345852E-3</v>
      </c>
      <c r="F59" s="1">
        <f t="shared" si="28"/>
        <v>0.97280782196464399</v>
      </c>
      <c r="G59" s="1">
        <f t="shared" si="29"/>
        <v>0.97271354145559541</v>
      </c>
      <c r="H59" s="1">
        <f t="shared" si="37"/>
        <v>9.7271354145559528</v>
      </c>
      <c r="J59" s="2">
        <v>8.1</v>
      </c>
      <c r="K59" s="1">
        <v>7.9432823472428087E-9</v>
      </c>
      <c r="L59" s="1">
        <v>1.2715146659121098E-6</v>
      </c>
      <c r="M59" s="1">
        <v>-1.1973784194907204E-6</v>
      </c>
      <c r="N59" s="1">
        <v>3.3335328964032487E-3</v>
      </c>
      <c r="O59" s="1">
        <v>0.99999602837460011</v>
      </c>
      <c r="P59" s="1">
        <v>1.0000718435654088</v>
      </c>
      <c r="Q59" s="2">
        <v>10.000718435654088</v>
      </c>
      <c r="S59" s="2">
        <v>5.8</v>
      </c>
      <c r="T59" s="1">
        <f t="shared" si="30"/>
        <v>1.5848931924611111E-6</v>
      </c>
      <c r="U59" s="1">
        <f t="shared" si="31"/>
        <v>6.3726691792499607E-9</v>
      </c>
      <c r="V59" s="1">
        <f t="shared" si="32"/>
        <v>9.1620099148829154E-2</v>
      </c>
      <c r="W59" s="1">
        <f t="shared" si="33"/>
        <v>2.7933002837236195E-3</v>
      </c>
      <c r="X59" s="1">
        <f t="shared" si="34"/>
        <v>5.7455114341144482E-2</v>
      </c>
      <c r="Y59" s="1">
        <f t="shared" si="35"/>
        <v>5.7471353144929502E-2</v>
      </c>
      <c r="Z59" s="1">
        <f t="shared" si="36"/>
        <v>2.873567657246475</v>
      </c>
      <c r="AB59">
        <v>7.2</v>
      </c>
      <c r="AC59">
        <v>6.3095734448019177E-8</v>
      </c>
      <c r="AD59">
        <v>1.6007421243857284E-7</v>
      </c>
      <c r="AE59">
        <v>9.9637451694202767E-2</v>
      </c>
      <c r="AF59">
        <v>1.2084943526574435E-4</v>
      </c>
      <c r="AG59">
        <v>2.4208841148760586E-3</v>
      </c>
      <c r="AH59">
        <v>2.4199131566986789E-3</v>
      </c>
      <c r="AI59">
        <v>0.12099565783493395</v>
      </c>
      <c r="AJ59" s="25"/>
      <c r="AK59" s="2">
        <v>0.57999999999999996</v>
      </c>
      <c r="AL59" s="1">
        <f t="shared" si="38"/>
        <v>0.2630267991895382</v>
      </c>
      <c r="AM59" s="1">
        <f t="shared" si="11"/>
        <v>3.8399129028376676E-14</v>
      </c>
      <c r="AN59" s="1">
        <f t="shared" si="12"/>
        <v>4.7096875715872566E-2</v>
      </c>
      <c r="AO59" s="1">
        <f t="shared" si="13"/>
        <v>1.1101554303141295E-8</v>
      </c>
      <c r="AP59" s="1">
        <f t="shared" si="14"/>
        <v>8.0380913608711921</v>
      </c>
      <c r="AQ59" s="1">
        <f t="shared" si="15"/>
        <v>80.380913608711921</v>
      </c>
      <c r="AR59" s="25"/>
      <c r="BA59" s="2">
        <v>0.57999999999999996</v>
      </c>
      <c r="BB59" s="1">
        <f t="shared" si="22"/>
        <v>0.2630267991895382</v>
      </c>
      <c r="BC59" s="1">
        <f t="shared" si="16"/>
        <v>3.8399129028376676E-14</v>
      </c>
      <c r="BD59" s="1">
        <f t="shared" si="17"/>
        <v>3.8399129028376677E-17</v>
      </c>
      <c r="BE59" s="1">
        <f t="shared" si="18"/>
        <v>1</v>
      </c>
      <c r="BF59" s="1">
        <f t="shared" si="19"/>
        <v>-14.693013294149321</v>
      </c>
      <c r="BG59" s="1">
        <f t="shared" si="23"/>
        <v>-3.402977932369375</v>
      </c>
    </row>
    <row r="60" spans="1:59" ht="15" customHeight="1" x14ac:dyDescent="0.3">
      <c r="A60" s="2">
        <v>5.9</v>
      </c>
      <c r="B60" s="1">
        <f t="shared" si="24"/>
        <v>1.2589254117941642E-6</v>
      </c>
      <c r="C60" s="1">
        <f t="shared" si="25"/>
        <v>8.0227151707152622E-9</v>
      </c>
      <c r="D60" s="1">
        <f t="shared" si="26"/>
        <v>3.6458731873629412E-4</v>
      </c>
      <c r="E60" s="1">
        <f t="shared" si="27"/>
        <v>3.2725687802106175E-3</v>
      </c>
      <c r="F60" s="1">
        <f t="shared" si="28"/>
        <v>0.97827900702351556</v>
      </c>
      <c r="G60" s="1">
        <f t="shared" si="29"/>
        <v>0.97820422550564901</v>
      </c>
      <c r="H60" s="1">
        <f t="shared" si="37"/>
        <v>9.7820422550564903</v>
      </c>
      <c r="J60" s="2">
        <v>8.1999999999999993</v>
      </c>
      <c r="K60" s="1">
        <v>6.3095734448019329E-9</v>
      </c>
      <c r="L60" s="1">
        <v>1.6007421243857243E-6</v>
      </c>
      <c r="M60" s="1">
        <v>-1.5418537488114903E-6</v>
      </c>
      <c r="N60" s="1">
        <v>3.3335903089581351E-3</v>
      </c>
      <c r="O60" s="1">
        <v>0.99999684522323018</v>
      </c>
      <c r="P60" s="1">
        <v>1.0000925126513385</v>
      </c>
      <c r="Q60" s="2">
        <v>10.000925126513383</v>
      </c>
      <c r="S60" s="2">
        <v>5.9</v>
      </c>
      <c r="T60" s="1">
        <f t="shared" si="30"/>
        <v>1.2589254117941642E-6</v>
      </c>
      <c r="U60" s="1">
        <f t="shared" si="31"/>
        <v>8.0227151707152622E-9</v>
      </c>
      <c r="V60" s="1">
        <f t="shared" si="32"/>
        <v>9.322693164026008E-2</v>
      </c>
      <c r="W60" s="1">
        <f t="shared" si="33"/>
        <v>2.257689453246644E-3</v>
      </c>
      <c r="X60" s="1">
        <f t="shared" si="34"/>
        <v>4.6183970672940132E-2</v>
      </c>
      <c r="Y60" s="1">
        <f t="shared" si="35"/>
        <v>4.6196768638218692E-2</v>
      </c>
      <c r="Z60" s="1">
        <f t="shared" si="36"/>
        <v>2.3098384319109346</v>
      </c>
      <c r="AB60">
        <v>7.3</v>
      </c>
      <c r="AC60">
        <v>5.0118723362727164E-8</v>
      </c>
      <c r="AD60">
        <v>2.0152149381185708E-7</v>
      </c>
      <c r="AE60">
        <v>9.9711914051375181E-2</v>
      </c>
      <c r="AF60">
        <v>9.6028649541608755E-5</v>
      </c>
      <c r="AG60">
        <v>1.9239345469001187E-3</v>
      </c>
      <c r="AH60">
        <v>1.9224190638977663E-3</v>
      </c>
      <c r="AI60">
        <v>9.6120953194888323E-2</v>
      </c>
      <c r="AJ60" s="25"/>
      <c r="AK60" s="2">
        <v>0.59</v>
      </c>
      <c r="AL60" s="1">
        <f t="shared" si="38"/>
        <v>0.25703957827688634</v>
      </c>
      <c r="AM60" s="1">
        <f t="shared" si="11"/>
        <v>3.9293559644422347E-14</v>
      </c>
      <c r="AN60" s="1">
        <f t="shared" si="12"/>
        <v>4.8141090768976769E-2</v>
      </c>
      <c r="AO60" s="1">
        <f t="shared" si="13"/>
        <v>1.1612015735807623E-8</v>
      </c>
      <c r="AP60" s="1">
        <f t="shared" si="14"/>
        <v>8.1532553387766367</v>
      </c>
      <c r="AQ60" s="1">
        <f t="shared" si="15"/>
        <v>81.532553387766356</v>
      </c>
      <c r="AR60" s="25"/>
      <c r="BA60" s="2">
        <v>0.59</v>
      </c>
      <c r="BB60" s="1">
        <f t="shared" si="22"/>
        <v>0.25703957827688634</v>
      </c>
      <c r="BC60" s="1">
        <f t="shared" si="16"/>
        <v>3.9293559644422347E-14</v>
      </c>
      <c r="BD60" s="1">
        <f t="shared" si="17"/>
        <v>3.929355964442234E-17</v>
      </c>
      <c r="BE60" s="1">
        <f t="shared" si="18"/>
        <v>1</v>
      </c>
      <c r="BF60" s="1">
        <f t="shared" si="19"/>
        <v>-16.025349137700914</v>
      </c>
      <c r="BG60" s="1">
        <f t="shared" si="23"/>
        <v>-3.1200568281143406</v>
      </c>
    </row>
    <row r="61" spans="1:59" ht="15" customHeight="1" x14ac:dyDescent="0.3">
      <c r="A61" s="2">
        <v>6</v>
      </c>
      <c r="B61" s="1">
        <f t="shared" si="24"/>
        <v>9.9999999999999995E-7</v>
      </c>
      <c r="C61" s="1">
        <f t="shared" si="25"/>
        <v>1.0099999999999999E-8</v>
      </c>
      <c r="D61" s="1">
        <f t="shared" si="26"/>
        <v>2.9067990550405218E-4</v>
      </c>
      <c r="E61" s="1">
        <f t="shared" si="27"/>
        <v>3.2848866824159908E-3</v>
      </c>
      <c r="F61" s="1">
        <f t="shared" si="28"/>
        <v>0.98266897746967075</v>
      </c>
      <c r="G61" s="1">
        <f t="shared" si="29"/>
        <v>0.98260975561570008</v>
      </c>
      <c r="H61" s="1">
        <f t="shared" si="37"/>
        <v>9.8260975561570003</v>
      </c>
      <c r="J61" s="2">
        <v>8.3000000000000007</v>
      </c>
      <c r="K61" s="1">
        <v>5.0118723362727114E-9</v>
      </c>
      <c r="L61" s="1">
        <v>2.0152149381185727E-6</v>
      </c>
      <c r="M61" s="1">
        <v>-1.9684383897697483E-6</v>
      </c>
      <c r="N61" s="1">
        <v>3.3336614063982947E-3</v>
      </c>
      <c r="O61" s="1">
        <v>0.99999749407011151</v>
      </c>
      <c r="P61" s="1">
        <v>1.0001181086282818</v>
      </c>
      <c r="Q61" s="2">
        <v>10.001181086282816</v>
      </c>
      <c r="S61" s="2">
        <v>6</v>
      </c>
      <c r="T61" s="1">
        <f t="shared" si="30"/>
        <v>9.9999999999999995E-7</v>
      </c>
      <c r="U61" s="1">
        <f t="shared" si="31"/>
        <v>1.0099999999999999E-8</v>
      </c>
      <c r="V61" s="1">
        <f t="shared" si="32"/>
        <v>9.454399669272727E-2</v>
      </c>
      <c r="W61" s="1">
        <f t="shared" si="33"/>
        <v>1.8186677690909092E-3</v>
      </c>
      <c r="X61" s="1">
        <f t="shared" si="34"/>
        <v>3.7037037037037035E-2</v>
      </c>
      <c r="Y61" s="1">
        <f t="shared" si="35"/>
        <v>3.7047119401754515E-2</v>
      </c>
      <c r="Z61" s="1">
        <f t="shared" si="36"/>
        <v>1.8523559700877259</v>
      </c>
      <c r="AB61">
        <v>7.4</v>
      </c>
      <c r="AC61">
        <v>3.981071705534957E-8</v>
      </c>
      <c r="AD61">
        <v>2.5370052958246857E-7</v>
      </c>
      <c r="AE61">
        <v>9.9771169683289807E-2</v>
      </c>
      <c r="AF61">
        <v>7.6276772236734804E-5</v>
      </c>
      <c r="AG61">
        <v>1.5288404930407066E-3</v>
      </c>
      <c r="AH61">
        <v>1.5266999621875918E-3</v>
      </c>
      <c r="AI61">
        <v>7.6334998109379604E-2</v>
      </c>
      <c r="AJ61" s="25"/>
      <c r="AK61" s="2">
        <v>0.6</v>
      </c>
      <c r="AL61" s="1">
        <f t="shared" si="38"/>
        <v>0.25118864315095801</v>
      </c>
      <c r="AM61" s="1">
        <f t="shared" si="11"/>
        <v>4.0208824225903217E-14</v>
      </c>
      <c r="AN61" s="1">
        <f t="shared" si="12"/>
        <v>4.9207262231474008E-2</v>
      </c>
      <c r="AO61" s="1">
        <f t="shared" si="13"/>
        <v>1.2145653641346772E-8</v>
      </c>
      <c r="AP61" s="1">
        <f t="shared" si="14"/>
        <v>8.2745797635972522</v>
      </c>
      <c r="AQ61" s="1">
        <f t="shared" si="15"/>
        <v>82.745797635972522</v>
      </c>
      <c r="AR61" s="25"/>
      <c r="BA61" s="2">
        <v>0.6</v>
      </c>
      <c r="BB61" s="1">
        <f t="shared" si="22"/>
        <v>0.25118864315095801</v>
      </c>
      <c r="BC61" s="1">
        <f t="shared" si="16"/>
        <v>4.0208824225903217E-14</v>
      </c>
      <c r="BD61" s="1">
        <f t="shared" si="17"/>
        <v>4.0208824225903212E-17</v>
      </c>
      <c r="BE61" s="1">
        <f t="shared" si="18"/>
        <v>1</v>
      </c>
      <c r="BF61" s="1">
        <f t="shared" si="19"/>
        <v>-17.628466604230667</v>
      </c>
      <c r="BG61" s="1">
        <f t="shared" si="23"/>
        <v>-2.8363215657112493</v>
      </c>
    </row>
    <row r="62" spans="1:59" ht="15" customHeight="1" x14ac:dyDescent="0.3">
      <c r="A62" s="2">
        <v>6.1</v>
      </c>
      <c r="B62" s="1">
        <f t="shared" si="24"/>
        <v>7.9432823472428114E-7</v>
      </c>
      <c r="C62" s="1">
        <f t="shared" si="25"/>
        <v>1.2715146659121094E-8</v>
      </c>
      <c r="D62" s="1">
        <f t="shared" si="26"/>
        <v>2.3157763119956756E-4</v>
      </c>
      <c r="E62" s="1">
        <f t="shared" si="27"/>
        <v>3.2947370614667382E-3</v>
      </c>
      <c r="F62" s="1">
        <f t="shared" si="28"/>
        <v>0.98618423313893877</v>
      </c>
      <c r="G62" s="1">
        <f t="shared" si="29"/>
        <v>0.98613744470520126</v>
      </c>
      <c r="H62" s="1">
        <f t="shared" si="37"/>
        <v>9.8613744470520128</v>
      </c>
      <c r="J62" s="2">
        <v>8.4</v>
      </c>
      <c r="K62" s="1">
        <v>3.9810717055349665E-9</v>
      </c>
      <c r="L62" s="1">
        <v>2.5370052958246796E-6</v>
      </c>
      <c r="M62" s="1">
        <v>-2.4998495219503258E-6</v>
      </c>
      <c r="N62" s="1">
        <v>3.333749974920325E-3</v>
      </c>
      <c r="O62" s="1">
        <v>0.99999800946810957</v>
      </c>
      <c r="P62" s="1">
        <v>1.0001499947209593</v>
      </c>
      <c r="Q62" s="2">
        <v>10.001499947209593</v>
      </c>
      <c r="S62" s="2">
        <v>6.1</v>
      </c>
      <c r="T62" s="1">
        <f t="shared" si="30"/>
        <v>7.9432823472428114E-7</v>
      </c>
      <c r="U62" s="1">
        <f t="shared" si="31"/>
        <v>1.2715146659121094E-8</v>
      </c>
      <c r="V62" s="1">
        <f t="shared" si="32"/>
        <v>9.5616987553978489E-2</v>
      </c>
      <c r="W62" s="1">
        <f t="shared" si="33"/>
        <v>1.4610041486738364E-3</v>
      </c>
      <c r="X62" s="1">
        <f t="shared" si="34"/>
        <v>2.9645387179174226E-2</v>
      </c>
      <c r="Y62" s="1">
        <f t="shared" si="35"/>
        <v>2.9653319197166825E-2</v>
      </c>
      <c r="Z62" s="1">
        <f t="shared" si="36"/>
        <v>1.4826659598583414</v>
      </c>
      <c r="AB62">
        <v>7.5</v>
      </c>
      <c r="AC62">
        <v>3.1622776601683699E-8</v>
      </c>
      <c r="AD62">
        <v>3.1939004367700723E-7</v>
      </c>
      <c r="AE62">
        <v>9.9818324527211469E-2</v>
      </c>
      <c r="AF62">
        <v>6.0558490929507975E-5</v>
      </c>
      <c r="AG62">
        <v>1.2147831456019553E-3</v>
      </c>
      <c r="AH62">
        <v>1.2119037292000815E-3</v>
      </c>
      <c r="AI62">
        <v>6.0595186460004072E-2</v>
      </c>
      <c r="AJ62" s="25"/>
      <c r="AK62" s="2">
        <v>0.61</v>
      </c>
      <c r="AL62" s="1">
        <f t="shared" si="38"/>
        <v>0.24547089156850299</v>
      </c>
      <c r="AM62" s="1">
        <f t="shared" si="11"/>
        <v>4.1145408058215392E-14</v>
      </c>
      <c r="AN62" s="1">
        <f t="shared" si="12"/>
        <v>5.0295798323615436E-2</v>
      </c>
      <c r="AO62" s="1">
        <f t="shared" si="13"/>
        <v>1.2703500101941532E-8</v>
      </c>
      <c r="AP62" s="1">
        <f t="shared" si="14"/>
        <v>8.4025392454131911</v>
      </c>
      <c r="AQ62" s="1">
        <f t="shared" si="15"/>
        <v>84.025392454131904</v>
      </c>
      <c r="AR62" s="25"/>
      <c r="BA62" s="2">
        <v>0.61</v>
      </c>
      <c r="BB62" s="1">
        <f t="shared" si="22"/>
        <v>0.24547089156850299</v>
      </c>
      <c r="BC62" s="1">
        <f t="shared" si="16"/>
        <v>4.1145408058215392E-14</v>
      </c>
      <c r="BD62" s="1">
        <f t="shared" si="17"/>
        <v>4.1145408058215389E-17</v>
      </c>
      <c r="BE62" s="1">
        <f t="shared" si="18"/>
        <v>1</v>
      </c>
      <c r="BF62" s="1">
        <f t="shared" si="19"/>
        <v>-19.593673059950991</v>
      </c>
      <c r="BG62" s="1">
        <f t="shared" si="23"/>
        <v>-2.5518441512734449</v>
      </c>
    </row>
    <row r="63" spans="1:59" ht="15" customHeight="1" x14ac:dyDescent="0.3">
      <c r="A63" s="2">
        <v>6.2</v>
      </c>
      <c r="B63" s="1">
        <f t="shared" si="24"/>
        <v>6.3095734448019254E-7</v>
      </c>
      <c r="C63" s="1">
        <f t="shared" si="25"/>
        <v>1.6007421243857263E-8</v>
      </c>
      <c r="D63" s="1">
        <f t="shared" si="26"/>
        <v>1.8437858128976894E-4</v>
      </c>
      <c r="E63" s="1">
        <f t="shared" si="27"/>
        <v>3.3026035697850385E-3</v>
      </c>
      <c r="F63" s="1">
        <f t="shared" si="28"/>
        <v>0.98899447395080098</v>
      </c>
      <c r="G63" s="1">
        <f t="shared" si="29"/>
        <v>0.98895764486036131</v>
      </c>
      <c r="H63" s="1">
        <f t="shared" si="37"/>
        <v>9.8895764486036128</v>
      </c>
      <c r="J63" s="2">
        <v>8.5</v>
      </c>
      <c r="K63" s="1">
        <v>3.1622776601683779E-9</v>
      </c>
      <c r="L63" s="1">
        <v>3.1939004367700643E-6</v>
      </c>
      <c r="M63" s="1">
        <v>-3.1643867208301929E-6</v>
      </c>
      <c r="N63" s="1">
        <v>3.3338607311201385E-3</v>
      </c>
      <c r="O63" s="1">
        <v>0.99999841886366991</v>
      </c>
      <c r="P63" s="1">
        <v>1.0001898692114459</v>
      </c>
      <c r="Q63" s="2">
        <v>10.001898692114459</v>
      </c>
      <c r="S63" s="2">
        <v>6.2</v>
      </c>
      <c r="T63" s="1">
        <f t="shared" si="30"/>
        <v>6.3095734448019254E-7</v>
      </c>
      <c r="U63" s="1">
        <f t="shared" si="31"/>
        <v>1.6007421243857263E-8</v>
      </c>
      <c r="V63" s="1">
        <f t="shared" si="32"/>
        <v>9.6486801940299308E-2</v>
      </c>
      <c r="W63" s="1">
        <f t="shared" si="33"/>
        <v>1.1710660199002352E-3</v>
      </c>
      <c r="X63" s="1">
        <f t="shared" si="34"/>
        <v>2.3692627205194008E-2</v>
      </c>
      <c r="Y63" s="1">
        <f t="shared" si="35"/>
        <v>2.3698849572454998E-2</v>
      </c>
      <c r="Z63" s="1">
        <f t="shared" si="36"/>
        <v>1.1849424786227498</v>
      </c>
      <c r="AB63">
        <v>7.6</v>
      </c>
      <c r="AC63">
        <v>2.5118864315095751E-8</v>
      </c>
      <c r="AD63">
        <v>4.02088242259033E-7</v>
      </c>
      <c r="AE63">
        <v>9.9855858360517927E-2</v>
      </c>
      <c r="AF63">
        <v>4.8047213160693689E-5</v>
      </c>
      <c r="AG63">
        <v>9.651776979792406E-4</v>
      </c>
      <c r="AH63">
        <v>9.6140619209633031E-4</v>
      </c>
      <c r="AI63">
        <v>4.8070309604816515E-2</v>
      </c>
      <c r="AJ63" s="25"/>
      <c r="AK63" s="2">
        <v>0.62</v>
      </c>
      <c r="AL63" s="1">
        <f t="shared" si="38"/>
        <v>0.23988329190194901</v>
      </c>
      <c r="AM63" s="1">
        <f t="shared" si="11"/>
        <v>4.210380773050388E-14</v>
      </c>
      <c r="AN63" s="1">
        <f t="shared" si="12"/>
        <v>5.1407112464805706E-2</v>
      </c>
      <c r="AO63" s="1">
        <f t="shared" si="13"/>
        <v>1.3286631793100126E-8</v>
      </c>
      <c r="AP63" s="1">
        <f t="shared" si="14"/>
        <v>8.5376582818998354</v>
      </c>
      <c r="AQ63" s="1">
        <f t="shared" si="15"/>
        <v>85.376582818998344</v>
      </c>
      <c r="AR63" s="25"/>
      <c r="BA63" s="2">
        <v>0.62</v>
      </c>
      <c r="BB63" s="1">
        <f t="shared" si="22"/>
        <v>0.23988329190194901</v>
      </c>
      <c r="BC63" s="1">
        <f t="shared" si="16"/>
        <v>4.210380773050388E-14</v>
      </c>
      <c r="BD63" s="1">
        <f t="shared" si="17"/>
        <v>4.2103807730503876E-17</v>
      </c>
      <c r="BE63" s="1">
        <f t="shared" si="18"/>
        <v>1</v>
      </c>
      <c r="BF63" s="1">
        <f t="shared" si="19"/>
        <v>-22.05852480701952</v>
      </c>
      <c r="BG63" s="1">
        <f t="shared" si="23"/>
        <v>-2.2666973624677236</v>
      </c>
    </row>
    <row r="64" spans="1:59" ht="15" customHeight="1" x14ac:dyDescent="0.3">
      <c r="A64" s="2">
        <v>6.3</v>
      </c>
      <c r="B64" s="1">
        <f t="shared" si="24"/>
        <v>5.0118723362727218E-7</v>
      </c>
      <c r="C64" s="1">
        <f t="shared" si="25"/>
        <v>2.0152149381185686E-8</v>
      </c>
      <c r="D64" s="1">
        <f t="shared" si="26"/>
        <v>1.4672584488170841E-4</v>
      </c>
      <c r="E64" s="1">
        <f t="shared" si="27"/>
        <v>3.3088790258530487E-3</v>
      </c>
      <c r="F64" s="1">
        <f t="shared" si="28"/>
        <v>0.99123816728523018</v>
      </c>
      <c r="G64" s="1">
        <f t="shared" si="29"/>
        <v>0.99120934746629819</v>
      </c>
      <c r="H64" s="1">
        <f t="shared" si="37"/>
        <v>9.9120934746629814</v>
      </c>
      <c r="J64" s="2">
        <v>8.6</v>
      </c>
      <c r="K64" s="1">
        <v>2.5118864315095812E-9</v>
      </c>
      <c r="L64" s="1">
        <v>4.02088242259032E-6</v>
      </c>
      <c r="M64" s="1">
        <v>-3.9974390122795468E-6</v>
      </c>
      <c r="N64" s="1">
        <v>3.3339995731687133E-3</v>
      </c>
      <c r="O64" s="1">
        <v>0.99999874405836164</v>
      </c>
      <c r="P64" s="1">
        <v>1.0002398559288312</v>
      </c>
      <c r="Q64" s="2">
        <v>10.002398559288311</v>
      </c>
      <c r="S64" s="2">
        <v>6.3</v>
      </c>
      <c r="T64" s="1">
        <f t="shared" si="30"/>
        <v>5.0118723362727218E-7</v>
      </c>
      <c r="U64" s="1">
        <f t="shared" si="31"/>
        <v>2.0152149381185686E-8</v>
      </c>
      <c r="V64" s="1">
        <f t="shared" si="32"/>
        <v>9.7189076590237469E-2</v>
      </c>
      <c r="W64" s="1">
        <f t="shared" si="33"/>
        <v>9.3697446992084164E-4</v>
      </c>
      <c r="X64" s="1">
        <f t="shared" si="34"/>
        <v>1.8911878521099514E-2</v>
      </c>
      <c r="Y64" s="1">
        <f t="shared" si="35"/>
        <v>1.8916734370006533E-2</v>
      </c>
      <c r="Z64" s="1">
        <f t="shared" si="36"/>
        <v>0.94583671850032669</v>
      </c>
      <c r="AB64">
        <v>7.7</v>
      </c>
      <c r="AC64">
        <v>1.9952623149688773E-8</v>
      </c>
      <c r="AD64">
        <v>5.0619910596354556E-7</v>
      </c>
      <c r="AE64">
        <v>9.9885750156512465E-2</v>
      </c>
      <c r="AF64">
        <v>3.8083281162516725E-5</v>
      </c>
      <c r="AG64">
        <v>7.6682011834015124E-4</v>
      </c>
      <c r="AH64">
        <v>7.6195580102037116E-4</v>
      </c>
      <c r="AI64">
        <v>3.8097790051018557E-2</v>
      </c>
      <c r="AJ64" s="25"/>
      <c r="AK64" s="2">
        <v>0.63</v>
      </c>
      <c r="AL64" s="1">
        <f t="shared" si="38"/>
        <v>0.23442288153199217</v>
      </c>
      <c r="AM64" s="1">
        <f t="shared" si="11"/>
        <v>4.3084531398960864E-14</v>
      </c>
      <c r="AN64" s="1">
        <f t="shared" si="12"/>
        <v>5.2541623227635254E-2</v>
      </c>
      <c r="AO64" s="1">
        <f t="shared" si="13"/>
        <v>1.3896171819169523E-8</v>
      </c>
      <c r="AP64" s="1">
        <f t="shared" si="14"/>
        <v>8.6805179985701546</v>
      </c>
      <c r="AQ64" s="1">
        <f t="shared" si="15"/>
        <v>86.805179985701542</v>
      </c>
      <c r="AR64" s="25"/>
      <c r="BA64" s="2">
        <v>0.63</v>
      </c>
      <c r="BB64" s="1">
        <f t="shared" si="22"/>
        <v>0.23442288153199217</v>
      </c>
      <c r="BC64" s="1">
        <f t="shared" si="16"/>
        <v>4.3084531398960864E-14</v>
      </c>
      <c r="BD64" s="1">
        <f t="shared" si="17"/>
        <v>4.3084531398960863E-17</v>
      </c>
      <c r="BE64" s="1">
        <f t="shared" si="18"/>
        <v>1</v>
      </c>
      <c r="BF64" s="1">
        <f t="shared" si="19"/>
        <v>-25.240355379821764</v>
      </c>
      <c r="BG64" s="1">
        <f t="shared" si="23"/>
        <v>-1.9809546754627776</v>
      </c>
    </row>
    <row r="65" spans="1:59" ht="15" customHeight="1" x14ac:dyDescent="0.3">
      <c r="A65" s="2">
        <v>6.4</v>
      </c>
      <c r="B65" s="1">
        <f t="shared" si="24"/>
        <v>3.9810717055349618E-7</v>
      </c>
      <c r="C65" s="1">
        <f t="shared" si="25"/>
        <v>2.5370052958246826E-8</v>
      </c>
      <c r="D65" s="1">
        <f t="shared" si="26"/>
        <v>1.1671396013084247E-4</v>
      </c>
      <c r="E65" s="1">
        <f t="shared" si="27"/>
        <v>3.3138810066448599E-3</v>
      </c>
      <c r="F65" s="1">
        <f t="shared" si="28"/>
        <v>0.99302766430830469</v>
      </c>
      <c r="G65" s="1">
        <f t="shared" si="29"/>
        <v>0.99300532615299464</v>
      </c>
      <c r="H65" s="1">
        <f t="shared" si="37"/>
        <v>9.9300532615299453</v>
      </c>
      <c r="J65" s="2">
        <v>8.6999999999999993</v>
      </c>
      <c r="K65" s="1">
        <v>1.9952623149688824E-9</v>
      </c>
      <c r="L65" s="1">
        <v>5.0619910596354431E-6</v>
      </c>
      <c r="M65" s="1">
        <v>-5.0433694665184594E-6</v>
      </c>
      <c r="N65" s="1">
        <v>3.3341738949110859E-3</v>
      </c>
      <c r="O65" s="1">
        <v>0.99999900236983763</v>
      </c>
      <c r="P65" s="1">
        <v>1.0003026174301062</v>
      </c>
      <c r="Q65" s="2">
        <v>10.003026174301061</v>
      </c>
      <c r="S65" s="2">
        <v>6.4</v>
      </c>
      <c r="T65" s="1">
        <f t="shared" si="30"/>
        <v>3.9810717055349618E-7</v>
      </c>
      <c r="U65" s="1">
        <f t="shared" si="31"/>
        <v>2.5370052958246826E-8</v>
      </c>
      <c r="V65" s="1">
        <f t="shared" si="32"/>
        <v>9.7754240181388688E-2</v>
      </c>
      <c r="W65" s="1">
        <f t="shared" si="33"/>
        <v>7.4858660620377422E-4</v>
      </c>
      <c r="X65" s="1">
        <f t="shared" si="34"/>
        <v>1.5080898337952651E-2</v>
      </c>
      <c r="Y65" s="1">
        <f t="shared" si="35"/>
        <v>1.5084653822180532E-2</v>
      </c>
      <c r="Z65" s="1">
        <f t="shared" si="36"/>
        <v>0.75423269110902658</v>
      </c>
      <c r="AB65">
        <v>7.8</v>
      </c>
      <c r="AC65">
        <v>1.5848931924611133E-8</v>
      </c>
      <c r="AD65">
        <v>6.3726691792499521E-7</v>
      </c>
      <c r="AE65">
        <v>9.9909579226730744E-2</v>
      </c>
      <c r="AF65">
        <v>3.0140257756415993E-5</v>
      </c>
      <c r="AG65">
        <v>6.092029503278122E-4</v>
      </c>
      <c r="AH65">
        <v>6.0298689693329295E-4</v>
      </c>
      <c r="AI65">
        <v>3.0149344846664646E-2</v>
      </c>
      <c r="AJ65" s="25"/>
      <c r="AK65" s="2">
        <v>0.64</v>
      </c>
      <c r="AL65" s="1">
        <f t="shared" si="38"/>
        <v>0.22908676527677729</v>
      </c>
      <c r="AM65" s="1">
        <f t="shared" ref="AM65:AM128" si="39">Kw/AL65</f>
        <v>4.4088099056256763E-14</v>
      </c>
      <c r="AN65" s="1">
        <f t="shared" ref="AN65:AN128" si="40">(AL65*dpWASB_Ka1)/((AL65^2)+(AL65*dpWASB_Ka1)+(dpWASB_Ka1*dpWASB_Ka2))</f>
        <v>5.3699754285222223E-2</v>
      </c>
      <c r="AO65" s="1">
        <f t="shared" ref="AO65:AO128" si="41">(dpWASB_Ka1*dpWASB_Ka2)/((AL65^2)+(AL65*dpWASB_Ka1)+(dpWASB_Ka1*dpWASB_Ka2))</f>
        <v>1.4533291618401843E-8</v>
      </c>
      <c r="AP65" s="1">
        <f t="shared" ref="AP65:AP128" si="42">(AN65+(2*AO65) - ((AL65-AM65)/dpWASB_Ca))/(1-((AL65-AM65)/dpWASB_Cb))</f>
        <v>8.8317640124023811</v>
      </c>
      <c r="AQ65" s="1">
        <f t="shared" ref="AQ65:AQ128" si="43">AP65*dpWASB_Ca*dpWASB_Va/dpWASB_Cb</f>
        <v>88.317640124023811</v>
      </c>
      <c r="AR65" s="25"/>
      <c r="BA65" s="2">
        <v>0.64</v>
      </c>
      <c r="BB65" s="1">
        <f t="shared" si="22"/>
        <v>0.22908676527677729</v>
      </c>
      <c r="BC65" s="1">
        <f t="shared" ref="BC65:BC128" si="44">Kw/BB65</f>
        <v>4.4088099056256763E-14</v>
      </c>
      <c r="BD65" s="1">
        <f t="shared" ref="BD65:BD128" si="45">(BB65*(Kw/dpSAWB_Kb1))/(BB65^2+(BB65*(Kw/dpSAWB_Kb1))+((Kw/dpSAWB_Kb1)*(Kw/dpSAWB_Kb2)))</f>
        <v>4.4088099056256766E-17</v>
      </c>
      <c r="BE65" s="1">
        <f t="shared" ref="BE65:BE128" si="46">BB65^2 / (BB65^2+(BB65*(Kw/dpSAWB_Kb1))+((Kw/dpSAWB_Kb1)*(Kw/dpSAWB_Kb2)))</f>
        <v>1</v>
      </c>
      <c r="BF65" s="1">
        <f t="shared" ref="BF65:BF128" si="47">(BD65+(2*BE65)+((BB65-BC65)/dpSAWB_Cb))/(1-((BB65-BC65)/dpSAWB_Ca))</f>
        <v>-29.503917757397645</v>
      </c>
      <c r="BG65" s="1">
        <f t="shared" ref="BG65:BG128" si="48">(dpSAWB_Cb*dpSAWB_Vb) /(dpSAWB_Ca * BF65)</f>
        <v>-1.694690190337969</v>
      </c>
    </row>
    <row r="66" spans="1:59" ht="15" customHeight="1" x14ac:dyDescent="0.3">
      <c r="A66" s="2">
        <v>6.5</v>
      </c>
      <c r="B66" s="1">
        <f t="shared" si="24"/>
        <v>3.1622776601683734E-7</v>
      </c>
      <c r="C66" s="1">
        <f t="shared" si="25"/>
        <v>3.1939004367700689E-8</v>
      </c>
      <c r="D66" s="1">
        <f t="shared" si="26"/>
        <v>9.280802079065778E-5</v>
      </c>
      <c r="E66" s="1">
        <f t="shared" si="27"/>
        <v>3.3178653298682236E-3</v>
      </c>
      <c r="F66" s="1">
        <f t="shared" si="28"/>
        <v>0.99445372346773675</v>
      </c>
      <c r="G66" s="1">
        <f t="shared" si="29"/>
        <v>0.99443668195792578</v>
      </c>
      <c r="H66" s="1">
        <f t="shared" si="37"/>
        <v>9.9443668195792565</v>
      </c>
      <c r="J66" s="2">
        <v>8.8000000000000007</v>
      </c>
      <c r="K66" s="1">
        <v>1.584893192461106E-9</v>
      </c>
      <c r="L66" s="1">
        <v>6.3726691792499815E-6</v>
      </c>
      <c r="M66" s="1">
        <v>-6.357877692969611E-6</v>
      </c>
      <c r="N66" s="1">
        <v>3.3343929796154953E-3</v>
      </c>
      <c r="O66" s="1">
        <v>0.99999920755403182</v>
      </c>
      <c r="P66" s="1">
        <v>1.0003814969166855</v>
      </c>
      <c r="Q66" s="2">
        <v>10.003814969166855</v>
      </c>
      <c r="S66" s="2">
        <v>6.5</v>
      </c>
      <c r="T66" s="1">
        <f t="shared" si="30"/>
        <v>3.1622776601683734E-7</v>
      </c>
      <c r="U66" s="1">
        <f t="shared" si="31"/>
        <v>3.1939004367700689E-8</v>
      </c>
      <c r="V66" s="1">
        <f t="shared" si="32"/>
        <v>9.8207872828596776E-2</v>
      </c>
      <c r="W66" s="1">
        <f t="shared" si="33"/>
        <v>5.9737572380107119E-4</v>
      </c>
      <c r="X66" s="1">
        <f t="shared" si="34"/>
        <v>1.2016454973276774E-2</v>
      </c>
      <c r="Y66" s="1">
        <f t="shared" si="35"/>
        <v>1.2019314945674075E-2</v>
      </c>
      <c r="Z66" s="1">
        <f t="shared" si="36"/>
        <v>0.60096574728370378</v>
      </c>
      <c r="AB66">
        <v>7.9</v>
      </c>
      <c r="AC66">
        <v>1.2589254117941638E-8</v>
      </c>
      <c r="AD66">
        <v>8.0227151707152647E-7</v>
      </c>
      <c r="AE66">
        <v>9.9928606637945991E-2</v>
      </c>
      <c r="AF66">
        <v>2.3797787351335726E-5</v>
      </c>
      <c r="AG66">
        <v>4.8396774327064297E-4</v>
      </c>
      <c r="AH66">
        <v>4.7606904092471931E-4</v>
      </c>
      <c r="AI66">
        <v>2.3803452046235966E-2</v>
      </c>
      <c r="AJ66" s="25"/>
      <c r="AK66" s="2">
        <v>0.65</v>
      </c>
      <c r="AL66" s="1">
        <f t="shared" si="38"/>
        <v>0.22387211385683392</v>
      </c>
      <c r="AM66" s="1">
        <f t="shared" si="39"/>
        <v>4.5115042807247282E-14</v>
      </c>
      <c r="AN66" s="1">
        <f t="shared" si="40"/>
        <v>5.488193435157783E-2</v>
      </c>
      <c r="AO66" s="1">
        <f t="shared" si="41"/>
        <v>1.5199212939820798E-8</v>
      </c>
      <c r="AP66" s="1">
        <f t="shared" si="42"/>
        <v>8.9921156435314824</v>
      </c>
      <c r="AQ66" s="1">
        <f t="shared" si="43"/>
        <v>89.921156435314813</v>
      </c>
      <c r="AR66" s="25"/>
      <c r="BA66" s="2">
        <v>0.65</v>
      </c>
      <c r="BB66" s="1">
        <f t="shared" ref="BB66:BB129" si="49">10^-BA66</f>
        <v>0.22387211385683392</v>
      </c>
      <c r="BC66" s="1">
        <f t="shared" si="44"/>
        <v>4.5115042807247282E-14</v>
      </c>
      <c r="BD66" s="1">
        <f t="shared" si="45"/>
        <v>4.5115042807247276E-17</v>
      </c>
      <c r="BE66" s="1">
        <f t="shared" si="46"/>
        <v>1</v>
      </c>
      <c r="BF66" s="1">
        <f t="shared" si="47"/>
        <v>-35.511904509138958</v>
      </c>
      <c r="BG66" s="1">
        <f t="shared" si="48"/>
        <v>-1.4079785551105135</v>
      </c>
    </row>
    <row r="67" spans="1:59" ht="15" customHeight="1" x14ac:dyDescent="0.3">
      <c r="A67" s="2">
        <v>6.6</v>
      </c>
      <c r="B67" s="1">
        <f t="shared" ref="B67:B130" si="50">10^(-A67)</f>
        <v>2.511886431509578E-7</v>
      </c>
      <c r="C67" s="1">
        <f t="shared" ref="C67:C130" si="51">Kw/B67</f>
        <v>4.0208824225903253E-8</v>
      </c>
      <c r="D67" s="1">
        <f t="shared" ref="D67:D130" si="52">((WASB_Ca*WASB_Va)-(WASB_Cb*H67))/(WASB_Va+H67)</f>
        <v>7.3775132998591379E-5</v>
      </c>
      <c r="E67" s="1">
        <f t="shared" ref="E67:E130" si="53">(WASB_Ca*H67)/(WASB_Va+H67)</f>
        <v>3.3210374778335681E-3</v>
      </c>
      <c r="F67" s="1">
        <f t="shared" ref="F67:F130" si="54">WASB_Ka/(B67+WASB_Ka)</f>
        <v>0.99558940473174529</v>
      </c>
      <c r="G67" s="1">
        <f t="shared" ref="G67:G130" si="55">(F67-((B67-C67)/WASB_Ca)) / (1 + ((B67-C67)/WASB_Cb))</f>
        <v>0.99557675527476353</v>
      </c>
      <c r="H67" s="1">
        <f t="shared" si="37"/>
        <v>9.9557675527476341</v>
      </c>
      <c r="J67" s="2">
        <v>8.9</v>
      </c>
      <c r="K67" s="1">
        <v>1.2589254117941623E-9</v>
      </c>
      <c r="L67" s="1">
        <v>8.0227151707152736E-6</v>
      </c>
      <c r="M67" s="1">
        <v>-8.0109660472413572E-6</v>
      </c>
      <c r="N67" s="1">
        <v>3.3346684943412067E-3</v>
      </c>
      <c r="O67" s="1">
        <v>0.99999937053769028</v>
      </c>
      <c r="P67" s="1">
        <v>1.0004806964712656</v>
      </c>
      <c r="Q67" s="2">
        <v>10.004806964712655</v>
      </c>
      <c r="S67" s="2">
        <v>6.6</v>
      </c>
      <c r="T67" s="1">
        <f t="shared" ref="T67:T130" si="56">10^-S67</f>
        <v>2.511886431509578E-7</v>
      </c>
      <c r="U67" s="1">
        <f t="shared" ref="U67:U130" si="57">Kw/T67</f>
        <v>4.0208824225903253E-8</v>
      </c>
      <c r="V67" s="1">
        <f t="shared" ref="V67:V130" si="58">((SAWB_Cb*SAWB_Vb)-(SAWB_Ca*Z67))/(Z67+SAWB_Vb)</f>
        <v>9.8571220598448958E-2</v>
      </c>
      <c r="W67" s="1">
        <f t="shared" ref="W67:W130" si="59">(SAWB_Cb*Z67)/(Z67+SAWB_Vb)</f>
        <v>4.7625980051701231E-4</v>
      </c>
      <c r="X67" s="1">
        <f t="shared" ref="X67:X130" si="60">T67/(T67+SAWB_Ka)</f>
        <v>9.5686578830971886E-3</v>
      </c>
      <c r="Y67" s="1">
        <f t="shared" ref="Y67:Y130" si="61">(X67+((T67-U67)/SAWB_Cb))/(1-((T67-U67)/SAWB_Ca))</f>
        <v>9.5707777774912527E-3</v>
      </c>
      <c r="Z67" s="1">
        <f t="shared" ref="Z67:Z130" si="62">(Y67*SAWB_Cb*SAWB_Vb)/SAWB_Ca</f>
        <v>0.47853888887456264</v>
      </c>
      <c r="AB67">
        <v>8</v>
      </c>
      <c r="AC67">
        <v>1E-8</v>
      </c>
      <c r="AD67">
        <v>1.0099999999999999E-6</v>
      </c>
      <c r="AE67">
        <v>9.9943840668844888E-2</v>
      </c>
      <c r="AF67">
        <v>1.8719777051700943E-5</v>
      </c>
      <c r="AG67">
        <v>3.8446751249519417E-4</v>
      </c>
      <c r="AH67">
        <v>3.744656401669933E-4</v>
      </c>
      <c r="AI67">
        <v>1.8723282008349666E-2</v>
      </c>
      <c r="AJ67" s="25"/>
      <c r="AK67" s="2">
        <v>0.66</v>
      </c>
      <c r="AL67" s="1">
        <f t="shared" si="38"/>
        <v>0.21877616239495523</v>
      </c>
      <c r="AM67" s="1">
        <f t="shared" si="39"/>
        <v>4.616590715110238E-14</v>
      </c>
      <c r="AN67" s="1">
        <f t="shared" si="40"/>
        <v>5.6088597114701488E-2</v>
      </c>
      <c r="AO67" s="1">
        <f t="shared" si="41"/>
        <v>1.5895209894182144E-8</v>
      </c>
      <c r="AP67" s="1">
        <f t="shared" si="42"/>
        <v>9.1623767525484414</v>
      </c>
      <c r="AQ67" s="1">
        <f t="shared" si="43"/>
        <v>91.623767525484411</v>
      </c>
      <c r="AR67" s="25"/>
      <c r="BA67" s="2">
        <v>0.66</v>
      </c>
      <c r="BB67" s="1">
        <f t="shared" si="49"/>
        <v>0.21877616239495523</v>
      </c>
      <c r="BC67" s="1">
        <f t="shared" si="44"/>
        <v>4.616590715110238E-14</v>
      </c>
      <c r="BD67" s="1">
        <f t="shared" si="45"/>
        <v>4.6165907151102374E-17</v>
      </c>
      <c r="BE67" s="1">
        <f t="shared" si="46"/>
        <v>1</v>
      </c>
      <c r="BF67" s="1">
        <f t="shared" si="47"/>
        <v>-44.607215637254527</v>
      </c>
      <c r="BG67" s="1">
        <f t="shared" si="48"/>
        <v>-1.1208948885444801</v>
      </c>
    </row>
    <row r="68" spans="1:59" ht="15" customHeight="1" x14ac:dyDescent="0.3">
      <c r="A68" s="2">
        <v>6.7</v>
      </c>
      <c r="B68" s="1">
        <f t="shared" si="50"/>
        <v>1.9952623149688761E-7</v>
      </c>
      <c r="C68" s="1">
        <f t="shared" si="51"/>
        <v>5.0619910596354589E-8</v>
      </c>
      <c r="D68" s="1">
        <f t="shared" si="52"/>
        <v>5.8627192916024158E-5</v>
      </c>
      <c r="E68" s="1">
        <f t="shared" si="53"/>
        <v>3.3235621345139958E-3</v>
      </c>
      <c r="F68" s="1">
        <f t="shared" si="54"/>
        <v>0.9964933586496818</v>
      </c>
      <c r="G68" s="1">
        <f t="shared" si="55"/>
        <v>0.99648442950533456</v>
      </c>
      <c r="H68" s="1">
        <f t="shared" ref="H68:H131" si="63">G68*(WASB_Va * WASB_Ca)/WASB_Cb</f>
        <v>9.9648442950533447</v>
      </c>
      <c r="J68" s="2">
        <v>9</v>
      </c>
      <c r="K68" s="1">
        <v>1.0000000000000001E-9</v>
      </c>
      <c r="L68" s="1">
        <v>1.0099999999999998E-5</v>
      </c>
      <c r="M68" s="1">
        <v>-1.0090667511722744E-5</v>
      </c>
      <c r="N68" s="1">
        <v>3.3350151112519532E-3</v>
      </c>
      <c r="O68" s="1">
        <v>0.99999950000025006</v>
      </c>
      <c r="P68" s="1">
        <v>1.0006055011498112</v>
      </c>
      <c r="Q68" s="2">
        <v>10.006055011498111</v>
      </c>
      <c r="S68" s="2">
        <v>6.7</v>
      </c>
      <c r="T68" s="1">
        <f t="shared" si="56"/>
        <v>1.9952623149688761E-7</v>
      </c>
      <c r="U68" s="1">
        <f t="shared" si="57"/>
        <v>5.0619910596354589E-8</v>
      </c>
      <c r="V68" s="1">
        <f t="shared" si="58"/>
        <v>9.8861764428617188E-2</v>
      </c>
      <c r="W68" s="1">
        <f t="shared" si="59"/>
        <v>3.79411857127606E-4</v>
      </c>
      <c r="X68" s="1">
        <f t="shared" si="60"/>
        <v>7.6156427308604752E-3</v>
      </c>
      <c r="Y68" s="1">
        <f t="shared" si="61"/>
        <v>7.6171374652690589E-3</v>
      </c>
      <c r="Z68" s="1">
        <f t="shared" si="62"/>
        <v>0.38085687326345297</v>
      </c>
      <c r="AB68">
        <v>8.1</v>
      </c>
      <c r="AC68">
        <v>7.9432823472428087E-9</v>
      </c>
      <c r="AD68">
        <v>1.2715146659121098E-6</v>
      </c>
      <c r="AE68">
        <v>9.9956089429935113E-2</v>
      </c>
      <c r="AF68">
        <v>1.4636856688293752E-5</v>
      </c>
      <c r="AG68">
        <v>3.0541755113078358E-4</v>
      </c>
      <c r="AH68">
        <v>2.9277998755306516E-4</v>
      </c>
      <c r="AI68">
        <v>1.4638999377653259E-2</v>
      </c>
      <c r="AJ68" s="25"/>
      <c r="AK68" s="2">
        <v>0.67</v>
      </c>
      <c r="AL68" s="1">
        <f t="shared" ref="AL68:AL131" si="64">10^(-AK68)</f>
        <v>0.21379620895022314</v>
      </c>
      <c r="AM68" s="1">
        <f t="shared" si="39"/>
        <v>4.724124927000703E-14</v>
      </c>
      <c r="AN68" s="1">
        <f t="shared" si="40"/>
        <v>5.7320181162107839E-2</v>
      </c>
      <c r="AO68" s="1">
        <f t="shared" si="41"/>
        <v>1.6622611081369116E-8</v>
      </c>
      <c r="AP68" s="1">
        <f t="shared" si="42"/>
        <v>9.3434485482348144</v>
      </c>
      <c r="AQ68" s="1">
        <f t="shared" si="43"/>
        <v>93.434485482348137</v>
      </c>
      <c r="AR68" s="25"/>
      <c r="BA68" s="2">
        <v>0.67</v>
      </c>
      <c r="BB68" s="1">
        <f t="shared" si="49"/>
        <v>0.21379620895022314</v>
      </c>
      <c r="BC68" s="1">
        <f t="shared" si="44"/>
        <v>4.724124927000703E-14</v>
      </c>
      <c r="BD68" s="1">
        <f t="shared" si="45"/>
        <v>4.7241249270007028E-17</v>
      </c>
      <c r="BE68" s="1">
        <f t="shared" si="46"/>
        <v>1</v>
      </c>
      <c r="BF68" s="1">
        <f t="shared" si="47"/>
        <v>-59.986944303985858</v>
      </c>
      <c r="BG68" s="1">
        <f t="shared" si="48"/>
        <v>-0.83351470190952404</v>
      </c>
    </row>
    <row r="69" spans="1:59" ht="15" customHeight="1" x14ac:dyDescent="0.3">
      <c r="A69" s="2">
        <v>6.8</v>
      </c>
      <c r="B69" s="1">
        <f t="shared" si="50"/>
        <v>1.5848931924611122E-7</v>
      </c>
      <c r="C69" s="1">
        <f t="shared" si="51"/>
        <v>6.3726691792499566E-8</v>
      </c>
      <c r="D69" s="1">
        <f t="shared" si="52"/>
        <v>4.6573642443353551E-5</v>
      </c>
      <c r="E69" s="1">
        <f t="shared" si="53"/>
        <v>3.3255710595927745E-3</v>
      </c>
      <c r="F69" s="1">
        <f t="shared" si="54"/>
        <v>0.99721256542086023</v>
      </c>
      <c r="G69" s="1">
        <f t="shared" si="55"/>
        <v>0.99720688231004473</v>
      </c>
      <c r="H69" s="1">
        <f t="shared" si="63"/>
        <v>9.9720688231004466</v>
      </c>
      <c r="J69" s="2">
        <v>9.1</v>
      </c>
      <c r="K69" s="1">
        <v>7.9432823472428E-10</v>
      </c>
      <c r="L69" s="1">
        <v>1.2715146659121113E-5</v>
      </c>
      <c r="M69" s="1">
        <v>-1.270773377273525E-5</v>
      </c>
      <c r="N69" s="1">
        <v>3.3354512889621226E-3</v>
      </c>
      <c r="O69" s="1">
        <v>0.99999960283604039</v>
      </c>
      <c r="P69" s="1">
        <v>1.000762560930577</v>
      </c>
      <c r="Q69" s="2">
        <v>10.007625609305769</v>
      </c>
      <c r="S69" s="2">
        <v>6.8</v>
      </c>
      <c r="T69" s="1">
        <f t="shared" si="56"/>
        <v>1.5848931924611122E-7</v>
      </c>
      <c r="U69" s="1">
        <f t="shared" si="57"/>
        <v>6.3726691792499566E-8</v>
      </c>
      <c r="V69" s="1">
        <f t="shared" si="58"/>
        <v>9.9093781643764187E-2</v>
      </c>
      <c r="W69" s="1">
        <f t="shared" si="59"/>
        <v>3.02072785411944E-4</v>
      </c>
      <c r="X69" s="1">
        <f t="shared" si="60"/>
        <v>6.0588100983913745E-3</v>
      </c>
      <c r="Y69" s="1">
        <f t="shared" si="61"/>
        <v>6.0597605958600895E-3</v>
      </c>
      <c r="Z69" s="1">
        <f t="shared" si="62"/>
        <v>0.30298802979300449</v>
      </c>
      <c r="AB69">
        <v>8.1999999999999993</v>
      </c>
      <c r="AC69">
        <v>6.3095734448019329E-9</v>
      </c>
      <c r="AD69">
        <v>1.6007421243857243E-6</v>
      </c>
      <c r="AE69">
        <v>9.9966003219262606E-2</v>
      </c>
      <c r="AF69">
        <v>1.1332260245798022E-5</v>
      </c>
      <c r="AG69">
        <v>2.4261702441797725E-4</v>
      </c>
      <c r="AH69">
        <v>2.2667089185132646E-4</v>
      </c>
      <c r="AI69">
        <v>1.1333544592566323E-2</v>
      </c>
      <c r="AJ69" s="25"/>
      <c r="AK69" s="2">
        <v>0.68</v>
      </c>
      <c r="AL69" s="1">
        <f t="shared" si="64"/>
        <v>0.20892961308540392</v>
      </c>
      <c r="AM69" s="1">
        <f t="shared" si="39"/>
        <v>4.8341639324586476E-14</v>
      </c>
      <c r="AN69" s="1">
        <f t="shared" si="40"/>
        <v>5.8577129898482093E-2</v>
      </c>
      <c r="AO69" s="1">
        <f t="shared" si="41"/>
        <v>1.738280179660951E-8</v>
      </c>
      <c r="AP69" s="1">
        <f t="shared" si="42"/>
        <v>9.536344796766965</v>
      </c>
      <c r="AQ69" s="1">
        <f t="shared" si="43"/>
        <v>95.363447967669643</v>
      </c>
      <c r="AR69" s="25"/>
      <c r="BA69" s="2">
        <v>0.68</v>
      </c>
      <c r="BB69" s="1">
        <f t="shared" si="49"/>
        <v>0.20892961308540392</v>
      </c>
      <c r="BC69" s="1">
        <f t="shared" si="44"/>
        <v>4.8341639324586476E-14</v>
      </c>
      <c r="BD69" s="1">
        <f t="shared" si="45"/>
        <v>4.834163932458647E-17</v>
      </c>
      <c r="BE69" s="1">
        <f t="shared" si="46"/>
        <v>1</v>
      </c>
      <c r="BF69" s="1">
        <f t="shared" si="47"/>
        <v>-91.589547985230055</v>
      </c>
      <c r="BG69" s="1">
        <f t="shared" si="48"/>
        <v>-0.54591381986144438</v>
      </c>
    </row>
    <row r="70" spans="1:59" ht="15" customHeight="1" x14ac:dyDescent="0.3">
      <c r="A70" s="2">
        <v>6.9</v>
      </c>
      <c r="B70" s="1">
        <f t="shared" si="50"/>
        <v>1.2589254117941651E-7</v>
      </c>
      <c r="C70" s="1">
        <f t="shared" si="51"/>
        <v>8.0227151707152563E-8</v>
      </c>
      <c r="D70" s="1">
        <f t="shared" si="52"/>
        <v>3.6982788626783485E-5</v>
      </c>
      <c r="E70" s="1">
        <f t="shared" si="53"/>
        <v>3.3271695352288695E-3</v>
      </c>
      <c r="F70" s="1">
        <f t="shared" si="54"/>
        <v>0.99778459192544688</v>
      </c>
      <c r="G70" s="1">
        <f t="shared" si="55"/>
        <v>0.99778185301500399</v>
      </c>
      <c r="H70" s="1">
        <f t="shared" si="63"/>
        <v>9.9778185301500386</v>
      </c>
      <c r="J70" s="2">
        <v>9.1999999999999993</v>
      </c>
      <c r="K70" s="1">
        <v>6.309573444801927E-10</v>
      </c>
      <c r="L70" s="1">
        <v>1.6007421243857258E-5</v>
      </c>
      <c r="M70" s="1">
        <v>-1.6001533151657268E-5</v>
      </c>
      <c r="N70" s="1">
        <v>3.3360002555252758E-3</v>
      </c>
      <c r="O70" s="1">
        <v>0.99999968452142729</v>
      </c>
      <c r="P70" s="1">
        <v>1.0009602456431244</v>
      </c>
      <c r="Q70" s="2">
        <v>10.009602456431242</v>
      </c>
      <c r="S70" s="2">
        <v>6.9</v>
      </c>
      <c r="T70" s="1">
        <f t="shared" si="56"/>
        <v>1.2589254117941651E-7</v>
      </c>
      <c r="U70" s="1">
        <f t="shared" si="57"/>
        <v>8.0227151707152563E-8</v>
      </c>
      <c r="V70" s="1">
        <f t="shared" si="58"/>
        <v>9.9278865669217356E-2</v>
      </c>
      <c r="W70" s="1">
        <f t="shared" si="59"/>
        <v>2.4037811026088291E-4</v>
      </c>
      <c r="X70" s="1">
        <f t="shared" si="60"/>
        <v>4.8186886239766063E-3</v>
      </c>
      <c r="Y70" s="1">
        <f t="shared" si="61"/>
        <v>4.8191463782123103E-3</v>
      </c>
      <c r="Z70" s="1">
        <f t="shared" si="62"/>
        <v>0.24095731891061553</v>
      </c>
      <c r="AB70">
        <v>8.3000000000000007</v>
      </c>
      <c r="AC70">
        <v>5.0118723362727114E-9</v>
      </c>
      <c r="AD70">
        <v>2.0152149381185727E-6</v>
      </c>
      <c r="AE70">
        <v>9.9974108724119243E-2</v>
      </c>
      <c r="AF70">
        <v>8.630425293585734E-6</v>
      </c>
      <c r="AG70">
        <v>1.9272716970393942E-4</v>
      </c>
      <c r="AH70">
        <v>1.7262340400563665E-4</v>
      </c>
      <c r="AI70">
        <v>8.6311702002818316E-3</v>
      </c>
      <c r="AJ70" s="25"/>
      <c r="AK70" s="2">
        <v>0.69</v>
      </c>
      <c r="AL70" s="1">
        <f t="shared" si="64"/>
        <v>0.20417379446695291</v>
      </c>
      <c r="AM70" s="1">
        <f t="shared" si="39"/>
        <v>4.9467660756213065E-14</v>
      </c>
      <c r="AN70" s="1">
        <f t="shared" si="40"/>
        <v>5.9859891455155516E-2</v>
      </c>
      <c r="AO70" s="1">
        <f t="shared" si="41"/>
        <v>1.8177226317946235E-8</v>
      </c>
      <c r="AP70" s="1">
        <f t="shared" si="42"/>
        <v>9.7422099746591257</v>
      </c>
      <c r="AQ70" s="1">
        <f t="shared" si="43"/>
        <v>97.422099746591257</v>
      </c>
      <c r="AR70" s="25"/>
      <c r="BA70" s="2">
        <v>0.69</v>
      </c>
      <c r="BB70" s="1">
        <f t="shared" si="49"/>
        <v>0.20417379446695291</v>
      </c>
      <c r="BC70" s="1">
        <f t="shared" si="44"/>
        <v>4.9467660756213065E-14</v>
      </c>
      <c r="BD70" s="1">
        <f t="shared" si="45"/>
        <v>4.946766075621306E-17</v>
      </c>
      <c r="BE70" s="1">
        <f t="shared" si="46"/>
        <v>1</v>
      </c>
      <c r="BF70" s="1">
        <f t="shared" si="47"/>
        <v>-193.67211187414384</v>
      </c>
      <c r="BG70" s="1">
        <f t="shared" si="48"/>
        <v>-0.25816830061982321</v>
      </c>
    </row>
    <row r="71" spans="1:59" ht="15" customHeight="1" x14ac:dyDescent="0.3">
      <c r="A71" s="2">
        <v>7</v>
      </c>
      <c r="B71" s="1">
        <f t="shared" si="50"/>
        <v>9.9999999999999995E-8</v>
      </c>
      <c r="C71" s="1">
        <f t="shared" si="51"/>
        <v>1.0099999999999999E-7</v>
      </c>
      <c r="D71" s="1">
        <f t="shared" si="52"/>
        <v>2.9350335192250717E-5</v>
      </c>
      <c r="E71" s="1">
        <f t="shared" si="53"/>
        <v>3.3284416108012912E-3</v>
      </c>
      <c r="F71" s="1">
        <f t="shared" si="54"/>
        <v>0.99823943661971826</v>
      </c>
      <c r="G71" s="1">
        <f t="shared" si="55"/>
        <v>0.99823949660211331</v>
      </c>
      <c r="H71" s="1">
        <f t="shared" si="63"/>
        <v>9.9823949660211326</v>
      </c>
      <c r="J71" s="2">
        <v>9.3000000000000007</v>
      </c>
      <c r="K71" s="1">
        <v>5.011872336272705E-10</v>
      </c>
      <c r="L71" s="1">
        <v>2.0152149381185755E-5</v>
      </c>
      <c r="M71" s="1">
        <v>-2.0147472476192165E-5</v>
      </c>
      <c r="N71" s="1">
        <v>3.3366912454126985E-3</v>
      </c>
      <c r="O71" s="1">
        <v>0.99999974940644598</v>
      </c>
      <c r="P71" s="1">
        <v>1.0012090919500394</v>
      </c>
      <c r="Q71" s="2">
        <v>10.012090919500393</v>
      </c>
      <c r="S71" s="2">
        <v>7</v>
      </c>
      <c r="T71" s="1">
        <f t="shared" si="56"/>
        <v>9.9999999999999995E-8</v>
      </c>
      <c r="U71" s="1">
        <f t="shared" si="57"/>
        <v>1.0099999999999999E-7</v>
      </c>
      <c r="V71" s="1">
        <f t="shared" si="58"/>
        <v>9.9426387730401536E-2</v>
      </c>
      <c r="W71" s="1">
        <f t="shared" si="59"/>
        <v>1.912040898661568E-4</v>
      </c>
      <c r="X71" s="1">
        <f t="shared" si="60"/>
        <v>3.831417624521073E-3</v>
      </c>
      <c r="Y71" s="1">
        <f t="shared" si="61"/>
        <v>3.8314076053640352E-3</v>
      </c>
      <c r="Z71" s="1">
        <f t="shared" si="62"/>
        <v>0.19157038026820175</v>
      </c>
      <c r="AB71">
        <v>8.4</v>
      </c>
      <c r="AC71">
        <v>3.9810717055349665E-9</v>
      </c>
      <c r="AD71">
        <v>2.5370052958246796E-6</v>
      </c>
      <c r="AE71">
        <v>9.998083679808685E-2</v>
      </c>
      <c r="AF71">
        <v>6.3877339710462899E-6</v>
      </c>
      <c r="AG71">
        <v>1.5309470094433732E-4</v>
      </c>
      <c r="AH71">
        <v>1.2776284057129534E-4</v>
      </c>
      <c r="AI71">
        <v>6.3881420285647672E-3</v>
      </c>
      <c r="AJ71" s="25"/>
      <c r="AK71" s="2">
        <v>0.7</v>
      </c>
      <c r="AL71" s="1">
        <f t="shared" si="64"/>
        <v>0.19952623149688795</v>
      </c>
      <c r="AM71" s="1">
        <f t="shared" si="39"/>
        <v>5.0619910596354503E-14</v>
      </c>
      <c r="AN71" s="1">
        <f t="shared" si="40"/>
        <v>6.1168918591088299E-2</v>
      </c>
      <c r="AO71" s="1">
        <f t="shared" si="41"/>
        <v>1.9007390277436409E-8</v>
      </c>
      <c r="AP71" s="1">
        <f t="shared" si="42"/>
        <v>9.9623410523195339</v>
      </c>
      <c r="AQ71" s="1">
        <f t="shared" si="43"/>
        <v>99.623410523195332</v>
      </c>
      <c r="AR71" s="25"/>
      <c r="BA71" s="2">
        <v>0.7</v>
      </c>
      <c r="BB71" s="1">
        <f t="shared" si="49"/>
        <v>0.19952623149688795</v>
      </c>
      <c r="BC71" s="1">
        <f t="shared" si="44"/>
        <v>5.0619910596354503E-14</v>
      </c>
      <c r="BD71" s="1">
        <f t="shared" si="45"/>
        <v>5.0619910596354496E-17</v>
      </c>
      <c r="BE71" s="1">
        <f t="shared" si="46"/>
        <v>1</v>
      </c>
      <c r="BF71" s="1">
        <f t="shared" si="47"/>
        <v>1686.5884026893018</v>
      </c>
      <c r="BG71" s="1">
        <f t="shared" si="48"/>
        <v>2.9645644379075482E-2</v>
      </c>
    </row>
    <row r="72" spans="1:59" ht="15" customHeight="1" x14ac:dyDescent="0.3">
      <c r="A72" s="2">
        <v>7.1</v>
      </c>
      <c r="B72" s="1">
        <f t="shared" si="50"/>
        <v>7.943282347242818E-8</v>
      </c>
      <c r="C72" s="1">
        <f t="shared" si="51"/>
        <v>1.2715146659121083E-7</v>
      </c>
      <c r="D72" s="1">
        <f t="shared" si="52"/>
        <v>2.3273904064459111E-5</v>
      </c>
      <c r="E72" s="1">
        <f t="shared" si="53"/>
        <v>3.3294543493225903E-3</v>
      </c>
      <c r="F72" s="1">
        <f t="shared" si="54"/>
        <v>0.99860102823289232</v>
      </c>
      <c r="G72" s="1">
        <f t="shared" si="55"/>
        <v>0.998603890685275</v>
      </c>
      <c r="H72" s="1">
        <f t="shared" si="63"/>
        <v>9.98603890685275</v>
      </c>
      <c r="J72" s="2">
        <v>9.4</v>
      </c>
      <c r="K72" s="1">
        <v>3.9810717055349621E-10</v>
      </c>
      <c r="L72" s="1">
        <v>2.5370052958246823E-5</v>
      </c>
      <c r="M72" s="1">
        <v>-2.5366338133526581E-5</v>
      </c>
      <c r="N72" s="1">
        <v>3.3375610563555875E-3</v>
      </c>
      <c r="O72" s="1">
        <v>0.99999980094645435</v>
      </c>
      <c r="P72" s="1">
        <v>1.0015223664566346</v>
      </c>
      <c r="Q72" s="2">
        <v>10.015223664566346</v>
      </c>
      <c r="S72" s="2">
        <v>7.1</v>
      </c>
      <c r="T72" s="1">
        <f t="shared" si="56"/>
        <v>7.943282347242818E-8</v>
      </c>
      <c r="U72" s="1">
        <f t="shared" si="57"/>
        <v>1.2715146659121083E-7</v>
      </c>
      <c r="V72" s="1">
        <f t="shared" si="58"/>
        <v>9.9543895679722841E-2</v>
      </c>
      <c r="W72" s="1">
        <f t="shared" si="59"/>
        <v>1.5203477342572283E-4</v>
      </c>
      <c r="X72" s="1">
        <f t="shared" si="60"/>
        <v>3.0458033351452251E-3</v>
      </c>
      <c r="Y72" s="1">
        <f t="shared" si="61"/>
        <v>3.0453254221200522E-3</v>
      </c>
      <c r="Z72" s="1">
        <f t="shared" si="62"/>
        <v>0.15226627110600263</v>
      </c>
      <c r="AB72">
        <v>8.5</v>
      </c>
      <c r="AC72">
        <v>3.1622776601683779E-9</v>
      </c>
      <c r="AD72">
        <v>3.1939004367700643E-6</v>
      </c>
      <c r="AE72">
        <v>9.9986545234451427E-2</v>
      </c>
      <c r="AF72">
        <v>4.4849218495281428E-6</v>
      </c>
      <c r="AG72">
        <v>1.2161127275220498E-4</v>
      </c>
      <c r="AH72">
        <v>8.9702460075794359E-5</v>
      </c>
      <c r="AI72">
        <v>4.4851230037897174E-3</v>
      </c>
      <c r="AJ72" s="25"/>
      <c r="AK72" s="2">
        <v>0.71</v>
      </c>
      <c r="AL72" s="1">
        <f t="shared" si="64"/>
        <v>0.19498445997580449</v>
      </c>
      <c r="AM72" s="1">
        <f t="shared" si="39"/>
        <v>5.1798999783127857E-14</v>
      </c>
      <c r="AN72" s="1">
        <f t="shared" si="40"/>
        <v>6.2504668585042902E-2</v>
      </c>
      <c r="AO72" s="1">
        <f t="shared" si="41"/>
        <v>1.9874863118596948E-8</v>
      </c>
      <c r="AP72" s="1">
        <f t="shared" si="42"/>
        <v>10.198213784576613</v>
      </c>
      <c r="AQ72" s="1">
        <f t="shared" si="43"/>
        <v>101.98213784576612</v>
      </c>
      <c r="AR72" s="25"/>
      <c r="BA72" s="2">
        <v>0.71</v>
      </c>
      <c r="BB72" s="1">
        <f t="shared" si="49"/>
        <v>0.19498445997580449</v>
      </c>
      <c r="BC72" s="1">
        <f t="shared" si="44"/>
        <v>5.1798999783127857E-14</v>
      </c>
      <c r="BD72" s="1">
        <f t="shared" si="45"/>
        <v>5.1798999783127857E-17</v>
      </c>
      <c r="BE72" s="1">
        <f t="shared" si="46"/>
        <v>1</v>
      </c>
      <c r="BF72" s="1">
        <f t="shared" si="47"/>
        <v>157.50425998645221</v>
      </c>
      <c r="BG72" s="1">
        <f t="shared" si="48"/>
        <v>0.31745173117413311</v>
      </c>
    </row>
    <row r="73" spans="1:59" ht="15" customHeight="1" x14ac:dyDescent="0.3">
      <c r="A73" s="2">
        <v>7.2</v>
      </c>
      <c r="B73" s="1">
        <f t="shared" si="50"/>
        <v>6.3095734448019177E-8</v>
      </c>
      <c r="C73" s="1">
        <f t="shared" si="51"/>
        <v>1.6007421243857284E-7</v>
      </c>
      <c r="D73" s="1">
        <f t="shared" si="52"/>
        <v>1.8432479714267776E-5</v>
      </c>
      <c r="E73" s="1">
        <f t="shared" si="53"/>
        <v>3.3302612533809553E-3</v>
      </c>
      <c r="F73" s="1">
        <f t="shared" si="54"/>
        <v>0.99888843739701583</v>
      </c>
      <c r="G73" s="1">
        <f t="shared" si="55"/>
        <v>0.9988942550333606</v>
      </c>
      <c r="H73" s="1">
        <f t="shared" si="63"/>
        <v>9.988942550333606</v>
      </c>
      <c r="J73" s="2">
        <v>9.5</v>
      </c>
      <c r="K73" s="1">
        <v>3.1622776601683744E-10</v>
      </c>
      <c r="L73" s="1">
        <v>3.193900436770068E-5</v>
      </c>
      <c r="M73" s="1">
        <v>-3.1936053750555338E-5</v>
      </c>
      <c r="N73" s="1">
        <v>3.3386560089584258E-3</v>
      </c>
      <c r="O73" s="1">
        <v>0.99999984188614188</v>
      </c>
      <c r="P73" s="1">
        <v>1.0019167753674449</v>
      </c>
      <c r="Q73" s="2">
        <v>10.019167753674449</v>
      </c>
      <c r="S73" s="2">
        <v>7.2</v>
      </c>
      <c r="T73" s="1">
        <f t="shared" si="56"/>
        <v>6.3095734448019177E-8</v>
      </c>
      <c r="U73" s="1">
        <f t="shared" si="57"/>
        <v>1.6007421243857284E-7</v>
      </c>
      <c r="V73" s="1">
        <f t="shared" si="58"/>
        <v>9.9637451694202767E-2</v>
      </c>
      <c r="W73" s="1">
        <f t="shared" si="59"/>
        <v>1.2084943526574435E-4</v>
      </c>
      <c r="X73" s="1">
        <f t="shared" si="60"/>
        <v>2.4208841148760586E-3</v>
      </c>
      <c r="Y73" s="1">
        <f t="shared" si="61"/>
        <v>2.4199131566986789E-3</v>
      </c>
      <c r="Z73" s="1">
        <f t="shared" si="62"/>
        <v>0.12099565783493395</v>
      </c>
      <c r="AB73">
        <v>8.6</v>
      </c>
      <c r="AC73">
        <v>2.5118864315095812E-9</v>
      </c>
      <c r="AD73">
        <v>4.02088242259032E-6</v>
      </c>
      <c r="AE73">
        <v>9.9991537711968434E-2</v>
      </c>
      <c r="AF73">
        <v>2.820762677190702E-6</v>
      </c>
      <c r="AG73">
        <v>9.6601683809644575E-5</v>
      </c>
      <c r="AH73">
        <v>5.6416844929119451E-5</v>
      </c>
      <c r="AI73">
        <v>2.8208422464559724E-3</v>
      </c>
      <c r="AJ73" s="25"/>
      <c r="AK73" s="2">
        <v>0.72</v>
      </c>
      <c r="AL73" s="1">
        <f t="shared" si="64"/>
        <v>0.19054607179632471</v>
      </c>
      <c r="AM73" s="1">
        <f t="shared" si="39"/>
        <v>5.3005553485227029E-14</v>
      </c>
      <c r="AN73" s="1">
        <f t="shared" si="40"/>
        <v>6.3867603118627631E-2</v>
      </c>
      <c r="AO73" s="1">
        <f t="shared" si="41"/>
        <v>2.0781280642655E-8</v>
      </c>
      <c r="AP73" s="1">
        <f t="shared" si="42"/>
        <v>10.451514634919878</v>
      </c>
      <c r="AQ73" s="1">
        <f t="shared" si="43"/>
        <v>104.51514634919877</v>
      </c>
      <c r="AR73" s="25"/>
      <c r="BA73" s="2">
        <v>0.72</v>
      </c>
      <c r="BB73" s="1">
        <f t="shared" si="49"/>
        <v>0.19054607179632471</v>
      </c>
      <c r="BC73" s="1">
        <f t="shared" si="44"/>
        <v>5.3005553485227029E-14</v>
      </c>
      <c r="BD73" s="1">
        <f t="shared" si="45"/>
        <v>5.3005553485227025E-17</v>
      </c>
      <c r="BE73" s="1">
        <f t="shared" si="46"/>
        <v>1</v>
      </c>
      <c r="BF73" s="1">
        <f t="shared" si="47"/>
        <v>82.620909188257613</v>
      </c>
      <c r="BG73" s="1">
        <f t="shared" si="48"/>
        <v>0.60517368413450223</v>
      </c>
    </row>
    <row r="74" spans="1:59" ht="15" customHeight="1" x14ac:dyDescent="0.3">
      <c r="A74" s="2">
        <v>7.3</v>
      </c>
      <c r="B74" s="1">
        <f t="shared" si="50"/>
        <v>5.0118723362727164E-8</v>
      </c>
      <c r="C74" s="1">
        <f t="shared" si="51"/>
        <v>2.0152149381185708E-7</v>
      </c>
      <c r="D74" s="1">
        <f t="shared" si="52"/>
        <v>1.4569866165861329E-5</v>
      </c>
      <c r="E74" s="1">
        <f t="shared" si="53"/>
        <v>3.3309050223056902E-3</v>
      </c>
      <c r="F74" s="1">
        <f t="shared" si="54"/>
        <v>0.99911685253722482</v>
      </c>
      <c r="G74" s="1">
        <f t="shared" si="55"/>
        <v>0.99912593538009375</v>
      </c>
      <c r="H74" s="1">
        <f t="shared" si="63"/>
        <v>9.9912593538009364</v>
      </c>
      <c r="J74" s="2">
        <v>9.6</v>
      </c>
      <c r="K74" s="1">
        <v>2.5118864315095784E-10</v>
      </c>
      <c r="L74" s="1">
        <v>4.0208824225903246E-5</v>
      </c>
      <c r="M74" s="1">
        <v>-4.0206480640444851E-5</v>
      </c>
      <c r="N74" s="1">
        <v>3.3400344134400738E-3</v>
      </c>
      <c r="O74" s="1">
        <v>0.99999987440569416</v>
      </c>
      <c r="P74" s="1">
        <v>1.0024133591652122</v>
      </c>
      <c r="Q74" s="2">
        <v>10.024133591652122</v>
      </c>
      <c r="S74" s="2">
        <v>7.3</v>
      </c>
      <c r="T74" s="1">
        <f t="shared" si="56"/>
        <v>5.0118723362727164E-8</v>
      </c>
      <c r="U74" s="1">
        <f t="shared" si="57"/>
        <v>2.0152149381185708E-7</v>
      </c>
      <c r="V74" s="1">
        <f t="shared" si="58"/>
        <v>9.9711914051375181E-2</v>
      </c>
      <c r="W74" s="1">
        <f t="shared" si="59"/>
        <v>9.6028649541608755E-5</v>
      </c>
      <c r="X74" s="1">
        <f t="shared" si="60"/>
        <v>1.9239345469001187E-3</v>
      </c>
      <c r="Y74" s="1">
        <f t="shared" si="61"/>
        <v>1.9224190638977663E-3</v>
      </c>
      <c r="Z74" s="1">
        <f t="shared" si="62"/>
        <v>9.6120953194888323E-2</v>
      </c>
      <c r="AB74">
        <v>8.6999999999999993</v>
      </c>
      <c r="AC74">
        <v>1.9952623149688824E-9</v>
      </c>
      <c r="AD74">
        <v>5.0619910596354431E-6</v>
      </c>
      <c r="AE74">
        <v>9.9996079898666324E-2</v>
      </c>
      <c r="AF74">
        <v>1.3067004445608786E-6</v>
      </c>
      <c r="AG74">
        <v>7.6734969560610699E-5</v>
      </c>
      <c r="AH74">
        <v>2.6134350388890283E-5</v>
      </c>
      <c r="AI74">
        <v>1.3067175194445143E-3</v>
      </c>
      <c r="AJ74" s="25"/>
      <c r="AK74" s="2">
        <v>0.73</v>
      </c>
      <c r="AL74" s="1">
        <f t="shared" si="64"/>
        <v>0.18620871366628672</v>
      </c>
      <c r="AM74" s="1">
        <f t="shared" si="39"/>
        <v>5.4240211433395528E-14</v>
      </c>
      <c r="AN74" s="1">
        <f t="shared" si="40"/>
        <v>6.5258188149886875E-2</v>
      </c>
      <c r="AO74" s="1">
        <f t="shared" si="41"/>
        <v>2.1728347646201051E-8</v>
      </c>
      <c r="AP74" s="1">
        <f t="shared" si="42"/>
        <v>10.724179794050599</v>
      </c>
      <c r="AQ74" s="1">
        <f t="shared" si="43"/>
        <v>107.24179794050599</v>
      </c>
      <c r="AR74" s="25"/>
      <c r="BA74" s="2">
        <v>0.73</v>
      </c>
      <c r="BB74" s="1">
        <f t="shared" si="49"/>
        <v>0.18620871366628672</v>
      </c>
      <c r="BC74" s="1">
        <f t="shared" si="44"/>
        <v>5.4240211433395528E-14</v>
      </c>
      <c r="BD74" s="1">
        <f t="shared" si="45"/>
        <v>5.4240211433395536E-17</v>
      </c>
      <c r="BE74" s="1">
        <f t="shared" si="46"/>
        <v>1</v>
      </c>
      <c r="BF74" s="1">
        <f t="shared" si="47"/>
        <v>56.007641973267283</v>
      </c>
      <c r="BG74" s="1">
        <f t="shared" si="48"/>
        <v>0.89273531679596929</v>
      </c>
    </row>
    <row r="75" spans="1:59" ht="15" customHeight="1" x14ac:dyDescent="0.3">
      <c r="A75" s="2">
        <v>7.4</v>
      </c>
      <c r="B75" s="1">
        <f t="shared" si="50"/>
        <v>3.981071705534957E-8</v>
      </c>
      <c r="C75" s="1">
        <f t="shared" si="51"/>
        <v>2.5370052958246857E-7</v>
      </c>
      <c r="D75" s="1">
        <f t="shared" si="52"/>
        <v>1.1481392969538492E-5</v>
      </c>
      <c r="E75" s="1">
        <f t="shared" si="53"/>
        <v>3.33141976783841E-3</v>
      </c>
      <c r="F75" s="1">
        <f t="shared" si="54"/>
        <v>0.99929836359070934</v>
      </c>
      <c r="G75" s="1">
        <f t="shared" si="55"/>
        <v>0.99931119550617842</v>
      </c>
      <c r="H75" s="1">
        <f t="shared" si="63"/>
        <v>9.9931119550617833</v>
      </c>
      <c r="J75" s="2">
        <v>9.6999999999999993</v>
      </c>
      <c r="K75" s="1">
        <v>1.9952623149688802E-10</v>
      </c>
      <c r="L75" s="1">
        <v>5.0619910596354482E-5</v>
      </c>
      <c r="M75" s="1">
        <v>-5.0618049193328348E-5</v>
      </c>
      <c r="N75" s="1">
        <v>3.341769674865555E-3</v>
      </c>
      <c r="O75" s="1">
        <v>0.99999990023689422</v>
      </c>
      <c r="P75" s="1">
        <v>1.0030386210422937</v>
      </c>
      <c r="Q75" s="2">
        <v>10.030386210422936</v>
      </c>
      <c r="S75" s="2">
        <v>7.4</v>
      </c>
      <c r="T75" s="1">
        <f t="shared" si="56"/>
        <v>3.981071705534957E-8</v>
      </c>
      <c r="U75" s="1">
        <f t="shared" si="57"/>
        <v>2.5370052958246857E-7</v>
      </c>
      <c r="V75" s="1">
        <f t="shared" si="58"/>
        <v>9.9771169683289807E-2</v>
      </c>
      <c r="W75" s="1">
        <f t="shared" si="59"/>
        <v>7.6276772236734804E-5</v>
      </c>
      <c r="X75" s="1">
        <f t="shared" si="60"/>
        <v>1.5288404930407066E-3</v>
      </c>
      <c r="Y75" s="1">
        <f t="shared" si="61"/>
        <v>1.5266999621875918E-3</v>
      </c>
      <c r="Z75" s="1">
        <f t="shared" si="62"/>
        <v>7.6334998109379604E-2</v>
      </c>
      <c r="AB75"/>
      <c r="AC75"/>
      <c r="AD75"/>
      <c r="AE75"/>
      <c r="AF75"/>
      <c r="AG75"/>
      <c r="AH75"/>
      <c r="AI75"/>
      <c r="AJ75" s="25"/>
      <c r="AK75" s="2">
        <v>0.74</v>
      </c>
      <c r="AL75" s="1">
        <f t="shared" si="64"/>
        <v>0.18197008586099833</v>
      </c>
      <c r="AM75" s="1">
        <f t="shared" si="39"/>
        <v>5.5503628259620082E-14</v>
      </c>
      <c r="AN75" s="1">
        <f t="shared" si="40"/>
        <v>6.6676893777111376E-2</v>
      </c>
      <c r="AO75" s="1">
        <f t="shared" si="41"/>
        <v>2.2717840652879192E-8</v>
      </c>
      <c r="AP75" s="1">
        <f t="shared" si="42"/>
        <v>11.018443202751167</v>
      </c>
      <c r="AQ75" s="1">
        <f t="shared" si="43"/>
        <v>110.18443202751166</v>
      </c>
      <c r="AR75" s="25"/>
      <c r="BA75" s="2">
        <v>0.74</v>
      </c>
      <c r="BB75" s="1">
        <f t="shared" si="49"/>
        <v>0.18197008586099833</v>
      </c>
      <c r="BC75" s="1">
        <f t="shared" si="44"/>
        <v>5.5503628259620082E-14</v>
      </c>
      <c r="BD75" s="1">
        <f t="shared" si="45"/>
        <v>5.5503628259620077E-17</v>
      </c>
      <c r="BE75" s="1">
        <f t="shared" si="46"/>
        <v>1</v>
      </c>
      <c r="BF75" s="1">
        <f t="shared" si="47"/>
        <v>42.370704920164037</v>
      </c>
      <c r="BG75" s="1">
        <f t="shared" si="48"/>
        <v>1.1800606124965651</v>
      </c>
    </row>
    <row r="76" spans="1:59" ht="15" customHeight="1" x14ac:dyDescent="0.3">
      <c r="A76" s="2">
        <v>7.5</v>
      </c>
      <c r="B76" s="1">
        <f t="shared" si="50"/>
        <v>3.1622776601683699E-8</v>
      </c>
      <c r="C76" s="1">
        <f t="shared" si="51"/>
        <v>3.1939004367700723E-7</v>
      </c>
      <c r="D76" s="1">
        <f t="shared" si="52"/>
        <v>9.0032366231847015E-6</v>
      </c>
      <c r="E76" s="1">
        <f t="shared" si="53"/>
        <v>3.3318327938961357E-3</v>
      </c>
      <c r="F76" s="1">
        <f t="shared" si="54"/>
        <v>0.99944258995153001</v>
      </c>
      <c r="G76" s="1">
        <f t="shared" si="55"/>
        <v>0.99945985443319241</v>
      </c>
      <c r="H76" s="1">
        <f t="shared" si="63"/>
        <v>9.9945985443319234</v>
      </c>
      <c r="J76" s="2">
        <v>9.8000000000000007</v>
      </c>
      <c r="K76" s="1">
        <v>1.5848931924611098E-10</v>
      </c>
      <c r="L76" s="1">
        <v>6.3726691792499661E-5</v>
      </c>
      <c r="M76" s="1">
        <v>-6.3725213400602477E-5</v>
      </c>
      <c r="N76" s="1">
        <v>3.3439542022334332E-3</v>
      </c>
      <c r="O76" s="1">
        <v>0.99999992075534661</v>
      </c>
      <c r="P76" s="1">
        <v>1.0038259508994114</v>
      </c>
      <c r="Q76" s="2">
        <v>10.038259508994113</v>
      </c>
      <c r="S76" s="2">
        <v>7.5</v>
      </c>
      <c r="T76" s="1">
        <f t="shared" si="56"/>
        <v>3.1622776601683699E-8</v>
      </c>
      <c r="U76" s="1">
        <f t="shared" si="57"/>
        <v>3.1939004367700723E-7</v>
      </c>
      <c r="V76" s="1">
        <f t="shared" si="58"/>
        <v>9.9818324527211469E-2</v>
      </c>
      <c r="W76" s="1">
        <f t="shared" si="59"/>
        <v>6.0558490929507975E-5</v>
      </c>
      <c r="X76" s="1">
        <f t="shared" si="60"/>
        <v>1.2147831456019553E-3</v>
      </c>
      <c r="Y76" s="1">
        <f t="shared" si="61"/>
        <v>1.2119037292000815E-3</v>
      </c>
      <c r="Z76" s="1">
        <f t="shared" si="62"/>
        <v>6.0595186460004072E-2</v>
      </c>
      <c r="AB76"/>
      <c r="AC76"/>
      <c r="AD76"/>
      <c r="AE76"/>
      <c r="AF76"/>
      <c r="AG76"/>
      <c r="AH76"/>
      <c r="AI76"/>
      <c r="AJ76" s="25"/>
      <c r="AK76" s="2">
        <v>0.75</v>
      </c>
      <c r="AL76" s="1">
        <f t="shared" si="64"/>
        <v>0.17782794100389224</v>
      </c>
      <c r="AM76" s="1">
        <f t="shared" si="39"/>
        <v>5.6796473844225264E-14</v>
      </c>
      <c r="AN76" s="1">
        <f t="shared" si="40"/>
        <v>6.8124194092540682E-2</v>
      </c>
      <c r="AO76" s="1">
        <f t="shared" si="41"/>
        <v>2.375161074178481E-8</v>
      </c>
      <c r="AP76" s="1">
        <f t="shared" si="42"/>
        <v>11.336896100285102</v>
      </c>
      <c r="AQ76" s="1">
        <f t="shared" si="43"/>
        <v>113.36896100285102</v>
      </c>
      <c r="AR76" s="25"/>
      <c r="BA76" s="2">
        <v>0.75</v>
      </c>
      <c r="BB76" s="1">
        <f t="shared" si="49"/>
        <v>0.17782794100389224</v>
      </c>
      <c r="BC76" s="1">
        <f t="shared" si="44"/>
        <v>5.6796473844225264E-14</v>
      </c>
      <c r="BD76" s="1">
        <f t="shared" si="45"/>
        <v>5.6796473844225256E-17</v>
      </c>
      <c r="BE76" s="1">
        <f t="shared" si="46"/>
        <v>1</v>
      </c>
      <c r="BF76" s="1">
        <f t="shared" si="47"/>
        <v>34.081448283102077</v>
      </c>
      <c r="BG76" s="1">
        <f t="shared" si="48"/>
        <v>1.4670738046302596</v>
      </c>
    </row>
    <row r="77" spans="1:59" ht="15" customHeight="1" x14ac:dyDescent="0.3">
      <c r="A77" s="2">
        <v>7.6</v>
      </c>
      <c r="B77" s="1">
        <f t="shared" si="50"/>
        <v>2.5118864315095751E-8</v>
      </c>
      <c r="C77" s="1">
        <f t="shared" si="51"/>
        <v>4.02088242259033E-7</v>
      </c>
      <c r="D77" s="1">
        <f t="shared" si="52"/>
        <v>7.0038359578231878E-6</v>
      </c>
      <c r="E77" s="1">
        <f t="shared" si="53"/>
        <v>3.3321660273403627E-3</v>
      </c>
      <c r="F77" s="1">
        <f t="shared" si="54"/>
        <v>0.99955718269405169</v>
      </c>
      <c r="G77" s="1">
        <f t="shared" si="55"/>
        <v>0.99957979927270035</v>
      </c>
      <c r="H77" s="1">
        <f t="shared" si="63"/>
        <v>9.9957979927270024</v>
      </c>
      <c r="J77" s="2">
        <v>9.9</v>
      </c>
      <c r="K77" s="1">
        <v>1.2589254117941656E-10</v>
      </c>
      <c r="L77" s="1">
        <v>8.0227151707152526E-5</v>
      </c>
      <c r="M77" s="1">
        <v>-8.0225977551821499E-5</v>
      </c>
      <c r="N77" s="1">
        <v>3.3467043295919699E-3</v>
      </c>
      <c r="O77" s="1">
        <v>0.99999993705373336</v>
      </c>
      <c r="P77" s="1">
        <v>1.0048174234781875</v>
      </c>
      <c r="Q77" s="2">
        <v>10.048174234781873</v>
      </c>
      <c r="S77" s="2">
        <v>7.6</v>
      </c>
      <c r="T77" s="1">
        <f t="shared" si="56"/>
        <v>2.5118864315095751E-8</v>
      </c>
      <c r="U77" s="1">
        <f t="shared" si="57"/>
        <v>4.02088242259033E-7</v>
      </c>
      <c r="V77" s="1">
        <f t="shared" si="58"/>
        <v>9.9855858360517927E-2</v>
      </c>
      <c r="W77" s="1">
        <f t="shared" si="59"/>
        <v>4.8047213160693689E-5</v>
      </c>
      <c r="X77" s="1">
        <f t="shared" si="60"/>
        <v>9.651776979792406E-4</v>
      </c>
      <c r="Y77" s="1">
        <f t="shared" si="61"/>
        <v>9.6140619209633031E-4</v>
      </c>
      <c r="Z77" s="1">
        <f t="shared" si="62"/>
        <v>4.8070309604816515E-2</v>
      </c>
      <c r="AB77"/>
      <c r="AC77"/>
      <c r="AD77"/>
      <c r="AE77"/>
      <c r="AF77"/>
      <c r="AG77"/>
      <c r="AH77"/>
      <c r="AI77"/>
      <c r="AJ77" s="25"/>
      <c r="AK77" s="2">
        <v>0.76</v>
      </c>
      <c r="AL77" s="1">
        <f t="shared" si="64"/>
        <v>0.17378008287493749</v>
      </c>
      <c r="AM77" s="1">
        <f t="shared" si="39"/>
        <v>5.8119433671052863E-14</v>
      </c>
      <c r="AN77" s="1">
        <f t="shared" si="40"/>
        <v>6.9600567025627655E-2</v>
      </c>
      <c r="AO77" s="1">
        <f t="shared" si="41"/>
        <v>2.4831586475271825E-8</v>
      </c>
      <c r="AP77" s="1">
        <f t="shared" si="42"/>
        <v>11.682561459943686</v>
      </c>
      <c r="AQ77" s="1">
        <f t="shared" si="43"/>
        <v>116.82561459943686</v>
      </c>
      <c r="AR77" s="25"/>
      <c r="BA77" s="2">
        <v>0.76</v>
      </c>
      <c r="BB77" s="1">
        <f t="shared" si="49"/>
        <v>0.17378008287493749</v>
      </c>
      <c r="BC77" s="1">
        <f t="shared" si="44"/>
        <v>5.8119433671052863E-14</v>
      </c>
      <c r="BD77" s="1">
        <f t="shared" si="45"/>
        <v>5.8119433671052858E-17</v>
      </c>
      <c r="BE77" s="1">
        <f t="shared" si="46"/>
        <v>0.99999999999999989</v>
      </c>
      <c r="BF77" s="1">
        <f t="shared" si="47"/>
        <v>28.511156697499249</v>
      </c>
      <c r="BG77" s="1">
        <f t="shared" si="48"/>
        <v>1.7536994563389834</v>
      </c>
    </row>
    <row r="78" spans="1:59" ht="15" customHeight="1" x14ac:dyDescent="0.3">
      <c r="A78" s="2">
        <v>7.7</v>
      </c>
      <c r="B78" s="1">
        <f t="shared" si="50"/>
        <v>1.9952623149688773E-8</v>
      </c>
      <c r="C78" s="1">
        <f t="shared" si="51"/>
        <v>5.0619910596354556E-7</v>
      </c>
      <c r="D78" s="1">
        <f t="shared" si="52"/>
        <v>5.3769742106361994E-6</v>
      </c>
      <c r="E78" s="1">
        <f t="shared" si="53"/>
        <v>3.3324371709648939E-3</v>
      </c>
      <c r="F78" s="1">
        <f t="shared" si="54"/>
        <v>0.99964822567320788</v>
      </c>
      <c r="G78" s="1">
        <f t="shared" si="55"/>
        <v>0.99967739889354013</v>
      </c>
      <c r="H78" s="1">
        <f t="shared" si="63"/>
        <v>9.9967739889354004</v>
      </c>
      <c r="J78" s="2">
        <v>10</v>
      </c>
      <c r="K78" s="1">
        <v>1E-10</v>
      </c>
      <c r="L78" s="1">
        <v>1.0099999999999999E-4</v>
      </c>
      <c r="M78" s="1">
        <v>-1.0099906750836668E-4</v>
      </c>
      <c r="N78" s="1">
        <v>3.3501665112513944E-3</v>
      </c>
      <c r="O78" s="1">
        <v>0.99999995000000252</v>
      </c>
      <c r="P78" s="1">
        <v>1.006066070725369</v>
      </c>
      <c r="Q78" s="2">
        <v>10.060660707253689</v>
      </c>
      <c r="S78" s="2">
        <v>7.7</v>
      </c>
      <c r="T78" s="1">
        <f t="shared" si="56"/>
        <v>1.9952623149688773E-8</v>
      </c>
      <c r="U78" s="1">
        <f t="shared" si="57"/>
        <v>5.0619910596354556E-7</v>
      </c>
      <c r="V78" s="1">
        <f t="shared" si="58"/>
        <v>9.9885750156512465E-2</v>
      </c>
      <c r="W78" s="1">
        <f t="shared" si="59"/>
        <v>3.8083281162516725E-5</v>
      </c>
      <c r="X78" s="1">
        <f t="shared" si="60"/>
        <v>7.6682011834015124E-4</v>
      </c>
      <c r="Y78" s="1">
        <f t="shared" si="61"/>
        <v>7.6195580102037116E-4</v>
      </c>
      <c r="Z78" s="1">
        <f t="shared" si="62"/>
        <v>3.8097790051018557E-2</v>
      </c>
      <c r="AB78"/>
      <c r="AC78"/>
      <c r="AD78"/>
      <c r="AE78"/>
      <c r="AF78"/>
      <c r="AG78"/>
      <c r="AH78"/>
      <c r="AI78"/>
      <c r="AJ78" s="25"/>
      <c r="AK78" s="2">
        <v>0.77</v>
      </c>
      <c r="AL78" s="1">
        <f t="shared" si="64"/>
        <v>0.16982436524617442</v>
      </c>
      <c r="AM78" s="1">
        <f t="shared" si="39"/>
        <v>5.9473209190914482E-14</v>
      </c>
      <c r="AN78" s="1">
        <f t="shared" si="40"/>
        <v>7.1106494175534538E-2</v>
      </c>
      <c r="AO78" s="1">
        <f t="shared" si="41"/>
        <v>2.5959776928902444E-8</v>
      </c>
      <c r="AP78" s="1">
        <f t="shared" si="42"/>
        <v>12.058987842612947</v>
      </c>
      <c r="AQ78" s="1">
        <f t="shared" si="43"/>
        <v>120.58987842612946</v>
      </c>
      <c r="AR78" s="25"/>
      <c r="BA78" s="2">
        <v>0.77</v>
      </c>
      <c r="BB78" s="1">
        <f t="shared" si="49"/>
        <v>0.16982436524617442</v>
      </c>
      <c r="BC78" s="1">
        <f t="shared" si="44"/>
        <v>5.9473209190914482E-14</v>
      </c>
      <c r="BD78" s="1">
        <f t="shared" si="45"/>
        <v>5.9473209190914485E-17</v>
      </c>
      <c r="BE78" s="1">
        <f t="shared" si="46"/>
        <v>1</v>
      </c>
      <c r="BF78" s="1">
        <f t="shared" si="47"/>
        <v>24.51145556754199</v>
      </c>
      <c r="BG78" s="1">
        <f t="shared" si="48"/>
        <v>2.0398625394654193</v>
      </c>
    </row>
    <row r="79" spans="1:59" ht="15" customHeight="1" x14ac:dyDescent="0.3">
      <c r="A79" s="2">
        <v>7.8</v>
      </c>
      <c r="B79" s="1">
        <f t="shared" si="50"/>
        <v>1.5848931924611133E-8</v>
      </c>
      <c r="C79" s="1">
        <f t="shared" si="51"/>
        <v>6.3726691792499521E-7</v>
      </c>
      <c r="D79" s="1">
        <f t="shared" si="52"/>
        <v>4.0361782927128689E-6</v>
      </c>
      <c r="E79" s="1">
        <f t="shared" si="53"/>
        <v>3.3326606369512147E-3</v>
      </c>
      <c r="F79" s="1">
        <f t="shared" si="54"/>
        <v>0.99972055550215533</v>
      </c>
      <c r="G79" s="1">
        <f t="shared" si="55"/>
        <v>0.99975783907648386</v>
      </c>
      <c r="H79" s="1">
        <f t="shared" si="63"/>
        <v>9.9975783907648381</v>
      </c>
      <c r="J79" s="2">
        <v>10.1</v>
      </c>
      <c r="K79" s="1">
        <v>7.943282347242792E-11</v>
      </c>
      <c r="L79" s="1">
        <v>1.2715146659121124E-4</v>
      </c>
      <c r="M79" s="1">
        <v>-1.2715072605987504E-4</v>
      </c>
      <c r="N79" s="1">
        <v>3.3545251210099791E-3</v>
      </c>
      <c r="O79" s="1">
        <v>0.99999996028358973</v>
      </c>
      <c r="P79" s="1">
        <v>1.007638756297687</v>
      </c>
      <c r="Q79" s="2">
        <v>10.076387562976869</v>
      </c>
      <c r="S79" s="2">
        <v>7.8</v>
      </c>
      <c r="T79" s="1">
        <f t="shared" si="56"/>
        <v>1.5848931924611133E-8</v>
      </c>
      <c r="U79" s="1">
        <f t="shared" si="57"/>
        <v>6.3726691792499521E-7</v>
      </c>
      <c r="V79" s="1">
        <f t="shared" si="58"/>
        <v>9.9909579226730744E-2</v>
      </c>
      <c r="W79" s="1">
        <f t="shared" si="59"/>
        <v>3.0140257756415993E-5</v>
      </c>
      <c r="X79" s="1">
        <f t="shared" si="60"/>
        <v>6.092029503278122E-4</v>
      </c>
      <c r="Y79" s="1">
        <f t="shared" si="61"/>
        <v>6.0298689693329295E-4</v>
      </c>
      <c r="Z79" s="1">
        <f t="shared" si="62"/>
        <v>3.0149344846664646E-2</v>
      </c>
      <c r="AB79"/>
      <c r="AC79"/>
      <c r="AD79"/>
      <c r="AE79"/>
      <c r="AF79"/>
      <c r="AG79"/>
      <c r="AH79"/>
      <c r="AI79"/>
      <c r="AJ79" s="25"/>
      <c r="AK79" s="2">
        <v>0.78</v>
      </c>
      <c r="AL79" s="1">
        <f t="shared" si="64"/>
        <v>0.16595869074375599</v>
      </c>
      <c r="AM79" s="1">
        <f t="shared" si="39"/>
        <v>6.0858518193510149E-14</v>
      </c>
      <c r="AN79" s="1">
        <f t="shared" si="40"/>
        <v>7.2642460632530131E-2</v>
      </c>
      <c r="AO79" s="1">
        <f t="shared" si="41"/>
        <v>2.713827482629932E-8</v>
      </c>
      <c r="AP79" s="1">
        <f t="shared" si="42"/>
        <v>12.470368846825421</v>
      </c>
      <c r="AQ79" s="1">
        <f t="shared" si="43"/>
        <v>124.7036884682542</v>
      </c>
      <c r="AR79" s="25"/>
      <c r="BA79" s="2">
        <v>0.78</v>
      </c>
      <c r="BB79" s="1">
        <f t="shared" si="49"/>
        <v>0.16595869074375599</v>
      </c>
      <c r="BC79" s="1">
        <f t="shared" si="44"/>
        <v>6.0858518193510149E-14</v>
      </c>
      <c r="BD79" s="1">
        <f t="shared" si="45"/>
        <v>6.0858518193510154E-17</v>
      </c>
      <c r="BE79" s="1">
        <f t="shared" si="46"/>
        <v>1</v>
      </c>
      <c r="BF79" s="1">
        <f t="shared" si="47"/>
        <v>21.500858735385737</v>
      </c>
      <c r="BG79" s="1">
        <f t="shared" si="48"/>
        <v>2.3254885125918658</v>
      </c>
    </row>
    <row r="80" spans="1:59" ht="15" customHeight="1" x14ac:dyDescent="0.3">
      <c r="A80" s="2">
        <v>7.9</v>
      </c>
      <c r="B80" s="1">
        <f t="shared" si="50"/>
        <v>1.2589254117941638E-8</v>
      </c>
      <c r="C80" s="1">
        <f t="shared" si="51"/>
        <v>8.0227151707152647E-7</v>
      </c>
      <c r="D80" s="1">
        <f t="shared" si="52"/>
        <v>2.9101489531162929E-6</v>
      </c>
      <c r="E80" s="1">
        <f t="shared" si="53"/>
        <v>3.3328483085078137E-3</v>
      </c>
      <c r="F80" s="1">
        <f t="shared" si="54"/>
        <v>0.99977801658708376</v>
      </c>
      <c r="G80" s="1">
        <f t="shared" si="55"/>
        <v>0.99982539614404531</v>
      </c>
      <c r="H80" s="1">
        <f t="shared" si="63"/>
        <v>9.9982539614404526</v>
      </c>
      <c r="J80" s="2">
        <v>10.199999999999999</v>
      </c>
      <c r="K80" s="1">
        <v>6.3095734448019192E-11</v>
      </c>
      <c r="L80" s="1">
        <v>1.600742124385728E-4</v>
      </c>
      <c r="M80" s="1">
        <v>-1.6007362438673093E-4</v>
      </c>
      <c r="N80" s="1">
        <v>3.3600122707311219E-3</v>
      </c>
      <c r="O80" s="1">
        <v>0.99999996845213379</v>
      </c>
      <c r="P80" s="1">
        <v>1.0096198162517374</v>
      </c>
      <c r="Q80" s="2">
        <v>10.096198162517373</v>
      </c>
      <c r="S80" s="2">
        <v>7.9</v>
      </c>
      <c r="T80" s="1">
        <f t="shared" si="56"/>
        <v>1.2589254117941638E-8</v>
      </c>
      <c r="U80" s="1">
        <f t="shared" si="57"/>
        <v>8.0227151707152647E-7</v>
      </c>
      <c r="V80" s="1">
        <f t="shared" si="58"/>
        <v>9.9928606637945991E-2</v>
      </c>
      <c r="W80" s="1">
        <f t="shared" si="59"/>
        <v>2.3797787351335726E-5</v>
      </c>
      <c r="X80" s="1">
        <f t="shared" si="60"/>
        <v>4.8396774327064297E-4</v>
      </c>
      <c r="Y80" s="1">
        <f t="shared" si="61"/>
        <v>4.7606904092471931E-4</v>
      </c>
      <c r="Z80" s="1">
        <f t="shared" si="62"/>
        <v>2.3803452046235966E-2</v>
      </c>
      <c r="AB80"/>
      <c r="AC80"/>
      <c r="AD80"/>
      <c r="AE80"/>
      <c r="AF80"/>
      <c r="AG80"/>
      <c r="AH80"/>
      <c r="AI80"/>
      <c r="AJ80" s="25"/>
      <c r="AK80" s="2">
        <v>0.79</v>
      </c>
      <c r="AL80" s="1">
        <f t="shared" si="64"/>
        <v>0.16218100973589297</v>
      </c>
      <c r="AM80" s="1">
        <f t="shared" si="39"/>
        <v>6.2276095188009702E-14</v>
      </c>
      <c r="AN80" s="1">
        <f t="shared" si="40"/>
        <v>7.4208954787957498E-2</v>
      </c>
      <c r="AO80" s="1">
        <f t="shared" si="41"/>
        <v>2.8369259781683966E-8</v>
      </c>
      <c r="AP80" s="1">
        <f t="shared" si="42"/>
        <v>12.921696687461681</v>
      </c>
      <c r="AQ80" s="1">
        <f t="shared" si="43"/>
        <v>129.21696687461682</v>
      </c>
      <c r="AR80" s="25"/>
      <c r="BA80" s="2">
        <v>0.79</v>
      </c>
      <c r="BB80" s="1">
        <f t="shared" si="49"/>
        <v>0.16218100973589297</v>
      </c>
      <c r="BC80" s="1">
        <f t="shared" si="44"/>
        <v>6.2276095188009702E-14</v>
      </c>
      <c r="BD80" s="1">
        <f t="shared" si="45"/>
        <v>6.2276095188009699E-17</v>
      </c>
      <c r="BE80" s="1">
        <f t="shared" si="46"/>
        <v>1</v>
      </c>
      <c r="BF80" s="1">
        <f t="shared" si="47"/>
        <v>19.153393953987724</v>
      </c>
      <c r="BG80" s="1">
        <f t="shared" si="48"/>
        <v>2.6105033979938597</v>
      </c>
    </row>
    <row r="81" spans="1:59" ht="15" customHeight="1" x14ac:dyDescent="0.3">
      <c r="A81" s="2">
        <v>8</v>
      </c>
      <c r="B81" s="1">
        <f t="shared" si="50"/>
        <v>1E-8</v>
      </c>
      <c r="C81" s="1">
        <f t="shared" si="51"/>
        <v>1.0099999999999999E-6</v>
      </c>
      <c r="D81" s="1">
        <f t="shared" si="52"/>
        <v>1.9389860396756289E-6</v>
      </c>
      <c r="E81" s="1">
        <f t="shared" si="53"/>
        <v>3.333010168993387E-3</v>
      </c>
      <c r="F81" s="1">
        <f t="shared" si="54"/>
        <v>0.99982366425674485</v>
      </c>
      <c r="G81" s="1">
        <f t="shared" si="55"/>
        <v>0.99988366309337573</v>
      </c>
      <c r="H81" s="1">
        <f t="shared" si="63"/>
        <v>9.9988366309337575</v>
      </c>
      <c r="J81" s="2">
        <v>10.3</v>
      </c>
      <c r="K81" s="1">
        <v>5.0118723362726993E-11</v>
      </c>
      <c r="L81" s="1">
        <v>2.0152149381185778E-4</v>
      </c>
      <c r="M81" s="1">
        <v>-2.0152102687878075E-4</v>
      </c>
      <c r="N81" s="1">
        <v>3.3669201711464631E-3</v>
      </c>
      <c r="O81" s="1">
        <v>0.99999997494063897</v>
      </c>
      <c r="P81" s="1">
        <v>1.0121156772499342</v>
      </c>
      <c r="Q81" s="2">
        <v>10.121156772499342</v>
      </c>
      <c r="S81" s="2">
        <v>8</v>
      </c>
      <c r="T81" s="1">
        <f t="shared" si="56"/>
        <v>1E-8</v>
      </c>
      <c r="U81" s="1">
        <f t="shared" si="57"/>
        <v>1.0099999999999999E-6</v>
      </c>
      <c r="V81" s="1">
        <f t="shared" si="58"/>
        <v>9.9943840668844888E-2</v>
      </c>
      <c r="W81" s="1">
        <f t="shared" si="59"/>
        <v>1.8719777051700943E-5</v>
      </c>
      <c r="X81" s="1">
        <f t="shared" si="60"/>
        <v>3.8446751249519417E-4</v>
      </c>
      <c r="Y81" s="1">
        <f t="shared" si="61"/>
        <v>3.744656401669933E-4</v>
      </c>
      <c r="Z81" s="1">
        <f t="shared" si="62"/>
        <v>1.8723282008349666E-2</v>
      </c>
      <c r="AB81"/>
      <c r="AC81"/>
      <c r="AD81"/>
      <c r="AE81"/>
      <c r="AF81"/>
      <c r="AG81"/>
      <c r="AH81"/>
      <c r="AI81"/>
      <c r="AJ81" s="25"/>
      <c r="AK81" s="2">
        <v>0.8</v>
      </c>
      <c r="AL81" s="1">
        <f t="shared" si="64"/>
        <v>0.15848931924611132</v>
      </c>
      <c r="AM81" s="1">
        <f t="shared" si="39"/>
        <v>6.3726691792499529E-14</v>
      </c>
      <c r="AN81" s="1">
        <f t="shared" si="40"/>
        <v>7.5806468132444738E-2</v>
      </c>
      <c r="AO81" s="1">
        <f t="shared" si="41"/>
        <v>2.965500165290723E-8</v>
      </c>
      <c r="AP81" s="1">
        <f t="shared" si="42"/>
        <v>13.41896184813316</v>
      </c>
      <c r="AQ81" s="1">
        <f t="shared" si="43"/>
        <v>134.18961848133159</v>
      </c>
      <c r="AR81" s="25"/>
      <c r="BA81" s="2">
        <v>0.8</v>
      </c>
      <c r="BB81" s="1">
        <f t="shared" si="49"/>
        <v>0.15848931924611132</v>
      </c>
      <c r="BC81" s="1">
        <f t="shared" si="44"/>
        <v>6.3726691792499529E-14</v>
      </c>
      <c r="BD81" s="1">
        <f t="shared" si="45"/>
        <v>6.3726691792499515E-17</v>
      </c>
      <c r="BE81" s="1">
        <f t="shared" si="46"/>
        <v>1</v>
      </c>
      <c r="BF81" s="1">
        <f t="shared" si="47"/>
        <v>17.27214840782462</v>
      </c>
      <c r="BG81" s="1">
        <f t="shared" si="48"/>
        <v>2.8948338573416277</v>
      </c>
    </row>
    <row r="82" spans="1:59" ht="15" customHeight="1" x14ac:dyDescent="0.3">
      <c r="A82" s="2">
        <v>8.1</v>
      </c>
      <c r="B82" s="1">
        <f t="shared" si="50"/>
        <v>7.9432823472428087E-9</v>
      </c>
      <c r="C82" s="1">
        <f t="shared" si="51"/>
        <v>1.2715146659121098E-6</v>
      </c>
      <c r="D82" s="1">
        <f t="shared" si="52"/>
        <v>1.0710126156124348E-6</v>
      </c>
      <c r="E82" s="1">
        <f t="shared" si="53"/>
        <v>3.333154831230731E-3</v>
      </c>
      <c r="F82" s="1">
        <f t="shared" si="54"/>
        <v>0.99985992646025457</v>
      </c>
      <c r="G82" s="1">
        <f t="shared" si="55"/>
        <v>0.9999357399312967</v>
      </c>
      <c r="H82" s="1">
        <f t="shared" si="63"/>
        <v>9.9993573993129665</v>
      </c>
      <c r="J82" s="2">
        <v>10.4</v>
      </c>
      <c r="K82" s="1">
        <v>3.9810717055349579E-11</v>
      </c>
      <c r="L82" s="1">
        <v>2.5370052958246852E-4</v>
      </c>
      <c r="M82" s="1">
        <v>-2.5370015885744791E-4</v>
      </c>
      <c r="N82" s="1">
        <v>3.3756166931429078E-3</v>
      </c>
      <c r="O82" s="1">
        <v>0.99999998009464175</v>
      </c>
      <c r="P82" s="1">
        <v>1.0152607260175963</v>
      </c>
      <c r="Q82" s="2">
        <v>10.152607260175962</v>
      </c>
      <c r="S82" s="2">
        <v>8.1</v>
      </c>
      <c r="T82" s="1">
        <f t="shared" si="56"/>
        <v>7.9432823472428087E-9</v>
      </c>
      <c r="U82" s="1">
        <f t="shared" si="57"/>
        <v>1.2715146659121098E-6</v>
      </c>
      <c r="V82" s="1">
        <f t="shared" si="58"/>
        <v>9.9956089429935113E-2</v>
      </c>
      <c r="W82" s="1">
        <f t="shared" si="59"/>
        <v>1.4636856688293752E-5</v>
      </c>
      <c r="X82" s="1">
        <f t="shared" si="60"/>
        <v>3.0541755113078358E-4</v>
      </c>
      <c r="Y82" s="1">
        <f t="shared" si="61"/>
        <v>2.9277998755306516E-4</v>
      </c>
      <c r="Z82" s="1">
        <f t="shared" si="62"/>
        <v>1.4638999377653259E-2</v>
      </c>
      <c r="AB82"/>
      <c r="AC82"/>
      <c r="AD82"/>
      <c r="AE82"/>
      <c r="AF82"/>
      <c r="AG82"/>
      <c r="AH82"/>
      <c r="AI82"/>
      <c r="AJ82" s="25"/>
      <c r="AK82" s="2">
        <v>0.81</v>
      </c>
      <c r="AL82" s="1">
        <f t="shared" si="64"/>
        <v>0.15488166189124808</v>
      </c>
      <c r="AM82" s="1">
        <f t="shared" si="39"/>
        <v>6.5211077132500229E-14</v>
      </c>
      <c r="AN82" s="1">
        <f t="shared" si="40"/>
        <v>7.7435495042031607E-2</v>
      </c>
      <c r="AO82" s="1">
        <f t="shared" si="41"/>
        <v>3.0997864007793491E-8</v>
      </c>
      <c r="AP82" s="1">
        <f t="shared" si="42"/>
        <v>13.969415781764232</v>
      </c>
      <c r="AQ82" s="1">
        <f t="shared" si="43"/>
        <v>139.69415781764232</v>
      </c>
      <c r="AR82" s="25"/>
      <c r="BA82" s="2">
        <v>0.81</v>
      </c>
      <c r="BB82" s="1">
        <f t="shared" si="49"/>
        <v>0.15488166189124808</v>
      </c>
      <c r="BC82" s="1">
        <f t="shared" si="44"/>
        <v>6.5211077132500229E-14</v>
      </c>
      <c r="BD82" s="1">
        <f t="shared" si="45"/>
        <v>6.5211077132500218E-17</v>
      </c>
      <c r="BE82" s="1">
        <f t="shared" si="46"/>
        <v>1</v>
      </c>
      <c r="BF82" s="1">
        <f t="shared" si="47"/>
        <v>15.731149539917608</v>
      </c>
      <c r="BG82" s="1">
        <f t="shared" si="48"/>
        <v>3.1784072659868614</v>
      </c>
    </row>
    <row r="83" spans="1:59" ht="15" customHeight="1" x14ac:dyDescent="0.3">
      <c r="A83" s="2">
        <v>8.1999999999999993</v>
      </c>
      <c r="B83" s="1">
        <f t="shared" si="50"/>
        <v>6.3095734448019329E-9</v>
      </c>
      <c r="C83" s="1">
        <f t="shared" si="51"/>
        <v>1.6007421243857243E-6</v>
      </c>
      <c r="D83" s="1">
        <f t="shared" si="52"/>
        <v>2.6003182264734506E-7</v>
      </c>
      <c r="E83" s="1">
        <f t="shared" si="53"/>
        <v>3.3332899946962253E-3</v>
      </c>
      <c r="F83" s="1">
        <f t="shared" si="54"/>
        <v>0.99988873242691578</v>
      </c>
      <c r="G83" s="1">
        <f t="shared" si="55"/>
        <v>0.99998439813121098</v>
      </c>
      <c r="H83" s="1">
        <f t="shared" si="63"/>
        <v>9.9998439813121092</v>
      </c>
      <c r="J83" s="2">
        <v>10.5</v>
      </c>
      <c r="K83" s="1">
        <v>3.162277660168371E-11</v>
      </c>
      <c r="L83" s="1">
        <v>3.1939004367700712E-4</v>
      </c>
      <c r="M83" s="1">
        <v>-3.1938974937276572E-4</v>
      </c>
      <c r="N83" s="1">
        <v>3.3865649582287944E-3</v>
      </c>
      <c r="O83" s="1">
        <v>0.99999998418861202</v>
      </c>
      <c r="P83" s="1">
        <v>1.019224786961259</v>
      </c>
      <c r="Q83" s="2">
        <v>10.192247869612588</v>
      </c>
      <c r="S83" s="2">
        <v>8.1999999999999993</v>
      </c>
      <c r="T83" s="1">
        <f t="shared" si="56"/>
        <v>6.3095734448019329E-9</v>
      </c>
      <c r="U83" s="1">
        <f t="shared" si="57"/>
        <v>1.6007421243857243E-6</v>
      </c>
      <c r="V83" s="1">
        <f t="shared" si="58"/>
        <v>9.9966003219262606E-2</v>
      </c>
      <c r="W83" s="1">
        <f t="shared" si="59"/>
        <v>1.1332260245798022E-5</v>
      </c>
      <c r="X83" s="1">
        <f t="shared" si="60"/>
        <v>2.4261702441797725E-4</v>
      </c>
      <c r="Y83" s="1">
        <f t="shared" si="61"/>
        <v>2.2667089185132646E-4</v>
      </c>
      <c r="Z83" s="1">
        <f t="shared" si="62"/>
        <v>1.1333544592566323E-2</v>
      </c>
      <c r="AB83"/>
      <c r="AC83"/>
      <c r="AD83"/>
      <c r="AE83"/>
      <c r="AF83"/>
      <c r="AG83"/>
      <c r="AH83"/>
      <c r="AI83"/>
      <c r="AJ83" s="25"/>
      <c r="AK83" s="2">
        <v>0.82</v>
      </c>
      <c r="AL83" s="1">
        <f t="shared" si="64"/>
        <v>0.15135612484362079</v>
      </c>
      <c r="AM83" s="1">
        <f t="shared" si="39"/>
        <v>6.6730038248767201E-14</v>
      </c>
      <c r="AN83" s="1">
        <f t="shared" si="40"/>
        <v>7.9096532551890308E-2</v>
      </c>
      <c r="AO83" s="1">
        <f t="shared" si="41"/>
        <v>3.2400307706635153E-8</v>
      </c>
      <c r="AP83" s="1">
        <f t="shared" si="42"/>
        <v>14.581921178122419</v>
      </c>
      <c r="AQ83" s="1">
        <f t="shared" si="43"/>
        <v>145.8192117812242</v>
      </c>
      <c r="AR83" s="25"/>
      <c r="BA83" s="2">
        <v>0.82</v>
      </c>
      <c r="BB83" s="1">
        <f t="shared" si="49"/>
        <v>0.15135612484362079</v>
      </c>
      <c r="BC83" s="1">
        <f t="shared" si="44"/>
        <v>6.6730038248767201E-14</v>
      </c>
      <c r="BD83" s="1">
        <f t="shared" si="45"/>
        <v>6.6730038248767192E-17</v>
      </c>
      <c r="BE83" s="1">
        <f t="shared" si="46"/>
        <v>1</v>
      </c>
      <c r="BF83" s="1">
        <f t="shared" si="47"/>
        <v>14.446058161013712</v>
      </c>
      <c r="BG83" s="1">
        <f t="shared" si="48"/>
        <v>3.4611517856779406</v>
      </c>
    </row>
    <row r="84" spans="1:59" ht="15" customHeight="1" x14ac:dyDescent="0.3">
      <c r="A84" s="2">
        <v>8.3000000000000007</v>
      </c>
      <c r="B84" s="1">
        <f t="shared" si="50"/>
        <v>5.0118723362727114E-9</v>
      </c>
      <c r="C84" s="1">
        <f t="shared" si="51"/>
        <v>2.0152149381185727E-6</v>
      </c>
      <c r="D84" s="1">
        <f t="shared" si="52"/>
        <v>-5.3712768536679964E-7</v>
      </c>
      <c r="E84" s="1">
        <f t="shared" si="53"/>
        <v>3.3334228546142279E-3</v>
      </c>
      <c r="F84" s="1">
        <f t="shared" si="54"/>
        <v>0.99991161500243475</v>
      </c>
      <c r="G84" s="1">
        <f t="shared" si="55"/>
        <v>1.0000322278342266</v>
      </c>
      <c r="H84" s="1">
        <f t="shared" si="63"/>
        <v>10.000322278342265</v>
      </c>
      <c r="J84" s="2">
        <v>10.6</v>
      </c>
      <c r="K84" s="1">
        <v>2.5118864315095759E-11</v>
      </c>
      <c r="L84" s="1">
        <v>4.0208824225903287E-4</v>
      </c>
      <c r="M84" s="1">
        <v>-4.0208800865796691E-4</v>
      </c>
      <c r="N84" s="1">
        <v>3.4003480014429942E-3</v>
      </c>
      <c r="O84" s="1">
        <v>0.99999998744056795</v>
      </c>
      <c r="P84" s="1">
        <v>1.0242226769990672</v>
      </c>
      <c r="Q84" s="2">
        <v>10.242226769990671</v>
      </c>
      <c r="S84" s="2">
        <v>8.3000000000000007</v>
      </c>
      <c r="T84" s="1">
        <f t="shared" si="56"/>
        <v>5.0118723362727114E-9</v>
      </c>
      <c r="U84" s="1">
        <f t="shared" si="57"/>
        <v>2.0152149381185727E-6</v>
      </c>
      <c r="V84" s="1">
        <f t="shared" si="58"/>
        <v>9.9974108724119243E-2</v>
      </c>
      <c r="W84" s="1">
        <f t="shared" si="59"/>
        <v>8.630425293585734E-6</v>
      </c>
      <c r="X84" s="1">
        <f t="shared" si="60"/>
        <v>1.9272716970393942E-4</v>
      </c>
      <c r="Y84" s="1">
        <f t="shared" si="61"/>
        <v>1.7262340400563665E-4</v>
      </c>
      <c r="Z84" s="1">
        <f t="shared" si="62"/>
        <v>8.6311702002818316E-3</v>
      </c>
      <c r="AB84"/>
      <c r="AC84"/>
      <c r="AD84"/>
      <c r="AE84"/>
      <c r="AF84"/>
      <c r="AG84"/>
      <c r="AH84"/>
      <c r="AI84"/>
      <c r="AJ84" s="25"/>
      <c r="AK84" s="2">
        <v>0.83</v>
      </c>
      <c r="AL84" s="1">
        <f t="shared" si="64"/>
        <v>0.14791083881682074</v>
      </c>
      <c r="AM84" s="1">
        <f t="shared" si="39"/>
        <v>6.8284380514590157E-14</v>
      </c>
      <c r="AN84" s="1">
        <f t="shared" si="40"/>
        <v>8.0790080117321611E-2</v>
      </c>
      <c r="AO84" s="1">
        <f t="shared" si="41"/>
        <v>3.3864894603682729E-8</v>
      </c>
      <c r="AP84" s="1">
        <f t="shared" si="42"/>
        <v>15.267425855280257</v>
      </c>
      <c r="AQ84" s="1">
        <f t="shared" si="43"/>
        <v>152.67425855280257</v>
      </c>
      <c r="AR84" s="25"/>
      <c r="BA84" s="2">
        <v>0.83</v>
      </c>
      <c r="BB84" s="1">
        <f t="shared" si="49"/>
        <v>0.14791083881682074</v>
      </c>
      <c r="BC84" s="1">
        <f t="shared" si="44"/>
        <v>6.8284380514590157E-14</v>
      </c>
      <c r="BD84" s="1">
        <f t="shared" si="45"/>
        <v>6.8284380514590162E-17</v>
      </c>
      <c r="BE84" s="1">
        <f t="shared" si="46"/>
        <v>1</v>
      </c>
      <c r="BF84" s="1">
        <f t="shared" si="47"/>
        <v>13.358281489418355</v>
      </c>
      <c r="BG84" s="1">
        <f t="shared" si="48"/>
        <v>3.7429964355525116</v>
      </c>
    </row>
    <row r="85" spans="1:59" ht="15" customHeight="1" x14ac:dyDescent="0.3">
      <c r="A85" s="2">
        <v>8.4</v>
      </c>
      <c r="B85" s="1">
        <f t="shared" si="50"/>
        <v>3.9810717055349665E-9</v>
      </c>
      <c r="C85" s="1">
        <f t="shared" si="51"/>
        <v>2.5370052958246796E-6</v>
      </c>
      <c r="D85" s="1">
        <f t="shared" si="52"/>
        <v>-1.3629072493844848E-6</v>
      </c>
      <c r="E85" s="1">
        <f t="shared" si="53"/>
        <v>3.3335604845415637E-3</v>
      </c>
      <c r="F85" s="1">
        <f t="shared" si="54"/>
        <v>0.99992979202464638</v>
      </c>
      <c r="G85" s="1">
        <f t="shared" si="55"/>
        <v>1.000081775549488</v>
      </c>
      <c r="H85" s="1">
        <f t="shared" si="63"/>
        <v>10.000817755494879</v>
      </c>
      <c r="J85" s="2">
        <v>10.7</v>
      </c>
      <c r="K85" s="1">
        <v>1.995262314968878E-11</v>
      </c>
      <c r="L85" s="1">
        <v>5.0619910596354538E-4</v>
      </c>
      <c r="M85" s="1">
        <v>-5.0619892058073211E-4</v>
      </c>
      <c r="N85" s="1">
        <v>3.4176998200967884E-3</v>
      </c>
      <c r="O85" s="1">
        <v>0.99999999002368845</v>
      </c>
      <c r="P85" s="1">
        <v>1.0305264598450712</v>
      </c>
      <c r="Q85" s="2">
        <v>10.305264598450711</v>
      </c>
      <c r="S85" s="2">
        <v>8.4</v>
      </c>
      <c r="T85" s="1">
        <f t="shared" si="56"/>
        <v>3.9810717055349665E-9</v>
      </c>
      <c r="U85" s="1">
        <f t="shared" si="57"/>
        <v>2.5370052958246796E-6</v>
      </c>
      <c r="V85" s="1">
        <f t="shared" si="58"/>
        <v>9.998083679808685E-2</v>
      </c>
      <c r="W85" s="1">
        <f t="shared" si="59"/>
        <v>6.3877339710462899E-6</v>
      </c>
      <c r="X85" s="1">
        <f t="shared" si="60"/>
        <v>1.5309470094433732E-4</v>
      </c>
      <c r="Y85" s="1">
        <f t="shared" si="61"/>
        <v>1.2776284057129534E-4</v>
      </c>
      <c r="Z85" s="1">
        <f t="shared" si="62"/>
        <v>6.3881420285647672E-3</v>
      </c>
      <c r="AB85"/>
      <c r="AC85"/>
      <c r="AD85"/>
      <c r="AE85"/>
      <c r="AF85"/>
      <c r="AG85"/>
      <c r="AH85"/>
      <c r="AI85"/>
      <c r="AJ85" s="25"/>
      <c r="AK85" s="2">
        <v>0.84</v>
      </c>
      <c r="AL85" s="1">
        <f t="shared" si="64"/>
        <v>0.14454397707459271</v>
      </c>
      <c r="AM85" s="1">
        <f t="shared" si="39"/>
        <v>6.9874928062812594E-14</v>
      </c>
      <c r="AN85" s="1">
        <f t="shared" si="40"/>
        <v>8.2516639361713412E-2</v>
      </c>
      <c r="AO85" s="1">
        <f t="shared" si="41"/>
        <v>3.5394291370480799E-8</v>
      </c>
      <c r="AP85" s="1">
        <f t="shared" si="42"/>
        <v>16.039614360483959</v>
      </c>
      <c r="AQ85" s="1">
        <f t="shared" si="43"/>
        <v>160.39614360483958</v>
      </c>
      <c r="AR85" s="25"/>
      <c r="BA85" s="2">
        <v>0.84</v>
      </c>
      <c r="BB85" s="1">
        <f t="shared" si="49"/>
        <v>0.14454397707459271</v>
      </c>
      <c r="BC85" s="1">
        <f t="shared" si="44"/>
        <v>6.9874928062812594E-14</v>
      </c>
      <c r="BD85" s="1">
        <f t="shared" si="45"/>
        <v>6.9874928062812605E-17</v>
      </c>
      <c r="BE85" s="1">
        <f t="shared" si="46"/>
        <v>1</v>
      </c>
      <c r="BF85" s="1">
        <f t="shared" si="47"/>
        <v>12.425845161580639</v>
      </c>
      <c r="BG85" s="1">
        <f t="shared" si="48"/>
        <v>4.0238711612627007</v>
      </c>
    </row>
    <row r="86" spans="1:59" ht="15" customHeight="1" x14ac:dyDescent="0.3">
      <c r="A86" s="2">
        <v>8.5</v>
      </c>
      <c r="B86" s="1">
        <f t="shared" si="50"/>
        <v>3.1622776601683779E-9</v>
      </c>
      <c r="C86" s="1">
        <f t="shared" si="51"/>
        <v>3.1939004367700643E-6</v>
      </c>
      <c r="D86" s="1">
        <f t="shared" si="52"/>
        <v>-2.2612761369701772E-6</v>
      </c>
      <c r="E86" s="1">
        <f t="shared" si="53"/>
        <v>3.3337102126894946E-3</v>
      </c>
      <c r="F86" s="1">
        <f t="shared" si="54"/>
        <v>0.9999442310175809</v>
      </c>
      <c r="G86" s="1">
        <f t="shared" si="55"/>
        <v>1.0001356796363094</v>
      </c>
      <c r="H86" s="1">
        <f t="shared" si="63"/>
        <v>10.001356796363094</v>
      </c>
      <c r="J86" s="2">
        <v>10.8</v>
      </c>
      <c r="K86" s="1">
        <v>1.5848931924611082E-11</v>
      </c>
      <c r="L86" s="1">
        <v>6.3726691792499724E-4</v>
      </c>
      <c r="M86" s="1">
        <v>-6.3726677084329885E-4</v>
      </c>
      <c r="N86" s="1">
        <v>3.4395444618072163E-3</v>
      </c>
      <c r="O86" s="1">
        <v>0.99999999207553403</v>
      </c>
      <c r="P86" s="1">
        <v>1.0384812343702499</v>
      </c>
      <c r="Q86" s="2">
        <v>10.384812343702498</v>
      </c>
      <c r="S86" s="2">
        <v>8.5</v>
      </c>
      <c r="T86" s="1">
        <f t="shared" si="56"/>
        <v>3.1622776601683779E-9</v>
      </c>
      <c r="U86" s="1">
        <f t="shared" si="57"/>
        <v>3.1939004367700643E-6</v>
      </c>
      <c r="V86" s="1">
        <f t="shared" si="58"/>
        <v>9.9986545234451427E-2</v>
      </c>
      <c r="W86" s="1">
        <f t="shared" si="59"/>
        <v>4.4849218495281428E-6</v>
      </c>
      <c r="X86" s="1">
        <f t="shared" si="60"/>
        <v>1.2161127275220498E-4</v>
      </c>
      <c r="Y86" s="1">
        <f t="shared" si="61"/>
        <v>8.9702460075794359E-5</v>
      </c>
      <c r="Z86" s="1">
        <f t="shared" si="62"/>
        <v>4.4851230037897174E-3</v>
      </c>
      <c r="AB86"/>
      <c r="AC86"/>
      <c r="AD86"/>
      <c r="AE86"/>
      <c r="AF86"/>
      <c r="AG86"/>
      <c r="AH86"/>
      <c r="AI86"/>
      <c r="AJ86" s="25"/>
      <c r="AK86" s="2">
        <v>0.85</v>
      </c>
      <c r="AL86" s="1">
        <f t="shared" si="64"/>
        <v>0.14125375446227542</v>
      </c>
      <c r="AM86" s="1">
        <f t="shared" si="39"/>
        <v>7.1502524222797933E-14</v>
      </c>
      <c r="AN86" s="1">
        <f t="shared" si="40"/>
        <v>8.4276713811155549E-2</v>
      </c>
      <c r="AO86" s="1">
        <f t="shared" si="41"/>
        <v>3.699127344390074E-8</v>
      </c>
      <c r="AP86" s="1">
        <f t="shared" si="42"/>
        <v>16.915820211491322</v>
      </c>
      <c r="AQ86" s="1">
        <f t="shared" si="43"/>
        <v>169.15820211491322</v>
      </c>
      <c r="AR86" s="25"/>
      <c r="BA86" s="2">
        <v>0.85</v>
      </c>
      <c r="BB86" s="1">
        <f t="shared" si="49"/>
        <v>0.14125375446227542</v>
      </c>
      <c r="BC86" s="1">
        <f t="shared" si="44"/>
        <v>7.1502524222797933E-14</v>
      </c>
      <c r="BD86" s="1">
        <f t="shared" si="45"/>
        <v>7.1502524222797921E-17</v>
      </c>
      <c r="BE86" s="1">
        <f t="shared" si="46"/>
        <v>1</v>
      </c>
      <c r="BF86" s="1">
        <f t="shared" si="47"/>
        <v>11.617891538026836</v>
      </c>
      <c r="BG86" s="1">
        <f t="shared" si="48"/>
        <v>4.3037069020952421</v>
      </c>
    </row>
    <row r="87" spans="1:59" ht="15" customHeight="1" x14ac:dyDescent="0.3">
      <c r="A87" s="2">
        <v>8.6</v>
      </c>
      <c r="B87" s="1">
        <f t="shared" si="50"/>
        <v>2.5118864315095812E-9</v>
      </c>
      <c r="C87" s="1">
        <f t="shared" si="51"/>
        <v>4.02088242259032E-6</v>
      </c>
      <c r="D87" s="1">
        <f t="shared" si="52"/>
        <v>-3.2800716624197536E-6</v>
      </c>
      <c r="E87" s="1">
        <f t="shared" si="53"/>
        <v>3.3338800119437368E-3</v>
      </c>
      <c r="F87" s="1">
        <f t="shared" si="54"/>
        <v>0.9999557006145241</v>
      </c>
      <c r="G87" s="1">
        <f t="shared" si="55"/>
        <v>1.000196810755279</v>
      </c>
      <c r="H87" s="1">
        <f t="shared" si="63"/>
        <v>10.00196810755279</v>
      </c>
      <c r="J87" s="2">
        <v>10.9</v>
      </c>
      <c r="K87" s="1">
        <v>1.2589254117941641E-11</v>
      </c>
      <c r="L87" s="1">
        <v>8.0227151707152624E-4</v>
      </c>
      <c r="M87" s="1">
        <v>-8.0227140041348743E-4</v>
      </c>
      <c r="N87" s="1">
        <v>3.4670452334022478E-3</v>
      </c>
      <c r="O87" s="1">
        <v>0.99999999370537285</v>
      </c>
      <c r="P87" s="1">
        <v>1.0485255909629869</v>
      </c>
      <c r="Q87" s="2">
        <v>10.485255909629869</v>
      </c>
      <c r="S87" s="2">
        <v>8.6</v>
      </c>
      <c r="T87" s="1">
        <f t="shared" si="56"/>
        <v>2.5118864315095812E-9</v>
      </c>
      <c r="U87" s="1">
        <f t="shared" si="57"/>
        <v>4.02088242259032E-6</v>
      </c>
      <c r="V87" s="1">
        <f t="shared" si="58"/>
        <v>9.9991537711968434E-2</v>
      </c>
      <c r="W87" s="1">
        <f t="shared" si="59"/>
        <v>2.820762677190702E-6</v>
      </c>
      <c r="X87" s="1">
        <f t="shared" si="60"/>
        <v>9.6601683809644575E-5</v>
      </c>
      <c r="Y87" s="1">
        <f t="shared" si="61"/>
        <v>5.6416844929119451E-5</v>
      </c>
      <c r="Z87" s="1">
        <f t="shared" si="62"/>
        <v>2.8208422464559724E-3</v>
      </c>
      <c r="AB87"/>
      <c r="AC87"/>
      <c r="AD87"/>
      <c r="AE87"/>
      <c r="AF87"/>
      <c r="AG87"/>
      <c r="AH87"/>
      <c r="AI87"/>
      <c r="AJ87" s="25"/>
      <c r="AK87" s="2">
        <v>0.86</v>
      </c>
      <c r="AL87" s="1">
        <f t="shared" si="64"/>
        <v>0.13803842646028844</v>
      </c>
      <c r="AM87" s="1">
        <f t="shared" si="39"/>
        <v>7.3168031967574011E-14</v>
      </c>
      <c r="AN87" s="1">
        <f t="shared" si="40"/>
        <v>8.6070808615412372E-2</v>
      </c>
      <c r="AO87" s="1">
        <f t="shared" si="41"/>
        <v>3.8658729101716943E-8</v>
      </c>
      <c r="AP87" s="1">
        <f t="shared" si="42"/>
        <v>17.918329098619925</v>
      </c>
      <c r="AQ87" s="1">
        <f t="shared" si="43"/>
        <v>179.18329098619924</v>
      </c>
      <c r="AR87" s="25"/>
      <c r="BA87" s="2">
        <v>0.86</v>
      </c>
      <c r="BB87" s="1">
        <f t="shared" si="49"/>
        <v>0.13803842646028844</v>
      </c>
      <c r="BC87" s="1">
        <f t="shared" si="44"/>
        <v>7.3168031967574011E-14</v>
      </c>
      <c r="BD87" s="1">
        <f t="shared" si="45"/>
        <v>7.3168031967574021E-17</v>
      </c>
      <c r="BE87" s="1">
        <f t="shared" si="46"/>
        <v>1</v>
      </c>
      <c r="BF87" s="1">
        <f t="shared" si="47"/>
        <v>10.911227948178725</v>
      </c>
      <c r="BG87" s="1">
        <f t="shared" si="48"/>
        <v>4.5824356559561998</v>
      </c>
    </row>
    <row r="88" spans="1:59" ht="15" customHeight="1" x14ac:dyDescent="0.3">
      <c r="A88" s="2">
        <v>8.6999999999999993</v>
      </c>
      <c r="B88" s="1">
        <f t="shared" si="50"/>
        <v>1.9952623149688824E-9</v>
      </c>
      <c r="C88" s="1">
        <f t="shared" si="51"/>
        <v>5.0619910596354431E-6</v>
      </c>
      <c r="D88" s="1">
        <f t="shared" si="52"/>
        <v>-4.4735458124008035E-6</v>
      </c>
      <c r="E88" s="1">
        <f t="shared" si="53"/>
        <v>3.334078924302067E-3</v>
      </c>
      <c r="F88" s="1">
        <f t="shared" si="54"/>
        <v>0.99996481142672777</v>
      </c>
      <c r="G88" s="1">
        <f t="shared" si="55"/>
        <v>1.0002684247568485</v>
      </c>
      <c r="H88" s="1">
        <f t="shared" si="63"/>
        <v>10.002684247568485</v>
      </c>
      <c r="J88" s="2">
        <v>11</v>
      </c>
      <c r="K88" s="1">
        <v>9.9999999999999994E-12</v>
      </c>
      <c r="L88" s="1">
        <v>1.01E-3</v>
      </c>
      <c r="M88" s="1">
        <v>-1.0099999075083329E-3</v>
      </c>
      <c r="N88" s="1">
        <v>3.5016666512513888E-3</v>
      </c>
      <c r="O88" s="1">
        <v>0.99999999500000003</v>
      </c>
      <c r="P88" s="1">
        <v>1.0612182992159593</v>
      </c>
      <c r="Q88" s="2">
        <v>10.612182992159592</v>
      </c>
      <c r="S88" s="2">
        <v>8.6999999999999993</v>
      </c>
      <c r="T88" s="1">
        <f t="shared" si="56"/>
        <v>1.9952623149688824E-9</v>
      </c>
      <c r="U88" s="1">
        <f t="shared" si="57"/>
        <v>5.0619910596354431E-6</v>
      </c>
      <c r="V88" s="1">
        <f t="shared" si="58"/>
        <v>9.9996079898666324E-2</v>
      </c>
      <c r="W88" s="1">
        <f t="shared" si="59"/>
        <v>1.3067004445608786E-6</v>
      </c>
      <c r="X88" s="1">
        <f t="shared" si="60"/>
        <v>7.6734969560610699E-5</v>
      </c>
      <c r="Y88" s="1">
        <f t="shared" si="61"/>
        <v>2.6134350388890283E-5</v>
      </c>
      <c r="Z88" s="1">
        <f t="shared" si="62"/>
        <v>1.3067175194445143E-3</v>
      </c>
      <c r="AB88"/>
      <c r="AC88"/>
      <c r="AD88"/>
      <c r="AE88"/>
      <c r="AF88"/>
      <c r="AG88"/>
      <c r="AH88"/>
      <c r="AI88"/>
      <c r="AJ88" s="25"/>
      <c r="AK88" s="2">
        <v>0.87</v>
      </c>
      <c r="AL88" s="1">
        <f t="shared" si="64"/>
        <v>0.13489628825916533</v>
      </c>
      <c r="AM88" s="1">
        <f t="shared" si="39"/>
        <v>7.4872334371392682E-14</v>
      </c>
      <c r="AN88" s="1">
        <f t="shared" si="40"/>
        <v>8.7899430254962774E-2</v>
      </c>
      <c r="AO88" s="1">
        <f t="shared" si="41"/>
        <v>4.0399663668562178E-8</v>
      </c>
      <c r="AP88" s="1">
        <f t="shared" si="42"/>
        <v>19.076283564817569</v>
      </c>
      <c r="AQ88" s="1">
        <f t="shared" si="43"/>
        <v>190.76283564817567</v>
      </c>
      <c r="AR88" s="25"/>
      <c r="BA88" s="2">
        <v>0.87</v>
      </c>
      <c r="BB88" s="1">
        <f t="shared" si="49"/>
        <v>0.13489628825916533</v>
      </c>
      <c r="BC88" s="1">
        <f t="shared" si="44"/>
        <v>7.4872334371392682E-14</v>
      </c>
      <c r="BD88" s="1">
        <f t="shared" si="45"/>
        <v>7.487233437139267E-17</v>
      </c>
      <c r="BE88" s="1">
        <f t="shared" si="46"/>
        <v>1</v>
      </c>
      <c r="BF88" s="1">
        <f t="shared" si="47"/>
        <v>10.288085864961518</v>
      </c>
      <c r="BG88" s="1">
        <f t="shared" si="48"/>
        <v>4.8599905420975045</v>
      </c>
    </row>
    <row r="89" spans="1:59" ht="15" customHeight="1" x14ac:dyDescent="0.3">
      <c r="A89" s="2">
        <v>8.8000000000000007</v>
      </c>
      <c r="B89" s="1">
        <f t="shared" si="50"/>
        <v>1.584893192461106E-9</v>
      </c>
      <c r="C89" s="1">
        <f t="shared" si="51"/>
        <v>6.3726691792499815E-6</v>
      </c>
      <c r="D89" s="1">
        <f t="shared" si="52"/>
        <v>-5.9052538031093869E-6</v>
      </c>
      <c r="E89" s="1">
        <f t="shared" si="53"/>
        <v>3.3343175423005186E-3</v>
      </c>
      <c r="F89" s="1">
        <f t="shared" si="54"/>
        <v>0.9999720485204171</v>
      </c>
      <c r="G89" s="1">
        <f t="shared" si="55"/>
        <v>1.0003543361526357</v>
      </c>
      <c r="H89" s="1">
        <f t="shared" si="63"/>
        <v>10.003543361526356</v>
      </c>
      <c r="J89" s="2">
        <v>11.1</v>
      </c>
      <c r="K89" s="1">
        <v>7.9432823472428101E-12</v>
      </c>
      <c r="L89" s="1">
        <v>1.2715146659121096E-3</v>
      </c>
      <c r="M89" s="1">
        <v>-1.271514592616474E-3</v>
      </c>
      <c r="N89" s="1">
        <v>3.5452524321027456E-3</v>
      </c>
      <c r="O89" s="1">
        <v>0.99999999602835887</v>
      </c>
      <c r="P89" s="1">
        <v>1.0772734183474904</v>
      </c>
      <c r="Q89" s="2">
        <v>10.772734183474903</v>
      </c>
      <c r="S89" s="2">
        <v>8.8000000000000007</v>
      </c>
      <c r="T89" s="1">
        <f t="shared" si="56"/>
        <v>1.584893192461106E-9</v>
      </c>
      <c r="U89" s="1">
        <f t="shared" si="57"/>
        <v>6.3726691792499815E-6</v>
      </c>
      <c r="V89" s="1">
        <f t="shared" si="58"/>
        <v>0.10000041355659058</v>
      </c>
      <c r="W89" s="1">
        <f t="shared" si="59"/>
        <v>-1.3785219685525746E-7</v>
      </c>
      <c r="X89" s="1">
        <f t="shared" si="60"/>
        <v>6.0953714897434996E-5</v>
      </c>
      <c r="Y89" s="1">
        <f t="shared" si="61"/>
        <v>-2.7570401364647529E-6</v>
      </c>
      <c r="Z89" s="1">
        <f t="shared" si="62"/>
        <v>-1.3785200682323763E-4</v>
      </c>
      <c r="AB89"/>
      <c r="AC89"/>
      <c r="AD89"/>
      <c r="AE89"/>
      <c r="AF89"/>
      <c r="AG89"/>
      <c r="AH89"/>
      <c r="AI89"/>
      <c r="AJ89" s="25"/>
      <c r="AK89" s="2">
        <v>0.88</v>
      </c>
      <c r="AL89" s="1">
        <f t="shared" si="64"/>
        <v>0.1318256738556407</v>
      </c>
      <c r="AM89" s="1">
        <f t="shared" si="39"/>
        <v>7.6616335077947564E-14</v>
      </c>
      <c r="AN89" s="1">
        <f t="shared" si="40"/>
        <v>8.9763086233829559E-2</v>
      </c>
      <c r="AO89" s="1">
        <f t="shared" si="41"/>
        <v>4.2217203855084242E-8</v>
      </c>
      <c r="AP89" s="1">
        <f t="shared" si="42"/>
        <v>20.428540025942933</v>
      </c>
      <c r="AQ89" s="1">
        <f t="shared" si="43"/>
        <v>204.28540025942931</v>
      </c>
      <c r="AR89" s="25"/>
      <c r="BA89" s="2">
        <v>0.88</v>
      </c>
      <c r="BB89" s="1">
        <f t="shared" si="49"/>
        <v>0.1318256738556407</v>
      </c>
      <c r="BC89" s="1">
        <f t="shared" si="44"/>
        <v>7.6616335077947564E-14</v>
      </c>
      <c r="BD89" s="1">
        <f t="shared" si="45"/>
        <v>7.6616335077947563E-17</v>
      </c>
      <c r="BE89" s="1">
        <f t="shared" si="46"/>
        <v>1</v>
      </c>
      <c r="BF89" s="1">
        <f t="shared" si="47"/>
        <v>9.7346227714095654</v>
      </c>
      <c r="BG89" s="1">
        <f t="shared" si="48"/>
        <v>5.1363058614709978</v>
      </c>
    </row>
    <row r="90" spans="1:59" ht="15" customHeight="1" x14ac:dyDescent="0.3">
      <c r="A90" s="2">
        <v>8.9</v>
      </c>
      <c r="B90" s="1">
        <f t="shared" si="50"/>
        <v>1.2589254117941623E-9</v>
      </c>
      <c r="C90" s="1">
        <f t="shared" si="51"/>
        <v>8.0227151707152736E-6</v>
      </c>
      <c r="D90" s="1">
        <f t="shared" si="52"/>
        <v>-7.6514382745807087E-6</v>
      </c>
      <c r="E90" s="1">
        <f t="shared" si="53"/>
        <v>3.3346085730457634E-3</v>
      </c>
      <c r="F90" s="1">
        <f t="shared" si="54"/>
        <v>0.99997779722292501</v>
      </c>
      <c r="G90" s="1">
        <f t="shared" si="55"/>
        <v>1.0004591214258673</v>
      </c>
      <c r="H90" s="1">
        <f t="shared" si="63"/>
        <v>10.004591214258673</v>
      </c>
      <c r="J90" s="2">
        <v>11.2</v>
      </c>
      <c r="K90" s="1">
        <v>6.3095734448019345E-12</v>
      </c>
      <c r="L90" s="1">
        <v>1.600742124385724E-3</v>
      </c>
      <c r="M90" s="1">
        <v>-1.6007420663380378E-3</v>
      </c>
      <c r="N90" s="1">
        <v>3.600123677723006E-3</v>
      </c>
      <c r="O90" s="1">
        <v>0.99999999684521323</v>
      </c>
      <c r="P90" s="1">
        <v>1.0976069596429607</v>
      </c>
      <c r="Q90" s="2">
        <v>10.976069596429607</v>
      </c>
      <c r="S90" s="2">
        <v>8.9</v>
      </c>
      <c r="T90" s="1">
        <f t="shared" si="56"/>
        <v>1.2589254117941623E-9</v>
      </c>
      <c r="U90" s="1">
        <f t="shared" si="57"/>
        <v>8.0227151707152736E-6</v>
      </c>
      <c r="V90" s="1">
        <f t="shared" si="58"/>
        <v>0.1000047693893447</v>
      </c>
      <c r="W90" s="1">
        <f t="shared" si="59"/>
        <v>-1.5897964482333892E-6</v>
      </c>
      <c r="X90" s="1">
        <f t="shared" si="60"/>
        <v>4.8417863742888913E-5</v>
      </c>
      <c r="Y90" s="1">
        <f t="shared" si="61"/>
        <v>-3.1795423482154559E-5</v>
      </c>
      <c r="Z90" s="1">
        <f t="shared" si="62"/>
        <v>-1.589771174107728E-3</v>
      </c>
      <c r="AB90"/>
      <c r="AC90"/>
      <c r="AD90"/>
      <c r="AE90"/>
      <c r="AF90"/>
      <c r="AG90"/>
      <c r="AH90"/>
      <c r="AI90"/>
      <c r="AJ90" s="25"/>
      <c r="AK90" s="2">
        <v>0.89</v>
      </c>
      <c r="AL90" s="1">
        <f t="shared" si="64"/>
        <v>0.12882495516931336</v>
      </c>
      <c r="AM90" s="1">
        <f t="shared" si="39"/>
        <v>7.8400958779497887E-14</v>
      </c>
      <c r="AN90" s="1">
        <f t="shared" si="40"/>
        <v>9.1662284757929383E-2</v>
      </c>
      <c r="AO90" s="1">
        <f t="shared" si="41"/>
        <v>4.4114602233103276E-8</v>
      </c>
      <c r="AP90" s="1">
        <f t="shared" si="42"/>
        <v>22.02808416594371</v>
      </c>
      <c r="AQ90" s="1">
        <f t="shared" si="43"/>
        <v>220.2808416594371</v>
      </c>
      <c r="AR90" s="25"/>
      <c r="BA90" s="2">
        <v>0.89</v>
      </c>
      <c r="BB90" s="1">
        <f t="shared" si="49"/>
        <v>0.12882495516931336</v>
      </c>
      <c r="BC90" s="1">
        <f t="shared" si="44"/>
        <v>7.8400958779497887E-14</v>
      </c>
      <c r="BD90" s="1">
        <f t="shared" si="45"/>
        <v>7.8400958779497865E-17</v>
      </c>
      <c r="BE90" s="1">
        <f t="shared" si="46"/>
        <v>1</v>
      </c>
      <c r="BF90" s="1">
        <f t="shared" si="47"/>
        <v>9.239894571224827</v>
      </c>
      <c r="BG90" s="1">
        <f t="shared" si="48"/>
        <v>5.4113171546038616</v>
      </c>
    </row>
    <row r="91" spans="1:59" ht="15" customHeight="1" x14ac:dyDescent="0.3">
      <c r="A91" s="2">
        <v>9</v>
      </c>
      <c r="B91" s="1">
        <f t="shared" si="50"/>
        <v>1.0000000000000001E-9</v>
      </c>
      <c r="C91" s="1">
        <f t="shared" si="51"/>
        <v>1.0099999999999998E-5</v>
      </c>
      <c r="D91" s="1">
        <f t="shared" si="52"/>
        <v>-9.8050892667641128E-6</v>
      </c>
      <c r="E91" s="1">
        <f t="shared" si="53"/>
        <v>3.3349675148777944E-3</v>
      </c>
      <c r="F91" s="1">
        <f t="shared" si="54"/>
        <v>0.99998236362674375</v>
      </c>
      <c r="G91" s="1">
        <f t="shared" si="55"/>
        <v>1.0005883630455277</v>
      </c>
      <c r="H91" s="1">
        <f t="shared" si="63"/>
        <v>10.005883630455276</v>
      </c>
      <c r="J91" s="2">
        <v>11.3</v>
      </c>
      <c r="K91" s="1">
        <v>5.0118723362726945E-12</v>
      </c>
      <c r="L91" s="1">
        <v>2.0152149381185798E-3</v>
      </c>
      <c r="M91" s="1">
        <v>-2.0152148921827708E-3</v>
      </c>
      <c r="N91" s="1">
        <v>3.6692024820304614E-3</v>
      </c>
      <c r="O91" s="1">
        <v>0.99999999749406376</v>
      </c>
      <c r="P91" s="1">
        <v>1.1233996618943647</v>
      </c>
      <c r="Q91" s="2">
        <v>11.233996618943646</v>
      </c>
      <c r="S91" s="2">
        <v>9</v>
      </c>
      <c r="T91" s="1">
        <f t="shared" si="56"/>
        <v>1.0000000000000001E-9</v>
      </c>
      <c r="U91" s="1">
        <f t="shared" si="57"/>
        <v>1.0099999999999998E-5</v>
      </c>
      <c r="V91" s="1">
        <f t="shared" si="58"/>
        <v>0.1000093793107513</v>
      </c>
      <c r="W91" s="1">
        <f t="shared" si="59"/>
        <v>-3.1264369171009348E-6</v>
      </c>
      <c r="X91" s="1">
        <f t="shared" si="60"/>
        <v>3.8460059228491219E-5</v>
      </c>
      <c r="Y91" s="1">
        <f t="shared" si="61"/>
        <v>-6.2526783481576848E-5</v>
      </c>
      <c r="Z91" s="1">
        <f t="shared" si="62"/>
        <v>-3.1263391740788426E-3</v>
      </c>
      <c r="AB91"/>
      <c r="AC91"/>
      <c r="AD91"/>
      <c r="AE91"/>
      <c r="AF91"/>
      <c r="AG91"/>
      <c r="AH91"/>
      <c r="AI91"/>
      <c r="AJ91" s="25"/>
      <c r="AK91" s="2">
        <v>0.9</v>
      </c>
      <c r="AL91" s="1">
        <f t="shared" si="64"/>
        <v>0.12589254117941667</v>
      </c>
      <c r="AM91" s="1">
        <f t="shared" si="39"/>
        <v>8.0227151707152451E-14</v>
      </c>
      <c r="AN91" s="1">
        <f t="shared" si="40"/>
        <v>9.3597534398689522E-2</v>
      </c>
      <c r="AO91" s="1">
        <f t="shared" si="41"/>
        <v>4.6095241849542902E-8</v>
      </c>
      <c r="AP91" s="1">
        <f t="shared" si="42"/>
        <v>23.949095569369533</v>
      </c>
      <c r="AQ91" s="1">
        <f t="shared" si="43"/>
        <v>239.49095569369533</v>
      </c>
      <c r="AR91" s="25"/>
      <c r="BA91" s="2">
        <v>0.9</v>
      </c>
      <c r="BB91" s="1">
        <f t="shared" si="49"/>
        <v>0.12589254117941667</v>
      </c>
      <c r="BC91" s="1">
        <f t="shared" si="44"/>
        <v>8.0227151707152451E-14</v>
      </c>
      <c r="BD91" s="1">
        <f t="shared" si="45"/>
        <v>8.0227151707152445E-17</v>
      </c>
      <c r="BE91" s="1">
        <f t="shared" si="46"/>
        <v>1</v>
      </c>
      <c r="BF91" s="1">
        <f t="shared" si="47"/>
        <v>8.7951346967106403</v>
      </c>
      <c r="BG91" s="1">
        <f t="shared" si="48"/>
        <v>5.6849612568980756</v>
      </c>
    </row>
    <row r="92" spans="1:59" ht="15" customHeight="1" x14ac:dyDescent="0.3">
      <c r="A92" s="2">
        <v>9.1</v>
      </c>
      <c r="B92" s="1">
        <f t="shared" si="50"/>
        <v>7.9432823472428E-10</v>
      </c>
      <c r="C92" s="1">
        <f t="shared" si="51"/>
        <v>1.2715146659121113E-5</v>
      </c>
      <c r="D92" s="1">
        <f t="shared" si="52"/>
        <v>-1.2480896137769275E-5</v>
      </c>
      <c r="E92" s="1">
        <f t="shared" si="53"/>
        <v>3.3354134826896285E-3</v>
      </c>
      <c r="F92" s="1">
        <f t="shared" si="54"/>
        <v>0.9999859908799491</v>
      </c>
      <c r="G92" s="1">
        <f t="shared" si="55"/>
        <v>1.0007489472435938</v>
      </c>
      <c r="H92" s="1">
        <f t="shared" si="63"/>
        <v>10.007489472435937</v>
      </c>
      <c r="J92" s="2">
        <v>11.4</v>
      </c>
      <c r="K92" s="1">
        <v>3.9810717055349533E-12</v>
      </c>
      <c r="L92" s="1">
        <v>2.5370052958246878E-3</v>
      </c>
      <c r="M92" s="1">
        <v>-2.5370052595096865E-3</v>
      </c>
      <c r="N92" s="1">
        <v>3.7561675432516142E-3</v>
      </c>
      <c r="O92" s="1">
        <v>0.99999999800946426</v>
      </c>
      <c r="P92" s="1">
        <v>1.1561826783343672</v>
      </c>
      <c r="Q92" s="2">
        <v>11.561826783343671</v>
      </c>
      <c r="S92" s="2">
        <v>9.1</v>
      </c>
      <c r="T92" s="1">
        <f t="shared" si="56"/>
        <v>7.9432823472428E-10</v>
      </c>
      <c r="U92" s="1">
        <f t="shared" si="57"/>
        <v>1.2715146659121113E-5</v>
      </c>
      <c r="V92" s="1">
        <f t="shared" si="58"/>
        <v>0.10001448878428745</v>
      </c>
      <c r="W92" s="1">
        <f t="shared" si="59"/>
        <v>-4.8295947624848931E-6</v>
      </c>
      <c r="X92" s="1">
        <f t="shared" si="60"/>
        <v>3.0550152610595626E-5</v>
      </c>
      <c r="Y92" s="1">
        <f t="shared" si="61"/>
        <v>-9.6587230477873456E-5</v>
      </c>
      <c r="Z92" s="1">
        <f t="shared" si="62"/>
        <v>-4.8293615238936731E-3</v>
      </c>
      <c r="AB92"/>
      <c r="AC92"/>
      <c r="AD92"/>
      <c r="AE92"/>
      <c r="AF92"/>
      <c r="AG92"/>
      <c r="AH92"/>
      <c r="AI92"/>
      <c r="AJ92" s="25"/>
      <c r="AK92" s="2">
        <v>0.91</v>
      </c>
      <c r="AL92" s="1">
        <f t="shared" si="64"/>
        <v>0.12302687708123815</v>
      </c>
      <c r="AM92" s="1">
        <f t="shared" si="39"/>
        <v>8.2095882132574015E-14</v>
      </c>
      <c r="AN92" s="1">
        <f t="shared" si="40"/>
        <v>9.5569343741691515E-2</v>
      </c>
      <c r="AO92" s="1">
        <f t="shared" si="41"/>
        <v>4.8162640981874475E-8</v>
      </c>
      <c r="AP92" s="1">
        <f t="shared" si="42"/>
        <v>26.298722109158895</v>
      </c>
      <c r="AQ92" s="1">
        <f t="shared" si="43"/>
        <v>262.98722109158894</v>
      </c>
      <c r="AR92" s="25"/>
      <c r="BA92" s="2">
        <v>0.91</v>
      </c>
      <c r="BB92" s="1">
        <f t="shared" si="49"/>
        <v>0.12302687708123815</v>
      </c>
      <c r="BC92" s="1">
        <f t="shared" si="44"/>
        <v>8.2095882132574015E-14</v>
      </c>
      <c r="BD92" s="1">
        <f t="shared" si="45"/>
        <v>8.2095882132574014E-17</v>
      </c>
      <c r="BE92" s="1">
        <f t="shared" si="46"/>
        <v>0.99999999999999989</v>
      </c>
      <c r="BF92" s="1">
        <f t="shared" si="47"/>
        <v>8.3932381805981038</v>
      </c>
      <c r="BG92" s="1">
        <f t="shared" si="48"/>
        <v>5.9571763512657743</v>
      </c>
    </row>
    <row r="93" spans="1:59" ht="15" customHeight="1" x14ac:dyDescent="0.3">
      <c r="A93" s="2">
        <v>9.1999999999999993</v>
      </c>
      <c r="B93" s="1">
        <f t="shared" si="50"/>
        <v>6.309573444801927E-10</v>
      </c>
      <c r="C93" s="1">
        <f t="shared" si="51"/>
        <v>1.6007421243857258E-5</v>
      </c>
      <c r="D93" s="1">
        <f t="shared" si="52"/>
        <v>-1.582135510180485E-5</v>
      </c>
      <c r="E93" s="1">
        <f t="shared" si="53"/>
        <v>3.3359702258503009E-3</v>
      </c>
      <c r="F93" s="1">
        <f t="shared" si="54"/>
        <v>0.99998887212833742</v>
      </c>
      <c r="G93" s="1">
        <f t="shared" si="55"/>
        <v>1.0009494315190404</v>
      </c>
      <c r="H93" s="1">
        <f t="shared" si="63"/>
        <v>10.009494315190404</v>
      </c>
      <c r="J93" s="2">
        <v>11.5</v>
      </c>
      <c r="K93" s="1">
        <v>3.1622776601683669E-12</v>
      </c>
      <c r="L93" s="1">
        <v>3.1939004367700754E-3</v>
      </c>
      <c r="M93" s="1">
        <v>-3.1939004080971502E-3</v>
      </c>
      <c r="N93" s="1">
        <v>3.8656500680161916E-3</v>
      </c>
      <c r="O93" s="1">
        <v>0.99999999841886111</v>
      </c>
      <c r="P93" s="1">
        <v>1.1979565598590214</v>
      </c>
      <c r="Q93" s="2">
        <v>11.979565598590213</v>
      </c>
      <c r="S93" s="2">
        <v>9.1999999999999993</v>
      </c>
      <c r="T93" s="1">
        <f t="shared" si="56"/>
        <v>6.309573444801927E-10</v>
      </c>
      <c r="U93" s="1">
        <f t="shared" si="57"/>
        <v>1.6007421243857258E-5</v>
      </c>
      <c r="V93" s="1">
        <f t="shared" si="58"/>
        <v>0.10002036988808112</v>
      </c>
      <c r="W93" s="1">
        <f t="shared" si="59"/>
        <v>-6.7899626937060514E-6</v>
      </c>
      <c r="X93" s="1">
        <f t="shared" si="60"/>
        <v>2.4267001270673559E-5</v>
      </c>
      <c r="Y93" s="1">
        <f t="shared" si="61"/>
        <v>-1.357900337814855E-4</v>
      </c>
      <c r="Z93" s="1">
        <f t="shared" si="62"/>
        <v>-6.7895016890742749E-3</v>
      </c>
      <c r="AB93"/>
      <c r="AC93"/>
      <c r="AD93"/>
      <c r="AE93"/>
      <c r="AF93"/>
      <c r="AG93"/>
      <c r="AH93"/>
      <c r="AI93"/>
      <c r="AJ93" s="25"/>
      <c r="AK93" s="2">
        <v>0.92</v>
      </c>
      <c r="AL93" s="1">
        <f t="shared" si="64"/>
        <v>0.12022644346174129</v>
      </c>
      <c r="AM93" s="1">
        <f t="shared" si="39"/>
        <v>8.4008140881369772E-14</v>
      </c>
      <c r="AN93" s="1">
        <f t="shared" si="40"/>
        <v>9.7578221020117997E-2</v>
      </c>
      <c r="AO93" s="1">
        <f t="shared" si="41"/>
        <v>5.0320458037773623E-8</v>
      </c>
      <c r="AP93" s="1">
        <f t="shared" si="42"/>
        <v>29.237685125575123</v>
      </c>
      <c r="AQ93" s="1">
        <f t="shared" si="43"/>
        <v>292.37685125575126</v>
      </c>
      <c r="AR93" s="25"/>
      <c r="BA93" s="2">
        <v>0.92</v>
      </c>
      <c r="BB93" s="1">
        <f t="shared" si="49"/>
        <v>0.12022644346174129</v>
      </c>
      <c r="BC93" s="1">
        <f t="shared" si="44"/>
        <v>8.4008140881369772E-14</v>
      </c>
      <c r="BD93" s="1">
        <f t="shared" si="45"/>
        <v>8.4008140881369746E-17</v>
      </c>
      <c r="BE93" s="1">
        <f t="shared" si="46"/>
        <v>0.99999999999999989</v>
      </c>
      <c r="BF93" s="1">
        <f t="shared" si="47"/>
        <v>8.0283857798853973</v>
      </c>
      <c r="BG93" s="1">
        <f t="shared" si="48"/>
        <v>6.2279020180210791</v>
      </c>
    </row>
    <row r="94" spans="1:59" ht="15" customHeight="1" x14ac:dyDescent="0.3">
      <c r="A94" s="2">
        <v>9.3000000000000007</v>
      </c>
      <c r="B94" s="1">
        <f t="shared" si="50"/>
        <v>5.011872336272705E-10</v>
      </c>
      <c r="C94" s="1">
        <f t="shared" si="51"/>
        <v>2.0152149381185755E-5</v>
      </c>
      <c r="D94" s="1">
        <f t="shared" si="52"/>
        <v>-2.0004357616312645E-5</v>
      </c>
      <c r="E94" s="1">
        <f t="shared" si="53"/>
        <v>3.3366673929360519E-3</v>
      </c>
      <c r="F94" s="1">
        <f t="shared" si="54"/>
        <v>0.99999116079711581</v>
      </c>
      <c r="G94" s="1">
        <f t="shared" si="55"/>
        <v>1.0012005016096139</v>
      </c>
      <c r="H94" s="1">
        <f t="shared" si="63"/>
        <v>10.012005016096138</v>
      </c>
      <c r="J94" s="2">
        <v>11.6</v>
      </c>
      <c r="K94" s="1">
        <v>2.5118864315095726E-12</v>
      </c>
      <c r="L94" s="1">
        <v>4.0208824225903342E-3</v>
      </c>
      <c r="M94" s="1">
        <v>-4.0208823999877252E-3</v>
      </c>
      <c r="N94" s="1">
        <v>4.0034803999979543E-3</v>
      </c>
      <c r="O94" s="1">
        <v>0.99999999874405676</v>
      </c>
      <c r="P94" s="1">
        <v>1.2513598270455788</v>
      </c>
      <c r="Q94" s="2">
        <v>12.513598270455788</v>
      </c>
      <c r="S94" s="2">
        <v>9.3000000000000007</v>
      </c>
      <c r="T94" s="1">
        <f t="shared" si="56"/>
        <v>5.011872336272705E-10</v>
      </c>
      <c r="U94" s="1">
        <f t="shared" si="57"/>
        <v>2.0152149381185755E-5</v>
      </c>
      <c r="V94" s="1">
        <f t="shared" si="58"/>
        <v>0.10002733579975433</v>
      </c>
      <c r="W94" s="1">
        <f t="shared" si="59"/>
        <v>-9.1119332514419559E-6</v>
      </c>
      <c r="X94" s="1">
        <f t="shared" si="60"/>
        <v>1.9276060488916877E-5</v>
      </c>
      <c r="Y94" s="1">
        <f t="shared" si="61"/>
        <v>-1.8222206107626444E-4</v>
      </c>
      <c r="Z94" s="1">
        <f t="shared" si="62"/>
        <v>-9.1111030538132218E-3</v>
      </c>
      <c r="AB94"/>
      <c r="AC94"/>
      <c r="AD94"/>
      <c r="AE94"/>
      <c r="AF94"/>
      <c r="AG94"/>
      <c r="AH94"/>
      <c r="AI94"/>
      <c r="AJ94" s="25"/>
      <c r="AK94" s="2">
        <v>0.93</v>
      </c>
      <c r="AL94" s="1">
        <f t="shared" si="64"/>
        <v>0.11748975549395291</v>
      </c>
      <c r="AM94" s="1">
        <f t="shared" si="39"/>
        <v>8.5964941858440047E-14</v>
      </c>
      <c r="AN94" s="1">
        <f t="shared" si="40"/>
        <v>9.9624673732797236E-2</v>
      </c>
      <c r="AO94" s="1">
        <f t="shared" si="41"/>
        <v>5.2572496601640629E-8</v>
      </c>
      <c r="AP94" s="1">
        <f t="shared" si="42"/>
        <v>33.01854618745589</v>
      </c>
      <c r="AQ94" s="1">
        <f t="shared" si="43"/>
        <v>330.18546187455888</v>
      </c>
      <c r="AR94" s="25"/>
      <c r="BA94" s="2">
        <v>0.93</v>
      </c>
      <c r="BB94" s="1">
        <f t="shared" si="49"/>
        <v>0.11748975549395291</v>
      </c>
      <c r="BC94" s="1">
        <f t="shared" si="44"/>
        <v>8.5964941858440047E-14</v>
      </c>
      <c r="BD94" s="1">
        <f t="shared" si="45"/>
        <v>8.5964941858440028E-17</v>
      </c>
      <c r="BE94" s="1">
        <f t="shared" si="46"/>
        <v>0.99999999999999989</v>
      </c>
      <c r="BF94" s="1">
        <f t="shared" si="47"/>
        <v>7.6957657171957008</v>
      </c>
      <c r="BG94" s="1">
        <f t="shared" si="48"/>
        <v>6.49707928195867</v>
      </c>
    </row>
    <row r="95" spans="1:59" ht="15" customHeight="1" x14ac:dyDescent="0.3">
      <c r="A95" s="2">
        <v>9.4</v>
      </c>
      <c r="B95" s="1">
        <f t="shared" si="50"/>
        <v>3.9810717055349621E-10</v>
      </c>
      <c r="C95" s="1">
        <f t="shared" si="51"/>
        <v>2.5370052958246823E-5</v>
      </c>
      <c r="D95" s="1">
        <f t="shared" si="52"/>
        <v>-2.5252663715453459E-5</v>
      </c>
      <c r="E95" s="1">
        <f t="shared" si="53"/>
        <v>3.3375421106192418E-3</v>
      </c>
      <c r="F95" s="1">
        <f t="shared" si="54"/>
        <v>0.99999297875881221</v>
      </c>
      <c r="G95" s="1">
        <f t="shared" si="55"/>
        <v>1.0015155425377877</v>
      </c>
      <c r="H95" s="1">
        <f t="shared" si="63"/>
        <v>10.015155425377877</v>
      </c>
      <c r="J95" s="2">
        <v>11.7</v>
      </c>
      <c r="K95" s="1">
        <v>1.9952623149688759E-12</v>
      </c>
      <c r="L95" s="1">
        <v>5.061991059635459E-3</v>
      </c>
      <c r="M95" s="1">
        <v>-5.061991041854676E-3</v>
      </c>
      <c r="N95" s="1">
        <v>4.1769985069757794E-3</v>
      </c>
      <c r="O95" s="1">
        <v>0.9999999990023688</v>
      </c>
      <c r="P95" s="1">
        <v>1.3199134528355017</v>
      </c>
      <c r="Q95" s="2">
        <v>13.199134528355016</v>
      </c>
      <c r="S95" s="2">
        <v>9.4</v>
      </c>
      <c r="T95" s="1">
        <f t="shared" si="56"/>
        <v>3.9810717055349621E-10</v>
      </c>
      <c r="U95" s="1">
        <f t="shared" si="57"/>
        <v>2.5370052958246823E-5</v>
      </c>
      <c r="V95" s="1">
        <f t="shared" si="58"/>
        <v>0.10003575747155433</v>
      </c>
      <c r="W95" s="1">
        <f t="shared" si="59"/>
        <v>-1.1919157184775335E-5</v>
      </c>
      <c r="X95" s="1">
        <f t="shared" si="60"/>
        <v>1.5311579803991683E-5</v>
      </c>
      <c r="Y95" s="1">
        <f t="shared" si="61"/>
        <v>-2.383547338201253E-4</v>
      </c>
      <c r="Z95" s="1">
        <f t="shared" si="62"/>
        <v>-1.1917736691006266E-2</v>
      </c>
      <c r="AB95"/>
      <c r="AC95"/>
      <c r="AD95"/>
      <c r="AE95"/>
      <c r="AF95"/>
      <c r="AG95"/>
      <c r="AH95"/>
      <c r="AI95"/>
      <c r="AJ95" s="25"/>
      <c r="AK95" s="2">
        <v>0.94</v>
      </c>
      <c r="AL95" s="1">
        <f t="shared" si="64"/>
        <v>0.11481536214968829</v>
      </c>
      <c r="AM95" s="1">
        <f t="shared" si="39"/>
        <v>8.7967322585564122E-14</v>
      </c>
      <c r="AN95" s="1">
        <f t="shared" si="40"/>
        <v>0.10170920824665884</v>
      </c>
      <c r="AO95" s="1">
        <f t="shared" si="41"/>
        <v>5.4922710630582348E-8</v>
      </c>
      <c r="AP95" s="1">
        <f t="shared" si="42"/>
        <v>38.062240615158146</v>
      </c>
      <c r="AQ95" s="1">
        <f t="shared" si="43"/>
        <v>380.62240615158146</v>
      </c>
      <c r="AR95" s="25"/>
      <c r="BA95" s="2">
        <v>0.94</v>
      </c>
      <c r="BB95" s="1">
        <f t="shared" si="49"/>
        <v>0.11481536214968829</v>
      </c>
      <c r="BC95" s="1">
        <f t="shared" si="44"/>
        <v>8.7967322585564122E-14</v>
      </c>
      <c r="BD95" s="1">
        <f t="shared" si="45"/>
        <v>8.7967322585564123E-17</v>
      </c>
      <c r="BE95" s="1">
        <f t="shared" si="46"/>
        <v>0.99999999999999989</v>
      </c>
      <c r="BF95" s="1">
        <f t="shared" si="47"/>
        <v>7.3913646895459131</v>
      </c>
      <c r="BG95" s="1">
        <f t="shared" si="48"/>
        <v>6.764650656558489</v>
      </c>
    </row>
    <row r="96" spans="1:59" ht="15" customHeight="1" x14ac:dyDescent="0.3">
      <c r="A96" s="2">
        <v>9.5</v>
      </c>
      <c r="B96" s="1">
        <f t="shared" si="50"/>
        <v>3.1622776601683744E-10</v>
      </c>
      <c r="C96" s="1">
        <f t="shared" si="51"/>
        <v>3.193900436770068E-5</v>
      </c>
      <c r="D96" s="1">
        <f t="shared" si="52"/>
        <v>-3.1845764771983715E-5</v>
      </c>
      <c r="E96" s="1">
        <f t="shared" si="53"/>
        <v>3.3386409607953299E-3</v>
      </c>
      <c r="F96" s="1">
        <f t="shared" si="54"/>
        <v>0.99999442282182782</v>
      </c>
      <c r="G96" s="1">
        <f t="shared" si="55"/>
        <v>1.0019113545717999</v>
      </c>
      <c r="H96" s="1">
        <f t="shared" si="63"/>
        <v>10.019113545717998</v>
      </c>
      <c r="J96" s="2">
        <v>11.8</v>
      </c>
      <c r="K96" s="1">
        <v>1.5848931924611065E-12</v>
      </c>
      <c r="L96" s="1">
        <v>6.3726691792499795E-3</v>
      </c>
      <c r="M96" s="1">
        <v>-6.3726691652993064E-3</v>
      </c>
      <c r="N96" s="1">
        <v>4.3954448608832172E-3</v>
      </c>
      <c r="O96" s="1">
        <v>0.99999999920755334</v>
      </c>
      <c r="P96" s="1">
        <v>1.4083851867923227</v>
      </c>
      <c r="Q96" s="2">
        <v>14.083851867923226</v>
      </c>
      <c r="S96" s="2">
        <v>9.5</v>
      </c>
      <c r="T96" s="1">
        <f t="shared" si="56"/>
        <v>3.1622776601683744E-10</v>
      </c>
      <c r="U96" s="1">
        <f t="shared" si="57"/>
        <v>3.193900436770068E-5</v>
      </c>
      <c r="V96" s="1">
        <f t="shared" si="58"/>
        <v>0.10004608338319758</v>
      </c>
      <c r="W96" s="1">
        <f t="shared" si="59"/>
        <v>-1.5361127732524967E-5</v>
      </c>
      <c r="X96" s="1">
        <f t="shared" si="60"/>
        <v>1.2162458458068077E-5</v>
      </c>
      <c r="Y96" s="1">
        <f t="shared" si="61"/>
        <v>-3.0717536904969675E-4</v>
      </c>
      <c r="Z96" s="1">
        <f t="shared" si="62"/>
        <v>-1.5358768452484838E-2</v>
      </c>
      <c r="AB96"/>
      <c r="AC96"/>
      <c r="AD96"/>
      <c r="AE96"/>
      <c r="AF96"/>
      <c r="AG96"/>
      <c r="AH96"/>
      <c r="AI96"/>
      <c r="AJ96" s="25"/>
      <c r="AK96" s="2">
        <v>0.95</v>
      </c>
      <c r="AL96" s="1">
        <f t="shared" si="64"/>
        <v>0.11220184543019632</v>
      </c>
      <c r="AM96" s="1">
        <f t="shared" si="39"/>
        <v>9.001634475150831E-14</v>
      </c>
      <c r="AN96" s="1">
        <f t="shared" si="40"/>
        <v>0.1038323293834367</v>
      </c>
      <c r="AO96" s="1">
        <f t="shared" si="41"/>
        <v>5.7375209802392028E-8</v>
      </c>
      <c r="AP96" s="1">
        <f t="shared" si="42"/>
        <v>45.126451231594494</v>
      </c>
      <c r="AQ96" s="1">
        <f t="shared" si="43"/>
        <v>451.2645123159449</v>
      </c>
      <c r="AR96" s="25"/>
      <c r="BA96" s="2">
        <v>0.95</v>
      </c>
      <c r="BB96" s="1">
        <f t="shared" si="49"/>
        <v>0.11220184543019632</v>
      </c>
      <c r="BC96" s="1">
        <f t="shared" si="44"/>
        <v>9.001634475150831E-14</v>
      </c>
      <c r="BD96" s="1">
        <f t="shared" si="45"/>
        <v>9.0016344751508308E-17</v>
      </c>
      <c r="BE96" s="1">
        <f t="shared" si="46"/>
        <v>0.99999999999999989</v>
      </c>
      <c r="BF96" s="1">
        <f t="shared" si="47"/>
        <v>7.111808829229342</v>
      </c>
      <c r="BG96" s="1">
        <f t="shared" si="48"/>
        <v>7.0305601852655757</v>
      </c>
    </row>
    <row r="97" spans="1:59" ht="15" customHeight="1" x14ac:dyDescent="0.3">
      <c r="A97" s="2">
        <v>9.6</v>
      </c>
      <c r="B97" s="1">
        <f t="shared" si="50"/>
        <v>2.5118864315095784E-10</v>
      </c>
      <c r="C97" s="1">
        <f t="shared" si="51"/>
        <v>4.0208824225903246E-5</v>
      </c>
      <c r="D97" s="1">
        <f t="shared" si="52"/>
        <v>-4.0134767417970011E-5</v>
      </c>
      <c r="E97" s="1">
        <f t="shared" si="53"/>
        <v>3.3400224612363289E-3</v>
      </c>
      <c r="F97" s="1">
        <f t="shared" si="54"/>
        <v>0.99999556988482619</v>
      </c>
      <c r="G97" s="1">
        <f t="shared" si="55"/>
        <v>1.0024090529128618</v>
      </c>
      <c r="H97" s="1">
        <f t="shared" si="63"/>
        <v>10.024090529128618</v>
      </c>
      <c r="J97" s="2">
        <v>11.9</v>
      </c>
      <c r="K97" s="1">
        <v>1.2589254117941629E-12</v>
      </c>
      <c r="L97" s="1">
        <v>8.0227151707152698E-3</v>
      </c>
      <c r="M97" s="1">
        <v>-8.0227151598069712E-3</v>
      </c>
      <c r="N97" s="1">
        <v>4.670452526634495E-3</v>
      </c>
      <c r="O97" s="1">
        <v>0.99999999937053741</v>
      </c>
      <c r="P97" s="1">
        <v>1.5233497710057082</v>
      </c>
      <c r="Q97" s="2">
        <v>15.233497710057081</v>
      </c>
      <c r="S97" s="2">
        <v>9.6</v>
      </c>
      <c r="T97" s="1">
        <f t="shared" si="56"/>
        <v>2.5118864315095784E-10</v>
      </c>
      <c r="U97" s="1">
        <f t="shared" si="57"/>
        <v>4.0208824225903246E-5</v>
      </c>
      <c r="V97" s="1">
        <f t="shared" si="58"/>
        <v>0.10005886342396733</v>
      </c>
      <c r="W97" s="1">
        <f t="shared" si="59"/>
        <v>-1.962114132244179E-5</v>
      </c>
      <c r="X97" s="1">
        <f t="shared" si="60"/>
        <v>9.6610083236686751E-6</v>
      </c>
      <c r="Y97" s="1">
        <f t="shared" si="61"/>
        <v>-3.9234584371636755E-4</v>
      </c>
      <c r="Z97" s="1">
        <f t="shared" si="62"/>
        <v>-1.9617292185818376E-2</v>
      </c>
      <c r="AB97"/>
      <c r="AC97"/>
      <c r="AD97"/>
      <c r="AE97"/>
      <c r="AF97"/>
      <c r="AG97"/>
      <c r="AH97"/>
      <c r="AI97"/>
      <c r="AJ97" s="25"/>
      <c r="AK97" s="2">
        <v>0.96</v>
      </c>
      <c r="AL97" s="1">
        <f t="shared" si="64"/>
        <v>0.10964781961431849</v>
      </c>
      <c r="AM97" s="1">
        <f t="shared" si="39"/>
        <v>9.2113094774946885E-14</v>
      </c>
      <c r="AN97" s="1">
        <f t="shared" si="40"/>
        <v>0.10599453999047589</v>
      </c>
      <c r="AO97" s="1">
        <f t="shared" si="41"/>
        <v>5.9934265017991636E-8</v>
      </c>
      <c r="AP97" s="1">
        <f t="shared" si="42"/>
        <v>55.726542740542556</v>
      </c>
      <c r="AQ97" s="1">
        <f t="shared" si="43"/>
        <v>557.26542740542561</v>
      </c>
      <c r="AR97" s="25"/>
      <c r="BA97" s="2">
        <v>0.96</v>
      </c>
      <c r="BB97" s="1">
        <f t="shared" si="49"/>
        <v>0.10964781961431849</v>
      </c>
      <c r="BC97" s="1">
        <f t="shared" si="44"/>
        <v>9.2113094774946885E-14</v>
      </c>
      <c r="BD97" s="1">
        <f t="shared" si="45"/>
        <v>9.2113094774946875E-17</v>
      </c>
      <c r="BE97" s="1">
        <f t="shared" si="46"/>
        <v>0.99999999999999989</v>
      </c>
      <c r="BF97" s="1">
        <f t="shared" si="47"/>
        <v>6.8542412212330381</v>
      </c>
      <c r="BG97" s="1">
        <f t="shared" si="48"/>
        <v>7.2947534798031644</v>
      </c>
    </row>
    <row r="98" spans="1:59" ht="15" customHeight="1" x14ac:dyDescent="0.3">
      <c r="A98" s="2">
        <v>9.6999999999999993</v>
      </c>
      <c r="B98" s="1">
        <f t="shared" si="50"/>
        <v>1.9952623149688802E-10</v>
      </c>
      <c r="C98" s="1">
        <f t="shared" si="51"/>
        <v>5.0619910596354482E-5</v>
      </c>
      <c r="D98" s="1">
        <f t="shared" si="52"/>
        <v>-5.0561091244407123E-5</v>
      </c>
      <c r="E98" s="1">
        <f t="shared" si="53"/>
        <v>3.3417601818740679E-3</v>
      </c>
      <c r="F98" s="1">
        <f t="shared" si="54"/>
        <v>0.99999648103122807</v>
      </c>
      <c r="G98" s="1">
        <f t="shared" si="55"/>
        <v>1.0030352001049589</v>
      </c>
      <c r="H98" s="1">
        <f t="shared" si="63"/>
        <v>10.030352001049589</v>
      </c>
      <c r="J98" s="2">
        <v>12</v>
      </c>
      <c r="K98" s="1">
        <v>9.9999999999999998E-13</v>
      </c>
      <c r="L98" s="1">
        <v>1.01E-2</v>
      </c>
      <c r="M98" s="1">
        <v>-1.0099999991508332E-2</v>
      </c>
      <c r="N98" s="1">
        <v>5.0166666652513882E-3</v>
      </c>
      <c r="O98" s="1">
        <v>0.99999999949999996</v>
      </c>
      <c r="P98" s="1">
        <v>1.6740823130514559</v>
      </c>
      <c r="Q98" s="2">
        <v>16.74082313051456</v>
      </c>
      <c r="S98" s="2">
        <v>9.6999999999999993</v>
      </c>
      <c r="T98" s="1">
        <f t="shared" si="56"/>
        <v>1.9952623149688802E-10</v>
      </c>
      <c r="U98" s="1">
        <f t="shared" si="57"/>
        <v>5.0619910596354482E-5</v>
      </c>
      <c r="V98" s="1">
        <f t="shared" si="58"/>
        <v>0.10007477817563998</v>
      </c>
      <c r="W98" s="1">
        <f t="shared" si="59"/>
        <v>-2.4926058546656043E-5</v>
      </c>
      <c r="X98" s="1">
        <f t="shared" si="60"/>
        <v>7.674026935662044E-6</v>
      </c>
      <c r="Y98" s="1">
        <f t="shared" si="61"/>
        <v>-4.983969402200069E-4</v>
      </c>
      <c r="Z98" s="1">
        <f t="shared" si="62"/>
        <v>-2.4919847011000341E-2</v>
      </c>
      <c r="AB98"/>
      <c r="AC98"/>
      <c r="AD98"/>
      <c r="AE98"/>
      <c r="AF98"/>
      <c r="AG98"/>
      <c r="AH98"/>
      <c r="AI98"/>
      <c r="AJ98" s="25"/>
      <c r="AK98" s="2">
        <v>0.97</v>
      </c>
      <c r="AL98" s="1">
        <f t="shared" si="64"/>
        <v>0.10715193052376064</v>
      </c>
      <c r="AM98" s="1">
        <f t="shared" si="39"/>
        <v>9.4258684380496093E-14</v>
      </c>
      <c r="AN98" s="1">
        <f t="shared" si="40"/>
        <v>0.10819634049552873</v>
      </c>
      <c r="AO98" s="1">
        <f t="shared" si="41"/>
        <v>6.2604314060727653E-8</v>
      </c>
      <c r="AP98" s="1">
        <f t="shared" si="42"/>
        <v>73.398364862583946</v>
      </c>
      <c r="AQ98" s="1">
        <f t="shared" si="43"/>
        <v>733.98364862583946</v>
      </c>
      <c r="AR98" s="25"/>
      <c r="BA98" s="2">
        <v>0.97</v>
      </c>
      <c r="BB98" s="1">
        <f t="shared" si="49"/>
        <v>0.10715193052376064</v>
      </c>
      <c r="BC98" s="1">
        <f t="shared" si="44"/>
        <v>9.4258684380496093E-14</v>
      </c>
      <c r="BD98" s="1">
        <f t="shared" si="45"/>
        <v>9.4258684380496073E-17</v>
      </c>
      <c r="BE98" s="1">
        <f t="shared" si="46"/>
        <v>0.99999999999999989</v>
      </c>
      <c r="BF98" s="1">
        <f t="shared" si="47"/>
        <v>6.6162265355868808</v>
      </c>
      <c r="BG98" s="1">
        <f t="shared" si="48"/>
        <v>7.5571777554870003</v>
      </c>
    </row>
    <row r="99" spans="1:59" ht="15" customHeight="1" x14ac:dyDescent="0.3">
      <c r="A99" s="2">
        <v>9.8000000000000007</v>
      </c>
      <c r="B99" s="1">
        <f t="shared" si="50"/>
        <v>1.5848931924611098E-10</v>
      </c>
      <c r="C99" s="1">
        <f t="shared" si="51"/>
        <v>6.3726691792499661E-5</v>
      </c>
      <c r="D99" s="1">
        <f t="shared" si="52"/>
        <v>-6.3679975998490467E-5</v>
      </c>
      <c r="E99" s="1">
        <f t="shared" si="53"/>
        <v>3.3439466626664148E-3</v>
      </c>
      <c r="F99" s="1">
        <f t="shared" si="54"/>
        <v>0.99999720478172427</v>
      </c>
      <c r="G99" s="1">
        <f t="shared" si="55"/>
        <v>1.0038232331938897</v>
      </c>
      <c r="H99" s="1">
        <f t="shared" si="63"/>
        <v>10.038232331938897</v>
      </c>
      <c r="J99" s="2">
        <v>12.1</v>
      </c>
      <c r="K99" s="1">
        <v>7.9432823472428024E-13</v>
      </c>
      <c r="L99" s="1">
        <v>1.2715146659121108E-2</v>
      </c>
      <c r="M99" s="1">
        <v>-1.2715146652549048E-2</v>
      </c>
      <c r="N99" s="1">
        <v>5.4525244420915078E-3</v>
      </c>
      <c r="O99" s="1">
        <v>0.99999999960283592</v>
      </c>
      <c r="P99" s="1">
        <v>1.8740448885398997</v>
      </c>
      <c r="Q99" s="2">
        <v>18.740448885398997</v>
      </c>
      <c r="S99" s="2">
        <v>9.8000000000000007</v>
      </c>
      <c r="T99" s="1">
        <f t="shared" si="56"/>
        <v>1.5848931924611098E-10</v>
      </c>
      <c r="U99" s="1">
        <f t="shared" si="57"/>
        <v>6.3726691792499661E-5</v>
      </c>
      <c r="V99" s="1">
        <f t="shared" si="58"/>
        <v>0.1000946751555153</v>
      </c>
      <c r="W99" s="1">
        <f t="shared" si="59"/>
        <v>-3.1558385171769491E-5</v>
      </c>
      <c r="X99" s="1">
        <f t="shared" si="60"/>
        <v>6.0957058900705442E-6</v>
      </c>
      <c r="Y99" s="1">
        <f t="shared" si="61"/>
        <v>-6.3096857994061927E-4</v>
      </c>
      <c r="Z99" s="1">
        <f t="shared" si="62"/>
        <v>-3.1548428997030961E-2</v>
      </c>
      <c r="AB99"/>
      <c r="AC99"/>
      <c r="AD99"/>
      <c r="AE99"/>
      <c r="AF99"/>
      <c r="AG99"/>
      <c r="AH99"/>
      <c r="AI99"/>
      <c r="AJ99" s="25"/>
      <c r="AK99" s="2">
        <v>0.98</v>
      </c>
      <c r="AL99" s="1">
        <f t="shared" si="64"/>
        <v>0.10471285480508996</v>
      </c>
      <c r="AM99" s="1">
        <f t="shared" si="39"/>
        <v>9.6454251188165016E-14</v>
      </c>
      <c r="AN99" s="1">
        <f t="shared" si="40"/>
        <v>0.1104382284454484</v>
      </c>
      <c r="AO99" s="1">
        <f t="shared" si="41"/>
        <v>6.5389967414821817E-8</v>
      </c>
      <c r="AP99" s="1">
        <f t="shared" si="42"/>
        <v>108.74946488047716</v>
      </c>
      <c r="AQ99" s="1">
        <f t="shared" si="43"/>
        <v>1087.4946488047715</v>
      </c>
      <c r="AR99" s="25"/>
      <c r="BA99" s="2">
        <v>0.98</v>
      </c>
      <c r="BB99" s="1">
        <f t="shared" si="49"/>
        <v>0.10471285480508996</v>
      </c>
      <c r="BC99" s="1">
        <f t="shared" si="44"/>
        <v>9.6454251188165016E-14</v>
      </c>
      <c r="BD99" s="1">
        <f t="shared" si="45"/>
        <v>9.6454251188164996E-17</v>
      </c>
      <c r="BE99" s="1">
        <f t="shared" si="46"/>
        <v>0.99999999999999989</v>
      </c>
      <c r="BF99" s="1">
        <f t="shared" si="47"/>
        <v>6.3956760207558814</v>
      </c>
      <c r="BG99" s="1">
        <f t="shared" si="48"/>
        <v>7.8177818635176397</v>
      </c>
    </row>
    <row r="100" spans="1:59" ht="15" customHeight="1" x14ac:dyDescent="0.3">
      <c r="A100" s="2">
        <v>9.9</v>
      </c>
      <c r="B100" s="1">
        <f t="shared" si="50"/>
        <v>1.2589254117941656E-10</v>
      </c>
      <c r="C100" s="1">
        <f t="shared" si="51"/>
        <v>8.0227151707152526E-5</v>
      </c>
      <c r="D100" s="1">
        <f t="shared" si="52"/>
        <v>-8.0190050121315562E-5</v>
      </c>
      <c r="E100" s="1">
        <f t="shared" si="53"/>
        <v>3.3466983416868853E-3</v>
      </c>
      <c r="F100" s="1">
        <f t="shared" si="54"/>
        <v>0.99999777967792491</v>
      </c>
      <c r="G100" s="1">
        <f t="shared" si="55"/>
        <v>1.0048152643701909</v>
      </c>
      <c r="H100" s="1">
        <f t="shared" si="63"/>
        <v>10.048152643701908</v>
      </c>
      <c r="S100" s="2">
        <v>9.9</v>
      </c>
      <c r="T100" s="1">
        <f t="shared" si="56"/>
        <v>1.2589254117941656E-10</v>
      </c>
      <c r="U100" s="1">
        <f t="shared" si="57"/>
        <v>8.0227151707152526E-5</v>
      </c>
      <c r="V100" s="1">
        <f t="shared" si="58"/>
        <v>0.10011961394953126</v>
      </c>
      <c r="W100" s="1">
        <f t="shared" si="59"/>
        <v>-3.9871316510423791E-5</v>
      </c>
      <c r="X100" s="1">
        <f t="shared" si="60"/>
        <v>4.8419973695408971E-6</v>
      </c>
      <c r="Y100" s="1">
        <f t="shared" si="61"/>
        <v>-7.9710851255050522E-4</v>
      </c>
      <c r="Z100" s="1">
        <f t="shared" si="62"/>
        <v>-3.9855425627525268E-2</v>
      </c>
      <c r="AB100"/>
      <c r="AC100"/>
      <c r="AD100"/>
      <c r="AE100"/>
      <c r="AF100"/>
      <c r="AG100"/>
      <c r="AH100"/>
      <c r="AI100"/>
      <c r="AJ100" s="25"/>
      <c r="AK100" s="2">
        <v>0.99</v>
      </c>
      <c r="AL100" s="1">
        <f t="shared" si="64"/>
        <v>0.10232929922807538</v>
      </c>
      <c r="AM100" s="1">
        <f t="shared" si="39"/>
        <v>9.8700959316536909E-14</v>
      </c>
      <c r="AN100" s="1">
        <f t="shared" si="40"/>
        <v>0.11272069802872035</v>
      </c>
      <c r="AO100" s="1">
        <f t="shared" si="41"/>
        <v>6.8296014245187215E-8</v>
      </c>
      <c r="AP100" s="1">
        <f t="shared" si="42"/>
        <v>214.81757546129273</v>
      </c>
      <c r="AQ100" s="1">
        <f t="shared" si="43"/>
        <v>2148.175754612927</v>
      </c>
      <c r="AR100" s="25"/>
      <c r="BA100" s="2">
        <v>0.99</v>
      </c>
      <c r="BB100" s="1">
        <f t="shared" si="49"/>
        <v>0.10232929922807538</v>
      </c>
      <c r="BC100" s="1">
        <f t="shared" si="44"/>
        <v>9.8700959316536909E-14</v>
      </c>
      <c r="BD100" s="1">
        <f t="shared" si="45"/>
        <v>9.8700959316536884E-17</v>
      </c>
      <c r="BE100" s="1">
        <f t="shared" si="46"/>
        <v>0.99999999999999989</v>
      </c>
      <c r="BF100" s="1">
        <f t="shared" si="47"/>
        <v>6.1907879607345961</v>
      </c>
      <c r="BG100" s="1">
        <f t="shared" si="48"/>
        <v>8.0765163202370474</v>
      </c>
    </row>
    <row r="101" spans="1:59" ht="15" customHeight="1" x14ac:dyDescent="0.3">
      <c r="A101" s="2">
        <v>10</v>
      </c>
      <c r="B101" s="1">
        <f t="shared" si="50"/>
        <v>1E-10</v>
      </c>
      <c r="C101" s="1">
        <f t="shared" si="51"/>
        <v>1.0099999999999999E-4</v>
      </c>
      <c r="D101" s="1">
        <f t="shared" si="52"/>
        <v>-1.009705352577084E-4</v>
      </c>
      <c r="E101" s="1">
        <f t="shared" si="53"/>
        <v>3.3501617558762847E-3</v>
      </c>
      <c r="F101" s="1">
        <f t="shared" si="54"/>
        <v>0.99999823633468021</v>
      </c>
      <c r="G101" s="1">
        <f t="shared" si="55"/>
        <v>1.0060643553274966</v>
      </c>
      <c r="H101" s="1">
        <f t="shared" si="63"/>
        <v>10.060643553274966</v>
      </c>
      <c r="S101" s="2">
        <v>10</v>
      </c>
      <c r="T101" s="1">
        <f t="shared" si="56"/>
        <v>1E-10</v>
      </c>
      <c r="U101" s="1">
        <f t="shared" si="57"/>
        <v>1.0099999999999999E-4</v>
      </c>
      <c r="V101" s="1">
        <f t="shared" si="58"/>
        <v>0.10015092263890728</v>
      </c>
      <c r="W101" s="1">
        <f t="shared" si="59"/>
        <v>-5.0307546302425177E-5</v>
      </c>
      <c r="X101" s="1">
        <f t="shared" si="60"/>
        <v>3.8461390533113342E-6</v>
      </c>
      <c r="Y101" s="1">
        <f t="shared" si="61"/>
        <v>-1.005645010719098E-3</v>
      </c>
      <c r="Z101" s="1">
        <f t="shared" si="62"/>
        <v>-5.0282250535954899E-2</v>
      </c>
      <c r="AB101"/>
      <c r="AC101"/>
      <c r="AD101"/>
      <c r="AE101"/>
      <c r="AF101"/>
      <c r="AG101"/>
      <c r="AH101"/>
      <c r="AI101"/>
      <c r="AJ101" s="25"/>
      <c r="AK101" s="2">
        <v>1</v>
      </c>
      <c r="AL101" s="1">
        <f t="shared" si="64"/>
        <v>0.1</v>
      </c>
      <c r="AM101" s="1">
        <f t="shared" si="39"/>
        <v>1.0099999999999999E-13</v>
      </c>
      <c r="AN101" s="1">
        <f t="shared" si="40"/>
        <v>0.11504423958180025</v>
      </c>
      <c r="AO101" s="1">
        <f t="shared" si="41"/>
        <v>7.1327428540716152E-8</v>
      </c>
      <c r="AP101" s="1">
        <f t="shared" si="42"/>
        <v>-4836202308168.3135</v>
      </c>
      <c r="AQ101" s="1">
        <f t="shared" si="43"/>
        <v>-48362023081683.133</v>
      </c>
      <c r="AR101" s="25"/>
      <c r="BA101" s="2">
        <v>1</v>
      </c>
      <c r="BB101" s="1">
        <f t="shared" si="49"/>
        <v>0.1</v>
      </c>
      <c r="BC101" s="1">
        <f t="shared" si="44"/>
        <v>1.0099999999999999E-13</v>
      </c>
      <c r="BD101" s="1">
        <f t="shared" si="45"/>
        <v>1.0099999999999994E-16</v>
      </c>
      <c r="BE101" s="1">
        <f t="shared" si="46"/>
        <v>0.99999999999999978</v>
      </c>
      <c r="BF101" s="1">
        <f t="shared" si="47"/>
        <v>5.9999999999919176</v>
      </c>
      <c r="BG101" s="1">
        <f t="shared" si="48"/>
        <v>8.3333333333445569</v>
      </c>
    </row>
    <row r="102" spans="1:59" ht="15" customHeight="1" x14ac:dyDescent="0.3">
      <c r="A102" s="2">
        <v>10.1</v>
      </c>
      <c r="B102" s="1">
        <f t="shared" si="50"/>
        <v>7.943282347242792E-11</v>
      </c>
      <c r="C102" s="1">
        <f t="shared" si="51"/>
        <v>1.2715146659121124E-4</v>
      </c>
      <c r="D102" s="1">
        <f t="shared" si="52"/>
        <v>-1.2712806801349561E-4</v>
      </c>
      <c r="E102" s="1">
        <f t="shared" si="53"/>
        <v>3.3545213446689154E-3</v>
      </c>
      <c r="F102" s="1">
        <f t="shared" si="54"/>
        <v>0.99999859907033173</v>
      </c>
      <c r="G102" s="1">
        <f t="shared" si="55"/>
        <v>1.007637393351424</v>
      </c>
      <c r="H102" s="1">
        <f t="shared" si="63"/>
        <v>10.076373933514239</v>
      </c>
      <c r="S102" s="2">
        <v>10.1</v>
      </c>
      <c r="T102" s="1">
        <f t="shared" si="56"/>
        <v>7.943282347242792E-11</v>
      </c>
      <c r="U102" s="1">
        <f t="shared" si="57"/>
        <v>1.2715146659121124E-4</v>
      </c>
      <c r="V102" s="1">
        <f t="shared" si="58"/>
        <v>0.10019026852520375</v>
      </c>
      <c r="W102" s="1">
        <f t="shared" si="59"/>
        <v>-6.3422841734583731E-5</v>
      </c>
      <c r="X102" s="1">
        <f t="shared" si="60"/>
        <v>3.0550992614333695E-6</v>
      </c>
      <c r="Y102" s="1">
        <f t="shared" si="61"/>
        <v>-1.2676528532288276E-3</v>
      </c>
      <c r="Z102" s="1">
        <f t="shared" si="62"/>
        <v>-6.3382642661441377E-2</v>
      </c>
      <c r="AB102"/>
      <c r="AC102"/>
      <c r="AD102"/>
      <c r="AE102"/>
      <c r="AF102"/>
      <c r="AG102"/>
      <c r="AH102"/>
      <c r="AI102"/>
      <c r="AJ102" s="25"/>
      <c r="AK102" s="2">
        <v>1.01</v>
      </c>
      <c r="AL102" s="1">
        <f t="shared" si="64"/>
        <v>9.7723722095581056E-2</v>
      </c>
      <c r="AM102" s="1">
        <f t="shared" si="39"/>
        <v>1.0335259222035617E-13</v>
      </c>
      <c r="AN102" s="1">
        <f t="shared" si="40"/>
        <v>0.11740933907926264</v>
      </c>
      <c r="AO102" s="1">
        <f t="shared" si="41"/>
        <v>7.4489375423037103E-8</v>
      </c>
      <c r="AP102" s="1">
        <f t="shared" si="42"/>
        <v>-209.4988756531755</v>
      </c>
      <c r="AQ102" s="1">
        <f t="shared" si="43"/>
        <v>-2094.9887565317545</v>
      </c>
      <c r="AR102" s="25"/>
      <c r="BA102" s="2">
        <v>1.01</v>
      </c>
      <c r="BB102" s="1">
        <f t="shared" si="49"/>
        <v>9.7723722095581056E-2</v>
      </c>
      <c r="BC102" s="1">
        <f t="shared" si="44"/>
        <v>1.0335259222035617E-13</v>
      </c>
      <c r="BD102" s="1">
        <f t="shared" si="45"/>
        <v>1.0335259222035614E-16</v>
      </c>
      <c r="BE102" s="1">
        <f t="shared" si="46"/>
        <v>0.99999999999999978</v>
      </c>
      <c r="BF102" s="1">
        <f t="shared" si="47"/>
        <v>5.8219506653030715</v>
      </c>
      <c r="BG102" s="1">
        <f t="shared" si="48"/>
        <v>8.5881868250762938</v>
      </c>
    </row>
    <row r="103" spans="1:59" ht="15" customHeight="1" x14ac:dyDescent="0.3">
      <c r="A103" s="2">
        <v>10.199999999999999</v>
      </c>
      <c r="B103" s="1">
        <f t="shared" si="50"/>
        <v>6.3095734448019192E-11</v>
      </c>
      <c r="C103" s="1">
        <f t="shared" si="51"/>
        <v>1.600742124385728E-4</v>
      </c>
      <c r="D103" s="1">
        <f t="shared" si="52"/>
        <v>-1.6005563238926068E-4</v>
      </c>
      <c r="E103" s="1">
        <f t="shared" si="53"/>
        <v>3.3600092720648769E-3</v>
      </c>
      <c r="F103" s="1">
        <f t="shared" si="54"/>
        <v>0.99999888720168895</v>
      </c>
      <c r="G103" s="1">
        <f t="shared" si="55"/>
        <v>1.0096187332677151</v>
      </c>
      <c r="H103" s="1">
        <f t="shared" si="63"/>
        <v>10.09618733267715</v>
      </c>
      <c r="S103" s="2">
        <v>10.199999999999999</v>
      </c>
      <c r="T103" s="1">
        <f t="shared" si="56"/>
        <v>6.3095734448019192E-11</v>
      </c>
      <c r="U103" s="1">
        <f t="shared" si="57"/>
        <v>1.600742124385728E-4</v>
      </c>
      <c r="V103" s="1">
        <f t="shared" si="58"/>
        <v>0.10023974692014175</v>
      </c>
      <c r="W103" s="1">
        <f t="shared" si="59"/>
        <v>-7.9915640047250127E-5</v>
      </c>
      <c r="X103" s="1">
        <f t="shared" si="60"/>
        <v>2.4267531280864715E-6</v>
      </c>
      <c r="Y103" s="1">
        <f t="shared" si="61"/>
        <v>-1.597036518989064E-3</v>
      </c>
      <c r="Z103" s="1">
        <f t="shared" si="62"/>
        <v>-7.9851825949453198E-2</v>
      </c>
      <c r="AB103"/>
      <c r="AC103"/>
      <c r="AD103"/>
      <c r="AE103"/>
      <c r="AF103"/>
      <c r="AG103"/>
      <c r="AH103"/>
      <c r="AI103"/>
      <c r="AJ103" s="25"/>
      <c r="AK103" s="2">
        <v>1.02</v>
      </c>
      <c r="AL103" s="1">
        <f t="shared" si="64"/>
        <v>9.5499258602143561E-2</v>
      </c>
      <c r="AM103" s="1">
        <f t="shared" si="39"/>
        <v>1.0575998335314088E-13</v>
      </c>
      <c r="AN103" s="1">
        <f t="shared" si="40"/>
        <v>0.11981647760779572</v>
      </c>
      <c r="AO103" s="1">
        <f t="shared" si="41"/>
        <v>7.7787217622615049E-8</v>
      </c>
      <c r="AP103" s="1">
        <f t="shared" si="42"/>
        <v>-103.43065475895513</v>
      </c>
      <c r="AQ103" s="1">
        <f t="shared" si="43"/>
        <v>-1034.306547589551</v>
      </c>
      <c r="AR103" s="25"/>
      <c r="BA103" s="2">
        <v>1.02</v>
      </c>
      <c r="BB103" s="1">
        <f t="shared" si="49"/>
        <v>9.5499258602143561E-2</v>
      </c>
      <c r="BC103" s="1">
        <f t="shared" si="44"/>
        <v>1.0575998335314088E-13</v>
      </c>
      <c r="BD103" s="1">
        <f t="shared" si="45"/>
        <v>1.0575998335314085E-16</v>
      </c>
      <c r="BE103" s="1">
        <f t="shared" si="46"/>
        <v>0.99999999999999978</v>
      </c>
      <c r="BF103" s="1">
        <f t="shared" si="47"/>
        <v>5.655448079104251</v>
      </c>
      <c r="BG103" s="1">
        <f t="shared" si="48"/>
        <v>8.8410324523604036</v>
      </c>
    </row>
    <row r="104" spans="1:59" ht="15" customHeight="1" x14ac:dyDescent="0.3">
      <c r="A104" s="2">
        <v>10.3</v>
      </c>
      <c r="B104" s="1">
        <f t="shared" si="50"/>
        <v>5.0118723362726993E-11</v>
      </c>
      <c r="C104" s="1">
        <f t="shared" si="51"/>
        <v>2.0152149381185778E-4</v>
      </c>
      <c r="D104" s="1">
        <f t="shared" si="52"/>
        <v>-2.0150674125734932E-4</v>
      </c>
      <c r="E104" s="1">
        <f t="shared" si="53"/>
        <v>3.3669177902095585E-3</v>
      </c>
      <c r="F104" s="1">
        <f t="shared" si="54"/>
        <v>0.99999911607267977</v>
      </c>
      <c r="G104" s="1">
        <f t="shared" si="55"/>
        <v>1.012114816647677</v>
      </c>
      <c r="H104" s="1">
        <f t="shared" si="63"/>
        <v>10.12114816647677</v>
      </c>
      <c r="S104" s="2">
        <v>10.3</v>
      </c>
      <c r="T104" s="1">
        <f t="shared" si="56"/>
        <v>5.0118723362726993E-11</v>
      </c>
      <c r="U104" s="1">
        <f t="shared" si="57"/>
        <v>2.0152149381185778E-4</v>
      </c>
      <c r="V104" s="1">
        <f t="shared" si="58"/>
        <v>0.10030199272854959</v>
      </c>
      <c r="W104" s="1">
        <f t="shared" si="59"/>
        <v>-1.0066424284985941E-4</v>
      </c>
      <c r="X104" s="1">
        <f t="shared" si="60"/>
        <v>1.9276394904575628E-6</v>
      </c>
      <c r="Y104" s="1">
        <f t="shared" si="61"/>
        <v>-2.0112602371077635E-3</v>
      </c>
      <c r="Z104" s="1">
        <f t="shared" si="62"/>
        <v>-0.10056301185538817</v>
      </c>
      <c r="AB104"/>
      <c r="AC104"/>
      <c r="AD104"/>
      <c r="AE104"/>
      <c r="AF104"/>
      <c r="AG104"/>
      <c r="AH104"/>
      <c r="AI104"/>
      <c r="AJ104" s="25"/>
      <c r="AK104" s="2">
        <v>1.03</v>
      </c>
      <c r="AL104" s="1">
        <f t="shared" si="64"/>
        <v>9.3325430079699068E-2</v>
      </c>
      <c r="AM104" s="1">
        <f t="shared" si="39"/>
        <v>1.0822344982899828E-13</v>
      </c>
      <c r="AN104" s="1">
        <f t="shared" si="40"/>
        <v>0.12226613082411908</v>
      </c>
      <c r="AO104" s="1">
        <f t="shared" si="41"/>
        <v>8.1226522123945262E-8</v>
      </c>
      <c r="AP104" s="1">
        <f t="shared" si="42"/>
        <v>-68.079370879132654</v>
      </c>
      <c r="AQ104" s="1">
        <f t="shared" si="43"/>
        <v>-680.79370879132648</v>
      </c>
      <c r="AR104" s="25"/>
      <c r="BA104" s="2">
        <v>1.03</v>
      </c>
      <c r="BB104" s="1">
        <f t="shared" si="49"/>
        <v>9.3325430079699068E-2</v>
      </c>
      <c r="BC104" s="1">
        <f t="shared" si="44"/>
        <v>1.0822344982899828E-13</v>
      </c>
      <c r="BD104" s="1">
        <f t="shared" si="45"/>
        <v>1.0822344982899825E-16</v>
      </c>
      <c r="BE104" s="1">
        <f t="shared" si="46"/>
        <v>0.99999999999999978</v>
      </c>
      <c r="BF104" s="1">
        <f t="shared" si="47"/>
        <v>5.4994443436414793</v>
      </c>
      <c r="BG104" s="1">
        <f t="shared" si="48"/>
        <v>9.0918276239690599</v>
      </c>
    </row>
    <row r="105" spans="1:59" ht="15" customHeight="1" x14ac:dyDescent="0.3">
      <c r="A105" s="2">
        <v>10.4</v>
      </c>
      <c r="B105" s="1">
        <f t="shared" si="50"/>
        <v>3.9810717055349579E-11</v>
      </c>
      <c r="C105" s="1">
        <f t="shared" si="51"/>
        <v>2.5370052958246852E-4</v>
      </c>
      <c r="D105" s="1">
        <f t="shared" si="52"/>
        <v>-2.5368881731618214E-4</v>
      </c>
      <c r="E105" s="1">
        <f t="shared" si="53"/>
        <v>3.3756148028860301E-3</v>
      </c>
      <c r="F105" s="1">
        <f t="shared" si="54"/>
        <v>0.99999929787144437</v>
      </c>
      <c r="G105" s="1">
        <f t="shared" si="55"/>
        <v>1.0152600420591928</v>
      </c>
      <c r="H105" s="1">
        <f t="shared" si="63"/>
        <v>10.152600420591927</v>
      </c>
      <c r="S105" s="2">
        <v>10.4</v>
      </c>
      <c r="T105" s="1">
        <f t="shared" si="56"/>
        <v>3.9810717055349579E-11</v>
      </c>
      <c r="U105" s="1">
        <f t="shared" si="57"/>
        <v>2.5370052958246852E-4</v>
      </c>
      <c r="V105" s="1">
        <f t="shared" si="58"/>
        <v>0.10038032076662592</v>
      </c>
      <c r="W105" s="1">
        <f t="shared" si="59"/>
        <v>-1.267735888753074E-4</v>
      </c>
      <c r="X105" s="1">
        <f t="shared" si="60"/>
        <v>1.5311790806927861E-6</v>
      </c>
      <c r="Y105" s="1">
        <f t="shared" si="61"/>
        <v>-2.5322615386738625E-3</v>
      </c>
      <c r="Z105" s="1">
        <f t="shared" si="62"/>
        <v>-0.12661307693369311</v>
      </c>
      <c r="AB105"/>
      <c r="AC105"/>
      <c r="AD105"/>
      <c r="AE105"/>
      <c r="AF105"/>
      <c r="AG105"/>
      <c r="AH105"/>
      <c r="AI105"/>
      <c r="AJ105" s="25"/>
      <c r="AK105" s="2">
        <v>1.04</v>
      </c>
      <c r="AL105" s="1">
        <f t="shared" si="64"/>
        <v>9.120108393559094E-2</v>
      </c>
      <c r="AM105" s="1">
        <f t="shared" si="39"/>
        <v>1.1074429781046171E-13</v>
      </c>
      <c r="AN105" s="1">
        <f t="shared" si="40"/>
        <v>0.1247587683969365</v>
      </c>
      <c r="AO105" s="1">
        <f t="shared" si="41"/>
        <v>8.4813066981449394E-8</v>
      </c>
      <c r="AP105" s="1">
        <f t="shared" si="42"/>
        <v>-50.407291378031665</v>
      </c>
      <c r="AQ105" s="1">
        <f t="shared" si="43"/>
        <v>-504.0729137803167</v>
      </c>
      <c r="AR105" s="25"/>
      <c r="BA105" s="2">
        <v>1.04</v>
      </c>
      <c r="BB105" s="1">
        <f t="shared" si="49"/>
        <v>9.120108393559094E-2</v>
      </c>
      <c r="BC105" s="1">
        <f t="shared" si="44"/>
        <v>1.1074429781046171E-13</v>
      </c>
      <c r="BD105" s="1">
        <f t="shared" si="45"/>
        <v>1.1074429781046169E-16</v>
      </c>
      <c r="BE105" s="1">
        <f t="shared" si="46"/>
        <v>0.99999999999999978</v>
      </c>
      <c r="BF105" s="1">
        <f t="shared" si="47"/>
        <v>5.3530144319230599</v>
      </c>
      <c r="BG105" s="1">
        <f t="shared" si="48"/>
        <v>9.3405315146960284</v>
      </c>
    </row>
    <row r="106" spans="1:59" ht="15" customHeight="1" x14ac:dyDescent="0.3">
      <c r="A106" s="2">
        <v>10.5</v>
      </c>
      <c r="B106" s="1">
        <f t="shared" si="50"/>
        <v>3.162277660168371E-11</v>
      </c>
      <c r="C106" s="1">
        <f t="shared" si="51"/>
        <v>3.1939004367700712E-4</v>
      </c>
      <c r="D106" s="1">
        <f t="shared" si="52"/>
        <v>-3.1938074639815636E-4</v>
      </c>
      <c r="E106" s="1">
        <f t="shared" si="53"/>
        <v>3.3865634577330255E-3</v>
      </c>
      <c r="F106" s="1">
        <f t="shared" si="54"/>
        <v>0.99999944227938331</v>
      </c>
      <c r="G106" s="1">
        <f t="shared" si="55"/>
        <v>1.0192242433156804</v>
      </c>
      <c r="H106" s="1">
        <f t="shared" si="63"/>
        <v>10.192242433156803</v>
      </c>
      <c r="S106" s="2">
        <v>10.5</v>
      </c>
      <c r="T106" s="1">
        <f t="shared" si="56"/>
        <v>3.162277660168371E-11</v>
      </c>
      <c r="U106" s="1">
        <f t="shared" si="57"/>
        <v>3.1939004367700712E-4</v>
      </c>
      <c r="V106" s="1">
        <f t="shared" si="58"/>
        <v>0.10047890228797281</v>
      </c>
      <c r="W106" s="1">
        <f t="shared" si="59"/>
        <v>-1.5963409599093769E-4</v>
      </c>
      <c r="X106" s="1">
        <f t="shared" si="60"/>
        <v>1.216259159238155E-6</v>
      </c>
      <c r="Y106" s="1">
        <f t="shared" si="61"/>
        <v>-3.1875934338567499E-3</v>
      </c>
      <c r="Z106" s="1">
        <f t="shared" si="62"/>
        <v>-0.15937967169283751</v>
      </c>
      <c r="AB106"/>
      <c r="AC106"/>
      <c r="AD106"/>
      <c r="AE106"/>
      <c r="AF106"/>
      <c r="AG106"/>
      <c r="AH106"/>
      <c r="AI106"/>
      <c r="AJ106" s="25"/>
      <c r="AK106" s="2">
        <v>1.05</v>
      </c>
      <c r="AL106" s="1">
        <f t="shared" si="64"/>
        <v>8.9125093813374537E-2</v>
      </c>
      <c r="AM106" s="1">
        <f t="shared" si="39"/>
        <v>1.1332386388449832E-13</v>
      </c>
      <c r="AN106" s="1">
        <f t="shared" si="40"/>
        <v>0.12729485343307917</v>
      </c>
      <c r="AO106" s="1">
        <f t="shared" si="41"/>
        <v>8.8552848307538661E-8</v>
      </c>
      <c r="AP106" s="1">
        <f t="shared" si="42"/>
        <v>-39.806869004563495</v>
      </c>
      <c r="AQ106" s="1">
        <f t="shared" si="43"/>
        <v>-398.06869004563492</v>
      </c>
      <c r="AR106" s="25"/>
      <c r="BA106" s="2">
        <v>1.05</v>
      </c>
      <c r="BB106" s="1">
        <f t="shared" si="49"/>
        <v>8.9125093813374537E-2</v>
      </c>
      <c r="BC106" s="1">
        <f t="shared" si="44"/>
        <v>1.1332386388449832E-13</v>
      </c>
      <c r="BD106" s="1">
        <f t="shared" si="45"/>
        <v>1.1332386388449827E-16</v>
      </c>
      <c r="BE106" s="1">
        <f t="shared" si="46"/>
        <v>0.99999999999999978</v>
      </c>
      <c r="BF106" s="1">
        <f t="shared" si="47"/>
        <v>5.2153386867594387</v>
      </c>
      <c r="BG106" s="1">
        <f t="shared" si="48"/>
        <v>9.5871050765962043</v>
      </c>
    </row>
    <row r="107" spans="1:59" ht="15" customHeight="1" x14ac:dyDescent="0.3">
      <c r="A107" s="2">
        <v>10.6</v>
      </c>
      <c r="B107" s="1">
        <f t="shared" si="50"/>
        <v>2.5118864315095759E-11</v>
      </c>
      <c r="C107" s="1">
        <f t="shared" si="51"/>
        <v>4.0208824225903287E-4</v>
      </c>
      <c r="D107" s="1">
        <f t="shared" si="52"/>
        <v>-4.0208086327329988E-4</v>
      </c>
      <c r="E107" s="1">
        <f t="shared" si="53"/>
        <v>3.4003468105455494E-3</v>
      </c>
      <c r="F107" s="1">
        <f t="shared" si="54"/>
        <v>0.99999955698671628</v>
      </c>
      <c r="G107" s="1">
        <f t="shared" si="55"/>
        <v>1.0242222448074239</v>
      </c>
      <c r="H107" s="1">
        <f t="shared" si="63"/>
        <v>10.242222448074237</v>
      </c>
      <c r="S107" s="2">
        <v>10.6</v>
      </c>
      <c r="T107" s="1">
        <f t="shared" si="56"/>
        <v>2.5118864315095759E-11</v>
      </c>
      <c r="U107" s="1">
        <f t="shared" si="57"/>
        <v>4.0208824225903287E-4</v>
      </c>
      <c r="V107" s="1">
        <f t="shared" si="58"/>
        <v>0.10060298711804964</v>
      </c>
      <c r="W107" s="1">
        <f t="shared" si="59"/>
        <v>-2.0099570601655071E-4</v>
      </c>
      <c r="X107" s="1">
        <f t="shared" si="60"/>
        <v>9.6610923259727044E-7</v>
      </c>
      <c r="Y107" s="1">
        <f t="shared" si="61"/>
        <v>-4.0118504731481821E-3</v>
      </c>
      <c r="Z107" s="1">
        <f t="shared" si="62"/>
        <v>-0.20059252365740909</v>
      </c>
      <c r="AB107"/>
      <c r="AC107"/>
      <c r="AD107"/>
      <c r="AE107"/>
      <c r="AF107"/>
      <c r="AG107"/>
      <c r="AH107"/>
      <c r="AI107"/>
      <c r="AJ107" s="25"/>
      <c r="AK107" s="2">
        <v>1.06</v>
      </c>
      <c r="AL107" s="1">
        <f t="shared" si="64"/>
        <v>8.7096358995608011E-2</v>
      </c>
      <c r="AM107" s="1">
        <f t="shared" si="39"/>
        <v>1.1596351577118522E-13</v>
      </c>
      <c r="AN107" s="1">
        <f t="shared" si="40"/>
        <v>0.12987484188803783</v>
      </c>
      <c r="AO107" s="1">
        <f t="shared" si="41"/>
        <v>9.2452087434153154E-8</v>
      </c>
      <c r="AP107" s="1">
        <f t="shared" si="42"/>
        <v>-32.742254077793874</v>
      </c>
      <c r="AQ107" s="1">
        <f t="shared" si="43"/>
        <v>-327.42254077793871</v>
      </c>
      <c r="AR107" s="25"/>
      <c r="BA107" s="2">
        <v>1.06</v>
      </c>
      <c r="BB107" s="1">
        <f t="shared" si="49"/>
        <v>8.7096358995608011E-2</v>
      </c>
      <c r="BC107" s="1">
        <f t="shared" si="44"/>
        <v>1.1596351577118522E-13</v>
      </c>
      <c r="BD107" s="1">
        <f t="shared" si="45"/>
        <v>1.1596351577118519E-16</v>
      </c>
      <c r="BE107" s="1">
        <f t="shared" si="46"/>
        <v>0.99999999999999989</v>
      </c>
      <c r="BF107" s="1">
        <f t="shared" si="47"/>
        <v>5.0856882283190314</v>
      </c>
      <c r="BG107" s="1">
        <f t="shared" si="48"/>
        <v>9.831511047331043</v>
      </c>
    </row>
    <row r="108" spans="1:59" ht="15" customHeight="1" x14ac:dyDescent="0.3">
      <c r="A108" s="2">
        <v>10.7</v>
      </c>
      <c r="B108" s="1">
        <f t="shared" si="50"/>
        <v>1.995262314968878E-11</v>
      </c>
      <c r="C108" s="1">
        <f t="shared" si="51"/>
        <v>5.0619910596354538E-4</v>
      </c>
      <c r="D108" s="1">
        <f t="shared" si="52"/>
        <v>-5.0619325073245633E-4</v>
      </c>
      <c r="E108" s="1">
        <f t="shared" si="53"/>
        <v>3.4176988751220758E-3</v>
      </c>
      <c r="F108" s="1">
        <f t="shared" si="54"/>
        <v>0.99999964810200825</v>
      </c>
      <c r="G108" s="1">
        <f t="shared" si="55"/>
        <v>1.0305261161837804</v>
      </c>
      <c r="H108" s="1">
        <f t="shared" si="63"/>
        <v>10.305261161837803</v>
      </c>
      <c r="S108" s="2">
        <v>10.7</v>
      </c>
      <c r="T108" s="1">
        <f t="shared" si="56"/>
        <v>1.995262314968878E-11</v>
      </c>
      <c r="U108" s="1">
        <f t="shared" si="57"/>
        <v>5.0619910596354538E-4</v>
      </c>
      <c r="V108" s="1">
        <f t="shared" si="58"/>
        <v>0.10075918322651567</v>
      </c>
      <c r="W108" s="1">
        <f t="shared" si="59"/>
        <v>-2.5306107550522675E-4</v>
      </c>
      <c r="X108" s="1">
        <f t="shared" si="60"/>
        <v>7.6740799376485692E-7</v>
      </c>
      <c r="Y108" s="1">
        <f t="shared" si="61"/>
        <v>-5.0484458587181638E-3</v>
      </c>
      <c r="Z108" s="1">
        <f t="shared" si="62"/>
        <v>-0.25242229293590818</v>
      </c>
      <c r="AB108"/>
      <c r="AC108"/>
      <c r="AD108"/>
      <c r="AE108"/>
      <c r="AF108"/>
      <c r="AG108"/>
      <c r="AH108"/>
      <c r="AI108"/>
      <c r="AJ108" s="25"/>
      <c r="AK108" s="2">
        <v>1.07</v>
      </c>
      <c r="AL108" s="1">
        <f t="shared" si="64"/>
        <v>8.5113803820237616E-2</v>
      </c>
      <c r="AM108" s="1">
        <f t="shared" si="39"/>
        <v>1.1866465304889252E-13</v>
      </c>
      <c r="AN108" s="1">
        <f t="shared" si="40"/>
        <v>0.1324991819611262</v>
      </c>
      <c r="AO108" s="1">
        <f t="shared" si="41"/>
        <v>9.6517238248921311E-8</v>
      </c>
      <c r="AP108" s="1">
        <f t="shared" si="42"/>
        <v>-27.698081942403157</v>
      </c>
      <c r="AQ108" s="1">
        <f t="shared" si="43"/>
        <v>-276.98081942403155</v>
      </c>
      <c r="AR108" s="25"/>
      <c r="BA108" s="2">
        <v>1.07</v>
      </c>
      <c r="BB108" s="1">
        <f t="shared" si="49"/>
        <v>8.5113803820237616E-2</v>
      </c>
      <c r="BC108" s="1">
        <f t="shared" si="44"/>
        <v>1.1866465304889252E-13</v>
      </c>
      <c r="BD108" s="1">
        <f t="shared" si="45"/>
        <v>1.1866465304889249E-16</v>
      </c>
      <c r="BE108" s="1">
        <f t="shared" si="46"/>
        <v>0.99999999999999989</v>
      </c>
      <c r="BF108" s="1">
        <f t="shared" si="47"/>
        <v>4.963412721467547</v>
      </c>
      <c r="BG108" s="1">
        <f t="shared" si="48"/>
        <v>10.073713955670474</v>
      </c>
    </row>
    <row r="109" spans="1:59" ht="15" customHeight="1" x14ac:dyDescent="0.3">
      <c r="A109" s="2">
        <v>10.8</v>
      </c>
      <c r="B109" s="1">
        <f t="shared" si="50"/>
        <v>1.5848931924611082E-11</v>
      </c>
      <c r="C109" s="1">
        <f t="shared" si="51"/>
        <v>6.3726691792499724E-4</v>
      </c>
      <c r="D109" s="1">
        <f t="shared" si="52"/>
        <v>-6.3726227305541594E-4</v>
      </c>
      <c r="E109" s="1">
        <f t="shared" si="53"/>
        <v>3.4395437121759027E-3</v>
      </c>
      <c r="F109" s="1">
        <f t="shared" si="54"/>
        <v>0.99999972047746932</v>
      </c>
      <c r="G109" s="1">
        <f t="shared" si="55"/>
        <v>1.0384809610302801</v>
      </c>
      <c r="H109" s="1">
        <f t="shared" si="63"/>
        <v>10.384809610302801</v>
      </c>
      <c r="S109" s="2">
        <v>10.8</v>
      </c>
      <c r="T109" s="1">
        <f t="shared" si="56"/>
        <v>1.5848931924611082E-11</v>
      </c>
      <c r="U109" s="1">
        <f t="shared" si="57"/>
        <v>6.3726691792499724E-4</v>
      </c>
      <c r="V109" s="1">
        <f t="shared" si="58"/>
        <v>0.10095580862570609</v>
      </c>
      <c r="W109" s="1">
        <f t="shared" si="59"/>
        <v>-3.1860287523536809E-4</v>
      </c>
      <c r="X109" s="1">
        <f t="shared" si="60"/>
        <v>6.0957393321212738E-7</v>
      </c>
      <c r="Y109" s="1">
        <f t="shared" si="61"/>
        <v>-6.351820422212405E-3</v>
      </c>
      <c r="Z109" s="1">
        <f t="shared" si="62"/>
        <v>-0.31759102111062032</v>
      </c>
      <c r="AB109"/>
      <c r="AC109"/>
      <c r="AD109"/>
      <c r="AE109"/>
      <c r="AF109"/>
      <c r="AG109"/>
      <c r="AH109"/>
      <c r="AI109"/>
      <c r="AJ109" s="25"/>
      <c r="AK109" s="2">
        <v>1.08</v>
      </c>
      <c r="AL109" s="1">
        <f t="shared" si="64"/>
        <v>8.3176377110267083E-2</v>
      </c>
      <c r="AM109" s="1">
        <f t="shared" si="39"/>
        <v>1.2142870789635872E-13</v>
      </c>
      <c r="AN109" s="1">
        <f t="shared" si="40"/>
        <v>0.13516831347556849</v>
      </c>
      <c r="AO109" s="1">
        <f t="shared" si="41"/>
        <v>1.0075499470691403E-7</v>
      </c>
      <c r="AP109" s="1">
        <f t="shared" si="42"/>
        <v>-23.916669833037133</v>
      </c>
      <c r="AQ109" s="1">
        <f t="shared" si="43"/>
        <v>-239.16669833037133</v>
      </c>
      <c r="AR109" s="25"/>
      <c r="BA109" s="2">
        <v>1.08</v>
      </c>
      <c r="BB109" s="1">
        <f t="shared" si="49"/>
        <v>8.3176377110267083E-2</v>
      </c>
      <c r="BC109" s="1">
        <f t="shared" si="44"/>
        <v>1.2142870789635872E-13</v>
      </c>
      <c r="BD109" s="1">
        <f t="shared" si="45"/>
        <v>1.2142870789635869E-16</v>
      </c>
      <c r="BE109" s="1">
        <f t="shared" si="46"/>
        <v>0.99999999999999989</v>
      </c>
      <c r="BF109" s="1">
        <f t="shared" si="47"/>
        <v>4.8479300693685019</v>
      </c>
      <c r="BG109" s="1">
        <f t="shared" si="48"/>
        <v>10.313680124208776</v>
      </c>
    </row>
    <row r="110" spans="1:59" ht="15" customHeight="1" x14ac:dyDescent="0.3">
      <c r="A110" s="2">
        <v>10.9</v>
      </c>
      <c r="B110" s="1">
        <f t="shared" si="50"/>
        <v>1.2589254117941641E-11</v>
      </c>
      <c r="C110" s="1">
        <f t="shared" si="51"/>
        <v>8.0227151707152624E-4</v>
      </c>
      <c r="D110" s="1">
        <f t="shared" si="52"/>
        <v>-8.0226783362636125E-4</v>
      </c>
      <c r="E110" s="1">
        <f t="shared" si="53"/>
        <v>3.4670446389377264E-3</v>
      </c>
      <c r="F110" s="1">
        <f t="shared" si="54"/>
        <v>0.99999977796734885</v>
      </c>
      <c r="G110" s="1">
        <f t="shared" si="55"/>
        <v>1.0485253734801601</v>
      </c>
      <c r="H110" s="1">
        <f t="shared" si="63"/>
        <v>10.485253734801599</v>
      </c>
      <c r="S110" s="2">
        <v>10.9</v>
      </c>
      <c r="T110" s="1">
        <f t="shared" si="56"/>
        <v>1.2589254117941641E-11</v>
      </c>
      <c r="U110" s="1">
        <f t="shared" si="57"/>
        <v>8.0227151707152624E-4</v>
      </c>
      <c r="V110" s="1">
        <f t="shared" si="58"/>
        <v>0.10120333433511801</v>
      </c>
      <c r="W110" s="1">
        <f t="shared" si="59"/>
        <v>-4.0111144503933438E-4</v>
      </c>
      <c r="X110" s="1">
        <f t="shared" si="60"/>
        <v>4.8420184700775171E-7</v>
      </c>
      <c r="Y110" s="1">
        <f t="shared" si="61"/>
        <v>-7.9901793768270609E-3</v>
      </c>
      <c r="Z110" s="1">
        <f t="shared" si="62"/>
        <v>-0.39950896884135306</v>
      </c>
      <c r="AB110"/>
      <c r="AC110"/>
      <c r="AD110"/>
      <c r="AE110"/>
      <c r="AF110"/>
      <c r="AG110"/>
      <c r="AH110"/>
      <c r="AI110"/>
      <c r="AJ110" s="25"/>
      <c r="AK110" s="2">
        <v>1.0900000000000001</v>
      </c>
      <c r="AL110" s="1">
        <f t="shared" si="64"/>
        <v>8.1283051616409904E-2</v>
      </c>
      <c r="AM110" s="1">
        <f t="shared" si="39"/>
        <v>1.2425714585205055E-13</v>
      </c>
      <c r="AN110" s="1">
        <f t="shared" si="40"/>
        <v>0.13788266724384934</v>
      </c>
      <c r="AO110" s="1">
        <f t="shared" si="41"/>
        <v>1.0517229851878237E-7</v>
      </c>
      <c r="AP110" s="1">
        <f t="shared" si="42"/>
        <v>-20.977082496215505</v>
      </c>
      <c r="AQ110" s="1">
        <f t="shared" si="43"/>
        <v>-209.77082496215505</v>
      </c>
      <c r="AR110" s="25"/>
      <c r="BA110" s="2">
        <v>1.0900000000000001</v>
      </c>
      <c r="BB110" s="1">
        <f t="shared" si="49"/>
        <v>8.1283051616409904E-2</v>
      </c>
      <c r="BC110" s="1">
        <f t="shared" si="44"/>
        <v>1.2425714585205055E-13</v>
      </c>
      <c r="BD110" s="1">
        <f t="shared" si="45"/>
        <v>1.2425714585205055E-16</v>
      </c>
      <c r="BE110" s="1">
        <f t="shared" si="46"/>
        <v>0.99999999999999989</v>
      </c>
      <c r="BF110" s="1">
        <f t="shared" si="47"/>
        <v>4.7387176885161946</v>
      </c>
      <c r="BG110" s="1">
        <f t="shared" si="48"/>
        <v>10.551377669357676</v>
      </c>
    </row>
    <row r="111" spans="1:59" ht="15" customHeight="1" x14ac:dyDescent="0.3">
      <c r="A111" s="2">
        <v>11</v>
      </c>
      <c r="B111" s="1">
        <f t="shared" si="50"/>
        <v>9.9999999999999994E-12</v>
      </c>
      <c r="C111" s="1">
        <f t="shared" si="51"/>
        <v>1.01E-3</v>
      </c>
      <c r="D111" s="1">
        <f t="shared" si="52"/>
        <v>-1.0099970802414631E-3</v>
      </c>
      <c r="E111" s="1">
        <f t="shared" si="53"/>
        <v>3.5016661800402441E-3</v>
      </c>
      <c r="F111" s="1">
        <f t="shared" si="54"/>
        <v>0.99999982363318807</v>
      </c>
      <c r="G111" s="1">
        <f t="shared" si="55"/>
        <v>1.0612181261006832</v>
      </c>
      <c r="H111" s="1">
        <f t="shared" si="63"/>
        <v>10.612181261006832</v>
      </c>
      <c r="S111" s="2">
        <v>11</v>
      </c>
      <c r="T111" s="1">
        <f t="shared" si="56"/>
        <v>9.9999999999999994E-12</v>
      </c>
      <c r="U111" s="1">
        <f t="shared" si="57"/>
        <v>1.01E-3</v>
      </c>
      <c r="V111" s="1">
        <f t="shared" si="58"/>
        <v>0.1015149420013796</v>
      </c>
      <c r="W111" s="1">
        <f t="shared" si="59"/>
        <v>-5.0498066712653623E-4</v>
      </c>
      <c r="X111" s="1">
        <f t="shared" si="60"/>
        <v>3.846152366864474E-7</v>
      </c>
      <c r="Y111" s="1">
        <f t="shared" si="61"/>
        <v>-1.0048868499344069E-2</v>
      </c>
      <c r="Z111" s="1">
        <f t="shared" si="62"/>
        <v>-0.5024434249672034</v>
      </c>
      <c r="AB111"/>
      <c r="AC111"/>
      <c r="AD111"/>
      <c r="AE111"/>
      <c r="AF111"/>
      <c r="AG111"/>
      <c r="AH111"/>
      <c r="AI111"/>
      <c r="AJ111" s="25"/>
      <c r="AK111" s="2">
        <v>1.1000000000000001</v>
      </c>
      <c r="AL111" s="1">
        <f t="shared" si="64"/>
        <v>7.9432823472428096E-2</v>
      </c>
      <c r="AM111" s="1">
        <f t="shared" si="39"/>
        <v>1.2715146659121095E-13</v>
      </c>
      <c r="AN111" s="1">
        <f t="shared" si="40"/>
        <v>0.14064266441871998</v>
      </c>
      <c r="AO111" s="1">
        <f t="shared" si="41"/>
        <v>1.0977634701588293E-7</v>
      </c>
      <c r="AP111" s="1">
        <f t="shared" si="42"/>
        <v>-18.626758439517431</v>
      </c>
      <c r="AQ111" s="1">
        <f t="shared" si="43"/>
        <v>-186.26758439517431</v>
      </c>
      <c r="AR111" s="25"/>
      <c r="BA111" s="2">
        <v>1.1000000000000001</v>
      </c>
      <c r="BB111" s="1">
        <f t="shared" si="49"/>
        <v>7.9432823472428096E-2</v>
      </c>
      <c r="BC111" s="1">
        <f t="shared" si="44"/>
        <v>1.2715146659121095E-13</v>
      </c>
      <c r="BD111" s="1">
        <f t="shared" si="45"/>
        <v>1.2715146659121093E-16</v>
      </c>
      <c r="BE111" s="1">
        <f t="shared" si="46"/>
        <v>0.99999999999999989</v>
      </c>
      <c r="BF111" s="1">
        <f t="shared" si="47"/>
        <v>4.6353050891608811</v>
      </c>
      <c r="BG111" s="1">
        <f t="shared" si="48"/>
        <v>10.786776498685954</v>
      </c>
    </row>
    <row r="112" spans="1:59" ht="15" customHeight="1" x14ac:dyDescent="0.3">
      <c r="A112" s="2">
        <v>11.1</v>
      </c>
      <c r="B112" s="1">
        <f t="shared" si="50"/>
        <v>7.9432823472428101E-12</v>
      </c>
      <c r="C112" s="1">
        <f t="shared" si="51"/>
        <v>1.2715146659121096E-3</v>
      </c>
      <c r="D112" s="1">
        <f t="shared" si="52"/>
        <v>-1.2715123527714638E-3</v>
      </c>
      <c r="E112" s="1">
        <f t="shared" si="53"/>
        <v>3.5452520587952439E-3</v>
      </c>
      <c r="F112" s="1">
        <f t="shared" si="54"/>
        <v>0.99999985990685647</v>
      </c>
      <c r="G112" s="1">
        <f t="shared" si="55"/>
        <v>1.0772732804728924</v>
      </c>
      <c r="H112" s="1">
        <f t="shared" si="63"/>
        <v>10.772732804728923</v>
      </c>
      <c r="S112" s="2">
        <v>11.1</v>
      </c>
      <c r="T112" s="1">
        <f t="shared" si="56"/>
        <v>7.9432823472428101E-12</v>
      </c>
      <c r="U112" s="1">
        <f t="shared" si="57"/>
        <v>1.2715146659121096E-3</v>
      </c>
      <c r="V112" s="1">
        <f t="shared" si="58"/>
        <v>0.10190722586899929</v>
      </c>
      <c r="W112" s="1">
        <f t="shared" si="59"/>
        <v>-6.3574195633309886E-4</v>
      </c>
      <c r="X112" s="1">
        <f t="shared" si="60"/>
        <v>3.0551076617248213E-7</v>
      </c>
      <c r="Y112" s="1">
        <f t="shared" si="61"/>
        <v>-1.2634516206159713E-2</v>
      </c>
      <c r="Z112" s="1">
        <f t="shared" si="62"/>
        <v>-0.63172581030798569</v>
      </c>
      <c r="AB112"/>
      <c r="AC112"/>
      <c r="AD112"/>
      <c r="AE112"/>
      <c r="AF112"/>
      <c r="AG112"/>
      <c r="AH112"/>
      <c r="AI112"/>
      <c r="AJ112" s="25"/>
      <c r="AK112" s="2">
        <v>1.1100000000000001</v>
      </c>
      <c r="AL112" s="1">
        <f t="shared" si="64"/>
        <v>7.7624711662869134E-2</v>
      </c>
      <c r="AM112" s="1">
        <f t="shared" si="39"/>
        <v>1.3011320472100659E-13</v>
      </c>
      <c r="AN112" s="1">
        <f t="shared" si="40"/>
        <v>0.14344871583030436</v>
      </c>
      <c r="AO112" s="1">
        <f t="shared" si="41"/>
        <v>1.1457460119279418E-7</v>
      </c>
      <c r="AP112" s="1">
        <f t="shared" si="42"/>
        <v>-16.704976408876053</v>
      </c>
      <c r="AQ112" s="1">
        <f t="shared" si="43"/>
        <v>-167.04976408876053</v>
      </c>
      <c r="AR112" s="25"/>
      <c r="BA112" s="2">
        <v>1.1100000000000001</v>
      </c>
      <c r="BB112" s="1">
        <f t="shared" si="49"/>
        <v>7.7624711662869134E-2</v>
      </c>
      <c r="BC112" s="1">
        <f t="shared" si="44"/>
        <v>1.3011320472100659E-13</v>
      </c>
      <c r="BD112" s="1">
        <f t="shared" si="45"/>
        <v>1.3011320472100657E-16</v>
      </c>
      <c r="BE112" s="1">
        <f t="shared" si="46"/>
        <v>0.99999999999999989</v>
      </c>
      <c r="BF112" s="1">
        <f t="shared" si="47"/>
        <v>4.5372675388125314</v>
      </c>
      <c r="BG112" s="1">
        <f t="shared" si="48"/>
        <v>11.01984830567997</v>
      </c>
    </row>
    <row r="113" spans="1:59" ht="15" customHeight="1" x14ac:dyDescent="0.3">
      <c r="A113" s="2">
        <v>11.2</v>
      </c>
      <c r="B113" s="1">
        <f t="shared" si="50"/>
        <v>6.3095734448019345E-12</v>
      </c>
      <c r="C113" s="1">
        <f t="shared" si="51"/>
        <v>1.600742124385724E-3</v>
      </c>
      <c r="D113" s="1">
        <f t="shared" si="52"/>
        <v>-1.6007402930988226E-3</v>
      </c>
      <c r="E113" s="1">
        <f t="shared" si="53"/>
        <v>3.6001233821831369E-3</v>
      </c>
      <c r="F113" s="1">
        <f t="shared" si="54"/>
        <v>0.99999988872005752</v>
      </c>
      <c r="G113" s="1">
        <f t="shared" si="55"/>
        <v>1.0976068497588436</v>
      </c>
      <c r="H113" s="1">
        <f t="shared" si="63"/>
        <v>10.976068497588436</v>
      </c>
      <c r="S113" s="2">
        <v>11.2</v>
      </c>
      <c r="T113" s="1">
        <f t="shared" si="56"/>
        <v>6.3095734448019345E-12</v>
      </c>
      <c r="U113" s="1">
        <f t="shared" si="57"/>
        <v>1.600742124385724E-3</v>
      </c>
      <c r="V113" s="1">
        <f t="shared" si="58"/>
        <v>0.10240107648439617</v>
      </c>
      <c r="W113" s="1">
        <f t="shared" si="59"/>
        <v>-8.0035882813205711E-4</v>
      </c>
      <c r="X113" s="1">
        <f t="shared" si="60"/>
        <v>2.4267584283157238E-7</v>
      </c>
      <c r="Y113" s="1">
        <f t="shared" si="61"/>
        <v>-1.5880078948859604E-2</v>
      </c>
      <c r="Z113" s="1">
        <f t="shared" si="62"/>
        <v>-0.7940039474429802</v>
      </c>
      <c r="AB113"/>
      <c r="AC113"/>
      <c r="AD113"/>
      <c r="AE113"/>
      <c r="AF113"/>
      <c r="AG113"/>
      <c r="AH113"/>
      <c r="AI113"/>
      <c r="AJ113" s="25"/>
      <c r="AK113" s="2">
        <v>1.1200000000000001</v>
      </c>
      <c r="AL113" s="1">
        <f t="shared" si="64"/>
        <v>7.5857757502918358E-2</v>
      </c>
      <c r="AM113" s="1">
        <f t="shared" si="39"/>
        <v>1.3314393059419713E-13</v>
      </c>
      <c r="AN113" s="1">
        <f t="shared" si="40"/>
        <v>0.14630122130980761</v>
      </c>
      <c r="AO113" s="1">
        <f t="shared" si="41"/>
        <v>1.195747939274254E-7</v>
      </c>
      <c r="AP113" s="1">
        <f t="shared" si="42"/>
        <v>-15.104588627591488</v>
      </c>
      <c r="AQ113" s="1">
        <f t="shared" si="43"/>
        <v>-151.04588627591488</v>
      </c>
      <c r="AR113" s="25"/>
      <c r="BA113" s="2">
        <v>1.1200000000000001</v>
      </c>
      <c r="BB113" s="1">
        <f t="shared" si="49"/>
        <v>7.5857757502918358E-2</v>
      </c>
      <c r="BC113" s="1">
        <f t="shared" si="44"/>
        <v>1.3314393059419713E-13</v>
      </c>
      <c r="BD113" s="1">
        <f t="shared" si="45"/>
        <v>1.3314393059419711E-16</v>
      </c>
      <c r="BE113" s="1">
        <f t="shared" si="46"/>
        <v>0.99999999999999989</v>
      </c>
      <c r="BF113" s="1">
        <f t="shared" si="47"/>
        <v>4.4442206287513164</v>
      </c>
      <c r="BG113" s="1">
        <f t="shared" si="48"/>
        <v>11.25056656200446</v>
      </c>
    </row>
    <row r="114" spans="1:59" ht="15" customHeight="1" x14ac:dyDescent="0.3">
      <c r="A114" s="2">
        <v>11.3</v>
      </c>
      <c r="B114" s="1">
        <f t="shared" si="50"/>
        <v>5.0118723362726945E-12</v>
      </c>
      <c r="C114" s="1">
        <f t="shared" si="51"/>
        <v>2.0152149381185798E-3</v>
      </c>
      <c r="D114" s="1">
        <f t="shared" si="52"/>
        <v>-2.0152134895817246E-3</v>
      </c>
      <c r="E114" s="1">
        <f t="shared" si="53"/>
        <v>3.6692022482636209E-3</v>
      </c>
      <c r="F114" s="1">
        <f t="shared" si="54"/>
        <v>0.99999991160719759</v>
      </c>
      <c r="G114" s="1">
        <f t="shared" si="55"/>
        <v>1.1233995742410965</v>
      </c>
      <c r="H114" s="1">
        <f t="shared" si="63"/>
        <v>11.233995742410965</v>
      </c>
      <c r="S114" s="2">
        <v>11.3</v>
      </c>
      <c r="T114" s="1">
        <f t="shared" si="56"/>
        <v>5.0118723362726945E-12</v>
      </c>
      <c r="U114" s="1">
        <f t="shared" si="57"/>
        <v>2.0152149381185798E-3</v>
      </c>
      <c r="V114" s="1">
        <f t="shared" si="58"/>
        <v>0.10302279319367426</v>
      </c>
      <c r="W114" s="1">
        <f t="shared" si="59"/>
        <v>-1.0075977312247527E-3</v>
      </c>
      <c r="X114" s="1">
        <f t="shared" si="60"/>
        <v>1.9276428346779672E-7</v>
      </c>
      <c r="Y114" s="1">
        <f t="shared" si="61"/>
        <v>-1.9950929511380139E-2</v>
      </c>
      <c r="Z114" s="1">
        <f t="shared" si="62"/>
        <v>-0.99754647556900689</v>
      </c>
      <c r="AB114"/>
      <c r="AC114"/>
      <c r="AD114"/>
      <c r="AE114"/>
      <c r="AF114"/>
      <c r="AG114"/>
      <c r="AH114"/>
      <c r="AI114"/>
      <c r="AJ114" s="25"/>
      <c r="AK114" s="2">
        <v>1.1299999999999999</v>
      </c>
      <c r="AL114" s="1">
        <f t="shared" si="64"/>
        <v>7.4131024130091761E-2</v>
      </c>
      <c r="AM114" s="1">
        <f t="shared" si="39"/>
        <v>1.36245251141757E-13</v>
      </c>
      <c r="AN114" s="1">
        <f t="shared" si="40"/>
        <v>0.14920056900038309</v>
      </c>
      <c r="AO114" s="1">
        <f t="shared" si="41"/>
        <v>1.2478493837870441E-7</v>
      </c>
      <c r="AP114" s="1">
        <f t="shared" si="42"/>
        <v>-13.751415617681337</v>
      </c>
      <c r="AQ114" s="1">
        <f t="shared" si="43"/>
        <v>-137.51415617681337</v>
      </c>
      <c r="AR114" s="25"/>
      <c r="BA114" s="2">
        <v>1.1299999999999999</v>
      </c>
      <c r="BB114" s="1">
        <f t="shared" si="49"/>
        <v>7.4131024130091761E-2</v>
      </c>
      <c r="BC114" s="1">
        <f t="shared" si="44"/>
        <v>1.36245251141757E-13</v>
      </c>
      <c r="BD114" s="1">
        <f t="shared" si="45"/>
        <v>1.3624525114175696E-16</v>
      </c>
      <c r="BE114" s="1">
        <f t="shared" si="46"/>
        <v>0.99999999999999989</v>
      </c>
      <c r="BF114" s="1">
        <f t="shared" si="47"/>
        <v>4.3558155968947672</v>
      </c>
      <c r="BG114" s="1">
        <f t="shared" si="48"/>
        <v>11.478906507347251</v>
      </c>
    </row>
    <row r="115" spans="1:59" ht="15" customHeight="1" x14ac:dyDescent="0.3">
      <c r="A115" s="2">
        <v>11.4</v>
      </c>
      <c r="B115" s="1">
        <f t="shared" si="50"/>
        <v>3.9810717055349533E-12</v>
      </c>
      <c r="C115" s="1">
        <f t="shared" si="51"/>
        <v>2.5370052958246878E-3</v>
      </c>
      <c r="D115" s="1">
        <f t="shared" si="52"/>
        <v>-2.5370041513170199E-3</v>
      </c>
      <c r="E115" s="1">
        <f t="shared" si="53"/>
        <v>3.7561673585528367E-3</v>
      </c>
      <c r="F115" s="1">
        <f t="shared" si="54"/>
        <v>0.99999992978710006</v>
      </c>
      <c r="G115" s="1">
        <f t="shared" si="55"/>
        <v>1.1561826083361444</v>
      </c>
      <c r="H115" s="1">
        <f t="shared" si="63"/>
        <v>11.561826083361444</v>
      </c>
      <c r="S115" s="2">
        <v>11.4</v>
      </c>
      <c r="T115" s="1">
        <f t="shared" si="56"/>
        <v>3.9810717055349533E-12</v>
      </c>
      <c r="U115" s="1">
        <f t="shared" si="57"/>
        <v>2.5370052958246878E-3</v>
      </c>
      <c r="V115" s="1">
        <f t="shared" si="58"/>
        <v>0.10380548467870322</v>
      </c>
      <c r="W115" s="1">
        <f t="shared" si="59"/>
        <v>-1.2684948929010784E-3</v>
      </c>
      <c r="X115" s="1">
        <f t="shared" si="60"/>
        <v>1.5311811907541316E-7</v>
      </c>
      <c r="Y115" s="1">
        <f t="shared" si="61"/>
        <v>-2.505211308299991E-2</v>
      </c>
      <c r="Z115" s="1">
        <f t="shared" si="62"/>
        <v>-1.2526056541499955</v>
      </c>
      <c r="AB115"/>
      <c r="AC115"/>
      <c r="AD115"/>
      <c r="AE115"/>
      <c r="AF115"/>
      <c r="AG115"/>
      <c r="AH115"/>
      <c r="AI115"/>
      <c r="AJ115" s="25"/>
      <c r="AK115" s="2">
        <v>1.1399999999999999</v>
      </c>
      <c r="AL115" s="1">
        <f t="shared" si="64"/>
        <v>7.2443596007498987E-2</v>
      </c>
      <c r="AM115" s="1">
        <f t="shared" si="39"/>
        <v>1.394188107248914E-13</v>
      </c>
      <c r="AN115" s="1">
        <f t="shared" si="40"/>
        <v>0.15214713465577542</v>
      </c>
      <c r="AO115" s="1">
        <f t="shared" si="41"/>
        <v>1.3021333656161419E-7</v>
      </c>
      <c r="AP115" s="1">
        <f t="shared" si="42"/>
        <v>-12.592471812404412</v>
      </c>
      <c r="AQ115" s="1">
        <f t="shared" si="43"/>
        <v>-125.92471812404412</v>
      </c>
      <c r="AR115" s="25"/>
      <c r="BA115" s="2">
        <v>1.1399999999999999</v>
      </c>
      <c r="BB115" s="1">
        <f t="shared" si="49"/>
        <v>7.2443596007498987E-2</v>
      </c>
      <c r="BC115" s="1">
        <f t="shared" si="44"/>
        <v>1.394188107248914E-13</v>
      </c>
      <c r="BD115" s="1">
        <f t="shared" si="45"/>
        <v>1.3941881072489138E-16</v>
      </c>
      <c r="BE115" s="1">
        <f t="shared" si="46"/>
        <v>0.99999999999999989</v>
      </c>
      <c r="BF115" s="1">
        <f t="shared" si="47"/>
        <v>4.2717352869727909</v>
      </c>
      <c r="BG115" s="1">
        <f t="shared" si="48"/>
        <v>11.704845136935678</v>
      </c>
    </row>
    <row r="116" spans="1:59" ht="15" customHeight="1" x14ac:dyDescent="0.3">
      <c r="A116" s="2">
        <v>11.5</v>
      </c>
      <c r="B116" s="1">
        <f t="shared" si="50"/>
        <v>3.1622776601683669E-12</v>
      </c>
      <c r="C116" s="1">
        <f t="shared" si="51"/>
        <v>3.1939004367700754E-3</v>
      </c>
      <c r="D116" s="1">
        <f t="shared" si="52"/>
        <v>-3.1938995337613802E-3</v>
      </c>
      <c r="E116" s="1">
        <f t="shared" si="53"/>
        <v>3.8656499222935628E-3</v>
      </c>
      <c r="F116" s="1">
        <f t="shared" si="54"/>
        <v>0.99999994422791039</v>
      </c>
      <c r="G116" s="1">
        <f t="shared" si="55"/>
        <v>1.1979565038801616</v>
      </c>
      <c r="H116" s="1">
        <f t="shared" si="63"/>
        <v>11.979565038801615</v>
      </c>
      <c r="S116" s="2">
        <v>11.5</v>
      </c>
      <c r="T116" s="1">
        <f t="shared" si="56"/>
        <v>3.1622776601683669E-12</v>
      </c>
      <c r="U116" s="1">
        <f t="shared" si="57"/>
        <v>3.1939004367700754E-3</v>
      </c>
      <c r="V116" s="1">
        <f t="shared" si="58"/>
        <v>0.10479083211515934</v>
      </c>
      <c r="W116" s="1">
        <f t="shared" si="59"/>
        <v>-1.5969440383864486E-3</v>
      </c>
      <c r="X116" s="1">
        <f t="shared" si="60"/>
        <v>1.2162604905973189E-7</v>
      </c>
      <c r="Y116" s="1">
        <f t="shared" si="61"/>
        <v>-3.1436851836470082E-2</v>
      </c>
      <c r="Z116" s="1">
        <f t="shared" si="62"/>
        <v>-1.5718425918235042</v>
      </c>
      <c r="AB116"/>
      <c r="AC116"/>
      <c r="AD116"/>
      <c r="AE116"/>
      <c r="AF116"/>
      <c r="AG116"/>
      <c r="AH116"/>
      <c r="AI116"/>
      <c r="AJ116" s="25"/>
      <c r="AK116" s="2">
        <v>1.1499999999999999</v>
      </c>
      <c r="AL116" s="1">
        <f t="shared" si="64"/>
        <v>7.0794578438413788E-2</v>
      </c>
      <c r="AM116" s="1">
        <f t="shared" si="39"/>
        <v>1.4266629200689818E-13</v>
      </c>
      <c r="AN116" s="1">
        <f t="shared" si="40"/>
        <v>0.15514128092741608</v>
      </c>
      <c r="AO116" s="1">
        <f t="shared" si="41"/>
        <v>1.3586858809912157E-7</v>
      </c>
      <c r="AP116" s="1">
        <f t="shared" si="42"/>
        <v>-11.588900924081047</v>
      </c>
      <c r="AQ116" s="1">
        <f t="shared" si="43"/>
        <v>-115.88900924081047</v>
      </c>
      <c r="AR116" s="25"/>
      <c r="BA116" s="2">
        <v>1.1499999999999999</v>
      </c>
      <c r="BB116" s="1">
        <f t="shared" si="49"/>
        <v>7.0794578438413788E-2</v>
      </c>
      <c r="BC116" s="1">
        <f t="shared" si="44"/>
        <v>1.4266629200689818E-13</v>
      </c>
      <c r="BD116" s="1">
        <f t="shared" si="45"/>
        <v>1.4266629200689817E-16</v>
      </c>
      <c r="BE116" s="1">
        <f t="shared" si="46"/>
        <v>0.99999999999999978</v>
      </c>
      <c r="BF116" s="1">
        <f t="shared" si="47"/>
        <v>4.1916906452551128</v>
      </c>
      <c r="BG116" s="1">
        <f t="shared" si="48"/>
        <v>11.928361186815808</v>
      </c>
    </row>
    <row r="117" spans="1:59" ht="15" customHeight="1" x14ac:dyDescent="0.3">
      <c r="A117" s="2">
        <v>11.6</v>
      </c>
      <c r="B117" s="1">
        <f t="shared" si="50"/>
        <v>2.5118864315095726E-12</v>
      </c>
      <c r="C117" s="1">
        <f t="shared" si="51"/>
        <v>4.0208824225903342E-3</v>
      </c>
      <c r="D117" s="1">
        <f t="shared" si="52"/>
        <v>-4.0208817114110911E-3</v>
      </c>
      <c r="E117" s="1">
        <f t="shared" si="53"/>
        <v>4.0034802852351821E-3</v>
      </c>
      <c r="F117" s="1">
        <f t="shared" si="54"/>
        <v>0.99999995569865396</v>
      </c>
      <c r="G117" s="1">
        <f t="shared" si="55"/>
        <v>1.2513597821968618</v>
      </c>
      <c r="H117" s="1">
        <f t="shared" si="63"/>
        <v>12.513597821968618</v>
      </c>
      <c r="S117" s="2">
        <v>11.6</v>
      </c>
      <c r="T117" s="1">
        <f t="shared" si="56"/>
        <v>2.5118864315095726E-12</v>
      </c>
      <c r="U117" s="1">
        <f t="shared" si="57"/>
        <v>4.0208824225903342E-3</v>
      </c>
      <c r="V117" s="1">
        <f t="shared" si="58"/>
        <v>0.10603130884712118</v>
      </c>
      <c r="W117" s="1">
        <f t="shared" si="59"/>
        <v>-2.0104362823737242E-3</v>
      </c>
      <c r="X117" s="1">
        <f t="shared" si="60"/>
        <v>9.6611007262834406E-8</v>
      </c>
      <c r="Y117" s="1">
        <f t="shared" si="61"/>
        <v>-3.9416286326012018E-2</v>
      </c>
      <c r="Z117" s="1">
        <f t="shared" si="62"/>
        <v>-1.9708143163006011</v>
      </c>
      <c r="AB117"/>
      <c r="AC117"/>
      <c r="AD117"/>
      <c r="AE117"/>
      <c r="AF117"/>
      <c r="AG117"/>
      <c r="AH117"/>
      <c r="AI117"/>
      <c r="AJ117" s="25"/>
      <c r="AK117" s="2">
        <v>1.1599999999999999</v>
      </c>
      <c r="AL117" s="1">
        <f t="shared" si="64"/>
        <v>6.9183097091893644E-2</v>
      </c>
      <c r="AM117" s="1">
        <f t="shared" si="39"/>
        <v>1.4598941684533867E-13</v>
      </c>
      <c r="AN117" s="1">
        <f t="shared" si="40"/>
        <v>0.15818335664071123</v>
      </c>
      <c r="AO117" s="1">
        <f t="shared" si="41"/>
        <v>1.4175959915031396E-7</v>
      </c>
      <c r="AP117" s="1">
        <f t="shared" si="42"/>
        <v>-10.711560549270891</v>
      </c>
      <c r="AQ117" s="1">
        <f t="shared" si="43"/>
        <v>-107.11560549270889</v>
      </c>
      <c r="AR117" s="25"/>
      <c r="BA117" s="2">
        <v>1.1599999999999999</v>
      </c>
      <c r="BB117" s="1">
        <f t="shared" si="49"/>
        <v>6.9183097091893644E-2</v>
      </c>
      <c r="BC117" s="1">
        <f t="shared" si="44"/>
        <v>1.4598941684533867E-13</v>
      </c>
      <c r="BD117" s="1">
        <f t="shared" si="45"/>
        <v>1.4598941684533865E-16</v>
      </c>
      <c r="BE117" s="1">
        <f t="shared" si="46"/>
        <v>0.99999999999999978</v>
      </c>
      <c r="BF117" s="1">
        <f t="shared" si="47"/>
        <v>4.115417673212117</v>
      </c>
      <c r="BG117" s="1">
        <f t="shared" si="48"/>
        <v>12.149435116988888</v>
      </c>
    </row>
    <row r="118" spans="1:59" ht="15" customHeight="1" x14ac:dyDescent="0.3">
      <c r="A118" s="2">
        <v>11.7</v>
      </c>
      <c r="B118" s="1">
        <f t="shared" si="50"/>
        <v>1.9952623149688759E-12</v>
      </c>
      <c r="C118" s="1">
        <f t="shared" si="51"/>
        <v>5.061991059635459E-3</v>
      </c>
      <c r="D118" s="1">
        <f t="shared" si="52"/>
        <v>-5.0619905008317725E-3</v>
      </c>
      <c r="E118" s="1">
        <f t="shared" si="53"/>
        <v>4.1769984168052955E-3</v>
      </c>
      <c r="F118" s="1">
        <f t="shared" si="54"/>
        <v>0.99999996481018971</v>
      </c>
      <c r="G118" s="1">
        <f t="shared" si="55"/>
        <v>1.3199134168202329</v>
      </c>
      <c r="H118" s="1">
        <f t="shared" si="63"/>
        <v>13.199134168202328</v>
      </c>
      <c r="S118" s="2">
        <v>11.7</v>
      </c>
      <c r="T118" s="1">
        <f t="shared" si="56"/>
        <v>1.9952623149688759E-12</v>
      </c>
      <c r="U118" s="1">
        <f t="shared" si="57"/>
        <v>5.061991059635459E-3</v>
      </c>
      <c r="V118" s="1">
        <f t="shared" si="58"/>
        <v>0.10759297478398676</v>
      </c>
      <c r="W118" s="1">
        <f t="shared" si="59"/>
        <v>-2.5309915946622533E-3</v>
      </c>
      <c r="X118" s="1">
        <f t="shared" si="60"/>
        <v>7.6740852378874811E-8</v>
      </c>
      <c r="Y118" s="1">
        <f t="shared" si="61"/>
        <v>-4.9370274397970731E-2</v>
      </c>
      <c r="Z118" s="1">
        <f t="shared" si="62"/>
        <v>-2.4685137198985365</v>
      </c>
      <c r="AB118"/>
      <c r="AC118"/>
      <c r="AD118"/>
      <c r="AE118"/>
      <c r="AF118"/>
      <c r="AG118"/>
      <c r="AH118"/>
      <c r="AI118"/>
      <c r="AJ118" s="25"/>
      <c r="AK118" s="2">
        <v>1.17</v>
      </c>
      <c r="AL118" s="1">
        <f t="shared" si="64"/>
        <v>6.7608297539198184E-2</v>
      </c>
      <c r="AM118" s="1">
        <f t="shared" si="39"/>
        <v>1.4938994720498892E-13</v>
      </c>
      <c r="AN118" s="1">
        <f t="shared" si="40"/>
        <v>0.16127369606132264</v>
      </c>
      <c r="AO118" s="1">
        <f t="shared" si="41"/>
        <v>1.478955915138192E-7</v>
      </c>
      <c r="AP118" s="1">
        <f t="shared" si="42"/>
        <v>-9.9381651488700449</v>
      </c>
      <c r="AQ118" s="1">
        <f t="shared" si="43"/>
        <v>-99.381651488700442</v>
      </c>
      <c r="AR118" s="25"/>
      <c r="BA118" s="2">
        <v>1.17</v>
      </c>
      <c r="BB118" s="1">
        <f t="shared" si="49"/>
        <v>6.7608297539198184E-2</v>
      </c>
      <c r="BC118" s="1">
        <f t="shared" si="44"/>
        <v>1.4938994720498892E-13</v>
      </c>
      <c r="BD118" s="1">
        <f t="shared" si="45"/>
        <v>1.4938994720498888E-16</v>
      </c>
      <c r="BE118" s="1">
        <f t="shared" si="46"/>
        <v>0.99999999999999978</v>
      </c>
      <c r="BF118" s="1">
        <f t="shared" si="47"/>
        <v>4.0426747683523381</v>
      </c>
      <c r="BG118" s="1">
        <f t="shared" si="48"/>
        <v>12.368049092501785</v>
      </c>
    </row>
    <row r="119" spans="1:59" ht="15" customHeight="1" x14ac:dyDescent="0.3">
      <c r="A119" s="2">
        <v>11.8</v>
      </c>
      <c r="B119" s="1">
        <f t="shared" si="50"/>
        <v>1.5848931924611065E-12</v>
      </c>
      <c r="C119" s="1">
        <f t="shared" si="51"/>
        <v>6.3726691792499795E-3</v>
      </c>
      <c r="D119" s="1">
        <f t="shared" si="52"/>
        <v>-6.3726687414824984E-3</v>
      </c>
      <c r="E119" s="1">
        <f t="shared" si="53"/>
        <v>4.3954447902470823E-3</v>
      </c>
      <c r="F119" s="1">
        <f t="shared" si="54"/>
        <v>0.99999997204773983</v>
      </c>
      <c r="G119" s="1">
        <f t="shared" si="55"/>
        <v>1.4083851577838984</v>
      </c>
      <c r="H119" s="1">
        <f t="shared" si="63"/>
        <v>14.083851577838983</v>
      </c>
      <c r="S119" s="2">
        <v>11.8</v>
      </c>
      <c r="T119" s="1">
        <f t="shared" si="56"/>
        <v>1.5848931924611065E-12</v>
      </c>
      <c r="U119" s="1">
        <f t="shared" si="57"/>
        <v>6.3726691792499795E-3</v>
      </c>
      <c r="V119" s="1">
        <f t="shared" si="58"/>
        <v>0.10955899433153776</v>
      </c>
      <c r="W119" s="1">
        <f t="shared" si="59"/>
        <v>-3.1863314438459215E-3</v>
      </c>
      <c r="X119" s="1">
        <f t="shared" si="60"/>
        <v>6.0957426763465224E-8</v>
      </c>
      <c r="Y119" s="1">
        <f t="shared" si="61"/>
        <v>-6.1758789158618856E-2</v>
      </c>
      <c r="Z119" s="1">
        <f t="shared" si="62"/>
        <v>-3.0879394579309425</v>
      </c>
      <c r="AB119"/>
      <c r="AC119"/>
      <c r="AD119"/>
      <c r="AE119"/>
      <c r="AF119"/>
      <c r="AG119"/>
      <c r="AH119"/>
      <c r="AI119"/>
      <c r="AJ119" s="25"/>
      <c r="AK119" s="2">
        <v>1.18</v>
      </c>
      <c r="AL119" s="1">
        <f t="shared" si="64"/>
        <v>6.6069344800759586E-2</v>
      </c>
      <c r="AM119" s="1">
        <f t="shared" si="39"/>
        <v>1.5286968609205704E-13</v>
      </c>
      <c r="AN119" s="1">
        <f t="shared" si="40"/>
        <v>0.16441261815230898</v>
      </c>
      <c r="AO119" s="1">
        <f t="shared" si="41"/>
        <v>1.5428611190535015E-7</v>
      </c>
      <c r="AP119" s="1">
        <f t="shared" si="42"/>
        <v>-9.2513813684385724</v>
      </c>
      <c r="AQ119" s="1">
        <f t="shared" si="43"/>
        <v>-92.513813684385724</v>
      </c>
      <c r="AR119" s="25"/>
      <c r="BA119" s="2">
        <v>1.18</v>
      </c>
      <c r="BB119" s="1">
        <f t="shared" si="49"/>
        <v>6.6069344800759586E-2</v>
      </c>
      <c r="BC119" s="1">
        <f t="shared" si="44"/>
        <v>1.5286968609205704E-13</v>
      </c>
      <c r="BD119" s="1">
        <f t="shared" si="45"/>
        <v>1.5286968609205702E-16</v>
      </c>
      <c r="BE119" s="1">
        <f t="shared" si="46"/>
        <v>0.99999999999999978</v>
      </c>
      <c r="BF119" s="1">
        <f t="shared" si="47"/>
        <v>3.9732403967484213</v>
      </c>
      <c r="BG119" s="1">
        <f t="shared" si="48"/>
        <v>12.584186962590653</v>
      </c>
    </row>
    <row r="120" spans="1:59" ht="15" customHeight="1" x14ac:dyDescent="0.3">
      <c r="A120" s="2">
        <v>11.9</v>
      </c>
      <c r="B120" s="1">
        <f t="shared" si="50"/>
        <v>1.2589254117941629E-12</v>
      </c>
      <c r="C120" s="1">
        <f t="shared" si="51"/>
        <v>8.0227151707152698E-3</v>
      </c>
      <c r="D120" s="1">
        <f t="shared" si="52"/>
        <v>-8.0227148290902672E-3</v>
      </c>
      <c r="E120" s="1">
        <f t="shared" si="53"/>
        <v>4.6704524715150443E-3</v>
      </c>
      <c r="F120" s="1">
        <f t="shared" si="54"/>
        <v>0.99999997779673044</v>
      </c>
      <c r="G120" s="1">
        <f t="shared" si="55"/>
        <v>1.5233497475501265</v>
      </c>
      <c r="H120" s="1">
        <f t="shared" si="63"/>
        <v>15.233497475501265</v>
      </c>
      <c r="S120" s="2">
        <v>11.9</v>
      </c>
      <c r="T120" s="1">
        <f t="shared" si="56"/>
        <v>1.2589254117941629E-12</v>
      </c>
      <c r="U120" s="1">
        <f t="shared" si="57"/>
        <v>8.0227151707152698E-3</v>
      </c>
      <c r="V120" s="1">
        <f t="shared" si="58"/>
        <v>0.1120340651998077</v>
      </c>
      <c r="W120" s="1">
        <f t="shared" si="59"/>
        <v>-4.0113550666025632E-3</v>
      </c>
      <c r="X120" s="1">
        <f t="shared" si="60"/>
        <v>4.8420205801412899E-8</v>
      </c>
      <c r="Y120" s="1">
        <f t="shared" si="61"/>
        <v>-7.7133021948112002E-2</v>
      </c>
      <c r="Z120" s="1">
        <f t="shared" si="62"/>
        <v>-3.8566510974055999</v>
      </c>
      <c r="AB120"/>
      <c r="AC120"/>
      <c r="AD120"/>
      <c r="AE120"/>
      <c r="AF120"/>
      <c r="AG120"/>
      <c r="AH120"/>
      <c r="AI120"/>
      <c r="AJ120" s="25"/>
      <c r="AK120" s="2">
        <v>1.19</v>
      </c>
      <c r="AL120" s="1">
        <f t="shared" si="64"/>
        <v>6.4565422903465536E-2</v>
      </c>
      <c r="AM120" s="1">
        <f t="shared" si="39"/>
        <v>1.5643047851016064E-13</v>
      </c>
      <c r="AN120" s="1">
        <f t="shared" si="40"/>
        <v>0.16760042582305881</v>
      </c>
      <c r="AO120" s="1">
        <f t="shared" si="41"/>
        <v>1.609410414079685E-7</v>
      </c>
      <c r="AP120" s="1">
        <f t="shared" si="42"/>
        <v>-8.637524836570261</v>
      </c>
      <c r="AQ120" s="1">
        <f t="shared" si="43"/>
        <v>-86.375248365702603</v>
      </c>
      <c r="AR120" s="25"/>
      <c r="BA120" s="2">
        <v>1.19</v>
      </c>
      <c r="BB120" s="1">
        <f t="shared" si="49"/>
        <v>6.4565422903465536E-2</v>
      </c>
      <c r="BC120" s="1">
        <f t="shared" si="44"/>
        <v>1.5643047851016064E-13</v>
      </c>
      <c r="BD120" s="1">
        <f t="shared" si="45"/>
        <v>1.5643047851016062E-16</v>
      </c>
      <c r="BE120" s="1">
        <f t="shared" si="46"/>
        <v>0.99999999999999978</v>
      </c>
      <c r="BF120" s="1">
        <f t="shared" si="47"/>
        <v>3.9069110499666229</v>
      </c>
      <c r="BG120" s="1">
        <f t="shared" si="48"/>
        <v>12.797834237978659</v>
      </c>
    </row>
    <row r="121" spans="1:59" ht="15" customHeight="1" x14ac:dyDescent="0.3">
      <c r="A121" s="2">
        <v>12</v>
      </c>
      <c r="B121" s="1">
        <f t="shared" si="50"/>
        <v>9.9999999999999998E-13</v>
      </c>
      <c r="C121" s="1">
        <f t="shared" si="51"/>
        <v>1.01E-2</v>
      </c>
      <c r="D121" s="1">
        <f t="shared" si="52"/>
        <v>-1.0099999734743688E-2</v>
      </c>
      <c r="E121" s="1">
        <f t="shared" si="53"/>
        <v>5.0166666224572805E-3</v>
      </c>
      <c r="F121" s="1">
        <f t="shared" si="54"/>
        <v>0.999999982363316</v>
      </c>
      <c r="G121" s="1">
        <f t="shared" si="55"/>
        <v>1.6740822939895164</v>
      </c>
      <c r="H121" s="1">
        <f t="shared" si="63"/>
        <v>16.740822939895164</v>
      </c>
      <c r="S121" s="2">
        <v>12</v>
      </c>
      <c r="T121" s="1">
        <f t="shared" si="56"/>
        <v>9.9999999999999998E-13</v>
      </c>
      <c r="U121" s="1">
        <f t="shared" si="57"/>
        <v>1.01E-2</v>
      </c>
      <c r="V121" s="1">
        <f t="shared" si="58"/>
        <v>0.11514999393792341</v>
      </c>
      <c r="W121" s="1">
        <f t="shared" si="59"/>
        <v>-5.0499979793078081E-3</v>
      </c>
      <c r="X121" s="1">
        <f t="shared" si="60"/>
        <v>3.8461536982248577E-8</v>
      </c>
      <c r="Y121" s="1">
        <f t="shared" si="61"/>
        <v>-9.6144656381669427E-2</v>
      </c>
      <c r="Z121" s="1">
        <f t="shared" si="62"/>
        <v>-4.8072328190834712</v>
      </c>
      <c r="AB121"/>
      <c r="AC121"/>
      <c r="AD121"/>
      <c r="AE121"/>
      <c r="AF121"/>
      <c r="AG121"/>
      <c r="AH121"/>
      <c r="AI121"/>
      <c r="AJ121" s="25"/>
      <c r="AK121" s="2">
        <v>1.2</v>
      </c>
      <c r="AL121" s="1">
        <f t="shared" si="64"/>
        <v>6.3095734448019317E-2</v>
      </c>
      <c r="AM121" s="1">
        <f t="shared" si="39"/>
        <v>1.6007421243857248E-13</v>
      </c>
      <c r="AN121" s="1">
        <f t="shared" si="40"/>
        <v>0.17083740517101359</v>
      </c>
      <c r="AO121" s="1">
        <f t="shared" si="41"/>
        <v>1.6787060509342152E-7</v>
      </c>
      <c r="AP121" s="1">
        <f t="shared" si="42"/>
        <v>-8.0856479239908428</v>
      </c>
      <c r="AQ121" s="1">
        <f t="shared" si="43"/>
        <v>-80.856479239908424</v>
      </c>
      <c r="AR121" s="25"/>
      <c r="BA121" s="2">
        <v>1.2</v>
      </c>
      <c r="BB121" s="1">
        <f t="shared" si="49"/>
        <v>6.3095734448019317E-2</v>
      </c>
      <c r="BC121" s="1">
        <f t="shared" si="44"/>
        <v>1.6007421243857248E-13</v>
      </c>
      <c r="BD121" s="1">
        <f t="shared" si="45"/>
        <v>1.6007421243857242E-16</v>
      </c>
      <c r="BE121" s="1">
        <f t="shared" si="46"/>
        <v>0.99999999999999978</v>
      </c>
      <c r="BF121" s="1">
        <f t="shared" si="47"/>
        <v>3.8434994466649059</v>
      </c>
      <c r="BG121" s="1">
        <f t="shared" si="48"/>
        <v>13.008978066430101</v>
      </c>
    </row>
    <row r="122" spans="1:59" ht="15" customHeight="1" x14ac:dyDescent="0.3">
      <c r="A122" s="2">
        <v>12.1</v>
      </c>
      <c r="B122" s="1">
        <f t="shared" si="50"/>
        <v>7.9432823472428024E-13</v>
      </c>
      <c r="C122" s="1">
        <f t="shared" si="51"/>
        <v>1.2715146659121108E-2</v>
      </c>
      <c r="D122" s="1">
        <f t="shared" si="52"/>
        <v>-1.2715146454526597E-2</v>
      </c>
      <c r="E122" s="1">
        <f t="shared" si="53"/>
        <v>5.4525244090877657E-3</v>
      </c>
      <c r="F122" s="1">
        <f t="shared" si="54"/>
        <v>0.99999998599068396</v>
      </c>
      <c r="G122" s="1">
        <f t="shared" si="55"/>
        <v>1.8740448729448091</v>
      </c>
      <c r="H122" s="1">
        <f t="shared" si="63"/>
        <v>18.74044872944809</v>
      </c>
      <c r="S122" s="2">
        <v>12.1</v>
      </c>
      <c r="T122" s="1">
        <f t="shared" si="56"/>
        <v>7.9432823472428024E-13</v>
      </c>
      <c r="U122" s="1">
        <f t="shared" si="57"/>
        <v>1.2715146659121108E-2</v>
      </c>
      <c r="V122" s="1">
        <f t="shared" si="58"/>
        <v>0.11907271511348134</v>
      </c>
      <c r="W122" s="1">
        <f t="shared" si="59"/>
        <v>-6.3575717044937821E-3</v>
      </c>
      <c r="X122" s="1">
        <f t="shared" si="60"/>
        <v>3.0551085017565032E-8</v>
      </c>
      <c r="Y122" s="1">
        <f t="shared" si="61"/>
        <v>-0.11955089990504482</v>
      </c>
      <c r="Z122" s="1">
        <f t="shared" si="62"/>
        <v>-5.9775449952522406</v>
      </c>
      <c r="AB122"/>
      <c r="AC122"/>
      <c r="AD122"/>
      <c r="AE122"/>
      <c r="AF122"/>
      <c r="AG122"/>
      <c r="AH122"/>
      <c r="AI122"/>
      <c r="AJ122" s="25"/>
      <c r="AK122" s="2">
        <v>1.21</v>
      </c>
      <c r="AL122" s="1">
        <f t="shared" si="64"/>
        <v>6.1659500186148221E-2</v>
      </c>
      <c r="AM122" s="1">
        <f t="shared" si="39"/>
        <v>1.6380281983325191E-13</v>
      </c>
      <c r="AN122" s="1">
        <f t="shared" si="40"/>
        <v>0.17412382471724555</v>
      </c>
      <c r="AO122" s="1">
        <f t="shared" si="41"/>
        <v>1.7508538181265483E-7</v>
      </c>
      <c r="AP122" s="1">
        <f t="shared" si="42"/>
        <v>-7.5868881431427386</v>
      </c>
      <c r="AQ122" s="1">
        <f t="shared" si="43"/>
        <v>-75.868881431427397</v>
      </c>
      <c r="AR122" s="25"/>
      <c r="BA122" s="2">
        <v>1.21</v>
      </c>
      <c r="BB122" s="1">
        <f t="shared" si="49"/>
        <v>6.1659500186148221E-2</v>
      </c>
      <c r="BC122" s="1">
        <f t="shared" si="44"/>
        <v>1.6380281983325191E-13</v>
      </c>
      <c r="BD122" s="1">
        <f t="shared" si="45"/>
        <v>1.6380281983325187E-16</v>
      </c>
      <c r="BE122" s="1">
        <f t="shared" si="46"/>
        <v>0.99999999999999989</v>
      </c>
      <c r="BF122" s="1">
        <f t="shared" si="47"/>
        <v>3.7828329453451213</v>
      </c>
      <c r="BG122" s="1">
        <f t="shared" si="48"/>
        <v>13.217607206664084</v>
      </c>
    </row>
    <row r="123" spans="1:59" ht="15" customHeight="1" x14ac:dyDescent="0.3">
      <c r="A123" s="2">
        <v>12.2</v>
      </c>
      <c r="B123" s="1">
        <f t="shared" si="50"/>
        <v>6.3095734448019283E-13</v>
      </c>
      <c r="C123" s="1">
        <f t="shared" si="51"/>
        <v>1.6007421243857255E-2</v>
      </c>
      <c r="D123" s="1">
        <f t="shared" si="52"/>
        <v>-1.6007421087448123E-2</v>
      </c>
      <c r="E123" s="1">
        <f t="shared" si="53"/>
        <v>6.0012368479080208E-3</v>
      </c>
      <c r="F123" s="1">
        <f t="shared" si="54"/>
        <v>0.9999999888720047</v>
      </c>
      <c r="G123" s="1">
        <f t="shared" si="55"/>
        <v>2.143488243463564</v>
      </c>
      <c r="H123" s="1">
        <f t="shared" si="63"/>
        <v>21.434882434635639</v>
      </c>
      <c r="S123" s="2">
        <v>12.2</v>
      </c>
      <c r="T123" s="1">
        <f t="shared" si="56"/>
        <v>6.3095734448019283E-13</v>
      </c>
      <c r="U123" s="1">
        <f t="shared" si="57"/>
        <v>1.6007421243857255E-2</v>
      </c>
      <c r="V123" s="1">
        <f t="shared" si="58"/>
        <v>0.12401112793335491</v>
      </c>
      <c r="W123" s="1">
        <f t="shared" si="59"/>
        <v>-8.0037093111183025E-3</v>
      </c>
      <c r="X123" s="1">
        <f t="shared" si="60"/>
        <v>2.4267589583399194E-8</v>
      </c>
      <c r="Y123" s="1">
        <f t="shared" si="61"/>
        <v>-0.14821174869212331</v>
      </c>
      <c r="Z123" s="1">
        <f t="shared" si="62"/>
        <v>-7.4105874346061658</v>
      </c>
      <c r="AB123"/>
      <c r="AC123"/>
      <c r="AD123"/>
      <c r="AE123"/>
      <c r="AF123"/>
      <c r="AG123"/>
      <c r="AH123"/>
      <c r="AI123"/>
      <c r="AJ123" s="25"/>
      <c r="AK123" s="2">
        <v>1.22</v>
      </c>
      <c r="AL123" s="1">
        <f t="shared" si="64"/>
        <v>6.0255958607435746E-2</v>
      </c>
      <c r="AM123" s="1">
        <f t="shared" si="39"/>
        <v>1.6761827765119369E-13</v>
      </c>
      <c r="AN123" s="1">
        <f t="shared" si="40"/>
        <v>0.1774599346370217</v>
      </c>
      <c r="AO123" s="1">
        <f t="shared" si="41"/>
        <v>1.8259631415336249E-7</v>
      </c>
      <c r="AP123" s="1">
        <f t="shared" si="42"/>
        <v>-7.1339942571926365</v>
      </c>
      <c r="AQ123" s="1">
        <f t="shared" si="43"/>
        <v>-71.339942571926372</v>
      </c>
      <c r="AR123" s="25"/>
      <c r="BA123" s="2">
        <v>1.22</v>
      </c>
      <c r="BB123" s="1">
        <f t="shared" si="49"/>
        <v>6.0255958607435746E-2</v>
      </c>
      <c r="BC123" s="1">
        <f t="shared" si="44"/>
        <v>1.6761827765119369E-13</v>
      </c>
      <c r="BD123" s="1">
        <f t="shared" si="45"/>
        <v>1.6761827765119364E-16</v>
      </c>
      <c r="BE123" s="1">
        <f t="shared" si="46"/>
        <v>0.99999999999999989</v>
      </c>
      <c r="BF123" s="1">
        <f t="shared" si="47"/>
        <v>3.7247521398905832</v>
      </c>
      <c r="BG123" s="1">
        <f t="shared" si="48"/>
        <v>13.423712000731618</v>
      </c>
    </row>
    <row r="124" spans="1:59" ht="15" customHeight="1" x14ac:dyDescent="0.3">
      <c r="A124" s="2">
        <v>12.3</v>
      </c>
      <c r="B124" s="1">
        <f t="shared" si="50"/>
        <v>5.0118723362727066E-13</v>
      </c>
      <c r="C124" s="1">
        <f t="shared" si="51"/>
        <v>2.0152149381185747E-2</v>
      </c>
      <c r="D124" s="1">
        <f t="shared" si="52"/>
        <v>-2.0152149263051634E-2</v>
      </c>
      <c r="E124" s="1">
        <f t="shared" si="53"/>
        <v>6.6920248771752721E-3</v>
      </c>
      <c r="F124" s="1">
        <f t="shared" si="54"/>
        <v>0.99999999116071903</v>
      </c>
      <c r="G124" s="1">
        <f t="shared" si="55"/>
        <v>2.5142911733046711</v>
      </c>
      <c r="H124" s="1">
        <f t="shared" si="63"/>
        <v>25.142911733046709</v>
      </c>
      <c r="S124" s="2">
        <v>12.3</v>
      </c>
      <c r="T124" s="1">
        <f t="shared" si="56"/>
        <v>5.0118723362727066E-13</v>
      </c>
      <c r="U124" s="1">
        <f t="shared" si="57"/>
        <v>2.0152149381185747E-2</v>
      </c>
      <c r="V124" s="1">
        <f t="shared" si="58"/>
        <v>0.13022822088821595</v>
      </c>
      <c r="W124" s="1">
        <f t="shared" si="59"/>
        <v>-1.0076073629405321E-2</v>
      </c>
      <c r="X124" s="1">
        <f t="shared" si="60"/>
        <v>1.9276431691006509E-8</v>
      </c>
      <c r="Y124" s="1">
        <f t="shared" si="61"/>
        <v>-0.18307472817986917</v>
      </c>
      <c r="Z124" s="1">
        <f t="shared" si="62"/>
        <v>-9.1537364089934581</v>
      </c>
      <c r="AB124"/>
      <c r="AC124"/>
      <c r="AD124"/>
      <c r="AE124"/>
      <c r="AF124"/>
      <c r="AG124"/>
      <c r="AH124"/>
      <c r="AI124"/>
      <c r="AJ124" s="25"/>
      <c r="AK124" s="2">
        <v>1.23</v>
      </c>
      <c r="AL124" s="1">
        <f t="shared" si="64"/>
        <v>5.8884365535558883E-2</v>
      </c>
      <c r="AM124" s="1">
        <f t="shared" si="39"/>
        <v>1.7152260889863621E-13</v>
      </c>
      <c r="AN124" s="1">
        <f t="shared" si="40"/>
        <v>0.18084596598655345</v>
      </c>
      <c r="AO124" s="1">
        <f t="shared" si="41"/>
        <v>1.9041471856218573E-7</v>
      </c>
      <c r="AP124" s="1">
        <f t="shared" si="42"/>
        <v>-6.7209760129854104</v>
      </c>
      <c r="AQ124" s="1">
        <f t="shared" si="43"/>
        <v>-67.209760129854104</v>
      </c>
      <c r="AR124" s="25"/>
      <c r="BA124" s="2">
        <v>1.23</v>
      </c>
      <c r="BB124" s="1">
        <f t="shared" si="49"/>
        <v>5.8884365535558883E-2</v>
      </c>
      <c r="BC124" s="1">
        <f t="shared" si="44"/>
        <v>1.7152260889863621E-13</v>
      </c>
      <c r="BD124" s="1">
        <f t="shared" si="45"/>
        <v>1.7152260889863616E-16</v>
      </c>
      <c r="BE124" s="1">
        <f t="shared" si="46"/>
        <v>0.99999999999999989</v>
      </c>
      <c r="BF124" s="1">
        <f t="shared" si="47"/>
        <v>3.6691096137941743</v>
      </c>
      <c r="BG124" s="1">
        <f t="shared" si="48"/>
        <v>13.627284344960112</v>
      </c>
    </row>
    <row r="125" spans="1:59" ht="15" customHeight="1" x14ac:dyDescent="0.3">
      <c r="A125" s="2">
        <v>12.4</v>
      </c>
      <c r="B125" s="1">
        <f t="shared" si="50"/>
        <v>3.9810717055349631E-13</v>
      </c>
      <c r="C125" s="1">
        <f t="shared" si="51"/>
        <v>2.5370052958246816E-2</v>
      </c>
      <c r="D125" s="1">
        <f t="shared" si="52"/>
        <v>-2.5370052870515618E-2</v>
      </c>
      <c r="E125" s="1">
        <f t="shared" si="53"/>
        <v>7.561675478419269E-3</v>
      </c>
      <c r="F125" s="1">
        <f t="shared" si="54"/>
        <v>0.99999999297870956</v>
      </c>
      <c r="G125" s="1">
        <f t="shared" si="55"/>
        <v>3.0396680297654313</v>
      </c>
      <c r="H125" s="1">
        <f t="shared" si="63"/>
        <v>30.39668029765431</v>
      </c>
      <c r="S125" s="2">
        <v>12.4</v>
      </c>
      <c r="T125" s="1">
        <f t="shared" si="56"/>
        <v>3.9810717055349631E-13</v>
      </c>
      <c r="U125" s="1">
        <f t="shared" si="57"/>
        <v>2.5370052958246816E-2</v>
      </c>
      <c r="V125" s="1">
        <f t="shared" si="58"/>
        <v>0.13805507684865481</v>
      </c>
      <c r="W125" s="1">
        <f t="shared" si="59"/>
        <v>-1.2685025616218273E-2</v>
      </c>
      <c r="X125" s="1">
        <f t="shared" si="60"/>
        <v>1.5311814017605899E-8</v>
      </c>
      <c r="Y125" s="1">
        <f t="shared" si="61"/>
        <v>-0.22514128291403737</v>
      </c>
      <c r="Z125" s="1">
        <f t="shared" si="62"/>
        <v>-11.257064145701868</v>
      </c>
      <c r="AB125"/>
      <c r="AC125"/>
      <c r="AD125"/>
      <c r="AE125"/>
      <c r="AF125"/>
      <c r="AG125"/>
      <c r="AH125"/>
      <c r="AI125"/>
      <c r="AJ125" s="25"/>
      <c r="AK125" s="2">
        <v>1.24</v>
      </c>
      <c r="AL125" s="1">
        <f t="shared" si="64"/>
        <v>5.7543993733715687E-2</v>
      </c>
      <c r="AM125" s="1">
        <f t="shared" si="39"/>
        <v>1.7551788370368693E-13</v>
      </c>
      <c r="AN125" s="1">
        <f t="shared" si="40"/>
        <v>0.18428212992719972</v>
      </c>
      <c r="AO125" s="1">
        <f t="shared" si="41"/>
        <v>1.9855229562893642E-7</v>
      </c>
      <c r="AP125" s="1">
        <f t="shared" si="42"/>
        <v>-6.3428414409591243</v>
      </c>
      <c r="AQ125" s="1">
        <f t="shared" si="43"/>
        <v>-63.428414409591234</v>
      </c>
      <c r="AR125" s="25"/>
      <c r="BA125" s="2">
        <v>1.24</v>
      </c>
      <c r="BB125" s="1">
        <f t="shared" si="49"/>
        <v>5.7543993733715687E-2</v>
      </c>
      <c r="BC125" s="1">
        <f t="shared" si="44"/>
        <v>1.7551788370368693E-13</v>
      </c>
      <c r="BD125" s="1">
        <f t="shared" si="45"/>
        <v>1.7551788370368691E-16</v>
      </c>
      <c r="BE125" s="1">
        <f t="shared" si="46"/>
        <v>0.99999999999999989</v>
      </c>
      <c r="BF125" s="1">
        <f t="shared" si="47"/>
        <v>3.6157688325448567</v>
      </c>
      <c r="BG125" s="1">
        <f t="shared" si="48"/>
        <v>13.828317659569214</v>
      </c>
    </row>
    <row r="126" spans="1:59" ht="15" customHeight="1" x14ac:dyDescent="0.3">
      <c r="A126" s="2">
        <v>12.5</v>
      </c>
      <c r="B126" s="1">
        <f t="shared" si="50"/>
        <v>3.1622776601683746E-13</v>
      </c>
      <c r="C126" s="1">
        <f t="shared" si="51"/>
        <v>3.1939004367700675E-2</v>
      </c>
      <c r="D126" s="1">
        <f t="shared" si="52"/>
        <v>-3.1939004304119376E-2</v>
      </c>
      <c r="E126" s="1">
        <f t="shared" si="53"/>
        <v>8.6565007173532282E-3</v>
      </c>
      <c r="F126" s="1">
        <f t="shared" si="54"/>
        <v>0.99999999442279075</v>
      </c>
      <c r="G126" s="1">
        <f t="shared" si="55"/>
        <v>3.8156218384021505</v>
      </c>
      <c r="H126" s="1">
        <f t="shared" si="63"/>
        <v>38.1562183840215</v>
      </c>
      <c r="S126" s="2">
        <v>12.5</v>
      </c>
      <c r="T126" s="1">
        <f t="shared" si="56"/>
        <v>3.1622776601683746E-13</v>
      </c>
      <c r="U126" s="1">
        <f t="shared" si="57"/>
        <v>3.1939004367700675E-2</v>
      </c>
      <c r="V126" s="1">
        <f t="shared" si="58"/>
        <v>0.14790850443533959</v>
      </c>
      <c r="W126" s="1">
        <f t="shared" si="59"/>
        <v>-1.5969501478446533E-2</v>
      </c>
      <c r="X126" s="1">
        <f t="shared" si="60"/>
        <v>1.2162606237333988E-8</v>
      </c>
      <c r="Y126" s="1">
        <f t="shared" si="61"/>
        <v>-0.27540864235610324</v>
      </c>
      <c r="Z126" s="1">
        <f t="shared" si="62"/>
        <v>-13.770432117805163</v>
      </c>
      <c r="AB126"/>
      <c r="AC126"/>
      <c r="AD126"/>
      <c r="AE126"/>
      <c r="AF126"/>
      <c r="AG126"/>
      <c r="AH126"/>
      <c r="AI126"/>
      <c r="AJ126" s="25"/>
      <c r="AK126" s="2">
        <v>1.25</v>
      </c>
      <c r="AL126" s="1">
        <f t="shared" si="64"/>
        <v>5.6234132519034884E-2</v>
      </c>
      <c r="AM126" s="1">
        <f t="shared" si="39"/>
        <v>1.7960622041393127E-13</v>
      </c>
      <c r="AN126" s="1">
        <f t="shared" si="40"/>
        <v>0.18776861694845415</v>
      </c>
      <c r="AO126" s="1">
        <f t="shared" si="41"/>
        <v>2.0702114052997141E-7</v>
      </c>
      <c r="AP126" s="1">
        <f t="shared" si="42"/>
        <v>-5.9953972032714242</v>
      </c>
      <c r="AQ126" s="1">
        <f t="shared" si="43"/>
        <v>-59.95397203271424</v>
      </c>
      <c r="AR126" s="25"/>
      <c r="BA126" s="2">
        <v>1.25</v>
      </c>
      <c r="BB126" s="1">
        <f t="shared" si="49"/>
        <v>5.6234132519034884E-2</v>
      </c>
      <c r="BC126" s="1">
        <f t="shared" si="44"/>
        <v>1.7960622041393127E-13</v>
      </c>
      <c r="BD126" s="1">
        <f t="shared" si="45"/>
        <v>1.7960622041393123E-16</v>
      </c>
      <c r="BE126" s="1">
        <f t="shared" si="46"/>
        <v>0.99999999999999989</v>
      </c>
      <c r="BF126" s="1">
        <f t="shared" si="47"/>
        <v>3.5646031566214567</v>
      </c>
      <c r="BG126" s="1">
        <f t="shared" si="48"/>
        <v>14.026806857061242</v>
      </c>
    </row>
    <row r="127" spans="1:59" ht="15" customHeight="1" x14ac:dyDescent="0.3">
      <c r="A127" s="2">
        <v>12.6</v>
      </c>
      <c r="B127" s="1">
        <f t="shared" si="50"/>
        <v>2.511886431509579E-13</v>
      </c>
      <c r="C127" s="1">
        <f t="shared" si="51"/>
        <v>4.0208824225903238E-2</v>
      </c>
      <c r="D127" s="1">
        <f t="shared" si="52"/>
        <v>-4.0208824181504878E-2</v>
      </c>
      <c r="E127" s="1">
        <f t="shared" si="53"/>
        <v>1.0034804030250812E-2</v>
      </c>
      <c r="F127" s="1">
        <f t="shared" si="54"/>
        <v>0.99999999556986519</v>
      </c>
      <c r="G127" s="1">
        <f t="shared" si="55"/>
        <v>5.0349255853637658</v>
      </c>
      <c r="H127" s="1">
        <f t="shared" si="63"/>
        <v>50.349255853637658</v>
      </c>
      <c r="S127" s="2">
        <v>12.6</v>
      </c>
      <c r="T127" s="1">
        <f t="shared" si="56"/>
        <v>2.511886431509579E-13</v>
      </c>
      <c r="U127" s="1">
        <f t="shared" si="57"/>
        <v>4.0208824225903238E-2</v>
      </c>
      <c r="V127" s="1">
        <f t="shared" si="58"/>
        <v>0.16031323459796668</v>
      </c>
      <c r="W127" s="1">
        <f t="shared" si="59"/>
        <v>-2.0104411532655561E-2</v>
      </c>
      <c r="X127" s="1">
        <f t="shared" si="60"/>
        <v>9.6611015663153432E-9</v>
      </c>
      <c r="Y127" s="1">
        <f t="shared" si="61"/>
        <v>-0.33478223282729813</v>
      </c>
      <c r="Z127" s="1">
        <f t="shared" si="62"/>
        <v>-16.739111641364904</v>
      </c>
      <c r="AB127"/>
      <c r="AC127"/>
      <c r="AD127"/>
      <c r="AE127"/>
      <c r="AF127"/>
      <c r="AG127"/>
      <c r="AH127"/>
      <c r="AI127"/>
      <c r="AJ127" s="25"/>
      <c r="AK127" s="2">
        <v>1.26</v>
      </c>
      <c r="AL127" s="1">
        <f t="shared" si="64"/>
        <v>5.4954087385762435E-2</v>
      </c>
      <c r="AM127" s="1">
        <f t="shared" si="39"/>
        <v>1.8378978671960838E-13</v>
      </c>
      <c r="AN127" s="1">
        <f t="shared" si="40"/>
        <v>0.19130559609111797</v>
      </c>
      <c r="AO127" s="1">
        <f t="shared" si="41"/>
        <v>2.1583375362761934E-7</v>
      </c>
      <c r="AP127" s="1">
        <f t="shared" si="42"/>
        <v>-5.6750950156172015</v>
      </c>
      <c r="AQ127" s="1">
        <f t="shared" si="43"/>
        <v>-56.75095015617201</v>
      </c>
      <c r="AR127" s="25"/>
      <c r="BA127" s="2">
        <v>1.26</v>
      </c>
      <c r="BB127" s="1">
        <f t="shared" si="49"/>
        <v>5.4954087385762435E-2</v>
      </c>
      <c r="BC127" s="1">
        <f t="shared" si="44"/>
        <v>1.8378978671960838E-13</v>
      </c>
      <c r="BD127" s="1">
        <f t="shared" si="45"/>
        <v>1.8378978671960837E-16</v>
      </c>
      <c r="BE127" s="1">
        <f t="shared" si="46"/>
        <v>0.99999999999999989</v>
      </c>
      <c r="BF127" s="1">
        <f t="shared" si="47"/>
        <v>3.515494960045217</v>
      </c>
      <c r="BG127" s="1">
        <f t="shared" si="48"/>
        <v>14.222748309488939</v>
      </c>
    </row>
    <row r="128" spans="1:59" ht="15" customHeight="1" x14ac:dyDescent="0.3">
      <c r="A128" s="2">
        <v>12.7</v>
      </c>
      <c r="B128" s="1">
        <f t="shared" si="50"/>
        <v>1.9952623149688807E-13</v>
      </c>
      <c r="C128" s="1">
        <f t="shared" si="51"/>
        <v>5.061991059635447E-2</v>
      </c>
      <c r="D128" s="1">
        <f t="shared" si="52"/>
        <v>-5.0619910567193671E-2</v>
      </c>
      <c r="E128" s="1">
        <f t="shared" si="53"/>
        <v>1.1769985094532278E-2</v>
      </c>
      <c r="F128" s="1">
        <f t="shared" si="54"/>
        <v>0.99999999648101878</v>
      </c>
      <c r="G128" s="1">
        <f t="shared" si="55"/>
        <v>7.1506462805509194</v>
      </c>
      <c r="H128" s="1">
        <f t="shared" si="63"/>
        <v>71.506462805509187</v>
      </c>
      <c r="S128" s="2">
        <v>12.7</v>
      </c>
      <c r="T128" s="1">
        <f t="shared" si="56"/>
        <v>1.9952623149688807E-13</v>
      </c>
      <c r="U128" s="1">
        <f t="shared" si="57"/>
        <v>5.061991059635447E-2</v>
      </c>
      <c r="V128" s="1">
        <f t="shared" si="58"/>
        <v>0.17592986445177342</v>
      </c>
      <c r="W128" s="1">
        <f t="shared" si="59"/>
        <v>-2.5309954817257799E-2</v>
      </c>
      <c r="X128" s="1">
        <f t="shared" si="60"/>
        <v>7.6740857679117953E-9</v>
      </c>
      <c r="Y128" s="1">
        <f t="shared" si="61"/>
        <v>-0.40395760822303139</v>
      </c>
      <c r="Z128" s="1">
        <f t="shared" si="62"/>
        <v>-20.197880411151569</v>
      </c>
      <c r="AB128"/>
      <c r="AC128"/>
      <c r="AD128"/>
      <c r="AE128"/>
      <c r="AF128"/>
      <c r="AG128"/>
      <c r="AH128"/>
      <c r="AI128"/>
      <c r="AJ128" s="25"/>
      <c r="AK128" s="2">
        <v>1.27</v>
      </c>
      <c r="AL128" s="1">
        <f t="shared" si="64"/>
        <v>5.3703179637025256E-2</v>
      </c>
      <c r="AM128" s="1">
        <f t="shared" si="39"/>
        <v>1.8807080080294967E-13</v>
      </c>
      <c r="AN128" s="1">
        <f t="shared" si="40"/>
        <v>0.19489321417212266</v>
      </c>
      <c r="AO128" s="1">
        <f t="shared" si="41"/>
        <v>2.2500305122233039E-7</v>
      </c>
      <c r="AP128" s="1">
        <f t="shared" si="42"/>
        <v>-5.3789121977047776</v>
      </c>
      <c r="AQ128" s="1">
        <f t="shared" si="43"/>
        <v>-53.78912197704777</v>
      </c>
      <c r="AR128" s="25"/>
      <c r="BA128" s="2">
        <v>1.27</v>
      </c>
      <c r="BB128" s="1">
        <f t="shared" si="49"/>
        <v>5.3703179637025256E-2</v>
      </c>
      <c r="BC128" s="1">
        <f t="shared" si="44"/>
        <v>1.8807080080294967E-13</v>
      </c>
      <c r="BD128" s="1">
        <f t="shared" si="45"/>
        <v>1.8807080080294961E-16</v>
      </c>
      <c r="BE128" s="1">
        <f t="shared" si="46"/>
        <v>0.99999999999999989</v>
      </c>
      <c r="BF128" s="1">
        <f t="shared" si="47"/>
        <v>3.468334841550925</v>
      </c>
      <c r="BG128" s="1">
        <f t="shared" si="48"/>
        <v>14.416139814701872</v>
      </c>
    </row>
    <row r="129" spans="1:59" ht="15" customHeight="1" x14ac:dyDescent="0.3">
      <c r="A129" s="2">
        <v>12.8</v>
      </c>
      <c r="B129" s="1">
        <f t="shared" si="50"/>
        <v>1.5848931924611046E-13</v>
      </c>
      <c r="C129" s="1">
        <f t="shared" si="51"/>
        <v>6.3726691792499873E-2</v>
      </c>
      <c r="D129" s="1">
        <f t="shared" si="52"/>
        <v>-6.3726691775442698E-2</v>
      </c>
      <c r="E129" s="1">
        <f t="shared" si="53"/>
        <v>1.3954448629240451E-2</v>
      </c>
      <c r="F129" s="1">
        <f t="shared" si="54"/>
        <v>0.99999999720477395</v>
      </c>
      <c r="G129" s="1">
        <f t="shared" si="55"/>
        <v>11.541088457815258</v>
      </c>
      <c r="H129" s="1">
        <f t="shared" si="63"/>
        <v>115.41088457815258</v>
      </c>
      <c r="S129" s="2">
        <v>12.8</v>
      </c>
      <c r="T129" s="1">
        <f t="shared" si="56"/>
        <v>1.5848931924611046E-13</v>
      </c>
      <c r="U129" s="1">
        <f t="shared" si="57"/>
        <v>6.3726691792499873E-2</v>
      </c>
      <c r="V129" s="1">
        <f t="shared" si="58"/>
        <v>0.19559003648280446</v>
      </c>
      <c r="W129" s="1">
        <f t="shared" si="59"/>
        <v>-3.1863345494268155E-2</v>
      </c>
      <c r="X129" s="1">
        <f t="shared" si="60"/>
        <v>6.0957430107692427E-9</v>
      </c>
      <c r="Y129" s="1">
        <f t="shared" si="61"/>
        <v>-0.48327828138795692</v>
      </c>
      <c r="Z129" s="1">
        <f t="shared" si="62"/>
        <v>-24.163914069397844</v>
      </c>
      <c r="AB129"/>
      <c r="AC129"/>
      <c r="AD129"/>
      <c r="AE129"/>
      <c r="AF129"/>
      <c r="AG129"/>
      <c r="AH129"/>
      <c r="AI129"/>
      <c r="AJ129" s="25"/>
      <c r="AK129" s="2">
        <v>1.28</v>
      </c>
      <c r="AL129" s="1">
        <f t="shared" si="64"/>
        <v>5.2480746024977244E-2</v>
      </c>
      <c r="AM129" s="1">
        <f t="shared" ref="AM129:AM141" si="65">Kw/AL129</f>
        <v>1.9245153251428801E-13</v>
      </c>
      <c r="AN129" s="1">
        <f t="shared" ref="AN129:AN141" si="66">(AL129*dpWASB_Ka1)/((AL129^2)+(AL129*dpWASB_Ka1)+(dpWASB_Ka1*dpWASB_Ka2))</f>
        <v>0.19853159501252987</v>
      </c>
      <c r="AO129" s="1">
        <f t="shared" ref="AO129:AO141" si="67">(dpWASB_Ka1*dpWASB_Ka2)/((AL129^2)+(AL129*dpWASB_Ka1)+(dpWASB_Ka1*dpWASB_Ka2))</f>
        <v>2.3454237645399759E-7</v>
      </c>
      <c r="AP129" s="1">
        <f t="shared" ref="AP129:AP141" si="68">(AN129+(2*AO129) - ((AL129-AM129)/dpWASB_Ca))/(1-((AL129-AM129)/dpWASB_Cb))</f>
        <v>-5.1042578202238538</v>
      </c>
      <c r="AQ129" s="1">
        <f t="shared" ref="AQ129:AQ141" si="69">AP129*dpWASB_Ca*dpWASB_Va/dpWASB_Cb</f>
        <v>-51.042578202238538</v>
      </c>
      <c r="AR129" s="25"/>
      <c r="BA129" s="2">
        <v>1.28</v>
      </c>
      <c r="BB129" s="1">
        <f t="shared" si="49"/>
        <v>5.2480746024977244E-2</v>
      </c>
      <c r="BC129" s="1">
        <f t="shared" ref="BC129:BC141" si="70">Kw/BB129</f>
        <v>1.9245153251428801E-13</v>
      </c>
      <c r="BD129" s="1">
        <f t="shared" ref="BD129:BD141" si="71">(BB129*(Kw/dpSAWB_Kb1))/(BB129^2+(BB129*(Kw/dpSAWB_Kb1))+((Kw/dpSAWB_Kb1)*(Kw/dpSAWB_Kb2)))</f>
        <v>1.9245153251428799E-16</v>
      </c>
      <c r="BE129" s="1">
        <f t="shared" ref="BE129:BE141" si="72">BB129^2 / (BB129^2+(BB129*(Kw/dpSAWB_Kb1))+((Kw/dpSAWB_Kb1)*(Kw/dpSAWB_Kb2)))</f>
        <v>0.99999999999999989</v>
      </c>
      <c r="BF129" s="1">
        <f t="shared" ref="BF129:BF141" si="73">(BD129+(2*BE129)+((BB129-BC129)/dpSAWB_Cb))/(1-((BB129-BC129)/dpSAWB_Ca))</f>
        <v>3.4230209172180901</v>
      </c>
      <c r="BG129" s="1">
        <f t="shared" ref="BG129:BG141" si="74">(dpSAWB_Cb*dpSAWB_Vb) /(dpSAWB_Ca * BF129)</f>
        <v>14.606980561671618</v>
      </c>
    </row>
    <row r="130" spans="1:59" ht="15" customHeight="1" x14ac:dyDescent="0.3">
      <c r="A130" s="2">
        <v>12.9</v>
      </c>
      <c r="B130" s="1">
        <f t="shared" si="50"/>
        <v>1.2589254117941612E-13</v>
      </c>
      <c r="C130" s="1">
        <f t="shared" si="51"/>
        <v>8.0227151707152805E-2</v>
      </c>
      <c r="D130" s="1">
        <f t="shared" si="52"/>
        <v>-8.022715169970987E-2</v>
      </c>
      <c r="E130" s="1">
        <f t="shared" si="53"/>
        <v>1.670452528328498E-2</v>
      </c>
      <c r="F130" s="1">
        <f t="shared" si="54"/>
        <v>0.99999999777967297</v>
      </c>
      <c r="G130" s="1">
        <f t="shared" si="55"/>
        <v>25.344641848650411</v>
      </c>
      <c r="H130" s="1">
        <f t="shared" si="63"/>
        <v>253.44641848650411</v>
      </c>
      <c r="S130" s="2">
        <v>12.9</v>
      </c>
      <c r="T130" s="1">
        <f t="shared" si="56"/>
        <v>1.2589254117941612E-13</v>
      </c>
      <c r="U130" s="1">
        <f t="shared" si="57"/>
        <v>8.0227151707152805E-2</v>
      </c>
      <c r="V130" s="1">
        <f t="shared" si="58"/>
        <v>0.22034072654289111</v>
      </c>
      <c r="W130" s="1">
        <f t="shared" si="59"/>
        <v>-4.0113575514297041E-2</v>
      </c>
      <c r="X130" s="1">
        <f t="shared" si="60"/>
        <v>4.8420207911477625E-9</v>
      </c>
      <c r="Y130" s="1">
        <f t="shared" si="61"/>
        <v>-0.57258656582072431</v>
      </c>
      <c r="Z130" s="1">
        <f t="shared" si="62"/>
        <v>-28.62932829103622</v>
      </c>
      <c r="AB130"/>
      <c r="AC130"/>
      <c r="AD130"/>
      <c r="AE130"/>
      <c r="AF130"/>
      <c r="AG130"/>
      <c r="AH130"/>
      <c r="AI130"/>
      <c r="AJ130" s="25"/>
      <c r="AK130" s="2">
        <v>1.29</v>
      </c>
      <c r="AL130" s="1">
        <f t="shared" si="64"/>
        <v>5.1286138399136455E-2</v>
      </c>
      <c r="AM130" s="1">
        <f t="shared" si="65"/>
        <v>1.9693430457556267E-13</v>
      </c>
      <c r="AN130" s="1">
        <f t="shared" si="66"/>
        <v>0.20222083867030022</v>
      </c>
      <c r="AO130" s="1">
        <f t="shared" si="67"/>
        <v>2.4446551034869338E-7</v>
      </c>
      <c r="AP130" s="1">
        <f t="shared" si="68"/>
        <v>-4.8488982698391405</v>
      </c>
      <c r="AQ130" s="1">
        <f t="shared" si="69"/>
        <v>-48.488982698391403</v>
      </c>
      <c r="AR130" s="25"/>
      <c r="BA130" s="2">
        <v>1.29</v>
      </c>
      <c r="BB130" s="1">
        <f t="shared" ref="BB130:BB141" si="75">10^-BA130</f>
        <v>5.1286138399136455E-2</v>
      </c>
      <c r="BC130" s="1">
        <f t="shared" si="70"/>
        <v>1.9693430457556267E-13</v>
      </c>
      <c r="BD130" s="1">
        <f t="shared" si="71"/>
        <v>1.9693430457556263E-16</v>
      </c>
      <c r="BE130" s="1">
        <f t="shared" si="72"/>
        <v>0.99999999999999989</v>
      </c>
      <c r="BF130" s="1">
        <f t="shared" si="73"/>
        <v>3.3794581849140495</v>
      </c>
      <c r="BG130" s="1">
        <f t="shared" si="74"/>
        <v>14.79527109499408</v>
      </c>
    </row>
    <row r="131" spans="1:59" ht="15" customHeight="1" x14ac:dyDescent="0.3">
      <c r="A131" s="2">
        <v>13</v>
      </c>
      <c r="B131" s="1">
        <f t="shared" ref="B131:B141" si="76">10^(-A131)</f>
        <v>1E-13</v>
      </c>
      <c r="C131" s="1">
        <f t="shared" ref="C131:C141" si="77">Kw/B131</f>
        <v>0.10099999999999999</v>
      </c>
      <c r="D131" s="1">
        <f t="shared" ref="D131:D141" si="78">((WASB_Ca*WASB_Va)-(WASB_Cb*H131))/(WASB_Va+H131)</f>
        <v>-0.10100000000019393</v>
      </c>
      <c r="E131" s="1">
        <f t="shared" ref="E131:E141" si="79">(WASB_Ca*H131)/(WASB_Va+H131)</f>
        <v>2.0166666666698991E-2</v>
      </c>
      <c r="F131" s="1">
        <f t="shared" ref="F131:F141" si="80">WASB_Ka/(B131+WASB_Ka)</f>
        <v>0.99999999823633157</v>
      </c>
      <c r="G131" s="1">
        <f t="shared" ref="G131:G141" si="81">(F131-((B131-C131)/WASB_Ca)) / (1 + ((B131-C131)/WASB_Cb))</f>
        <v>-604.999999883638</v>
      </c>
      <c r="H131" s="1">
        <f t="shared" si="63"/>
        <v>-6049.9999988363797</v>
      </c>
      <c r="S131" s="2">
        <v>13</v>
      </c>
      <c r="T131" s="1">
        <f t="shared" ref="T131:T141" si="82">10^-S131</f>
        <v>1E-13</v>
      </c>
      <c r="U131" s="1">
        <f t="shared" ref="U131:U141" si="83">Kw/T131</f>
        <v>0.10099999999999999</v>
      </c>
      <c r="V131" s="1">
        <f t="shared" ref="V131:V141" si="84">((SAWB_Cb*SAWB_Vb)-(SAWB_Ca*Z131))/(Z131+SAWB_Vb)</f>
        <v>0.25149999913158083</v>
      </c>
      <c r="W131" s="1">
        <f t="shared" ref="W131:W141" si="85">(SAWB_Cb*Z131)/(Z131+SAWB_Vb)</f>
        <v>-5.0499999710526933E-2</v>
      </c>
      <c r="X131" s="1">
        <f t="shared" ref="X131:X141" si="86">T131/(T131+SAWB_Ka)</f>
        <v>3.8461538313609469E-9</v>
      </c>
      <c r="Y131" s="1">
        <f t="shared" ref="Y131:Y141" si="87">(X131+((T131-U131)/SAWB_Cb))/(1-((T131-U131)/SAWB_Ca))</f>
        <v>-0.67109634295892473</v>
      </c>
      <c r="Z131" s="1">
        <f t="shared" ref="Z131:Z141" si="88">(Y131*SAWB_Cb*SAWB_Vb)/SAWB_Ca</f>
        <v>-33.554817147946238</v>
      </c>
      <c r="AB131"/>
      <c r="AC131"/>
      <c r="AD131"/>
      <c r="AE131"/>
      <c r="AF131"/>
      <c r="AG131"/>
      <c r="AH131"/>
      <c r="AI131"/>
      <c r="AJ131" s="25"/>
      <c r="AK131" s="2">
        <v>1.3</v>
      </c>
      <c r="AL131" s="1">
        <f t="shared" si="64"/>
        <v>5.0118723362727206E-2</v>
      </c>
      <c r="AM131" s="1">
        <f t="shared" si="65"/>
        <v>2.0152149381185691E-13</v>
      </c>
      <c r="AN131" s="1">
        <f t="shared" si="66"/>
        <v>0.20596102067948138</v>
      </c>
      <c r="AO131" s="1">
        <f t="shared" si="67"/>
        <v>2.547866830068632E-7</v>
      </c>
      <c r="AP131" s="1">
        <f t="shared" si="68"/>
        <v>-4.610897701334161</v>
      </c>
      <c r="AQ131" s="1">
        <f t="shared" si="69"/>
        <v>-46.108977013341608</v>
      </c>
      <c r="AR131" s="25"/>
      <c r="BA131" s="2">
        <v>1.3</v>
      </c>
      <c r="BB131" s="1">
        <f t="shared" si="75"/>
        <v>5.0118723362727206E-2</v>
      </c>
      <c r="BC131" s="1">
        <f t="shared" si="70"/>
        <v>2.0152149381185691E-13</v>
      </c>
      <c r="BD131" s="1">
        <f t="shared" si="71"/>
        <v>2.0152149381185687E-16</v>
      </c>
      <c r="BE131" s="1">
        <f t="shared" si="72"/>
        <v>0.99999999999999978</v>
      </c>
      <c r="BF131" s="1">
        <f t="shared" si="73"/>
        <v>3.3375579521850605</v>
      </c>
      <c r="BG131" s="1">
        <f t="shared" si="74"/>
        <v>14.981013278665491</v>
      </c>
    </row>
    <row r="132" spans="1:59" ht="15" customHeight="1" x14ac:dyDescent="0.3">
      <c r="A132" s="2">
        <v>13.1</v>
      </c>
      <c r="B132" s="1">
        <f t="shared" si="76"/>
        <v>7.9432823472427931E-14</v>
      </c>
      <c r="C132" s="1">
        <f t="shared" si="77"/>
        <v>0.12715146659121124</v>
      </c>
      <c r="D132" s="1">
        <f t="shared" si="78"/>
        <v>-0.12715146659747134</v>
      </c>
      <c r="E132" s="1">
        <f t="shared" si="79"/>
        <v>2.4525244432911892E-2</v>
      </c>
      <c r="F132" s="1">
        <f t="shared" si="80"/>
        <v>0.9999999985990683</v>
      </c>
      <c r="G132" s="1">
        <f t="shared" si="81"/>
        <v>-27.098253803198933</v>
      </c>
      <c r="H132" s="1">
        <f t="shared" ref="H132:H141" si="89">G132*(WASB_Va * WASB_Ca)/WASB_Cb</f>
        <v>-270.98253803198929</v>
      </c>
      <c r="S132" s="2">
        <v>13.1</v>
      </c>
      <c r="T132" s="1">
        <f t="shared" si="82"/>
        <v>7.9432823472427931E-14</v>
      </c>
      <c r="U132" s="1">
        <f t="shared" si="83"/>
        <v>0.12715146659121124</v>
      </c>
      <c r="V132" s="1">
        <f t="shared" si="84"/>
        <v>0.29072719913708528</v>
      </c>
      <c r="W132" s="1">
        <f t="shared" si="85"/>
        <v>-6.3575733045695096E-2</v>
      </c>
      <c r="X132" s="1">
        <f t="shared" si="86"/>
        <v>3.0551085857596939E-9</v>
      </c>
      <c r="Y132" s="1">
        <f t="shared" si="87"/>
        <v>-0.77732475180698257</v>
      </c>
      <c r="Z132" s="1">
        <f t="shared" si="88"/>
        <v>-38.86623759034913</v>
      </c>
      <c r="AB132"/>
      <c r="AC132"/>
      <c r="AD132"/>
      <c r="AE132"/>
      <c r="AF132"/>
      <c r="AG132"/>
      <c r="AH132"/>
      <c r="AI132"/>
      <c r="AJ132" s="25"/>
      <c r="AK132" s="2">
        <v>1.31</v>
      </c>
      <c r="AL132" s="1">
        <f t="shared" ref="AL132:AL141" si="90">10^(-AK132)</f>
        <v>4.8977881936844603E-2</v>
      </c>
      <c r="AM132" s="1">
        <f t="shared" si="65"/>
        <v>2.0621553241162252E-13</v>
      </c>
      <c r="AN132" s="1">
        <f t="shared" si="66"/>
        <v>0.20975219129752412</v>
      </c>
      <c r="AO132" s="1">
        <f t="shared" si="67"/>
        <v>2.6552058492883697E-7</v>
      </c>
      <c r="AP132" s="1">
        <f t="shared" si="68"/>
        <v>-4.3885700152874021</v>
      </c>
      <c r="AQ132" s="1">
        <f t="shared" si="69"/>
        <v>-43.885700152874016</v>
      </c>
      <c r="AR132" s="25"/>
      <c r="BA132" s="2">
        <v>1.31</v>
      </c>
      <c r="BB132" s="1">
        <f t="shared" si="75"/>
        <v>4.8977881936844603E-2</v>
      </c>
      <c r="BC132" s="1">
        <f t="shared" si="70"/>
        <v>2.0621553241162252E-13</v>
      </c>
      <c r="BD132" s="1">
        <f t="shared" si="71"/>
        <v>2.0621553241162245E-16</v>
      </c>
      <c r="BE132" s="1">
        <f t="shared" si="72"/>
        <v>0.99999999999999978</v>
      </c>
      <c r="BF132" s="1">
        <f t="shared" si="73"/>
        <v>3.2972373203265395</v>
      </c>
      <c r="BG132" s="1">
        <f t="shared" si="74"/>
        <v>15.164210259226437</v>
      </c>
    </row>
    <row r="133" spans="1:59" ht="15" customHeight="1" x14ac:dyDescent="0.3">
      <c r="A133" s="2">
        <v>13.2</v>
      </c>
      <c r="B133" s="1">
        <f t="shared" si="76"/>
        <v>6.3095734448019215E-14</v>
      </c>
      <c r="C133" s="1">
        <f t="shared" si="77"/>
        <v>0.16007421243857273</v>
      </c>
      <c r="D133" s="1">
        <f t="shared" si="78"/>
        <v>-0.16007421244965139</v>
      </c>
      <c r="E133" s="1">
        <f t="shared" si="79"/>
        <v>3.0012368741608567E-2</v>
      </c>
      <c r="F133" s="1">
        <f t="shared" si="80"/>
        <v>0.99999999888720048</v>
      </c>
      <c r="G133" s="1">
        <f t="shared" si="81"/>
        <v>-14.987646538069296</v>
      </c>
      <c r="H133" s="1">
        <f t="shared" si="89"/>
        <v>-149.87646538069293</v>
      </c>
      <c r="S133" s="2">
        <v>13.2</v>
      </c>
      <c r="T133" s="1">
        <f t="shared" si="82"/>
        <v>6.3095734448019215E-14</v>
      </c>
      <c r="U133" s="1">
        <f t="shared" si="83"/>
        <v>0.16007421243857273</v>
      </c>
      <c r="V133" s="1">
        <f t="shared" si="84"/>
        <v>0.34011131800240446</v>
      </c>
      <c r="W133" s="1">
        <f t="shared" si="85"/>
        <v>-8.0037106000801481E-2</v>
      </c>
      <c r="X133" s="1">
        <f t="shared" si="86"/>
        <v>2.426759011342349E-9</v>
      </c>
      <c r="Y133" s="1">
        <f t="shared" si="87"/>
        <v>-0.88911789106902417</v>
      </c>
      <c r="Z133" s="1">
        <f t="shared" si="88"/>
        <v>-44.455894553451202</v>
      </c>
      <c r="AB133"/>
      <c r="AC133"/>
      <c r="AD133"/>
      <c r="AE133"/>
      <c r="AF133"/>
      <c r="AG133"/>
      <c r="AH133"/>
      <c r="AI133"/>
      <c r="AJ133" s="25"/>
      <c r="AK133" s="2">
        <v>1.32</v>
      </c>
      <c r="AL133" s="1">
        <f t="shared" si="90"/>
        <v>4.7863009232263824E-2</v>
      </c>
      <c r="AM133" s="1">
        <f t="shared" si="65"/>
        <v>2.1101890921625801E-13</v>
      </c>
      <c r="AN133" s="1">
        <f t="shared" si="66"/>
        <v>0.21359437476249055</v>
      </c>
      <c r="AO133" s="1">
        <f t="shared" si="67"/>
        <v>2.7668237847334473E-7</v>
      </c>
      <c r="AP133" s="1">
        <f t="shared" si="68"/>
        <v>-4.1804398400671428</v>
      </c>
      <c r="AQ133" s="1">
        <f t="shared" si="69"/>
        <v>-41.804398400671424</v>
      </c>
      <c r="AR133" s="25"/>
      <c r="BA133" s="2">
        <v>1.32</v>
      </c>
      <c r="BB133" s="1">
        <f t="shared" si="75"/>
        <v>4.7863009232263824E-2</v>
      </c>
      <c r="BC133" s="1">
        <f t="shared" si="70"/>
        <v>2.1101890921625801E-13</v>
      </c>
      <c r="BD133" s="1">
        <f t="shared" si="71"/>
        <v>2.1101890921625799E-16</v>
      </c>
      <c r="BE133" s="1">
        <f t="shared" si="72"/>
        <v>0.99999999999999978</v>
      </c>
      <c r="BF133" s="1">
        <f t="shared" si="73"/>
        <v>3.2584187182999482</v>
      </c>
      <c r="BG133" s="1">
        <f t="shared" si="74"/>
        <v>15.344866428365924</v>
      </c>
    </row>
    <row r="134" spans="1:59" ht="15" customHeight="1" x14ac:dyDescent="0.3">
      <c r="A134" s="2">
        <v>13.3</v>
      </c>
      <c r="B134" s="1">
        <f t="shared" si="76"/>
        <v>5.0118723362727011E-14</v>
      </c>
      <c r="C134" s="1">
        <f t="shared" si="77"/>
        <v>0.20152149381185769</v>
      </c>
      <c r="D134" s="1">
        <f t="shared" si="78"/>
        <v>-0.20152149382676385</v>
      </c>
      <c r="E134" s="1">
        <f t="shared" si="79"/>
        <v>3.6920248971127306E-2</v>
      </c>
      <c r="F134" s="1">
        <f t="shared" si="80"/>
        <v>0.99999999911607196</v>
      </c>
      <c r="G134" s="1">
        <f t="shared" si="81"/>
        <v>-10.910078520158889</v>
      </c>
      <c r="H134" s="1">
        <f t="shared" si="89"/>
        <v>-109.10078520158888</v>
      </c>
      <c r="S134" s="2">
        <v>13.3</v>
      </c>
      <c r="T134" s="1">
        <f t="shared" si="82"/>
        <v>5.0118723362727011E-14</v>
      </c>
      <c r="U134" s="1">
        <f t="shared" si="83"/>
        <v>0.20152149381185769</v>
      </c>
      <c r="V134" s="1">
        <f t="shared" si="84"/>
        <v>0.40228224013721864</v>
      </c>
      <c r="W134" s="1">
        <f t="shared" si="85"/>
        <v>-0.1007607467124062</v>
      </c>
      <c r="X134" s="1">
        <f t="shared" si="86"/>
        <v>1.9276432025429231E-9</v>
      </c>
      <c r="Y134" s="1">
        <f t="shared" si="87"/>
        <v>-1.0037893199983758</v>
      </c>
      <c r="Z134" s="1">
        <f t="shared" si="88"/>
        <v>-50.189465999918795</v>
      </c>
      <c r="AB134"/>
      <c r="AC134"/>
      <c r="AD134"/>
      <c r="AE134"/>
      <c r="AF134"/>
      <c r="AG134"/>
      <c r="AH134"/>
      <c r="AI134"/>
      <c r="AJ134" s="25"/>
      <c r="AK134" s="2">
        <v>1.33</v>
      </c>
      <c r="AL134" s="1">
        <f t="shared" si="90"/>
        <v>4.6773514128719787E-2</v>
      </c>
      <c r="AM134" s="1">
        <f t="shared" si="65"/>
        <v>2.1593417103972558E-13</v>
      </c>
      <c r="AN134" s="1">
        <f t="shared" si="66"/>
        <v>0.21748756856196919</v>
      </c>
      <c r="AO134" s="1">
        <f t="shared" si="67"/>
        <v>2.8828770944457487E-7</v>
      </c>
      <c r="AP134" s="1">
        <f t="shared" si="68"/>
        <v>-3.9852106081339915</v>
      </c>
      <c r="AQ134" s="1">
        <f t="shared" si="69"/>
        <v>-39.852106081339919</v>
      </c>
      <c r="AR134" s="25"/>
      <c r="BA134" s="2">
        <v>1.33</v>
      </c>
      <c r="BB134" s="1">
        <f t="shared" si="75"/>
        <v>4.6773514128719787E-2</v>
      </c>
      <c r="BC134" s="1">
        <f t="shared" si="70"/>
        <v>2.1593417103972558E-13</v>
      </c>
      <c r="BD134" s="1">
        <f t="shared" si="71"/>
        <v>2.1593417103972553E-16</v>
      </c>
      <c r="BE134" s="1">
        <f t="shared" si="72"/>
        <v>0.99999999999999978</v>
      </c>
      <c r="BF134" s="1">
        <f t="shared" si="73"/>
        <v>3.2210294809666413</v>
      </c>
      <c r="BG134" s="1">
        <f t="shared" si="74"/>
        <v>15.522987385075044</v>
      </c>
    </row>
    <row r="135" spans="1:59" ht="15" customHeight="1" x14ac:dyDescent="0.3">
      <c r="A135" s="2">
        <v>13.4</v>
      </c>
      <c r="B135" s="1">
        <f t="shared" si="76"/>
        <v>3.9810717055349592E-14</v>
      </c>
      <c r="C135" s="1">
        <f t="shared" si="77"/>
        <v>0.25370052958246841</v>
      </c>
      <c r="D135" s="1">
        <f t="shared" si="78"/>
        <v>-0.25370052960041484</v>
      </c>
      <c r="E135" s="1">
        <f t="shared" si="79"/>
        <v>4.5616754933402476E-2</v>
      </c>
      <c r="F135" s="1">
        <f t="shared" si="80"/>
        <v>0.99999999929787098</v>
      </c>
      <c r="G135" s="1">
        <f t="shared" si="81"/>
        <v>-8.9036950722281745</v>
      </c>
      <c r="H135" s="1">
        <f t="shared" si="89"/>
        <v>-89.036950722281745</v>
      </c>
      <c r="S135" s="2">
        <v>13.4</v>
      </c>
      <c r="T135" s="1">
        <f t="shared" si="82"/>
        <v>3.9810717055349592E-14</v>
      </c>
      <c r="U135" s="1">
        <f t="shared" si="83"/>
        <v>0.25370052958246841</v>
      </c>
      <c r="V135" s="1">
        <f t="shared" si="84"/>
        <v>0.48055079385261945</v>
      </c>
      <c r="W135" s="1">
        <f t="shared" si="85"/>
        <v>-0.12685026461753982</v>
      </c>
      <c r="X135" s="1">
        <f t="shared" si="86"/>
        <v>1.531181422861237E-9</v>
      </c>
      <c r="Y135" s="1">
        <f t="shared" si="87"/>
        <v>-1.1183611782988583</v>
      </c>
      <c r="Z135" s="1">
        <f t="shared" si="88"/>
        <v>-55.918058914942911</v>
      </c>
      <c r="AB135"/>
      <c r="AC135"/>
      <c r="AD135"/>
      <c r="AE135"/>
      <c r="AF135"/>
      <c r="AG135"/>
      <c r="AH135"/>
      <c r="AI135"/>
      <c r="AJ135" s="25"/>
      <c r="AK135" s="2">
        <v>1.34</v>
      </c>
      <c r="AL135" s="1">
        <f t="shared" si="90"/>
        <v>4.5708818961487478E-2</v>
      </c>
      <c r="AM135" s="1">
        <f t="shared" si="65"/>
        <v>2.2096392401890492E-13</v>
      </c>
      <c r="AN135" s="1">
        <f t="shared" si="66"/>
        <v>0.2214317427155629</v>
      </c>
      <c r="AO135" s="1">
        <f t="shared" si="67"/>
        <v>3.0035271880317535E-7</v>
      </c>
      <c r="AP135" s="1">
        <f t="shared" si="68"/>
        <v>-3.801738266054258</v>
      </c>
      <c r="AQ135" s="1">
        <f t="shared" si="69"/>
        <v>-38.01738266054258</v>
      </c>
      <c r="AR135" s="25"/>
      <c r="BA135" s="2">
        <v>1.34</v>
      </c>
      <c r="BB135" s="1">
        <f t="shared" si="75"/>
        <v>4.5708818961487478E-2</v>
      </c>
      <c r="BC135" s="1">
        <f t="shared" si="70"/>
        <v>2.2096392401890492E-13</v>
      </c>
      <c r="BD135" s="1">
        <f t="shared" si="71"/>
        <v>2.2096392401890484E-16</v>
      </c>
      <c r="BE135" s="1">
        <f t="shared" si="72"/>
        <v>0.99999999999999978</v>
      </c>
      <c r="BF135" s="1">
        <f t="shared" si="73"/>
        <v>3.1850014667991084</v>
      </c>
      <c r="BG135" s="1">
        <f t="shared" si="74"/>
        <v>15.698579897437048</v>
      </c>
    </row>
    <row r="136" spans="1:59" ht="15" customHeight="1" x14ac:dyDescent="0.3">
      <c r="A136" s="2">
        <v>13.5</v>
      </c>
      <c r="B136" s="1">
        <f t="shared" si="76"/>
        <v>3.1622776601683714E-14</v>
      </c>
      <c r="C136" s="1">
        <f t="shared" si="77"/>
        <v>0.31939004367700707</v>
      </c>
      <c r="D136" s="1">
        <f t="shared" si="78"/>
        <v>-0.31939004369736851</v>
      </c>
      <c r="E136" s="1">
        <f t="shared" si="79"/>
        <v>5.6565007282894757E-2</v>
      </c>
      <c r="F136" s="1">
        <f t="shared" si="80"/>
        <v>0.99999999944227913</v>
      </c>
      <c r="G136" s="1">
        <f t="shared" si="81"/>
        <v>-7.7348551916405714</v>
      </c>
      <c r="H136" s="1">
        <f t="shared" si="89"/>
        <v>-77.348551916405711</v>
      </c>
      <c r="S136" s="2">
        <v>13.5</v>
      </c>
      <c r="T136" s="1">
        <f t="shared" si="82"/>
        <v>3.1622776601683714E-14</v>
      </c>
      <c r="U136" s="1">
        <f t="shared" si="83"/>
        <v>0.31939004367700707</v>
      </c>
      <c r="V136" s="1">
        <f t="shared" si="84"/>
        <v>0.57908506504167823</v>
      </c>
      <c r="W136" s="1">
        <f t="shared" si="85"/>
        <v>-0.15969502168055941</v>
      </c>
      <c r="X136" s="1">
        <f t="shared" si="86"/>
        <v>1.2162606370470068E-9</v>
      </c>
      <c r="Y136" s="1">
        <f t="shared" si="87"/>
        <v>-1.2298658684107848</v>
      </c>
      <c r="Z136" s="1">
        <f t="shared" si="88"/>
        <v>-61.493293420539246</v>
      </c>
      <c r="AB136"/>
      <c r="AC136"/>
      <c r="AD136"/>
      <c r="AE136"/>
      <c r="AF136"/>
      <c r="AG136"/>
      <c r="AH136"/>
      <c r="AI136"/>
      <c r="AJ136" s="25"/>
      <c r="AK136" s="2">
        <v>1.35</v>
      </c>
      <c r="AL136" s="1">
        <f t="shared" si="90"/>
        <v>4.4668359215096293E-2</v>
      </c>
      <c r="AM136" s="1">
        <f t="shared" si="65"/>
        <v>2.2611083499540238E-13</v>
      </c>
      <c r="AN136" s="1">
        <f t="shared" si="66"/>
        <v>0.22542683907285821</v>
      </c>
      <c r="AO136" s="1">
        <f t="shared" si="67"/>
        <v>3.1289405449649173E-7</v>
      </c>
      <c r="AP136" s="1">
        <f t="shared" si="68"/>
        <v>-3.6290094914774005</v>
      </c>
      <c r="AQ136" s="1">
        <f t="shared" si="69"/>
        <v>-36.290094914774009</v>
      </c>
      <c r="AR136" s="25"/>
      <c r="BA136" s="2">
        <v>1.35</v>
      </c>
      <c r="BB136" s="1">
        <f t="shared" si="75"/>
        <v>4.4668359215096293E-2</v>
      </c>
      <c r="BC136" s="1">
        <f t="shared" si="70"/>
        <v>2.2611083499540238E-13</v>
      </c>
      <c r="BD136" s="1">
        <f t="shared" si="71"/>
        <v>2.2611083499540231E-16</v>
      </c>
      <c r="BE136" s="1">
        <f t="shared" si="72"/>
        <v>0.99999999999999978</v>
      </c>
      <c r="BF136" s="1">
        <f t="shared" si="73"/>
        <v>3.1502707108247159</v>
      </c>
      <c r="BG136" s="1">
        <f t="shared" si="74"/>
        <v>15.871651864137856</v>
      </c>
    </row>
    <row r="137" spans="1:59" ht="15" customHeight="1" x14ac:dyDescent="0.3">
      <c r="A137" s="2">
        <v>13.6</v>
      </c>
      <c r="B137" s="1">
        <f t="shared" si="76"/>
        <v>2.511886431509576E-14</v>
      </c>
      <c r="C137" s="1">
        <f t="shared" si="77"/>
        <v>0.40208824225903284</v>
      </c>
      <c r="D137" s="1">
        <f t="shared" si="78"/>
        <v>-0.40208824228131257</v>
      </c>
      <c r="E137" s="1">
        <f t="shared" si="79"/>
        <v>7.0348040380218774E-2</v>
      </c>
      <c r="F137" s="1">
        <f t="shared" si="80"/>
        <v>0.99999999955698649</v>
      </c>
      <c r="G137" s="1">
        <f t="shared" si="81"/>
        <v>-6.9861746205973292</v>
      </c>
      <c r="H137" s="1">
        <f t="shared" si="89"/>
        <v>-69.86174620597329</v>
      </c>
      <c r="S137" s="2">
        <v>13.6</v>
      </c>
      <c r="T137" s="1">
        <f t="shared" si="82"/>
        <v>2.511886431509576E-14</v>
      </c>
      <c r="U137" s="1">
        <f t="shared" si="83"/>
        <v>0.40208824225903284</v>
      </c>
      <c r="V137" s="1">
        <f t="shared" si="84"/>
        <v>0.70313236295224879</v>
      </c>
      <c r="W137" s="1">
        <f t="shared" si="85"/>
        <v>-0.20104412098408295</v>
      </c>
      <c r="X137" s="1">
        <f t="shared" si="86"/>
        <v>9.6611016503185276E-10</v>
      </c>
      <c r="Y137" s="1">
        <f t="shared" si="87"/>
        <v>-1.3356455547239385</v>
      </c>
      <c r="Z137" s="1">
        <f t="shared" si="88"/>
        <v>-66.782277736196917</v>
      </c>
      <c r="AB137"/>
      <c r="AC137"/>
      <c r="AD137"/>
      <c r="AE137"/>
      <c r="AF137"/>
      <c r="AG137"/>
      <c r="AH137"/>
      <c r="AI137"/>
      <c r="AJ137" s="25"/>
      <c r="AK137" s="2">
        <v>1.36</v>
      </c>
      <c r="AL137" s="1">
        <f t="shared" si="90"/>
        <v>4.3651583224016584E-2</v>
      </c>
      <c r="AM137" s="1">
        <f t="shared" si="65"/>
        <v>2.3137763292954511E-13</v>
      </c>
      <c r="AN137" s="1">
        <f t="shared" si="66"/>
        <v>0.22947277062882446</v>
      </c>
      <c r="AO137" s="1">
        <f t="shared" si="67"/>
        <v>3.259288834032351E-7</v>
      </c>
      <c r="AP137" s="1">
        <f t="shared" si="68"/>
        <v>-3.466123540718705</v>
      </c>
      <c r="AQ137" s="1">
        <f t="shared" si="69"/>
        <v>-34.66123540718705</v>
      </c>
      <c r="AR137" s="25"/>
      <c r="BA137" s="2">
        <v>1.36</v>
      </c>
      <c r="BB137" s="1">
        <f t="shared" si="75"/>
        <v>4.3651583224016584E-2</v>
      </c>
      <c r="BC137" s="1">
        <f t="shared" si="70"/>
        <v>2.3137763292954511E-13</v>
      </c>
      <c r="BD137" s="1">
        <f t="shared" si="71"/>
        <v>2.3137763292954507E-16</v>
      </c>
      <c r="BE137" s="1">
        <f t="shared" si="72"/>
        <v>0.99999999999999978</v>
      </c>
      <c r="BF137" s="1">
        <f t="shared" si="73"/>
        <v>3.1167771090708194</v>
      </c>
      <c r="BG137" s="1">
        <f t="shared" si="74"/>
        <v>16.042212275778073</v>
      </c>
    </row>
    <row r="138" spans="1:59" ht="15" customHeight="1" x14ac:dyDescent="0.3">
      <c r="A138" s="2">
        <v>13.7</v>
      </c>
      <c r="B138" s="1">
        <f t="shared" si="76"/>
        <v>1.9952623149688784E-14</v>
      </c>
      <c r="C138" s="1">
        <f t="shared" si="77"/>
        <v>0.50619910596354523</v>
      </c>
      <c r="D138" s="1">
        <f t="shared" si="78"/>
        <v>-0.50619910598734852</v>
      </c>
      <c r="E138" s="1">
        <f t="shared" si="79"/>
        <v>8.7699850997891432E-2</v>
      </c>
      <c r="F138" s="1">
        <f t="shared" si="80"/>
        <v>0.99999999964810193</v>
      </c>
      <c r="G138" s="1">
        <f t="shared" si="81"/>
        <v>-6.4771081254390737</v>
      </c>
      <c r="H138" s="1">
        <f t="shared" si="89"/>
        <v>-64.771081254390737</v>
      </c>
      <c r="S138" s="2">
        <v>13.7</v>
      </c>
      <c r="T138" s="1">
        <f t="shared" si="82"/>
        <v>1.9952623149688784E-14</v>
      </c>
      <c r="U138" s="1">
        <f t="shared" si="83"/>
        <v>0.50619910596354523</v>
      </c>
      <c r="V138" s="1">
        <f t="shared" si="84"/>
        <v>0.85929865853883014</v>
      </c>
      <c r="W138" s="1">
        <f t="shared" si="85"/>
        <v>-0.25309955284627672</v>
      </c>
      <c r="X138" s="1">
        <f t="shared" si="86"/>
        <v>7.6740858209142198E-10</v>
      </c>
      <c r="Y138" s="1">
        <f t="shared" si="87"/>
        <v>-1.433587501349596</v>
      </c>
      <c r="Z138" s="1">
        <f t="shared" si="88"/>
        <v>-71.679375067479796</v>
      </c>
      <c r="AB138"/>
      <c r="AC138"/>
      <c r="AD138"/>
      <c r="AE138"/>
      <c r="AF138"/>
      <c r="AG138"/>
      <c r="AH138"/>
      <c r="AI138"/>
      <c r="AJ138" s="25"/>
      <c r="AK138" s="2">
        <v>1.37</v>
      </c>
      <c r="AL138" s="1">
        <f t="shared" si="90"/>
        <v>4.2657951880159237E-2</v>
      </c>
      <c r="AM138" s="1">
        <f t="shared" si="65"/>
        <v>2.367671103473123E-13</v>
      </c>
      <c r="AN138" s="1">
        <f t="shared" si="66"/>
        <v>0.23356942085862942</v>
      </c>
      <c r="AO138" s="1">
        <f t="shared" si="67"/>
        <v>3.3947490338771901E-7</v>
      </c>
      <c r="AP138" s="1">
        <f t="shared" si="68"/>
        <v>-3.3122770400708164</v>
      </c>
      <c r="AQ138" s="1">
        <f t="shared" si="69"/>
        <v>-33.122770400708163</v>
      </c>
      <c r="AR138" s="25"/>
      <c r="BA138" s="2">
        <v>1.37</v>
      </c>
      <c r="BB138" s="1">
        <f t="shared" si="75"/>
        <v>4.2657951880159237E-2</v>
      </c>
      <c r="BC138" s="1">
        <f t="shared" si="70"/>
        <v>2.367671103473123E-13</v>
      </c>
      <c r="BD138" s="1">
        <f t="shared" si="71"/>
        <v>2.3676711034731221E-16</v>
      </c>
      <c r="BE138" s="1">
        <f t="shared" si="72"/>
        <v>0.99999999999999978</v>
      </c>
      <c r="BF138" s="1">
        <f t="shared" si="73"/>
        <v>3.0844641312249226</v>
      </c>
      <c r="BG138" s="1">
        <f t="shared" si="74"/>
        <v>16.210271176064438</v>
      </c>
    </row>
    <row r="139" spans="1:59" ht="15" customHeight="1" x14ac:dyDescent="0.3">
      <c r="A139" s="2">
        <v>13.8</v>
      </c>
      <c r="B139" s="1">
        <f t="shared" si="76"/>
        <v>1.5848931924611084E-14</v>
      </c>
      <c r="C139" s="1">
        <f t="shared" si="77"/>
        <v>0.63726691792499712</v>
      </c>
      <c r="D139" s="1">
        <f t="shared" si="78"/>
        <v>-0.63726691795001111</v>
      </c>
      <c r="E139" s="1">
        <f t="shared" si="79"/>
        <v>0.10954448632500186</v>
      </c>
      <c r="F139" s="1">
        <f t="shared" si="80"/>
        <v>0.99999999972047737</v>
      </c>
      <c r="G139" s="1">
        <f t="shared" si="81"/>
        <v>-6.116763344166718</v>
      </c>
      <c r="H139" s="1">
        <f t="shared" si="89"/>
        <v>-61.167633441667178</v>
      </c>
      <c r="S139" s="2">
        <v>13.8</v>
      </c>
      <c r="T139" s="1">
        <f t="shared" si="82"/>
        <v>1.5848931924611084E-14</v>
      </c>
      <c r="U139" s="1">
        <f t="shared" si="83"/>
        <v>0.63726691792499712</v>
      </c>
      <c r="V139" s="1">
        <f t="shared" si="84"/>
        <v>1.0559003765046899</v>
      </c>
      <c r="W139" s="1">
        <f t="shared" si="85"/>
        <v>-0.31863345883489669</v>
      </c>
      <c r="X139" s="1">
        <f t="shared" si="86"/>
        <v>6.0957430442115322E-10</v>
      </c>
      <c r="Y139" s="1">
        <f t="shared" si="87"/>
        <v>-1.5222550998273712</v>
      </c>
      <c r="Z139" s="1">
        <f t="shared" si="88"/>
        <v>-76.112754991368561</v>
      </c>
      <c r="AB139"/>
      <c r="AC139"/>
      <c r="AD139"/>
      <c r="AE139"/>
      <c r="AF139"/>
      <c r="AG139"/>
      <c r="AH139"/>
      <c r="AI139"/>
      <c r="AJ139" s="25"/>
      <c r="AK139" s="2">
        <v>1.38</v>
      </c>
      <c r="AL139" s="1">
        <f t="shared" si="90"/>
        <v>4.1686938347033534E-2</v>
      </c>
      <c r="AM139" s="1">
        <f t="shared" si="65"/>
        <v>2.4228212482096858E-13</v>
      </c>
      <c r="AN139" s="1">
        <f t="shared" si="66"/>
        <v>0.23771664307388601</v>
      </c>
      <c r="AO139" s="1">
        <f t="shared" si="67"/>
        <v>3.5355035545875548E-7</v>
      </c>
      <c r="AP139" s="1">
        <f t="shared" si="68"/>
        <v>-3.1667511785729614</v>
      </c>
      <c r="AQ139" s="1">
        <f t="shared" si="69"/>
        <v>-31.667511785729612</v>
      </c>
      <c r="AR139" s="25"/>
      <c r="BA139" s="2">
        <v>1.38</v>
      </c>
      <c r="BB139" s="1">
        <f t="shared" si="75"/>
        <v>4.1686938347033534E-2</v>
      </c>
      <c r="BC139" s="1">
        <f t="shared" si="70"/>
        <v>2.4228212482096858E-13</v>
      </c>
      <c r="BD139" s="1">
        <f t="shared" si="71"/>
        <v>2.4228212482096849E-16</v>
      </c>
      <c r="BE139" s="1">
        <f t="shared" si="72"/>
        <v>0.99999999999999978</v>
      </c>
      <c r="BF139" s="1">
        <f t="shared" si="73"/>
        <v>3.0532785586096032</v>
      </c>
      <c r="BG139" s="1">
        <f t="shared" si="74"/>
        <v>16.375839622955631</v>
      </c>
    </row>
    <row r="140" spans="1:59" ht="15" customHeight="1" x14ac:dyDescent="0.3">
      <c r="A140" s="2">
        <v>13.9</v>
      </c>
      <c r="B140" s="1">
        <f t="shared" si="76"/>
        <v>1.2589254117941644E-14</v>
      </c>
      <c r="C140" s="1">
        <f t="shared" si="77"/>
        <v>0.802271517071526</v>
      </c>
      <c r="D140" s="1">
        <f t="shared" si="78"/>
        <v>-0.80227151709750044</v>
      </c>
      <c r="E140" s="1">
        <f t="shared" si="79"/>
        <v>0.13704525284958341</v>
      </c>
      <c r="F140" s="1">
        <f t="shared" si="80"/>
        <v>0.99999999977796727</v>
      </c>
      <c r="G140" s="1">
        <f t="shared" si="81"/>
        <v>-5.8543704043128644</v>
      </c>
      <c r="H140" s="1">
        <f t="shared" si="89"/>
        <v>-58.543704043128642</v>
      </c>
      <c r="S140" s="2">
        <v>13.9</v>
      </c>
      <c r="T140" s="1">
        <f t="shared" si="82"/>
        <v>1.2589254117941644E-14</v>
      </c>
      <c r="U140" s="1">
        <f t="shared" si="83"/>
        <v>0.802271517071526</v>
      </c>
      <c r="V140" s="1">
        <f t="shared" si="84"/>
        <v>1.3034072752432933</v>
      </c>
      <c r="W140" s="1">
        <f t="shared" si="85"/>
        <v>-0.40113575841443105</v>
      </c>
      <c r="X140" s="1">
        <f t="shared" si="86"/>
        <v>4.8420208122484242E-10</v>
      </c>
      <c r="Y140" s="1">
        <f t="shared" si="87"/>
        <v>-1.6009065474936568</v>
      </c>
      <c r="Z140" s="1">
        <f t="shared" si="88"/>
        <v>-80.045327374682842</v>
      </c>
      <c r="AB140"/>
      <c r="AC140"/>
      <c r="AD140"/>
      <c r="AE140"/>
      <c r="AF140"/>
      <c r="AG140"/>
      <c r="AH140"/>
      <c r="AI140"/>
      <c r="AJ140" s="25"/>
      <c r="AK140" s="2">
        <v>1.39</v>
      </c>
      <c r="AL140" s="1">
        <f t="shared" si="90"/>
        <v>4.0738027780411273E-2</v>
      </c>
      <c r="AM140" s="1">
        <f t="shared" si="65"/>
        <v>2.4792560048418805E-13</v>
      </c>
      <c r="AN140" s="1">
        <f t="shared" si="66"/>
        <v>0.24191425980237266</v>
      </c>
      <c r="AO140" s="1">
        <f t="shared" si="67"/>
        <v>3.6817403602830188E-7</v>
      </c>
      <c r="AP140" s="1">
        <f t="shared" si="68"/>
        <v>-3.0289008712013299</v>
      </c>
      <c r="AQ140" s="1">
        <f t="shared" si="69"/>
        <v>-30.289008712013299</v>
      </c>
      <c r="AR140" s="25"/>
      <c r="BA140" s="2">
        <v>1.39</v>
      </c>
      <c r="BB140" s="1">
        <f t="shared" si="75"/>
        <v>4.0738027780411273E-2</v>
      </c>
      <c r="BC140" s="1">
        <f t="shared" si="70"/>
        <v>2.4792560048418805E-13</v>
      </c>
      <c r="BD140" s="1">
        <f t="shared" si="71"/>
        <v>2.4792560048418795E-16</v>
      </c>
      <c r="BE140" s="1">
        <f t="shared" si="72"/>
        <v>0.99999999999999978</v>
      </c>
      <c r="BF140" s="1">
        <f t="shared" si="73"/>
        <v>3.0231702449076985</v>
      </c>
      <c r="BG140" s="1">
        <f t="shared" si="74"/>
        <v>16.538929649834049</v>
      </c>
    </row>
    <row r="141" spans="1:59" ht="15" customHeight="1" x14ac:dyDescent="0.3">
      <c r="A141" s="2">
        <v>14</v>
      </c>
      <c r="B141" s="1">
        <f t="shared" si="76"/>
        <v>1E-14</v>
      </c>
      <c r="C141" s="1">
        <f t="shared" si="77"/>
        <v>1.01</v>
      </c>
      <c r="D141" s="1">
        <f t="shared" si="78"/>
        <v>-1.0100000000267393</v>
      </c>
      <c r="E141" s="1">
        <f t="shared" si="79"/>
        <v>0.17166666667112321</v>
      </c>
      <c r="F141" s="1">
        <f t="shared" si="80"/>
        <v>0.99999999982363308</v>
      </c>
      <c r="G141" s="1">
        <f t="shared" si="81"/>
        <v>-5.6593406593212858</v>
      </c>
      <c r="H141" s="1">
        <f t="shared" si="89"/>
        <v>-56.593406593212855</v>
      </c>
      <c r="S141" s="2">
        <v>14</v>
      </c>
      <c r="T141" s="1">
        <f t="shared" si="82"/>
        <v>1E-14</v>
      </c>
      <c r="U141" s="1">
        <f t="shared" si="83"/>
        <v>1.01</v>
      </c>
      <c r="V141" s="1">
        <f t="shared" si="84"/>
        <v>1.614999999650949</v>
      </c>
      <c r="W141" s="1">
        <f t="shared" si="85"/>
        <v>-0.50499999988364963</v>
      </c>
      <c r="X141" s="1">
        <f t="shared" si="86"/>
        <v>3.8461538446745567E-10</v>
      </c>
      <c r="Y141" s="1">
        <f t="shared" si="87"/>
        <v>-1.6694214875397304</v>
      </c>
      <c r="Z141" s="1">
        <f t="shared" si="88"/>
        <v>-83.471074376986536</v>
      </c>
      <c r="AB141"/>
      <c r="AC141"/>
      <c r="AD141"/>
      <c r="AE141"/>
      <c r="AF141"/>
      <c r="AG141"/>
      <c r="AH141"/>
      <c r="AI141"/>
      <c r="AJ141" s="25"/>
      <c r="AK141" s="2">
        <v>1.4</v>
      </c>
      <c r="AL141" s="1">
        <f t="shared" si="90"/>
        <v>3.9810717055349727E-2</v>
      </c>
      <c r="AM141" s="1">
        <f t="shared" si="65"/>
        <v>2.5370052958246757E-13</v>
      </c>
      <c r="AN141" s="1">
        <f t="shared" si="66"/>
        <v>0.24616206219328504</v>
      </c>
      <c r="AO141" s="1">
        <f t="shared" si="67"/>
        <v>3.833653092649526E-7</v>
      </c>
      <c r="AP141" s="1">
        <f t="shared" si="68"/>
        <v>-2.8981455476511671</v>
      </c>
      <c r="AQ141" s="1">
        <f t="shared" si="69"/>
        <v>-28.98145547651167</v>
      </c>
      <c r="AR141" s="25"/>
      <c r="BA141" s="2">
        <v>1.4</v>
      </c>
      <c r="BB141" s="1">
        <f t="shared" si="75"/>
        <v>3.9810717055349727E-2</v>
      </c>
      <c r="BC141" s="1">
        <f t="shared" si="70"/>
        <v>2.5370052958246757E-13</v>
      </c>
      <c r="BD141" s="1">
        <f t="shared" si="71"/>
        <v>2.5370052958246747E-16</v>
      </c>
      <c r="BE141" s="1">
        <f t="shared" si="72"/>
        <v>0.99999999999999978</v>
      </c>
      <c r="BF141" s="1">
        <f t="shared" si="73"/>
        <v>2.9940918973659092</v>
      </c>
      <c r="BG141" s="1">
        <f t="shared" si="74"/>
        <v>16.699554226771777</v>
      </c>
    </row>
    <row r="142" spans="1:59" ht="15" customHeight="1" x14ac:dyDescent="0.3">
      <c r="AB142"/>
      <c r="AC142"/>
      <c r="AD142"/>
      <c r="AE142"/>
      <c r="AF142"/>
      <c r="AG142"/>
      <c r="AH142"/>
      <c r="AI142"/>
      <c r="AJ142" s="25"/>
      <c r="AK142" s="2"/>
      <c r="AR142" s="25"/>
      <c r="BA142" s="2"/>
      <c r="BG142" s="1"/>
    </row>
    <row r="143" spans="1:59" ht="15" customHeight="1" x14ac:dyDescent="0.3">
      <c r="AB143"/>
      <c r="AC143"/>
      <c r="AD143"/>
      <c r="AE143"/>
      <c r="AF143"/>
      <c r="AG143"/>
      <c r="AH143"/>
      <c r="AI143"/>
      <c r="AJ143" s="25"/>
      <c r="AK143" s="2"/>
      <c r="AR143" s="25"/>
      <c r="BA143" s="2"/>
      <c r="BG143" s="1"/>
    </row>
    <row r="144" spans="1:59" ht="15" customHeight="1" x14ac:dyDescent="0.3">
      <c r="AB144"/>
      <c r="AC144"/>
      <c r="AD144"/>
      <c r="AE144"/>
      <c r="AF144"/>
      <c r="AG144"/>
      <c r="AH144"/>
      <c r="AI144"/>
      <c r="AJ144" s="25"/>
      <c r="AK144" s="2"/>
      <c r="AR144" s="25"/>
      <c r="BA144" s="2"/>
      <c r="BG144" s="1"/>
    </row>
    <row r="145" spans="28:59" ht="15" customHeight="1" x14ac:dyDescent="0.3">
      <c r="AB145"/>
      <c r="AC145"/>
      <c r="AD145"/>
      <c r="AE145"/>
      <c r="AF145"/>
      <c r="AG145"/>
      <c r="AH145"/>
      <c r="AI145"/>
      <c r="AJ145" s="25"/>
      <c r="AK145" s="2"/>
      <c r="AR145" s="25"/>
      <c r="BA145" s="2"/>
      <c r="BG145" s="1"/>
    </row>
    <row r="146" spans="28:59" ht="15" customHeight="1" x14ac:dyDescent="0.3">
      <c r="AB146"/>
      <c r="AC146"/>
      <c r="AD146"/>
      <c r="AE146"/>
      <c r="AF146"/>
      <c r="AG146"/>
      <c r="AH146"/>
      <c r="AI146"/>
      <c r="AJ146" s="25"/>
      <c r="AK146" s="2"/>
      <c r="AR146" s="25"/>
      <c r="BA146" s="2"/>
      <c r="BG146" s="1"/>
    </row>
    <row r="147" spans="28:59" ht="15" customHeight="1" x14ac:dyDescent="0.3">
      <c r="AB147"/>
      <c r="AC147"/>
      <c r="AD147"/>
      <c r="AE147"/>
      <c r="AF147"/>
      <c r="AG147"/>
      <c r="AH147"/>
      <c r="AI147"/>
      <c r="AJ147" s="25"/>
      <c r="AK147" s="2"/>
      <c r="AR147" s="25"/>
      <c r="BA147" s="2"/>
      <c r="BG147" s="1"/>
    </row>
    <row r="148" spans="28:59" ht="15" customHeight="1" x14ac:dyDescent="0.3">
      <c r="AB148"/>
      <c r="AC148"/>
      <c r="AD148"/>
      <c r="AE148"/>
      <c r="AF148"/>
      <c r="AG148"/>
      <c r="AH148"/>
      <c r="AI148"/>
      <c r="AJ148" s="25"/>
      <c r="AK148" s="2"/>
      <c r="AR148" s="25"/>
      <c r="BA148" s="2"/>
      <c r="BG148" s="1"/>
    </row>
    <row r="149" spans="28:59" ht="15" customHeight="1" x14ac:dyDescent="0.3">
      <c r="AB149"/>
      <c r="AC149"/>
      <c r="AD149"/>
      <c r="AE149"/>
      <c r="AF149"/>
      <c r="AG149"/>
      <c r="AH149"/>
      <c r="AI149"/>
      <c r="AJ149" s="25"/>
      <c r="AK149" s="2"/>
      <c r="AR149" s="25"/>
      <c r="BA149" s="2"/>
      <c r="BG149" s="1"/>
    </row>
    <row r="150" spans="28:59" ht="15" customHeight="1" x14ac:dyDescent="0.3">
      <c r="AB150"/>
      <c r="AC150"/>
      <c r="AD150"/>
      <c r="AE150"/>
      <c r="AF150"/>
      <c r="AG150"/>
      <c r="AH150"/>
      <c r="AI150"/>
      <c r="AJ150" s="25"/>
      <c r="AK150" s="2"/>
      <c r="AR150" s="25"/>
      <c r="BA150" s="2"/>
      <c r="BG150" s="1"/>
    </row>
    <row r="151" spans="28:59" ht="15" customHeight="1" x14ac:dyDescent="0.3">
      <c r="AB151"/>
      <c r="AC151"/>
      <c r="AD151"/>
      <c r="AE151"/>
      <c r="AF151"/>
      <c r="AG151"/>
      <c r="AH151"/>
      <c r="AI151"/>
      <c r="AJ151" s="25"/>
      <c r="AK151" s="2"/>
      <c r="AR151" s="25"/>
      <c r="BA151" s="2"/>
      <c r="BG151" s="1"/>
    </row>
    <row r="152" spans="28:59" ht="15" customHeight="1" x14ac:dyDescent="0.3">
      <c r="AB152"/>
      <c r="AC152"/>
      <c r="AD152"/>
      <c r="AE152"/>
      <c r="AF152"/>
      <c r="AG152"/>
      <c r="AH152"/>
      <c r="AI152"/>
      <c r="AJ152" s="25"/>
      <c r="AK152" s="2"/>
      <c r="AR152" s="25"/>
      <c r="BA152" s="2"/>
      <c r="BG152" s="1"/>
    </row>
    <row r="153" spans="28:59" ht="15" customHeight="1" x14ac:dyDescent="0.3">
      <c r="AB153"/>
      <c r="AC153"/>
      <c r="AD153"/>
      <c r="AE153"/>
      <c r="AF153"/>
      <c r="AG153"/>
      <c r="AH153"/>
      <c r="AI153"/>
      <c r="AJ153" s="25"/>
      <c r="AK153" s="2"/>
      <c r="AR153" s="25"/>
      <c r="BA153" s="2"/>
      <c r="BG153" s="1"/>
    </row>
    <row r="154" spans="28:59" ht="15" customHeight="1" x14ac:dyDescent="0.3">
      <c r="AB154"/>
      <c r="AC154"/>
      <c r="AD154"/>
      <c r="AE154"/>
      <c r="AF154"/>
      <c r="AG154"/>
      <c r="AH154"/>
      <c r="AI154"/>
      <c r="AJ154" s="25"/>
      <c r="AK154" s="2"/>
      <c r="AR154" s="25"/>
      <c r="BA154" s="2"/>
      <c r="BG154" s="1"/>
    </row>
    <row r="155" spans="28:59" ht="15" customHeight="1" x14ac:dyDescent="0.3">
      <c r="AB155"/>
      <c r="AC155"/>
      <c r="AD155"/>
      <c r="AE155"/>
      <c r="AF155"/>
      <c r="AG155"/>
      <c r="AH155"/>
      <c r="AI155"/>
      <c r="AJ155" s="25"/>
      <c r="AK155" s="2"/>
      <c r="AR155" s="25"/>
      <c r="BA155" s="2"/>
      <c r="BG155" s="1"/>
    </row>
    <row r="156" spans="28:59" ht="15" customHeight="1" x14ac:dyDescent="0.3">
      <c r="AB156"/>
      <c r="AC156"/>
      <c r="AD156"/>
      <c r="AE156"/>
      <c r="AF156"/>
      <c r="AG156"/>
      <c r="AH156"/>
      <c r="AI156"/>
      <c r="AJ156" s="25"/>
      <c r="AK156" s="2"/>
      <c r="AR156" s="25"/>
      <c r="BA156" s="2"/>
      <c r="BG156" s="1"/>
    </row>
    <row r="157" spans="28:59" ht="15" customHeight="1" x14ac:dyDescent="0.3">
      <c r="AB157"/>
      <c r="AC157"/>
      <c r="AD157"/>
      <c r="AE157"/>
      <c r="AF157"/>
      <c r="AG157"/>
      <c r="AH157"/>
      <c r="AI157"/>
      <c r="AJ157" s="25"/>
      <c r="AK157" s="2"/>
      <c r="AR157" s="25"/>
      <c r="BA157" s="2"/>
      <c r="BG157" s="1"/>
    </row>
    <row r="158" spans="28:59" ht="15" customHeight="1" x14ac:dyDescent="0.3">
      <c r="AB158"/>
      <c r="AC158"/>
      <c r="AD158"/>
      <c r="AE158"/>
      <c r="AF158"/>
      <c r="AG158"/>
      <c r="AH158"/>
      <c r="AI158"/>
      <c r="AJ158" s="25"/>
      <c r="AK158" s="2"/>
      <c r="AR158" s="25"/>
      <c r="BA158" s="2"/>
      <c r="BG158" s="1"/>
    </row>
    <row r="159" spans="28:59" ht="15" customHeight="1" x14ac:dyDescent="0.3">
      <c r="AB159"/>
      <c r="AC159"/>
      <c r="AD159"/>
      <c r="AE159"/>
      <c r="AF159"/>
      <c r="AG159"/>
      <c r="AH159"/>
      <c r="AI159"/>
      <c r="AJ159" s="25"/>
      <c r="AK159" s="2"/>
      <c r="AR159" s="25"/>
      <c r="BA159" s="2"/>
      <c r="BG159" s="1"/>
    </row>
    <row r="160" spans="28:59" ht="15" customHeight="1" x14ac:dyDescent="0.3">
      <c r="AB160"/>
      <c r="AC160"/>
      <c r="AD160"/>
      <c r="AE160"/>
      <c r="AF160"/>
      <c r="AG160"/>
      <c r="AH160"/>
      <c r="AI160"/>
      <c r="AJ160" s="25"/>
      <c r="AK160" s="2"/>
      <c r="AR160" s="25"/>
      <c r="BA160" s="2"/>
      <c r="BG160" s="1"/>
    </row>
    <row r="161" spans="28:59" ht="15" customHeight="1" x14ac:dyDescent="0.3">
      <c r="AB161"/>
      <c r="AC161"/>
      <c r="AD161"/>
      <c r="AE161"/>
      <c r="AF161"/>
      <c r="AG161"/>
      <c r="AH161"/>
      <c r="AI161"/>
      <c r="AJ161" s="25"/>
      <c r="AK161" s="2"/>
      <c r="AR161" s="25"/>
      <c r="BA161" s="2"/>
      <c r="BG161" s="1"/>
    </row>
    <row r="162" spans="28:59" ht="15" customHeight="1" x14ac:dyDescent="0.3">
      <c r="AB162"/>
      <c r="AC162"/>
      <c r="AD162"/>
      <c r="AE162"/>
      <c r="AF162"/>
      <c r="AG162"/>
      <c r="AH162"/>
      <c r="AI162"/>
      <c r="AJ162" s="25"/>
      <c r="AK162" s="2"/>
      <c r="AR162" s="25"/>
      <c r="BA162" s="2"/>
      <c r="BG162" s="1"/>
    </row>
    <row r="163" spans="28:59" ht="15" customHeight="1" x14ac:dyDescent="0.3">
      <c r="AB163"/>
      <c r="AC163"/>
      <c r="AD163"/>
      <c r="AE163"/>
      <c r="AF163"/>
      <c r="AG163"/>
      <c r="AH163"/>
      <c r="AI163"/>
      <c r="AJ163" s="25"/>
      <c r="AK163" s="2"/>
      <c r="AR163" s="25"/>
      <c r="BA163" s="2"/>
      <c r="BG163" s="1"/>
    </row>
    <row r="164" spans="28:59" ht="15" customHeight="1" x14ac:dyDescent="0.3">
      <c r="AB164"/>
      <c r="AC164"/>
      <c r="AD164"/>
      <c r="AE164"/>
      <c r="AF164"/>
      <c r="AG164"/>
      <c r="AH164"/>
      <c r="AI164"/>
      <c r="AJ164" s="25"/>
      <c r="AK164" s="2"/>
      <c r="AR164" s="25"/>
      <c r="BA164" s="2"/>
      <c r="BG164" s="1"/>
    </row>
    <row r="165" spans="28:59" ht="15" customHeight="1" x14ac:dyDescent="0.3">
      <c r="AB165"/>
      <c r="AC165"/>
      <c r="AD165"/>
      <c r="AE165"/>
      <c r="AF165"/>
      <c r="AG165"/>
      <c r="AH165"/>
      <c r="AI165"/>
      <c r="AJ165" s="25"/>
      <c r="AK165" s="2"/>
      <c r="AR165" s="25"/>
      <c r="BA165" s="2"/>
      <c r="BG165" s="1"/>
    </row>
    <row r="166" spans="28:59" ht="15" customHeight="1" x14ac:dyDescent="0.3">
      <c r="AB166"/>
      <c r="AC166"/>
      <c r="AD166"/>
      <c r="AE166"/>
      <c r="AF166"/>
      <c r="AG166"/>
      <c r="AH166"/>
      <c r="AI166"/>
      <c r="AJ166" s="25"/>
      <c r="AK166" s="2"/>
      <c r="AR166" s="25"/>
      <c r="BA166" s="2"/>
      <c r="BG166" s="1"/>
    </row>
    <row r="167" spans="28:59" ht="15" customHeight="1" x14ac:dyDescent="0.3">
      <c r="AB167"/>
      <c r="AC167"/>
      <c r="AD167"/>
      <c r="AE167"/>
      <c r="AF167"/>
      <c r="AG167"/>
      <c r="AH167"/>
      <c r="AI167"/>
      <c r="AJ167" s="25"/>
      <c r="AK167" s="2"/>
      <c r="AR167" s="25"/>
      <c r="BA167" s="2"/>
      <c r="BG167" s="1"/>
    </row>
    <row r="168" spans="28:59" ht="15" customHeight="1" x14ac:dyDescent="0.3">
      <c r="AB168"/>
      <c r="AC168"/>
      <c r="AD168"/>
      <c r="AE168"/>
      <c r="AF168"/>
      <c r="AG168"/>
      <c r="AH168"/>
      <c r="AI168"/>
      <c r="AJ168" s="25"/>
      <c r="AK168" s="2"/>
      <c r="AR168" s="25"/>
      <c r="BA168" s="2"/>
      <c r="BG168" s="1"/>
    </row>
    <row r="169" spans="28:59" ht="15" customHeight="1" x14ac:dyDescent="0.3">
      <c r="AB169"/>
      <c r="AC169"/>
      <c r="AD169"/>
      <c r="AE169"/>
      <c r="AF169"/>
      <c r="AG169"/>
      <c r="AH169"/>
      <c r="AI169"/>
      <c r="AJ169" s="25"/>
      <c r="AK169" s="2"/>
      <c r="AR169" s="25"/>
      <c r="BA169" s="2"/>
      <c r="BG169" s="1"/>
    </row>
    <row r="170" spans="28:59" ht="15" customHeight="1" x14ac:dyDescent="0.3">
      <c r="AB170"/>
      <c r="AC170"/>
      <c r="AD170"/>
      <c r="AE170"/>
      <c r="AF170"/>
      <c r="AG170"/>
      <c r="AH170"/>
      <c r="AI170"/>
      <c r="AJ170" s="25"/>
      <c r="AK170" s="2"/>
      <c r="AR170" s="25"/>
      <c r="BA170" s="2"/>
      <c r="BG170" s="1"/>
    </row>
    <row r="171" spans="28:59" ht="15" customHeight="1" x14ac:dyDescent="0.3">
      <c r="AB171"/>
      <c r="AC171"/>
      <c r="AD171"/>
      <c r="AE171"/>
      <c r="AF171"/>
      <c r="AG171"/>
      <c r="AH171"/>
      <c r="AI171"/>
      <c r="AJ171" s="25"/>
      <c r="AK171" s="2"/>
      <c r="AR171" s="25"/>
      <c r="BA171" s="2"/>
      <c r="BG171" s="1"/>
    </row>
    <row r="172" spans="28:59" ht="15" customHeight="1" x14ac:dyDescent="0.3">
      <c r="AB172"/>
      <c r="AC172"/>
      <c r="AD172"/>
      <c r="AE172"/>
      <c r="AF172"/>
      <c r="AG172"/>
      <c r="AH172"/>
      <c r="AI172"/>
      <c r="AJ172" s="25"/>
      <c r="AK172" s="2"/>
      <c r="AR172" s="25"/>
      <c r="BA172" s="2"/>
      <c r="BG172" s="1"/>
    </row>
    <row r="173" spans="28:59" ht="15" customHeight="1" x14ac:dyDescent="0.3">
      <c r="AB173"/>
      <c r="AC173"/>
      <c r="AD173"/>
      <c r="AE173"/>
      <c r="AF173"/>
      <c r="AG173"/>
      <c r="AH173"/>
      <c r="AI173"/>
      <c r="AJ173" s="25"/>
      <c r="AK173" s="2"/>
      <c r="AR173" s="25"/>
      <c r="BA173" s="2"/>
      <c r="BG173" s="1"/>
    </row>
    <row r="174" spans="28:59" ht="15" customHeight="1" x14ac:dyDescent="0.3">
      <c r="AB174"/>
      <c r="AC174"/>
      <c r="AD174"/>
      <c r="AE174"/>
      <c r="AF174"/>
      <c r="AG174"/>
      <c r="AH174"/>
      <c r="AI174"/>
      <c r="AJ174" s="25"/>
      <c r="AK174" s="2"/>
      <c r="AR174" s="25"/>
      <c r="BA174" s="2"/>
      <c r="BG174" s="1"/>
    </row>
    <row r="175" spans="28:59" ht="15" customHeight="1" x14ac:dyDescent="0.3">
      <c r="AB175"/>
      <c r="AC175"/>
      <c r="AD175"/>
      <c r="AE175"/>
      <c r="AF175"/>
      <c r="AG175"/>
      <c r="AH175"/>
      <c r="AI175"/>
      <c r="AJ175" s="25"/>
      <c r="AK175" s="2"/>
      <c r="AR175" s="25"/>
      <c r="BA175" s="2"/>
      <c r="BG175" s="1"/>
    </row>
    <row r="176" spans="28:59" ht="15" customHeight="1" x14ac:dyDescent="0.3">
      <c r="AB176"/>
      <c r="AC176"/>
      <c r="AD176"/>
      <c r="AE176"/>
      <c r="AF176"/>
      <c r="AG176"/>
      <c r="AH176"/>
      <c r="AI176"/>
      <c r="AJ176" s="25"/>
      <c r="AK176" s="2"/>
      <c r="AR176" s="25"/>
      <c r="BA176" s="2"/>
      <c r="BG176" s="1"/>
    </row>
    <row r="177" spans="28:59" ht="15" customHeight="1" x14ac:dyDescent="0.3">
      <c r="AB177"/>
      <c r="AC177"/>
      <c r="AD177"/>
      <c r="AE177"/>
      <c r="AF177"/>
      <c r="AG177"/>
      <c r="AH177"/>
      <c r="AI177"/>
      <c r="AJ177" s="25"/>
      <c r="AK177" s="2"/>
      <c r="AR177" s="25"/>
      <c r="BA177" s="2"/>
      <c r="BG177" s="1"/>
    </row>
    <row r="178" spans="28:59" ht="15" customHeight="1" x14ac:dyDescent="0.3">
      <c r="AB178"/>
      <c r="AC178"/>
      <c r="AD178"/>
      <c r="AE178"/>
      <c r="AF178"/>
      <c r="AG178"/>
      <c r="AH178"/>
      <c r="AI178"/>
      <c r="AJ178" s="25"/>
      <c r="AK178" s="2"/>
      <c r="AR178" s="25"/>
      <c r="BA178" s="2"/>
      <c r="BG178" s="1"/>
    </row>
    <row r="179" spans="28:59" ht="15" customHeight="1" x14ac:dyDescent="0.3">
      <c r="AB179"/>
      <c r="AC179"/>
      <c r="AD179"/>
      <c r="AE179"/>
      <c r="AF179"/>
      <c r="AG179"/>
      <c r="AH179"/>
      <c r="AI179"/>
      <c r="AJ179" s="25"/>
      <c r="AK179" s="2"/>
      <c r="AR179" s="25"/>
      <c r="BA179" s="2"/>
      <c r="BG179" s="1"/>
    </row>
    <row r="180" spans="28:59" ht="15" customHeight="1" x14ac:dyDescent="0.3">
      <c r="AB180"/>
      <c r="AC180"/>
      <c r="AD180"/>
      <c r="AE180"/>
      <c r="AF180"/>
      <c r="AG180"/>
      <c r="AH180"/>
      <c r="AI180"/>
      <c r="AJ180" s="25"/>
      <c r="AK180" s="2"/>
      <c r="AR180" s="25"/>
      <c r="BA180" s="2"/>
      <c r="BG180" s="1"/>
    </row>
    <row r="181" spans="28:59" ht="15" customHeight="1" x14ac:dyDescent="0.3">
      <c r="AB181"/>
      <c r="AC181"/>
      <c r="AD181"/>
      <c r="AE181"/>
      <c r="AF181"/>
      <c r="AG181"/>
      <c r="AH181"/>
      <c r="AI181"/>
      <c r="AJ181" s="25"/>
      <c r="AK181" s="2"/>
      <c r="AR181" s="25"/>
      <c r="BA181" s="2"/>
      <c r="BG181" s="1"/>
    </row>
    <row r="182" spans="28:59" ht="15" customHeight="1" x14ac:dyDescent="0.3">
      <c r="AB182"/>
      <c r="AC182"/>
      <c r="AD182"/>
      <c r="AE182"/>
      <c r="AF182"/>
      <c r="AG182"/>
      <c r="AH182"/>
      <c r="AI182"/>
      <c r="AJ182" s="25"/>
      <c r="AK182" s="2"/>
      <c r="AR182" s="25"/>
      <c r="BA182" s="2"/>
      <c r="BG182" s="1"/>
    </row>
    <row r="183" spans="28:59" ht="15" customHeight="1" x14ac:dyDescent="0.3">
      <c r="AB183"/>
      <c r="AC183"/>
      <c r="AD183"/>
      <c r="AE183"/>
      <c r="AF183"/>
      <c r="AG183"/>
      <c r="AH183"/>
      <c r="AI183"/>
      <c r="AJ183" s="25"/>
      <c r="AK183" s="2"/>
      <c r="AR183" s="25"/>
      <c r="BA183" s="2"/>
      <c r="BG183" s="1"/>
    </row>
    <row r="184" spans="28:59" ht="15" customHeight="1" x14ac:dyDescent="0.3">
      <c r="AB184"/>
      <c r="AC184"/>
      <c r="AD184"/>
      <c r="AE184"/>
      <c r="AF184"/>
      <c r="AG184"/>
      <c r="AH184"/>
      <c r="AI184"/>
      <c r="AJ184" s="25"/>
      <c r="AK184" s="2"/>
      <c r="AR184" s="25"/>
      <c r="BA184" s="2"/>
      <c r="BG184" s="1"/>
    </row>
    <row r="185" spans="28:59" ht="15" customHeight="1" x14ac:dyDescent="0.3">
      <c r="AB185"/>
      <c r="AC185"/>
      <c r="AD185"/>
      <c r="AE185"/>
      <c r="AF185"/>
      <c r="AG185"/>
      <c r="AH185"/>
      <c r="AI185"/>
      <c r="AJ185" s="25"/>
      <c r="AK185" s="2"/>
      <c r="AR185" s="25"/>
      <c r="BA185" s="2"/>
      <c r="BG185" s="1"/>
    </row>
    <row r="186" spans="28:59" ht="15" customHeight="1" x14ac:dyDescent="0.3">
      <c r="AB186"/>
      <c r="AC186"/>
      <c r="AD186"/>
      <c r="AE186"/>
      <c r="AF186"/>
      <c r="AG186"/>
      <c r="AH186"/>
      <c r="AI186"/>
      <c r="AJ186" s="25"/>
      <c r="AK186" s="2"/>
      <c r="AR186" s="25"/>
      <c r="BA186" s="2"/>
      <c r="BG186" s="1"/>
    </row>
    <row r="187" spans="28:59" ht="15" customHeight="1" x14ac:dyDescent="0.3">
      <c r="AB187"/>
      <c r="AC187"/>
      <c r="AD187"/>
      <c r="AE187"/>
      <c r="AF187"/>
      <c r="AG187"/>
      <c r="AH187"/>
      <c r="AI187"/>
      <c r="AJ187" s="25"/>
      <c r="AK187" s="2"/>
      <c r="AR187" s="25"/>
      <c r="BA187" s="2"/>
      <c r="BG187" s="1"/>
    </row>
    <row r="188" spans="28:59" ht="15" customHeight="1" x14ac:dyDescent="0.3">
      <c r="AB188"/>
      <c r="AC188"/>
      <c r="AD188"/>
      <c r="AE188"/>
      <c r="AF188"/>
      <c r="AG188"/>
      <c r="AH188"/>
      <c r="AI188"/>
      <c r="AJ188" s="25"/>
      <c r="AK188" s="2"/>
      <c r="AR188" s="25"/>
      <c r="BA188" s="2"/>
      <c r="BG188" s="1"/>
    </row>
    <row r="189" spans="28:59" ht="15" customHeight="1" x14ac:dyDescent="0.3">
      <c r="AB189"/>
      <c r="AC189"/>
      <c r="AD189"/>
      <c r="AE189"/>
      <c r="AF189"/>
      <c r="AG189"/>
      <c r="AH189"/>
      <c r="AI189"/>
      <c r="AJ189" s="25"/>
      <c r="AK189" s="2"/>
      <c r="AR189" s="25"/>
      <c r="BA189" s="2"/>
      <c r="BG189" s="1"/>
    </row>
    <row r="190" spans="28:59" ht="15" customHeight="1" x14ac:dyDescent="0.3">
      <c r="AB190"/>
      <c r="AC190"/>
      <c r="AD190"/>
      <c r="AE190"/>
      <c r="AF190"/>
      <c r="AG190"/>
      <c r="AH190"/>
      <c r="AI190"/>
      <c r="AJ190" s="25"/>
      <c r="AK190" s="2"/>
      <c r="AR190" s="25"/>
      <c r="BA190" s="2"/>
      <c r="BG190" s="1"/>
    </row>
    <row r="191" spans="28:59" ht="15" customHeight="1" x14ac:dyDescent="0.3">
      <c r="AB191"/>
      <c r="AC191"/>
      <c r="AD191"/>
      <c r="AE191"/>
      <c r="AF191"/>
      <c r="AG191"/>
      <c r="AH191"/>
      <c r="AI191"/>
      <c r="AJ191" s="25"/>
      <c r="AK191" s="2"/>
      <c r="AR191" s="25"/>
      <c r="BA191" s="2"/>
      <c r="BG191" s="1"/>
    </row>
    <row r="192" spans="28:59" ht="15" customHeight="1" x14ac:dyDescent="0.3">
      <c r="AB192"/>
      <c r="AC192"/>
      <c r="AD192"/>
      <c r="AE192"/>
      <c r="AF192"/>
      <c r="AG192"/>
      <c r="AH192"/>
      <c r="AI192"/>
      <c r="AJ192" s="25"/>
      <c r="AK192" s="2"/>
      <c r="AR192" s="25"/>
      <c r="BA192" s="2"/>
      <c r="BG192" s="1"/>
    </row>
    <row r="193" spans="28:59" ht="15" customHeight="1" x14ac:dyDescent="0.3">
      <c r="AB193"/>
      <c r="AC193"/>
      <c r="AD193"/>
      <c r="AE193"/>
      <c r="AF193"/>
      <c r="AG193"/>
      <c r="AH193"/>
      <c r="AI193"/>
      <c r="AJ193" s="25"/>
      <c r="AK193" s="2"/>
      <c r="AR193" s="25"/>
      <c r="BA193" s="2"/>
      <c r="BG193" s="1"/>
    </row>
    <row r="194" spans="28:59" ht="15" customHeight="1" x14ac:dyDescent="0.3">
      <c r="AB194"/>
      <c r="AC194"/>
      <c r="AD194"/>
      <c r="AE194"/>
      <c r="AF194"/>
      <c r="AG194"/>
      <c r="AH194"/>
      <c r="AI194"/>
      <c r="AJ194" s="25"/>
      <c r="AK194" s="2"/>
      <c r="AR194" s="25"/>
      <c r="BA194" s="2"/>
      <c r="BG194" s="1"/>
    </row>
    <row r="195" spans="28:59" ht="15" customHeight="1" x14ac:dyDescent="0.3">
      <c r="AB195"/>
      <c r="AC195"/>
      <c r="AD195"/>
      <c r="AE195"/>
      <c r="AF195"/>
      <c r="AG195"/>
      <c r="AH195"/>
      <c r="AI195"/>
      <c r="AJ195" s="25"/>
      <c r="AK195" s="2"/>
      <c r="AR195" s="25"/>
      <c r="BA195" s="2"/>
      <c r="BG195" s="1"/>
    </row>
    <row r="196" spans="28:59" ht="15" customHeight="1" x14ac:dyDescent="0.3">
      <c r="AB196"/>
      <c r="AC196"/>
      <c r="AD196"/>
      <c r="AE196"/>
      <c r="AF196"/>
      <c r="AG196"/>
      <c r="AH196"/>
      <c r="AI196"/>
      <c r="AJ196" s="25"/>
      <c r="AK196" s="2"/>
      <c r="AR196" s="25"/>
      <c r="BA196" s="2"/>
      <c r="BG196" s="1"/>
    </row>
    <row r="197" spans="28:59" ht="15" customHeight="1" x14ac:dyDescent="0.3">
      <c r="AB197"/>
      <c r="AC197"/>
      <c r="AD197"/>
      <c r="AE197"/>
      <c r="AF197"/>
      <c r="AG197"/>
      <c r="AH197"/>
      <c r="AI197"/>
      <c r="AJ197" s="25"/>
      <c r="AK197" s="2"/>
      <c r="AR197" s="25"/>
      <c r="BA197" s="2"/>
      <c r="BG197" s="1"/>
    </row>
    <row r="198" spans="28:59" ht="15" customHeight="1" x14ac:dyDescent="0.3">
      <c r="AB198"/>
      <c r="AC198"/>
      <c r="AD198"/>
      <c r="AE198"/>
      <c r="AF198"/>
      <c r="AG198"/>
      <c r="AH198"/>
      <c r="AI198"/>
      <c r="AJ198" s="25"/>
      <c r="AK198" s="2"/>
      <c r="AR198" s="25"/>
      <c r="BA198" s="2"/>
      <c r="BG198" s="1"/>
    </row>
    <row r="199" spans="28:59" ht="15" customHeight="1" x14ac:dyDescent="0.3">
      <c r="AB199"/>
      <c r="AC199"/>
      <c r="AD199"/>
      <c r="AE199"/>
      <c r="AF199"/>
      <c r="AG199"/>
      <c r="AH199"/>
      <c r="AI199"/>
      <c r="AJ199" s="25"/>
      <c r="AK199" s="2"/>
      <c r="AR199" s="25"/>
      <c r="BA199" s="2"/>
      <c r="BG199" s="1"/>
    </row>
    <row r="200" spans="28:59" ht="15" customHeight="1" x14ac:dyDescent="0.3">
      <c r="AB200"/>
      <c r="AC200"/>
      <c r="AD200"/>
      <c r="AE200"/>
      <c r="AF200"/>
      <c r="AG200"/>
      <c r="AH200"/>
      <c r="AI200"/>
      <c r="AJ200" s="25"/>
      <c r="AK200" s="2"/>
      <c r="AR200" s="25"/>
      <c r="BA200" s="2"/>
      <c r="BG200" s="1"/>
    </row>
    <row r="201" spans="28:59" ht="15" customHeight="1" x14ac:dyDescent="0.3">
      <c r="AB201"/>
      <c r="AC201"/>
      <c r="AD201"/>
      <c r="AE201"/>
      <c r="AF201"/>
      <c r="AG201"/>
      <c r="AH201"/>
      <c r="AI201"/>
      <c r="AJ201" s="25"/>
      <c r="AK201" s="2"/>
      <c r="AR201" s="25"/>
      <c r="BA201" s="2"/>
      <c r="BG201" s="1"/>
    </row>
    <row r="202" spans="28:59" ht="15" customHeight="1" x14ac:dyDescent="0.3">
      <c r="AB202"/>
      <c r="AC202"/>
      <c r="AD202"/>
      <c r="AE202"/>
      <c r="AF202"/>
      <c r="AG202"/>
      <c r="AH202"/>
      <c r="AI202"/>
      <c r="AJ202" s="25"/>
      <c r="AK202" s="2"/>
      <c r="AR202" s="25"/>
      <c r="BA202" s="2"/>
      <c r="BG202" s="1"/>
    </row>
    <row r="203" spans="28:59" ht="15" customHeight="1" x14ac:dyDescent="0.3">
      <c r="AB203"/>
      <c r="AC203"/>
      <c r="AD203"/>
      <c r="AE203"/>
      <c r="AF203"/>
      <c r="AG203"/>
      <c r="AH203"/>
      <c r="AI203"/>
      <c r="AJ203" s="25"/>
      <c r="AK203" s="2"/>
      <c r="AR203" s="25"/>
      <c r="BA203" s="2"/>
      <c r="BG203" s="1"/>
    </row>
    <row r="204" spans="28:59" ht="15" customHeight="1" x14ac:dyDescent="0.3">
      <c r="AB204"/>
      <c r="AC204"/>
      <c r="AD204"/>
      <c r="AE204"/>
      <c r="AF204"/>
      <c r="AG204"/>
      <c r="AH204"/>
      <c r="AI204"/>
      <c r="AJ204" s="25"/>
      <c r="AK204" s="2"/>
      <c r="AR204" s="25"/>
      <c r="BA204" s="2"/>
      <c r="BG204" s="1"/>
    </row>
    <row r="205" spans="28:59" ht="15" customHeight="1" x14ac:dyDescent="0.3">
      <c r="AB205"/>
      <c r="AC205"/>
      <c r="AD205"/>
      <c r="AE205"/>
      <c r="AF205"/>
      <c r="AG205"/>
      <c r="AH205"/>
      <c r="AI205"/>
      <c r="AJ205" s="25"/>
      <c r="AK205" s="2"/>
      <c r="AR205" s="25"/>
      <c r="BA205" s="2"/>
      <c r="BG205" s="1"/>
    </row>
    <row r="206" spans="28:59" ht="15" customHeight="1" x14ac:dyDescent="0.3">
      <c r="AB206"/>
      <c r="AC206"/>
      <c r="AD206"/>
      <c r="AE206"/>
      <c r="AF206"/>
      <c r="AG206"/>
      <c r="AH206"/>
      <c r="AI206"/>
      <c r="AJ206" s="25"/>
      <c r="AK206" s="2"/>
      <c r="AR206" s="25"/>
      <c r="BA206" s="2"/>
      <c r="BG206" s="1"/>
    </row>
    <row r="207" spans="28:59" ht="15" customHeight="1" x14ac:dyDescent="0.3">
      <c r="AB207"/>
      <c r="AC207"/>
      <c r="AD207"/>
      <c r="AE207"/>
      <c r="AF207"/>
      <c r="AG207"/>
      <c r="AH207"/>
      <c r="AI207"/>
      <c r="AJ207" s="25"/>
      <c r="AK207" s="2"/>
      <c r="AR207" s="25"/>
      <c r="BA207" s="2"/>
      <c r="BG207" s="1"/>
    </row>
    <row r="208" spans="28:59" ht="15" customHeight="1" x14ac:dyDescent="0.3">
      <c r="AB208"/>
      <c r="AC208"/>
      <c r="AD208"/>
      <c r="AE208"/>
      <c r="AF208"/>
      <c r="AG208"/>
      <c r="AH208"/>
      <c r="AI208"/>
      <c r="AJ208" s="25"/>
      <c r="AK208" s="2"/>
      <c r="AR208" s="25"/>
      <c r="BA208" s="2"/>
      <c r="BG208" s="1"/>
    </row>
    <row r="209" spans="28:59" ht="15" customHeight="1" x14ac:dyDescent="0.3">
      <c r="AB209"/>
      <c r="AC209"/>
      <c r="AD209"/>
      <c r="AE209"/>
      <c r="AF209"/>
      <c r="AG209"/>
      <c r="AH209"/>
      <c r="AI209"/>
      <c r="AJ209" s="25"/>
      <c r="AK209" s="2"/>
      <c r="AR209" s="25"/>
      <c r="BA209" s="2"/>
      <c r="BG209" s="1"/>
    </row>
    <row r="210" spans="28:59" ht="15" customHeight="1" x14ac:dyDescent="0.3">
      <c r="AB210"/>
      <c r="AC210"/>
      <c r="AD210"/>
      <c r="AE210"/>
      <c r="AF210"/>
      <c r="AG210"/>
      <c r="AH210"/>
      <c r="AI210"/>
      <c r="AJ210" s="25"/>
      <c r="AK210" s="2"/>
      <c r="AR210" s="25"/>
      <c r="BA210" s="2"/>
      <c r="BG210" s="1"/>
    </row>
    <row r="211" spans="28:59" ht="15" customHeight="1" x14ac:dyDescent="0.3">
      <c r="AB211"/>
      <c r="AC211"/>
      <c r="AD211"/>
      <c r="AE211"/>
      <c r="AF211"/>
      <c r="AG211"/>
      <c r="AH211"/>
      <c r="AI211"/>
      <c r="AJ211" s="25"/>
      <c r="AK211" s="2"/>
      <c r="AR211" s="25"/>
      <c r="BA211" s="2"/>
      <c r="BG211" s="1"/>
    </row>
    <row r="212" spans="28:59" ht="15" customHeight="1" x14ac:dyDescent="0.3">
      <c r="AB212"/>
      <c r="AC212"/>
      <c r="AD212"/>
      <c r="AE212"/>
      <c r="AF212"/>
      <c r="AG212"/>
      <c r="AH212"/>
      <c r="AI212"/>
      <c r="AJ212" s="25"/>
      <c r="AK212" s="2"/>
      <c r="AR212" s="25"/>
      <c r="BA212" s="2"/>
      <c r="BG212" s="1"/>
    </row>
    <row r="213" spans="28:59" ht="15" customHeight="1" x14ac:dyDescent="0.3">
      <c r="AB213"/>
      <c r="AC213"/>
      <c r="AD213"/>
      <c r="AE213"/>
      <c r="AF213"/>
      <c r="AG213"/>
      <c r="AH213"/>
      <c r="AI213"/>
      <c r="AJ213" s="25"/>
      <c r="AK213" s="2"/>
      <c r="AR213" s="25"/>
      <c r="BA213" s="2"/>
      <c r="BG213" s="1"/>
    </row>
    <row r="214" spans="28:59" ht="15" customHeight="1" x14ac:dyDescent="0.3">
      <c r="AB214"/>
      <c r="AC214"/>
      <c r="AD214"/>
      <c r="AE214"/>
      <c r="AF214"/>
      <c r="AG214"/>
      <c r="AH214"/>
      <c r="AI214"/>
      <c r="AJ214" s="25"/>
      <c r="AK214" s="2"/>
      <c r="AR214" s="25"/>
      <c r="BA214" s="2"/>
      <c r="BG214" s="1"/>
    </row>
    <row r="215" spans="28:59" ht="15" customHeight="1" x14ac:dyDescent="0.3">
      <c r="AB215"/>
      <c r="AC215"/>
      <c r="AD215"/>
      <c r="AE215"/>
      <c r="AF215"/>
      <c r="AG215"/>
      <c r="AH215"/>
      <c r="AI215"/>
      <c r="AJ215" s="25"/>
      <c r="AK215" s="2"/>
      <c r="AR215" s="25"/>
      <c r="BA215" s="2"/>
      <c r="BG215" s="1"/>
    </row>
    <row r="216" spans="28:59" ht="15" customHeight="1" x14ac:dyDescent="0.3">
      <c r="AB216"/>
      <c r="AC216"/>
      <c r="AD216"/>
      <c r="AE216"/>
      <c r="AF216"/>
      <c r="AG216"/>
      <c r="AH216"/>
      <c r="AI216"/>
      <c r="AJ216" s="25"/>
      <c r="AK216" s="2"/>
      <c r="AR216" s="25"/>
      <c r="BA216" s="2"/>
      <c r="BG216" s="1"/>
    </row>
    <row r="217" spans="28:59" ht="15" customHeight="1" x14ac:dyDescent="0.3">
      <c r="AB217"/>
      <c r="AC217"/>
      <c r="AD217"/>
      <c r="AE217"/>
      <c r="AF217"/>
      <c r="AG217"/>
      <c r="AH217"/>
      <c r="AI217"/>
      <c r="AJ217" s="25"/>
      <c r="AK217" s="2"/>
      <c r="AR217" s="25"/>
      <c r="BA217" s="2"/>
      <c r="BG217" s="1"/>
    </row>
    <row r="218" spans="28:59" ht="15" customHeight="1" x14ac:dyDescent="0.3">
      <c r="AB218"/>
      <c r="AC218"/>
      <c r="AD218"/>
      <c r="AE218"/>
      <c r="AF218"/>
      <c r="AG218"/>
      <c r="AH218"/>
      <c r="AI218"/>
      <c r="AJ218" s="25"/>
      <c r="AK218" s="2"/>
      <c r="AR218" s="25"/>
      <c r="BA218" s="2"/>
      <c r="BG218" s="1"/>
    </row>
    <row r="219" spans="28:59" ht="15" customHeight="1" x14ac:dyDescent="0.3">
      <c r="AB219"/>
      <c r="AC219"/>
      <c r="AD219"/>
      <c r="AE219"/>
      <c r="AF219"/>
      <c r="AG219"/>
      <c r="AH219"/>
      <c r="AI219"/>
      <c r="AJ219" s="25"/>
      <c r="AK219" s="2"/>
      <c r="AR219" s="25"/>
      <c r="BA219" s="2"/>
      <c r="BG219" s="1"/>
    </row>
    <row r="220" spans="28:59" ht="15" customHeight="1" x14ac:dyDescent="0.3">
      <c r="AB220"/>
      <c r="AC220"/>
      <c r="AD220"/>
      <c r="AE220"/>
      <c r="AF220"/>
      <c r="AG220"/>
      <c r="AH220"/>
      <c r="AI220"/>
      <c r="AJ220" s="25"/>
      <c r="AK220" s="2"/>
      <c r="AR220" s="25"/>
      <c r="BA220" s="2"/>
      <c r="BG220" s="1"/>
    </row>
    <row r="221" spans="28:59" ht="15" customHeight="1" x14ac:dyDescent="0.3">
      <c r="AB221"/>
      <c r="AC221"/>
      <c r="AD221"/>
      <c r="AE221"/>
      <c r="AF221"/>
      <c r="AG221"/>
      <c r="AH221"/>
      <c r="AI221"/>
      <c r="AJ221" s="25"/>
      <c r="AK221" s="2"/>
      <c r="AR221" s="25"/>
      <c r="BA221" s="2"/>
      <c r="BG221" s="1"/>
    </row>
    <row r="222" spans="28:59" ht="15" customHeight="1" x14ac:dyDescent="0.3">
      <c r="AB222"/>
      <c r="AC222"/>
      <c r="AD222"/>
      <c r="AE222"/>
      <c r="AF222"/>
      <c r="AG222"/>
      <c r="AH222"/>
      <c r="AI222"/>
      <c r="AJ222" s="25"/>
      <c r="AK222" s="2"/>
      <c r="AR222" s="25"/>
      <c r="BA222" s="2"/>
      <c r="BG222" s="1"/>
    </row>
    <row r="223" spans="28:59" ht="15" customHeight="1" x14ac:dyDescent="0.3">
      <c r="AB223"/>
      <c r="AC223"/>
      <c r="AD223"/>
      <c r="AE223"/>
      <c r="AF223"/>
      <c r="AG223"/>
      <c r="AH223"/>
      <c r="AI223"/>
      <c r="AJ223" s="25"/>
      <c r="AK223" s="2"/>
      <c r="AR223" s="25"/>
      <c r="BA223" s="2"/>
      <c r="BG223" s="1"/>
    </row>
    <row r="224" spans="28:59" ht="15" customHeight="1" x14ac:dyDescent="0.3">
      <c r="AB224"/>
      <c r="AC224"/>
      <c r="AD224"/>
      <c r="AE224"/>
      <c r="AF224"/>
      <c r="AG224"/>
      <c r="AH224"/>
      <c r="AI224"/>
      <c r="AJ224" s="25"/>
      <c r="AK224" s="2"/>
      <c r="AR224" s="25"/>
      <c r="BA224" s="2"/>
      <c r="BG224" s="1"/>
    </row>
    <row r="225" spans="28:59" ht="15" customHeight="1" x14ac:dyDescent="0.3">
      <c r="AB225"/>
      <c r="AC225"/>
      <c r="AD225"/>
      <c r="AE225"/>
      <c r="AF225"/>
      <c r="AG225"/>
      <c r="AH225"/>
      <c r="AI225"/>
      <c r="AJ225" s="25"/>
      <c r="AK225" s="2"/>
      <c r="AR225" s="25"/>
      <c r="BA225" s="2"/>
      <c r="BG225" s="1"/>
    </row>
    <row r="226" spans="28:59" ht="15" customHeight="1" x14ac:dyDescent="0.3">
      <c r="AB226"/>
      <c r="AC226"/>
      <c r="AD226"/>
      <c r="AE226"/>
      <c r="AF226"/>
      <c r="AG226"/>
      <c r="AH226"/>
      <c r="AI226"/>
      <c r="AJ226" s="25"/>
      <c r="AK226" s="2"/>
      <c r="AR226" s="25"/>
      <c r="BA226" s="2"/>
      <c r="BG226" s="1"/>
    </row>
    <row r="227" spans="28:59" ht="15" customHeight="1" x14ac:dyDescent="0.3">
      <c r="AB227"/>
      <c r="AC227"/>
      <c r="AD227"/>
      <c r="AE227"/>
      <c r="AF227"/>
      <c r="AG227"/>
      <c r="AH227"/>
      <c r="AI227"/>
      <c r="AJ227" s="25"/>
      <c r="AK227" s="2"/>
      <c r="AR227" s="25"/>
      <c r="BA227" s="2"/>
      <c r="BG227" s="1"/>
    </row>
    <row r="228" spans="28:59" ht="15" customHeight="1" x14ac:dyDescent="0.3">
      <c r="AB228"/>
      <c r="AC228"/>
      <c r="AD228"/>
      <c r="AE228"/>
      <c r="AF228"/>
      <c r="AG228"/>
      <c r="AH228"/>
      <c r="AI228"/>
      <c r="AJ228" s="25"/>
      <c r="AK228" s="2"/>
      <c r="AR228" s="25"/>
      <c r="BA228" s="2"/>
      <c r="BG228" s="1"/>
    </row>
    <row r="229" spans="28:59" ht="15" customHeight="1" x14ac:dyDescent="0.3">
      <c r="AB229"/>
      <c r="AC229"/>
      <c r="AD229"/>
      <c r="AE229"/>
      <c r="AF229"/>
      <c r="AG229"/>
      <c r="AH229"/>
      <c r="AI229"/>
      <c r="AJ229" s="25"/>
      <c r="AK229" s="2"/>
      <c r="AR229" s="25"/>
      <c r="BA229" s="2"/>
      <c r="BG229" s="1"/>
    </row>
    <row r="230" spans="28:59" ht="15" customHeight="1" x14ac:dyDescent="0.3">
      <c r="AB230"/>
      <c r="AC230"/>
      <c r="AD230"/>
      <c r="AE230"/>
      <c r="AF230"/>
      <c r="AG230"/>
      <c r="AH230"/>
      <c r="AI230"/>
      <c r="AJ230" s="25"/>
      <c r="AK230" s="2"/>
      <c r="AR230" s="25"/>
      <c r="BA230" s="2"/>
      <c r="BG230" s="1"/>
    </row>
    <row r="231" spans="28:59" ht="15" customHeight="1" x14ac:dyDescent="0.3">
      <c r="AB231"/>
      <c r="AC231"/>
      <c r="AD231"/>
      <c r="AE231"/>
      <c r="AF231"/>
      <c r="AG231"/>
      <c r="AH231"/>
      <c r="AI231"/>
      <c r="AJ231" s="25"/>
      <c r="AK231" s="2"/>
      <c r="AR231" s="25"/>
      <c r="BA231" s="2"/>
      <c r="BG231" s="1"/>
    </row>
    <row r="232" spans="28:59" ht="15" customHeight="1" x14ac:dyDescent="0.3">
      <c r="AB232"/>
      <c r="AC232"/>
      <c r="AD232"/>
      <c r="AE232"/>
      <c r="AF232"/>
      <c r="AG232"/>
      <c r="AH232"/>
      <c r="AI232"/>
      <c r="AJ232" s="25"/>
      <c r="AK232" s="2"/>
      <c r="AR232" s="25"/>
      <c r="BA232" s="2"/>
      <c r="BG232" s="1"/>
    </row>
    <row r="233" spans="28:59" ht="15" customHeight="1" x14ac:dyDescent="0.3">
      <c r="AB233"/>
      <c r="AC233"/>
      <c r="AD233"/>
      <c r="AE233"/>
      <c r="AF233"/>
      <c r="AG233"/>
      <c r="AH233"/>
      <c r="AI233"/>
      <c r="AJ233" s="25"/>
      <c r="AK233" s="2"/>
      <c r="AR233" s="25"/>
      <c r="BA233" s="2"/>
      <c r="BG233" s="1"/>
    </row>
    <row r="234" spans="28:59" ht="15" customHeight="1" x14ac:dyDescent="0.3">
      <c r="AB234"/>
      <c r="AC234"/>
      <c r="AD234"/>
      <c r="AE234"/>
      <c r="AF234"/>
      <c r="AG234"/>
      <c r="AH234"/>
      <c r="AI234"/>
      <c r="AJ234" s="25"/>
      <c r="AK234" s="2"/>
      <c r="AR234" s="25"/>
      <c r="BA234" s="2"/>
      <c r="BG234" s="1"/>
    </row>
    <row r="235" spans="28:59" ht="15" customHeight="1" x14ac:dyDescent="0.3">
      <c r="AB235"/>
      <c r="AC235"/>
      <c r="AD235"/>
      <c r="AE235"/>
      <c r="AF235"/>
      <c r="AG235"/>
      <c r="AH235"/>
      <c r="AI235"/>
      <c r="AJ235" s="25"/>
      <c r="AK235" s="2"/>
      <c r="AR235" s="25"/>
      <c r="BA235" s="2"/>
      <c r="BG235" s="1"/>
    </row>
    <row r="236" spans="28:59" ht="15" customHeight="1" x14ac:dyDescent="0.3">
      <c r="AB236"/>
      <c r="AC236"/>
      <c r="AD236"/>
      <c r="AE236"/>
      <c r="AF236"/>
      <c r="AG236"/>
      <c r="AH236"/>
      <c r="AI236"/>
      <c r="AJ236" s="25"/>
      <c r="AK236" s="2"/>
      <c r="AR236" s="25"/>
      <c r="BA236" s="2"/>
      <c r="BG236" s="1"/>
    </row>
    <row r="237" spans="28:59" ht="15" customHeight="1" x14ac:dyDescent="0.3">
      <c r="AB237"/>
      <c r="AC237"/>
      <c r="AD237"/>
      <c r="AE237"/>
      <c r="AF237"/>
      <c r="AG237"/>
      <c r="AH237"/>
      <c r="AI237"/>
      <c r="AJ237" s="25"/>
      <c r="AK237" s="2"/>
      <c r="AR237" s="25"/>
      <c r="BA237" s="2"/>
      <c r="BG237" s="1"/>
    </row>
    <row r="238" spans="28:59" ht="15" customHeight="1" x14ac:dyDescent="0.3">
      <c r="AB238"/>
      <c r="AC238"/>
      <c r="AD238"/>
      <c r="AE238"/>
      <c r="AF238"/>
      <c r="AG238"/>
      <c r="AH238"/>
      <c r="AI238"/>
      <c r="AJ238" s="25"/>
      <c r="AK238" s="2"/>
      <c r="AR238" s="25"/>
      <c r="BA238" s="2"/>
      <c r="BG238" s="1"/>
    </row>
    <row r="239" spans="28:59" ht="15" customHeight="1" x14ac:dyDescent="0.3">
      <c r="AB239"/>
      <c r="AC239"/>
      <c r="AD239"/>
      <c r="AE239"/>
      <c r="AF239"/>
      <c r="AG239"/>
      <c r="AH239"/>
      <c r="AI239"/>
      <c r="AJ239" s="25"/>
      <c r="AK239" s="2"/>
      <c r="AR239" s="25"/>
      <c r="BA239" s="2"/>
      <c r="BG239" s="1"/>
    </row>
    <row r="240" spans="28:59" ht="15" customHeight="1" x14ac:dyDescent="0.3">
      <c r="AB240"/>
      <c r="AC240"/>
      <c r="AD240"/>
      <c r="AE240"/>
      <c r="AF240"/>
      <c r="AG240"/>
      <c r="AH240"/>
      <c r="AI240"/>
      <c r="AJ240" s="25"/>
      <c r="AK240" s="2"/>
      <c r="AR240" s="25"/>
      <c r="BA240" s="2"/>
      <c r="BG240" s="1"/>
    </row>
    <row r="241" spans="28:59" ht="15" customHeight="1" x14ac:dyDescent="0.3">
      <c r="AB241"/>
      <c r="AC241"/>
      <c r="AD241"/>
      <c r="AE241"/>
      <c r="AF241"/>
      <c r="AG241"/>
      <c r="AH241"/>
      <c r="AI241"/>
      <c r="AJ241" s="25"/>
      <c r="AK241" s="2"/>
      <c r="AR241" s="25"/>
      <c r="BA241" s="2"/>
      <c r="BG241" s="1"/>
    </row>
    <row r="242" spans="28:59" ht="15" customHeight="1" x14ac:dyDescent="0.3">
      <c r="AB242"/>
      <c r="AC242"/>
      <c r="AD242"/>
      <c r="AE242"/>
      <c r="AF242"/>
      <c r="AG242"/>
      <c r="AH242"/>
      <c r="AI242"/>
      <c r="AJ242" s="25"/>
      <c r="AK242" s="2"/>
      <c r="AR242" s="25"/>
      <c r="BA242" s="2"/>
      <c r="BG242" s="1"/>
    </row>
    <row r="243" spans="28:59" ht="15" customHeight="1" x14ac:dyDescent="0.3">
      <c r="AB243"/>
      <c r="AC243"/>
      <c r="AD243"/>
      <c r="AE243"/>
      <c r="AF243"/>
      <c r="AG243"/>
      <c r="AH243"/>
      <c r="AI243"/>
      <c r="AJ243" s="25"/>
      <c r="AK243" s="2"/>
      <c r="AR243" s="25"/>
      <c r="BA243" s="2"/>
      <c r="BG243" s="1"/>
    </row>
    <row r="244" spans="28:59" ht="15" customHeight="1" x14ac:dyDescent="0.3">
      <c r="AB244"/>
      <c r="AC244"/>
      <c r="AD244"/>
      <c r="AE244"/>
      <c r="AF244"/>
      <c r="AG244"/>
      <c r="AH244"/>
      <c r="AI244"/>
      <c r="AJ244" s="25"/>
      <c r="AK244" s="2"/>
      <c r="AR244" s="25"/>
      <c r="BA244" s="2"/>
      <c r="BG244" s="1"/>
    </row>
    <row r="245" spans="28:59" ht="15" customHeight="1" x14ac:dyDescent="0.3">
      <c r="AB245"/>
      <c r="AC245"/>
      <c r="AD245"/>
      <c r="AE245"/>
      <c r="AF245"/>
      <c r="AG245"/>
      <c r="AH245"/>
      <c r="AI245"/>
      <c r="AJ245" s="25"/>
      <c r="AK245" s="2"/>
      <c r="AR245" s="25"/>
      <c r="BA245" s="2"/>
      <c r="BG245" s="1"/>
    </row>
    <row r="246" spans="28:59" ht="15" customHeight="1" x14ac:dyDescent="0.3">
      <c r="AB246"/>
      <c r="AC246"/>
      <c r="AD246"/>
      <c r="AE246"/>
      <c r="AF246"/>
      <c r="AG246"/>
      <c r="AH246"/>
      <c r="AI246"/>
      <c r="AJ246" s="25"/>
      <c r="AK246" s="2"/>
      <c r="AR246" s="25"/>
      <c r="BA246" s="2"/>
      <c r="BG246" s="1"/>
    </row>
    <row r="247" spans="28:59" ht="15" customHeight="1" x14ac:dyDescent="0.3">
      <c r="AB247"/>
      <c r="AC247"/>
      <c r="AD247"/>
      <c r="AE247"/>
      <c r="AF247"/>
      <c r="AG247"/>
      <c r="AH247"/>
      <c r="AI247"/>
      <c r="AJ247" s="25"/>
      <c r="AK247" s="2"/>
      <c r="AR247" s="25"/>
      <c r="BA247" s="2"/>
      <c r="BG247" s="1"/>
    </row>
    <row r="248" spans="28:59" ht="15" customHeight="1" x14ac:dyDescent="0.3">
      <c r="AB248"/>
      <c r="AC248"/>
      <c r="AD248"/>
      <c r="AE248"/>
      <c r="AF248"/>
      <c r="AG248"/>
      <c r="AH248"/>
      <c r="AI248"/>
      <c r="AJ248" s="25"/>
      <c r="AK248" s="2"/>
      <c r="AR248" s="25"/>
      <c r="BA248" s="2"/>
      <c r="BG248" s="1"/>
    </row>
    <row r="249" spans="28:59" ht="15" customHeight="1" x14ac:dyDescent="0.3">
      <c r="AB249"/>
      <c r="AC249"/>
      <c r="AD249"/>
      <c r="AE249"/>
      <c r="AF249"/>
      <c r="AG249"/>
      <c r="AH249"/>
      <c r="AI249"/>
      <c r="AJ249" s="25"/>
      <c r="AK249" s="2"/>
      <c r="AR249" s="25"/>
      <c r="BA249" s="2"/>
      <c r="BG249" s="1"/>
    </row>
    <row r="250" spans="28:59" ht="15" customHeight="1" x14ac:dyDescent="0.3">
      <c r="AB250"/>
      <c r="AC250"/>
      <c r="AD250"/>
      <c r="AE250"/>
      <c r="AF250"/>
      <c r="AG250"/>
      <c r="AH250"/>
      <c r="AI250"/>
      <c r="AJ250" s="25"/>
      <c r="AK250" s="2"/>
      <c r="AR250" s="25"/>
      <c r="BA250" s="2"/>
      <c r="BG250" s="1"/>
    </row>
    <row r="251" spans="28:59" ht="15" customHeight="1" x14ac:dyDescent="0.3">
      <c r="AB251"/>
      <c r="AC251"/>
      <c r="AD251"/>
      <c r="AE251"/>
      <c r="AF251"/>
      <c r="AG251"/>
      <c r="AH251"/>
      <c r="AI251"/>
      <c r="AJ251" s="25"/>
      <c r="AK251" s="2"/>
      <c r="AR251" s="25"/>
      <c r="BA251" s="2"/>
      <c r="BG251" s="1"/>
    </row>
    <row r="252" spans="28:59" ht="15" customHeight="1" x14ac:dyDescent="0.3">
      <c r="AB252"/>
      <c r="AC252"/>
      <c r="AD252"/>
      <c r="AE252"/>
      <c r="AF252"/>
      <c r="AG252"/>
      <c r="AH252"/>
      <c r="AI252"/>
      <c r="AJ252" s="25"/>
      <c r="AK252" s="2"/>
      <c r="AR252" s="25"/>
      <c r="BA252" s="2"/>
      <c r="BG252" s="1"/>
    </row>
    <row r="253" spans="28:59" ht="15" customHeight="1" x14ac:dyDescent="0.3">
      <c r="AB253"/>
      <c r="AC253"/>
      <c r="AD253"/>
      <c r="AE253"/>
      <c r="AF253"/>
      <c r="AG253"/>
      <c r="AH253"/>
      <c r="AI253"/>
      <c r="AJ253" s="25"/>
      <c r="AK253" s="2"/>
      <c r="AR253" s="25"/>
      <c r="BA253" s="2"/>
      <c r="BG253" s="1"/>
    </row>
    <row r="254" spans="28:59" ht="15" customHeight="1" x14ac:dyDescent="0.3">
      <c r="AB254"/>
      <c r="AC254"/>
      <c r="AD254"/>
      <c r="AE254"/>
      <c r="AF254"/>
      <c r="AG254"/>
      <c r="AH254"/>
      <c r="AI254"/>
      <c r="AJ254" s="25"/>
      <c r="AK254" s="2"/>
      <c r="AR254" s="25"/>
      <c r="BA254" s="2"/>
      <c r="BG254" s="1"/>
    </row>
    <row r="255" spans="28:59" ht="15" customHeight="1" x14ac:dyDescent="0.3">
      <c r="AB255"/>
      <c r="AC255"/>
      <c r="AD255"/>
      <c r="AE255"/>
      <c r="AF255"/>
      <c r="AG255"/>
      <c r="AH255"/>
      <c r="AI255"/>
      <c r="AJ255" s="25"/>
      <c r="AK255" s="2"/>
      <c r="AR255" s="25"/>
      <c r="BA255" s="2"/>
      <c r="BG255" s="1"/>
    </row>
    <row r="256" spans="28:59" ht="15" customHeight="1" x14ac:dyDescent="0.3">
      <c r="AB256"/>
      <c r="AC256"/>
      <c r="AD256"/>
      <c r="AE256"/>
      <c r="AF256"/>
      <c r="AG256"/>
      <c r="AH256"/>
      <c r="AI256"/>
      <c r="AJ256" s="25"/>
      <c r="AK256" s="2"/>
      <c r="AR256" s="25"/>
      <c r="BA256" s="2"/>
      <c r="BG256" s="1"/>
    </row>
    <row r="257" spans="28:59" ht="15" customHeight="1" x14ac:dyDescent="0.3">
      <c r="AB257"/>
      <c r="AC257"/>
      <c r="AD257"/>
      <c r="AE257"/>
      <c r="AF257"/>
      <c r="AG257"/>
      <c r="AH257"/>
      <c r="AI257"/>
      <c r="AJ257" s="25"/>
      <c r="AK257" s="2"/>
      <c r="AR257" s="25"/>
      <c r="BA257" s="2"/>
      <c r="BG257" s="1"/>
    </row>
    <row r="258" spans="28:59" ht="15" customHeight="1" x14ac:dyDescent="0.3">
      <c r="AB258"/>
      <c r="AC258"/>
      <c r="AD258"/>
      <c r="AE258"/>
      <c r="AF258"/>
      <c r="AG258"/>
      <c r="AH258"/>
      <c r="AI258"/>
      <c r="AJ258" s="25"/>
      <c r="AK258" s="2"/>
      <c r="AR258" s="25"/>
      <c r="BA258" s="2"/>
      <c r="BG258" s="1"/>
    </row>
    <row r="259" spans="28:59" ht="15" customHeight="1" x14ac:dyDescent="0.3">
      <c r="AB259"/>
      <c r="AC259"/>
      <c r="AD259"/>
      <c r="AE259"/>
      <c r="AF259"/>
      <c r="AG259"/>
      <c r="AH259"/>
      <c r="AI259"/>
      <c r="AJ259" s="25"/>
      <c r="AK259" s="2"/>
      <c r="AR259" s="25"/>
      <c r="BA259" s="2"/>
      <c r="BG259" s="1"/>
    </row>
    <row r="260" spans="28:59" ht="15" customHeight="1" x14ac:dyDescent="0.3">
      <c r="AB260"/>
      <c r="AC260"/>
      <c r="AD260"/>
      <c r="AE260"/>
      <c r="AF260"/>
      <c r="AG260"/>
      <c r="AH260"/>
      <c r="AI260"/>
      <c r="AJ260" s="25"/>
      <c r="AK260" s="2"/>
      <c r="AR260" s="25"/>
      <c r="BA260" s="2"/>
      <c r="BG260" s="1"/>
    </row>
    <row r="261" spans="28:59" ht="15" customHeight="1" x14ac:dyDescent="0.3">
      <c r="AB261"/>
      <c r="AC261"/>
      <c r="AD261"/>
      <c r="AE261"/>
      <c r="AF261"/>
      <c r="AG261"/>
      <c r="AH261"/>
      <c r="AI261"/>
      <c r="AJ261" s="25"/>
      <c r="AK261" s="2"/>
      <c r="AR261" s="25"/>
      <c r="BA261" s="2"/>
      <c r="BG261" s="1"/>
    </row>
    <row r="262" spans="28:59" ht="15" customHeight="1" x14ac:dyDescent="0.3">
      <c r="AB262"/>
      <c r="AC262"/>
      <c r="AD262"/>
      <c r="AE262"/>
      <c r="AF262"/>
      <c r="AG262"/>
      <c r="AH262"/>
      <c r="AI262"/>
      <c r="AJ262" s="25"/>
      <c r="AK262" s="2"/>
      <c r="AR262" s="25"/>
      <c r="BA262" s="2"/>
      <c r="BG262" s="1"/>
    </row>
    <row r="263" spans="28:59" ht="15" customHeight="1" x14ac:dyDescent="0.3">
      <c r="AB263"/>
      <c r="AC263"/>
      <c r="AD263"/>
      <c r="AE263"/>
      <c r="AF263"/>
      <c r="AG263"/>
      <c r="AH263"/>
      <c r="AI263"/>
      <c r="AJ263" s="25"/>
      <c r="AK263" s="2"/>
      <c r="AR263" s="25"/>
      <c r="BA263" s="2"/>
      <c r="BG263" s="1"/>
    </row>
    <row r="264" spans="28:59" ht="15" customHeight="1" x14ac:dyDescent="0.3">
      <c r="AB264"/>
      <c r="AC264"/>
      <c r="AD264"/>
      <c r="AE264"/>
      <c r="AF264"/>
      <c r="AG264"/>
      <c r="AH264"/>
      <c r="AI264"/>
      <c r="AJ264" s="25"/>
      <c r="AK264" s="2"/>
      <c r="AR264" s="25"/>
      <c r="BA264" s="2"/>
      <c r="BG264" s="1"/>
    </row>
    <row r="265" spans="28:59" ht="15" customHeight="1" x14ac:dyDescent="0.3">
      <c r="AB265"/>
      <c r="AC265"/>
      <c r="AD265"/>
      <c r="AE265"/>
      <c r="AF265"/>
      <c r="AG265"/>
      <c r="AH265"/>
      <c r="AI265"/>
      <c r="AJ265" s="25"/>
      <c r="AK265" s="2"/>
      <c r="AR265" s="25"/>
      <c r="BA265" s="2"/>
      <c r="BG265" s="1"/>
    </row>
    <row r="266" spans="28:59" ht="15" customHeight="1" x14ac:dyDescent="0.3">
      <c r="AB266"/>
      <c r="AC266"/>
      <c r="AD266"/>
      <c r="AE266"/>
      <c r="AF266"/>
      <c r="AG266"/>
      <c r="AH266"/>
      <c r="AI266"/>
      <c r="AJ266" s="25"/>
      <c r="AK266" s="2"/>
      <c r="AR266" s="25"/>
      <c r="BA266" s="2"/>
      <c r="BG266" s="1"/>
    </row>
    <row r="267" spans="28:59" ht="15" customHeight="1" x14ac:dyDescent="0.3">
      <c r="AB267"/>
      <c r="AC267"/>
      <c r="AD267"/>
      <c r="AE267"/>
      <c r="AF267"/>
      <c r="AG267"/>
      <c r="AH267"/>
      <c r="AI267"/>
      <c r="AJ267" s="25"/>
      <c r="AK267" s="2"/>
      <c r="AR267" s="25"/>
      <c r="BA267" s="2"/>
      <c r="BG267" s="1"/>
    </row>
    <row r="268" spans="28:59" ht="15" customHeight="1" x14ac:dyDescent="0.3">
      <c r="AB268"/>
      <c r="AC268"/>
      <c r="AD268"/>
      <c r="AE268"/>
      <c r="AF268"/>
      <c r="AG268"/>
      <c r="AH268"/>
      <c r="AI268"/>
      <c r="AJ268" s="25"/>
      <c r="AK268" s="2"/>
      <c r="AR268" s="25"/>
      <c r="BA268" s="2"/>
      <c r="BG268" s="1"/>
    </row>
    <row r="269" spans="28:59" ht="15" customHeight="1" x14ac:dyDescent="0.3">
      <c r="AB269"/>
      <c r="AC269"/>
      <c r="AD269"/>
      <c r="AE269"/>
      <c r="AF269"/>
      <c r="AG269"/>
      <c r="AH269"/>
      <c r="AI269"/>
      <c r="AJ269" s="25"/>
      <c r="AK269" s="2"/>
      <c r="AR269" s="25"/>
      <c r="BA269" s="2"/>
      <c r="BG269" s="1"/>
    </row>
    <row r="270" spans="28:59" ht="15" customHeight="1" x14ac:dyDescent="0.3">
      <c r="AB270"/>
      <c r="AC270"/>
      <c r="AD270"/>
      <c r="AE270"/>
      <c r="AF270"/>
      <c r="AG270"/>
      <c r="AH270"/>
      <c r="AI270"/>
      <c r="AJ270" s="25"/>
      <c r="AK270" s="2"/>
      <c r="AR270" s="25"/>
      <c r="BA270" s="2"/>
      <c r="BG270" s="1"/>
    </row>
    <row r="271" spans="28:59" ht="15" customHeight="1" x14ac:dyDescent="0.3">
      <c r="AB271"/>
      <c r="AC271"/>
      <c r="AD271"/>
      <c r="AE271"/>
      <c r="AF271"/>
      <c r="AG271"/>
      <c r="AH271"/>
      <c r="AI271"/>
      <c r="AJ271" s="25"/>
      <c r="AK271" s="2"/>
      <c r="AR271" s="25"/>
      <c r="BA271" s="2"/>
      <c r="BG271" s="1"/>
    </row>
    <row r="272" spans="28:59" ht="15" customHeight="1" x14ac:dyDescent="0.3">
      <c r="AB272"/>
      <c r="AC272"/>
      <c r="AD272"/>
      <c r="AE272"/>
      <c r="AF272"/>
      <c r="AG272"/>
      <c r="AH272"/>
      <c r="AI272"/>
      <c r="AJ272" s="25"/>
      <c r="AK272" s="2"/>
      <c r="AR272" s="25"/>
      <c r="BA272" s="2"/>
      <c r="BG272" s="1"/>
    </row>
    <row r="273" spans="28:59" ht="15" customHeight="1" x14ac:dyDescent="0.3">
      <c r="AB273"/>
      <c r="AC273"/>
      <c r="AD273"/>
      <c r="AE273"/>
      <c r="AF273"/>
      <c r="AG273"/>
      <c r="AH273"/>
      <c r="AI273"/>
      <c r="AJ273" s="25"/>
      <c r="AK273" s="2"/>
      <c r="AR273" s="25"/>
      <c r="BA273" s="2"/>
      <c r="BG273" s="1"/>
    </row>
    <row r="274" spans="28:59" ht="15" customHeight="1" x14ac:dyDescent="0.3">
      <c r="AB274"/>
      <c r="AC274"/>
      <c r="AD274"/>
      <c r="AE274"/>
      <c r="AF274"/>
      <c r="AG274"/>
      <c r="AH274"/>
      <c r="AI274"/>
      <c r="AJ274" s="25"/>
      <c r="AK274" s="2"/>
      <c r="AR274" s="25"/>
      <c r="BA274" s="2"/>
      <c r="BG274" s="1"/>
    </row>
    <row r="275" spans="28:59" ht="15" customHeight="1" x14ac:dyDescent="0.3">
      <c r="AB275"/>
      <c r="AC275"/>
      <c r="AD275"/>
      <c r="AE275"/>
      <c r="AF275"/>
      <c r="AG275"/>
      <c r="AH275"/>
      <c r="AI275"/>
      <c r="AJ275" s="25"/>
      <c r="AK275" s="2"/>
      <c r="AR275" s="25"/>
      <c r="BA275" s="2"/>
      <c r="BG275" s="1"/>
    </row>
    <row r="276" spans="28:59" ht="15" customHeight="1" x14ac:dyDescent="0.3">
      <c r="AB276"/>
      <c r="AC276"/>
      <c r="AD276"/>
      <c r="AE276"/>
      <c r="AF276"/>
      <c r="AG276"/>
      <c r="AH276"/>
      <c r="AI276"/>
      <c r="AJ276" s="25"/>
      <c r="AK276" s="2"/>
      <c r="AR276" s="25"/>
      <c r="BA276" s="2"/>
      <c r="BG276" s="1"/>
    </row>
    <row r="277" spans="28:59" ht="15" customHeight="1" x14ac:dyDescent="0.3">
      <c r="AB277"/>
      <c r="AC277"/>
      <c r="AD277"/>
      <c r="AE277"/>
      <c r="AF277"/>
      <c r="AG277"/>
      <c r="AH277"/>
      <c r="AI277"/>
      <c r="AJ277" s="25"/>
      <c r="AK277" s="2"/>
      <c r="AR277" s="25"/>
      <c r="BA277" s="2"/>
      <c r="BG277" s="1"/>
    </row>
    <row r="278" spans="28:59" ht="15" customHeight="1" x14ac:dyDescent="0.3">
      <c r="AB278"/>
      <c r="AC278"/>
      <c r="AD278"/>
      <c r="AE278"/>
      <c r="AF278"/>
      <c r="AG278"/>
      <c r="AH278"/>
      <c r="AI278"/>
      <c r="AJ278" s="25"/>
      <c r="AK278" s="2"/>
      <c r="AR278" s="25"/>
      <c r="BA278" s="2"/>
      <c r="BG278" s="1"/>
    </row>
    <row r="279" spans="28:59" ht="15" customHeight="1" x14ac:dyDescent="0.3">
      <c r="AB279"/>
      <c r="AC279"/>
      <c r="AD279"/>
      <c r="AE279"/>
      <c r="AF279"/>
      <c r="AG279"/>
      <c r="AH279"/>
      <c r="AI279"/>
      <c r="AJ279" s="25"/>
      <c r="AK279" s="2"/>
      <c r="AR279" s="25"/>
      <c r="BA279" s="2"/>
      <c r="BG279" s="1"/>
    </row>
    <row r="280" spans="28:59" ht="15" customHeight="1" x14ac:dyDescent="0.3">
      <c r="AB280"/>
      <c r="AC280"/>
      <c r="AD280"/>
      <c r="AE280"/>
      <c r="AF280"/>
      <c r="AG280"/>
      <c r="AH280"/>
      <c r="AI280"/>
      <c r="AJ280" s="25"/>
      <c r="AK280" s="2"/>
      <c r="AR280" s="25"/>
      <c r="BA280" s="2"/>
      <c r="BG280" s="1"/>
    </row>
    <row r="281" spans="28:59" ht="15" customHeight="1" x14ac:dyDescent="0.3">
      <c r="AB281"/>
      <c r="AC281"/>
      <c r="AD281"/>
      <c r="AE281"/>
      <c r="AF281"/>
      <c r="AG281"/>
      <c r="AH281"/>
      <c r="AI281"/>
      <c r="AJ281" s="25"/>
      <c r="AK281" s="2"/>
      <c r="AR281" s="25"/>
      <c r="BA281" s="2"/>
      <c r="BG281" s="1"/>
    </row>
    <row r="282" spans="28:59" ht="15" customHeight="1" x14ac:dyDescent="0.3">
      <c r="AB282"/>
      <c r="AC282"/>
      <c r="AD282"/>
      <c r="AE282"/>
      <c r="AF282"/>
      <c r="AG282"/>
      <c r="AH282"/>
      <c r="AI282"/>
      <c r="AJ282" s="25"/>
      <c r="AK282" s="2"/>
      <c r="AR282" s="25"/>
      <c r="BA282" s="2"/>
      <c r="BG282" s="1"/>
    </row>
    <row r="283" spans="28:59" ht="15" customHeight="1" x14ac:dyDescent="0.3">
      <c r="AB283"/>
      <c r="AC283"/>
      <c r="AD283"/>
      <c r="AE283"/>
      <c r="AF283"/>
      <c r="AG283"/>
      <c r="AH283"/>
      <c r="AI283"/>
      <c r="AJ283" s="25"/>
      <c r="AK283" s="2"/>
      <c r="AR283" s="25"/>
      <c r="BA283" s="2"/>
      <c r="BG283" s="1"/>
    </row>
    <row r="284" spans="28:59" ht="15" customHeight="1" x14ac:dyDescent="0.3">
      <c r="AB284"/>
      <c r="AC284"/>
      <c r="AD284"/>
      <c r="AE284"/>
      <c r="AF284"/>
      <c r="AG284"/>
      <c r="AH284"/>
      <c r="AI284"/>
      <c r="AJ284" s="25"/>
      <c r="AK284" s="2"/>
      <c r="AR284" s="25"/>
      <c r="BA284" s="2"/>
      <c r="BG284" s="1"/>
    </row>
    <row r="285" spans="28:59" ht="15" customHeight="1" x14ac:dyDescent="0.3">
      <c r="AB285"/>
      <c r="AC285"/>
      <c r="AD285"/>
      <c r="AE285"/>
      <c r="AF285"/>
      <c r="AG285"/>
      <c r="AH285"/>
      <c r="AI285"/>
      <c r="AJ285" s="25"/>
      <c r="AK285" s="2"/>
      <c r="AR285" s="25"/>
      <c r="BA285" s="2"/>
      <c r="BG285" s="1"/>
    </row>
    <row r="286" spans="28:59" ht="15" customHeight="1" x14ac:dyDescent="0.3">
      <c r="AB286"/>
      <c r="AC286"/>
      <c r="AD286"/>
      <c r="AE286"/>
      <c r="AF286"/>
      <c r="AG286"/>
      <c r="AH286"/>
      <c r="AI286"/>
      <c r="AJ286" s="25"/>
      <c r="AK286" s="2"/>
      <c r="AR286" s="25"/>
      <c r="BA286" s="2"/>
      <c r="BG286" s="1"/>
    </row>
    <row r="287" spans="28:59" ht="15" customHeight="1" x14ac:dyDescent="0.3">
      <c r="AB287"/>
      <c r="AC287"/>
      <c r="AD287"/>
      <c r="AE287"/>
      <c r="AF287"/>
      <c r="AG287"/>
      <c r="AH287"/>
      <c r="AI287"/>
      <c r="AJ287" s="25"/>
      <c r="AK287" s="2"/>
      <c r="AR287" s="25"/>
      <c r="BA287" s="2"/>
      <c r="BG287" s="1"/>
    </row>
    <row r="288" spans="28:59" ht="15" customHeight="1" x14ac:dyDescent="0.3">
      <c r="AB288"/>
      <c r="AC288"/>
      <c r="AD288"/>
      <c r="AE288"/>
      <c r="AF288"/>
      <c r="AG288"/>
      <c r="AH288"/>
      <c r="AI288"/>
      <c r="AJ288" s="25"/>
      <c r="AK288" s="2"/>
      <c r="AR288" s="25"/>
      <c r="BA288" s="2"/>
      <c r="BG288" s="1"/>
    </row>
    <row r="289" spans="28:59" ht="15" customHeight="1" x14ac:dyDescent="0.3">
      <c r="AB289"/>
      <c r="AC289"/>
      <c r="AD289"/>
      <c r="AE289"/>
      <c r="AF289"/>
      <c r="AG289"/>
      <c r="AH289"/>
      <c r="AI289"/>
      <c r="AJ289" s="25"/>
      <c r="AK289" s="2"/>
      <c r="AR289" s="25"/>
      <c r="BA289" s="2"/>
      <c r="BG289" s="1"/>
    </row>
    <row r="290" spans="28:59" ht="15" customHeight="1" x14ac:dyDescent="0.3">
      <c r="AB290"/>
      <c r="AC290"/>
      <c r="AD290"/>
      <c r="AE290"/>
      <c r="AF290"/>
      <c r="AG290"/>
      <c r="AH290"/>
      <c r="AI290"/>
      <c r="AJ290" s="25"/>
      <c r="AK290" s="2"/>
      <c r="AR290" s="25"/>
      <c r="BA290" s="2"/>
      <c r="BG290" s="1"/>
    </row>
    <row r="291" spans="28:59" ht="15" customHeight="1" x14ac:dyDescent="0.3">
      <c r="AB291"/>
      <c r="AC291"/>
      <c r="AD291"/>
      <c r="AE291"/>
      <c r="AF291"/>
      <c r="AG291"/>
      <c r="AH291"/>
      <c r="AI291"/>
      <c r="AJ291" s="25"/>
      <c r="AK291" s="2"/>
      <c r="AR291" s="25"/>
      <c r="BA291" s="2"/>
      <c r="BG291" s="1"/>
    </row>
    <row r="292" spans="28:59" ht="15" customHeight="1" x14ac:dyDescent="0.3">
      <c r="AB292"/>
      <c r="AC292"/>
      <c r="AD292"/>
      <c r="AE292"/>
      <c r="AF292"/>
      <c r="AG292"/>
      <c r="AH292"/>
      <c r="AI292"/>
      <c r="AJ292" s="25"/>
      <c r="AK292" s="2"/>
      <c r="AR292" s="25"/>
      <c r="BA292" s="2"/>
      <c r="BG292" s="1"/>
    </row>
    <row r="293" spans="28:59" ht="15" customHeight="1" x14ac:dyDescent="0.3">
      <c r="AB293"/>
      <c r="AC293"/>
      <c r="AD293"/>
      <c r="AE293"/>
      <c r="AF293"/>
      <c r="AG293"/>
      <c r="AH293"/>
      <c r="AI293"/>
      <c r="AJ293" s="25"/>
      <c r="AK293" s="2"/>
      <c r="AR293" s="25"/>
      <c r="BA293" s="2"/>
      <c r="BG293" s="1"/>
    </row>
    <row r="294" spans="28:59" ht="15" customHeight="1" x14ac:dyDescent="0.3">
      <c r="AB294"/>
      <c r="AC294"/>
      <c r="AD294"/>
      <c r="AE294"/>
      <c r="AF294"/>
      <c r="AG294"/>
      <c r="AH294"/>
      <c r="AI294"/>
      <c r="AJ294" s="25"/>
      <c r="AK294" s="2"/>
      <c r="AR294" s="25"/>
      <c r="BA294" s="2"/>
      <c r="BG294" s="1"/>
    </row>
    <row r="295" spans="28:59" ht="15" customHeight="1" x14ac:dyDescent="0.3">
      <c r="AB295"/>
      <c r="AC295"/>
      <c r="AD295"/>
      <c r="AE295"/>
      <c r="AF295"/>
      <c r="AG295"/>
      <c r="AH295"/>
      <c r="AI295"/>
      <c r="AJ295" s="25"/>
      <c r="AK295" s="2"/>
      <c r="AR295" s="25"/>
      <c r="BA295" s="2"/>
      <c r="BG295" s="1"/>
    </row>
    <row r="296" spans="28:59" ht="15" customHeight="1" x14ac:dyDescent="0.3">
      <c r="AB296"/>
      <c r="AC296"/>
      <c r="AD296"/>
      <c r="AE296"/>
      <c r="AF296"/>
      <c r="AG296"/>
      <c r="AH296"/>
      <c r="AI296"/>
      <c r="AJ296" s="25"/>
      <c r="AK296" s="2"/>
      <c r="AR296" s="25"/>
      <c r="BA296" s="2"/>
      <c r="BG296" s="1"/>
    </row>
    <row r="297" spans="28:59" ht="15" customHeight="1" x14ac:dyDescent="0.3">
      <c r="AB297"/>
      <c r="AC297"/>
      <c r="AD297"/>
      <c r="AE297"/>
      <c r="AF297"/>
      <c r="AG297"/>
      <c r="AH297"/>
      <c r="AI297"/>
      <c r="AJ297" s="25"/>
      <c r="AK297" s="2"/>
      <c r="AR297" s="25"/>
      <c r="BA297" s="2"/>
      <c r="BG297" s="1"/>
    </row>
    <row r="298" spans="28:59" ht="15" customHeight="1" x14ac:dyDescent="0.3">
      <c r="AB298"/>
      <c r="AC298"/>
      <c r="AD298"/>
      <c r="AE298"/>
      <c r="AF298"/>
      <c r="AG298"/>
      <c r="AH298"/>
      <c r="AI298"/>
      <c r="AJ298" s="25"/>
      <c r="AK298" s="2"/>
      <c r="AR298" s="25"/>
      <c r="BA298" s="2"/>
      <c r="BG298" s="1"/>
    </row>
    <row r="299" spans="28:59" ht="15" customHeight="1" x14ac:dyDescent="0.3">
      <c r="AB299"/>
      <c r="AC299"/>
      <c r="AD299"/>
      <c r="AE299"/>
      <c r="AF299"/>
      <c r="AG299"/>
      <c r="AH299"/>
      <c r="AI299"/>
      <c r="AJ299" s="25"/>
      <c r="AK299" s="2"/>
      <c r="AR299" s="25"/>
      <c r="BA299" s="2"/>
      <c r="BG299" s="1"/>
    </row>
    <row r="300" spans="28:59" ht="15" customHeight="1" x14ac:dyDescent="0.3">
      <c r="AB300"/>
      <c r="AC300"/>
      <c r="AD300"/>
      <c r="AE300"/>
      <c r="AF300"/>
      <c r="AG300"/>
      <c r="AH300"/>
      <c r="AI300"/>
      <c r="AJ300" s="25"/>
      <c r="AK300" s="2"/>
      <c r="AR300" s="25"/>
      <c r="BA300" s="2"/>
      <c r="BG300" s="1"/>
    </row>
    <row r="301" spans="28:59" ht="15" customHeight="1" x14ac:dyDescent="0.3">
      <c r="AB301"/>
      <c r="AC301"/>
      <c r="AD301"/>
      <c r="AE301"/>
      <c r="AF301"/>
      <c r="AG301"/>
      <c r="AH301"/>
      <c r="AI301"/>
      <c r="AJ301" s="25"/>
      <c r="AK301" s="2"/>
      <c r="AR301" s="25"/>
      <c r="BA301" s="2"/>
      <c r="BG301" s="1"/>
    </row>
    <row r="302" spans="28:59" ht="15" customHeight="1" x14ac:dyDescent="0.3">
      <c r="AB302"/>
      <c r="AC302"/>
      <c r="AD302"/>
      <c r="AE302"/>
      <c r="AF302"/>
      <c r="AG302"/>
      <c r="AH302"/>
      <c r="AI302"/>
      <c r="AJ302" s="25"/>
      <c r="AK302" s="2"/>
      <c r="AR302" s="25"/>
      <c r="BA302" s="2"/>
      <c r="BG302" s="1"/>
    </row>
    <row r="303" spans="28:59" ht="15" customHeight="1" x14ac:dyDescent="0.3">
      <c r="AB303"/>
      <c r="AC303"/>
      <c r="AD303"/>
      <c r="AE303"/>
      <c r="AF303"/>
      <c r="AG303"/>
      <c r="AH303"/>
      <c r="AI303"/>
      <c r="AJ303" s="25"/>
      <c r="AK303" s="2"/>
      <c r="AR303" s="25"/>
      <c r="BA303" s="2"/>
      <c r="BG303" s="1"/>
    </row>
    <row r="304" spans="28:59" ht="15" customHeight="1" x14ac:dyDescent="0.3">
      <c r="AB304"/>
      <c r="AC304"/>
      <c r="AD304"/>
      <c r="AE304"/>
      <c r="AF304"/>
      <c r="AG304"/>
      <c r="AH304"/>
      <c r="AI304"/>
      <c r="AJ304" s="25"/>
      <c r="AK304" s="2"/>
      <c r="AR304" s="25"/>
      <c r="BA304" s="2"/>
      <c r="BG304" s="1"/>
    </row>
    <row r="305" spans="28:59" ht="15" customHeight="1" x14ac:dyDescent="0.3">
      <c r="AB305"/>
      <c r="AC305"/>
      <c r="AD305"/>
      <c r="AE305"/>
      <c r="AF305"/>
      <c r="AG305"/>
      <c r="AH305"/>
      <c r="AI305"/>
      <c r="AJ305" s="25"/>
      <c r="AK305" s="2"/>
      <c r="AR305" s="25"/>
      <c r="BA305" s="2"/>
      <c r="BG305" s="1"/>
    </row>
    <row r="306" spans="28:59" ht="15" customHeight="1" x14ac:dyDescent="0.3">
      <c r="AB306"/>
      <c r="AC306"/>
      <c r="AD306"/>
      <c r="AE306"/>
      <c r="AF306"/>
      <c r="AG306"/>
      <c r="AH306"/>
      <c r="AI306"/>
      <c r="AJ306" s="25"/>
      <c r="AK306" s="2"/>
      <c r="AR306" s="25"/>
      <c r="BA306" s="2"/>
      <c r="BG306" s="1"/>
    </row>
    <row r="307" spans="28:59" ht="15" customHeight="1" x14ac:dyDescent="0.3">
      <c r="AB307"/>
      <c r="AC307"/>
      <c r="AD307"/>
      <c r="AE307"/>
      <c r="AF307"/>
      <c r="AG307"/>
      <c r="AH307"/>
      <c r="AI307"/>
      <c r="AJ307" s="25"/>
      <c r="AK307" s="2"/>
      <c r="AR307" s="25"/>
      <c r="BA307" s="2"/>
      <c r="BG307" s="1"/>
    </row>
    <row r="308" spans="28:59" ht="15" customHeight="1" x14ac:dyDescent="0.3">
      <c r="AB308"/>
      <c r="AC308"/>
      <c r="AD308"/>
      <c r="AE308"/>
      <c r="AF308"/>
      <c r="AG308"/>
      <c r="AH308"/>
      <c r="AI308"/>
      <c r="AJ308" s="25"/>
      <c r="AK308" s="2"/>
      <c r="AR308" s="25"/>
      <c r="BA308" s="2"/>
      <c r="BG308" s="1"/>
    </row>
    <row r="309" spans="28:59" ht="15" customHeight="1" x14ac:dyDescent="0.3">
      <c r="AB309"/>
      <c r="AC309"/>
      <c r="AD309"/>
      <c r="AE309"/>
      <c r="AF309"/>
      <c r="AG309"/>
      <c r="AH309"/>
      <c r="AI309"/>
      <c r="AJ309" s="25"/>
      <c r="AK309" s="2"/>
      <c r="AR309" s="25"/>
      <c r="BA309" s="2"/>
      <c r="BG309" s="1"/>
    </row>
    <row r="310" spans="28:59" ht="15" customHeight="1" x14ac:dyDescent="0.3">
      <c r="AB310"/>
      <c r="AC310"/>
      <c r="AD310"/>
      <c r="AE310"/>
      <c r="AF310"/>
      <c r="AG310"/>
      <c r="AH310"/>
      <c r="AI310"/>
      <c r="AJ310" s="25"/>
      <c r="AK310" s="2"/>
      <c r="AR310" s="25"/>
      <c r="BA310" s="2"/>
      <c r="BG310" s="1"/>
    </row>
    <row r="311" spans="28:59" ht="15" customHeight="1" x14ac:dyDescent="0.3">
      <c r="AB311"/>
      <c r="AC311"/>
      <c r="AD311"/>
      <c r="AE311"/>
      <c r="AF311"/>
      <c r="AG311"/>
      <c r="AH311"/>
      <c r="AI311"/>
      <c r="AJ311" s="25"/>
      <c r="AK311" s="2"/>
      <c r="AR311" s="25"/>
      <c r="BA311" s="2"/>
      <c r="BG311" s="1"/>
    </row>
    <row r="312" spans="28:59" ht="15" customHeight="1" x14ac:dyDescent="0.3">
      <c r="AB312"/>
      <c r="AC312"/>
      <c r="AD312"/>
      <c r="AE312"/>
      <c r="AF312"/>
      <c r="AG312"/>
      <c r="AH312"/>
      <c r="AI312"/>
      <c r="AJ312" s="25"/>
      <c r="AK312" s="2"/>
      <c r="AR312" s="25"/>
      <c r="BA312" s="2"/>
      <c r="BG312" s="1"/>
    </row>
    <row r="313" spans="28:59" ht="15" customHeight="1" x14ac:dyDescent="0.3">
      <c r="AB313"/>
      <c r="AC313"/>
      <c r="AD313"/>
      <c r="AE313"/>
      <c r="AF313"/>
      <c r="AG313"/>
      <c r="AH313"/>
      <c r="AI313"/>
      <c r="AJ313" s="25"/>
      <c r="AK313" s="2"/>
      <c r="AR313" s="25"/>
      <c r="BA313" s="2"/>
      <c r="BG313" s="1"/>
    </row>
    <row r="314" spans="28:59" ht="15" customHeight="1" x14ac:dyDescent="0.3">
      <c r="AB314"/>
      <c r="AC314"/>
      <c r="AD314"/>
      <c r="AE314"/>
      <c r="AF314"/>
      <c r="AG314"/>
      <c r="AH314"/>
      <c r="AI314"/>
      <c r="AJ314" s="25"/>
      <c r="AK314" s="2"/>
      <c r="AR314" s="25"/>
      <c r="BA314" s="2"/>
      <c r="BG314" s="1"/>
    </row>
    <row r="315" spans="28:59" ht="15" customHeight="1" x14ac:dyDescent="0.3">
      <c r="AB315"/>
      <c r="AC315"/>
      <c r="AD315"/>
      <c r="AE315"/>
      <c r="AF315"/>
      <c r="AG315"/>
      <c r="AH315"/>
      <c r="AI315"/>
      <c r="AJ315" s="25"/>
      <c r="AK315" s="2"/>
      <c r="AR315" s="25"/>
      <c r="BA315" s="2"/>
      <c r="BG315" s="1"/>
    </row>
    <row r="316" spans="28:59" ht="15" customHeight="1" x14ac:dyDescent="0.3">
      <c r="AB316"/>
      <c r="AC316"/>
      <c r="AD316"/>
      <c r="AE316"/>
      <c r="AF316"/>
      <c r="AG316"/>
      <c r="AH316"/>
      <c r="AI316"/>
      <c r="AJ316" s="25"/>
      <c r="AK316" s="2"/>
      <c r="AR316" s="25"/>
      <c r="BA316" s="2"/>
      <c r="BG316" s="1"/>
    </row>
    <row r="317" spans="28:59" ht="15" customHeight="1" x14ac:dyDescent="0.3">
      <c r="AB317"/>
      <c r="AC317"/>
      <c r="AD317"/>
      <c r="AE317"/>
      <c r="AF317"/>
      <c r="AG317"/>
      <c r="AH317"/>
      <c r="AI317"/>
      <c r="AJ317" s="25"/>
      <c r="AK317" s="2"/>
      <c r="AR317" s="25"/>
      <c r="BA317" s="2"/>
      <c r="BG317" s="1"/>
    </row>
    <row r="318" spans="28:59" ht="15" customHeight="1" x14ac:dyDescent="0.3">
      <c r="AB318"/>
      <c r="AC318"/>
      <c r="AD318"/>
      <c r="AE318"/>
      <c r="AF318"/>
      <c r="AG318"/>
      <c r="AH318"/>
      <c r="AI318"/>
      <c r="AJ318" s="25"/>
      <c r="AK318" s="2"/>
      <c r="AR318" s="25"/>
      <c r="BA318" s="2"/>
      <c r="BG318" s="1"/>
    </row>
    <row r="319" spans="28:59" ht="15" customHeight="1" x14ac:dyDescent="0.3">
      <c r="AB319"/>
      <c r="AC319"/>
      <c r="AD319"/>
      <c r="AE319"/>
      <c r="AF319"/>
      <c r="AG319"/>
      <c r="AH319"/>
      <c r="AI319"/>
      <c r="AJ319" s="25"/>
      <c r="AK319" s="2"/>
      <c r="AR319" s="25"/>
      <c r="BA319" s="2"/>
      <c r="BG319" s="1"/>
    </row>
    <row r="320" spans="28:59" ht="15" customHeight="1" x14ac:dyDescent="0.3">
      <c r="AB320"/>
      <c r="AC320"/>
      <c r="AD320"/>
      <c r="AE320"/>
      <c r="AF320"/>
      <c r="AG320"/>
      <c r="AH320"/>
      <c r="AI320"/>
      <c r="AJ320" s="25"/>
      <c r="AK320" s="2"/>
      <c r="AR320" s="25"/>
      <c r="BA320" s="2"/>
      <c r="BG320" s="1"/>
    </row>
    <row r="321" spans="28:59" ht="15" customHeight="1" x14ac:dyDescent="0.3">
      <c r="AB321"/>
      <c r="AC321"/>
      <c r="AD321"/>
      <c r="AE321"/>
      <c r="AF321"/>
      <c r="AG321"/>
      <c r="AH321"/>
      <c r="AI321"/>
      <c r="AJ321" s="25"/>
      <c r="AK321" s="2"/>
      <c r="AR321" s="25"/>
      <c r="BA321" s="2"/>
      <c r="BG321" s="1"/>
    </row>
    <row r="322" spans="28:59" ht="15" customHeight="1" x14ac:dyDescent="0.3">
      <c r="AB322"/>
      <c r="AC322"/>
      <c r="AD322"/>
      <c r="AE322"/>
      <c r="AF322"/>
      <c r="AG322"/>
      <c r="AH322"/>
      <c r="AI322"/>
      <c r="AJ322" s="25"/>
      <c r="AK322" s="2"/>
      <c r="AR322" s="25"/>
      <c r="BA322" s="2"/>
      <c r="BG322" s="1"/>
    </row>
    <row r="323" spans="28:59" ht="15" customHeight="1" x14ac:dyDescent="0.3">
      <c r="AB323"/>
      <c r="AC323"/>
      <c r="AD323"/>
      <c r="AE323"/>
      <c r="AF323"/>
      <c r="AG323"/>
      <c r="AH323"/>
      <c r="AI323"/>
      <c r="AJ323" s="25"/>
      <c r="AK323" s="2"/>
      <c r="AR323" s="25"/>
      <c r="BA323" s="2"/>
      <c r="BG323" s="1"/>
    </row>
    <row r="324" spans="28:59" ht="15" customHeight="1" x14ac:dyDescent="0.3">
      <c r="AB324"/>
      <c r="AC324"/>
      <c r="AD324"/>
      <c r="AE324"/>
      <c r="AF324"/>
      <c r="AG324"/>
      <c r="AH324"/>
      <c r="AI324"/>
      <c r="AJ324" s="25"/>
      <c r="AK324" s="2"/>
      <c r="AR324" s="25"/>
      <c r="BA324" s="2"/>
      <c r="BG324" s="1"/>
    </row>
    <row r="325" spans="28:59" ht="15" customHeight="1" x14ac:dyDescent="0.3">
      <c r="AB325"/>
      <c r="AC325"/>
      <c r="AD325"/>
      <c r="AE325"/>
      <c r="AF325"/>
      <c r="AG325"/>
      <c r="AH325"/>
      <c r="AI325"/>
      <c r="AJ325" s="25"/>
      <c r="AK325" s="2"/>
      <c r="AR325" s="25"/>
      <c r="BA325" s="2"/>
      <c r="BG325" s="1"/>
    </row>
    <row r="326" spans="28:59" ht="15" customHeight="1" x14ac:dyDescent="0.3">
      <c r="AB326"/>
      <c r="AC326"/>
      <c r="AD326"/>
      <c r="AE326"/>
      <c r="AF326"/>
      <c r="AG326"/>
      <c r="AH326"/>
      <c r="AI326"/>
      <c r="AJ326" s="25"/>
      <c r="AK326" s="2"/>
      <c r="AR326" s="25"/>
      <c r="BA326" s="2"/>
      <c r="BG326" s="1"/>
    </row>
    <row r="327" spans="28:59" ht="15" customHeight="1" x14ac:dyDescent="0.3">
      <c r="AB327"/>
      <c r="AC327"/>
      <c r="AD327"/>
      <c r="AE327"/>
      <c r="AF327"/>
      <c r="AG327"/>
      <c r="AH327"/>
      <c r="AI327"/>
      <c r="AJ327" s="25"/>
      <c r="AK327" s="2"/>
      <c r="AR327" s="25"/>
      <c r="BA327" s="2"/>
      <c r="BG327" s="1"/>
    </row>
    <row r="328" spans="28:59" ht="15" customHeight="1" x14ac:dyDescent="0.3">
      <c r="AB328"/>
      <c r="AC328"/>
      <c r="AD328"/>
      <c r="AE328"/>
      <c r="AF328"/>
      <c r="AG328"/>
      <c r="AH328"/>
      <c r="AI328"/>
      <c r="AJ328" s="25"/>
      <c r="AK328" s="2"/>
      <c r="AR328" s="25"/>
      <c r="BA328" s="2"/>
      <c r="BG328" s="1"/>
    </row>
    <row r="329" spans="28:59" ht="15" customHeight="1" x14ac:dyDescent="0.3">
      <c r="AB329"/>
      <c r="AC329"/>
      <c r="AD329"/>
      <c r="AE329"/>
      <c r="AF329"/>
      <c r="AG329"/>
      <c r="AH329"/>
      <c r="AI329"/>
      <c r="AJ329" s="25"/>
      <c r="AK329" s="2"/>
      <c r="AR329" s="25"/>
      <c r="BA329" s="2"/>
      <c r="BG329" s="1"/>
    </row>
    <row r="330" spans="28:59" ht="15" customHeight="1" x14ac:dyDescent="0.3">
      <c r="AB330"/>
      <c r="AC330"/>
      <c r="AD330"/>
      <c r="AE330"/>
      <c r="AF330"/>
      <c r="AG330"/>
      <c r="AH330"/>
      <c r="AI330"/>
      <c r="AJ330" s="25"/>
      <c r="AK330" s="2"/>
      <c r="AR330" s="25"/>
      <c r="BA330" s="2"/>
      <c r="BG330" s="1"/>
    </row>
    <row r="331" spans="28:59" ht="15" customHeight="1" x14ac:dyDescent="0.3">
      <c r="AB331"/>
      <c r="AC331"/>
      <c r="AD331"/>
      <c r="AE331"/>
      <c r="AF331"/>
      <c r="AG331"/>
      <c r="AH331"/>
      <c r="AI331"/>
      <c r="AJ331" s="25"/>
      <c r="AK331" s="2"/>
      <c r="AR331" s="25"/>
      <c r="BA331" s="2"/>
      <c r="BG331" s="1"/>
    </row>
    <row r="332" spans="28:59" ht="15" customHeight="1" x14ac:dyDescent="0.3">
      <c r="AB332"/>
      <c r="AC332"/>
      <c r="AD332"/>
      <c r="AE332"/>
      <c r="AF332"/>
      <c r="AG332"/>
      <c r="AH332"/>
      <c r="AI332"/>
      <c r="AJ332" s="25"/>
      <c r="AK332" s="2"/>
      <c r="AR332" s="25"/>
      <c r="BA332" s="2"/>
      <c r="BG332" s="1"/>
    </row>
    <row r="333" spans="28:59" ht="15" customHeight="1" x14ac:dyDescent="0.3">
      <c r="AB333"/>
      <c r="AC333"/>
      <c r="AD333"/>
      <c r="AE333"/>
      <c r="AF333"/>
      <c r="AG333"/>
      <c r="AH333"/>
      <c r="AI333"/>
      <c r="AJ333" s="25"/>
      <c r="AK333" s="2"/>
      <c r="AR333" s="25"/>
      <c r="BA333" s="2"/>
      <c r="BG333" s="1"/>
    </row>
    <row r="334" spans="28:59" ht="15" customHeight="1" x14ac:dyDescent="0.3">
      <c r="AB334"/>
      <c r="AC334"/>
      <c r="AD334"/>
      <c r="AE334"/>
      <c r="AF334"/>
      <c r="AG334"/>
      <c r="AH334"/>
      <c r="AI334"/>
      <c r="AJ334" s="25"/>
      <c r="AK334" s="2"/>
      <c r="AR334" s="25"/>
      <c r="BA334" s="2"/>
      <c r="BG334" s="1"/>
    </row>
    <row r="335" spans="28:59" ht="15" customHeight="1" x14ac:dyDescent="0.3">
      <c r="AB335"/>
      <c r="AC335"/>
      <c r="AD335"/>
      <c r="AE335"/>
      <c r="AF335"/>
      <c r="AG335"/>
      <c r="AH335"/>
      <c r="AI335"/>
      <c r="AJ335" s="25"/>
      <c r="AK335" s="2"/>
      <c r="AR335" s="25"/>
      <c r="BA335" s="2"/>
      <c r="BG335" s="1"/>
    </row>
    <row r="336" spans="28:59" ht="15" customHeight="1" x14ac:dyDescent="0.3">
      <c r="AB336"/>
      <c r="AC336"/>
      <c r="AD336"/>
      <c r="AE336"/>
      <c r="AF336"/>
      <c r="AG336"/>
      <c r="AH336"/>
      <c r="AI336"/>
      <c r="AJ336" s="25"/>
      <c r="AK336" s="2"/>
      <c r="AR336" s="25"/>
      <c r="BA336" s="2"/>
      <c r="BG336" s="1"/>
    </row>
    <row r="337" spans="28:59" ht="15" customHeight="1" x14ac:dyDescent="0.3">
      <c r="AB337"/>
      <c r="AC337"/>
      <c r="AD337"/>
      <c r="AE337"/>
      <c r="AF337"/>
      <c r="AG337"/>
      <c r="AH337"/>
      <c r="AI337"/>
      <c r="AJ337" s="25"/>
      <c r="AK337" s="2"/>
      <c r="AR337" s="25"/>
      <c r="BA337" s="2"/>
      <c r="BG337" s="1"/>
    </row>
    <row r="338" spans="28:59" ht="15" customHeight="1" x14ac:dyDescent="0.3">
      <c r="AB338"/>
      <c r="AC338"/>
      <c r="AD338"/>
      <c r="AE338"/>
      <c r="AF338"/>
      <c r="AG338"/>
      <c r="AH338"/>
      <c r="AI338"/>
      <c r="AJ338" s="25"/>
      <c r="AK338" s="2"/>
      <c r="AR338" s="25"/>
      <c r="BA338" s="2"/>
      <c r="BG338" s="1"/>
    </row>
    <row r="339" spans="28:59" ht="15" customHeight="1" x14ac:dyDescent="0.3">
      <c r="AB339"/>
      <c r="AC339"/>
      <c r="AD339"/>
      <c r="AE339"/>
      <c r="AF339"/>
      <c r="AG339"/>
      <c r="AH339"/>
      <c r="AI339"/>
      <c r="AJ339" s="25"/>
      <c r="AK339" s="2"/>
      <c r="AR339" s="25"/>
      <c r="BA339" s="2"/>
      <c r="BG339" s="1"/>
    </row>
    <row r="340" spans="28:59" ht="15" customHeight="1" x14ac:dyDescent="0.3">
      <c r="AB340"/>
      <c r="AC340"/>
      <c r="AD340"/>
      <c r="AE340"/>
      <c r="AF340"/>
      <c r="AG340"/>
      <c r="AH340"/>
      <c r="AI340"/>
      <c r="AJ340" s="25"/>
      <c r="AK340" s="2"/>
      <c r="AR340" s="25"/>
      <c r="BA340" s="2"/>
      <c r="BG340" s="1"/>
    </row>
    <row r="341" spans="28:59" ht="15" customHeight="1" x14ac:dyDescent="0.3">
      <c r="AB341"/>
      <c r="AC341"/>
      <c r="AD341"/>
      <c r="AE341"/>
      <c r="AF341"/>
      <c r="AG341"/>
      <c r="AH341"/>
      <c r="AI341"/>
      <c r="AJ341" s="25"/>
      <c r="AK341" s="2"/>
      <c r="AR341" s="25"/>
      <c r="BA341" s="2"/>
      <c r="BG341" s="1"/>
    </row>
    <row r="342" spans="28:59" ht="15" customHeight="1" x14ac:dyDescent="0.3">
      <c r="AB342"/>
      <c r="AC342"/>
      <c r="AD342"/>
      <c r="AE342"/>
      <c r="AF342"/>
      <c r="AG342"/>
      <c r="AH342"/>
      <c r="AI342"/>
      <c r="AJ342" s="25"/>
      <c r="AK342" s="2"/>
      <c r="AR342" s="25"/>
      <c r="BA342" s="2"/>
      <c r="BG342" s="1"/>
    </row>
    <row r="343" spans="28:59" ht="15" customHeight="1" x14ac:dyDescent="0.3">
      <c r="AB343"/>
      <c r="AC343"/>
      <c r="AD343"/>
      <c r="AE343"/>
      <c r="AF343"/>
      <c r="AG343"/>
      <c r="AH343"/>
      <c r="AI343"/>
      <c r="AJ343" s="25"/>
      <c r="AK343" s="2"/>
      <c r="AR343" s="25"/>
      <c r="BA343" s="2"/>
      <c r="BG343" s="1"/>
    </row>
    <row r="344" spans="28:59" ht="15" customHeight="1" x14ac:dyDescent="0.3">
      <c r="AB344"/>
      <c r="AC344"/>
      <c r="AD344"/>
      <c r="AE344"/>
      <c r="AF344"/>
      <c r="AG344"/>
      <c r="AH344"/>
      <c r="AI344"/>
      <c r="AJ344" s="25"/>
      <c r="AK344" s="2"/>
      <c r="AR344" s="25"/>
      <c r="BA344" s="2"/>
      <c r="BG344" s="1"/>
    </row>
    <row r="345" spans="28:59" ht="15" customHeight="1" x14ac:dyDescent="0.3">
      <c r="AB345"/>
      <c r="AC345"/>
      <c r="AD345"/>
      <c r="AE345"/>
      <c r="AF345"/>
      <c r="AG345"/>
      <c r="AH345"/>
      <c r="AI345"/>
      <c r="AJ345" s="25"/>
      <c r="AK345" s="2"/>
      <c r="AR345" s="25"/>
      <c r="BA345" s="2"/>
      <c r="BG345" s="1"/>
    </row>
    <row r="346" spans="28:59" ht="15" customHeight="1" x14ac:dyDescent="0.3">
      <c r="AB346"/>
      <c r="AC346"/>
      <c r="AD346"/>
      <c r="AE346"/>
      <c r="AF346"/>
      <c r="AG346"/>
      <c r="AH346"/>
      <c r="AI346"/>
      <c r="AJ346" s="25"/>
      <c r="AK346" s="2"/>
      <c r="AR346" s="25"/>
      <c r="BA346" s="2"/>
      <c r="BG346" s="1"/>
    </row>
    <row r="347" spans="28:59" ht="15" customHeight="1" x14ac:dyDescent="0.3">
      <c r="AB347"/>
      <c r="AC347"/>
      <c r="AD347"/>
      <c r="AE347"/>
      <c r="AF347"/>
      <c r="AG347"/>
      <c r="AH347"/>
      <c r="AI347"/>
      <c r="AJ347" s="25"/>
      <c r="AK347" s="2"/>
      <c r="AR347" s="25"/>
      <c r="BA347" s="2"/>
      <c r="BG347" s="1"/>
    </row>
    <row r="348" spans="28:59" ht="15" customHeight="1" x14ac:dyDescent="0.3">
      <c r="AB348"/>
      <c r="AC348"/>
      <c r="AD348"/>
      <c r="AE348"/>
      <c r="AF348"/>
      <c r="AG348"/>
      <c r="AH348"/>
      <c r="AI348"/>
      <c r="AJ348" s="25"/>
      <c r="AK348" s="2"/>
      <c r="AR348" s="25"/>
      <c r="BA348" s="2"/>
      <c r="BG348" s="1"/>
    </row>
    <row r="349" spans="28:59" ht="15" customHeight="1" x14ac:dyDescent="0.3">
      <c r="AB349"/>
      <c r="AC349"/>
      <c r="AD349"/>
      <c r="AE349"/>
      <c r="AF349"/>
      <c r="AG349"/>
      <c r="AH349"/>
      <c r="AI349"/>
      <c r="AJ349" s="25"/>
      <c r="AK349" s="2"/>
      <c r="AR349" s="25"/>
      <c r="BA349" s="2"/>
      <c r="BG349" s="1"/>
    </row>
    <row r="350" spans="28:59" ht="15" customHeight="1" x14ac:dyDescent="0.3">
      <c r="AB350"/>
      <c r="AC350"/>
      <c r="AD350"/>
      <c r="AE350"/>
      <c r="AF350"/>
      <c r="AG350"/>
      <c r="AH350"/>
      <c r="AI350"/>
      <c r="AJ350" s="25"/>
      <c r="AK350" s="2"/>
      <c r="AR350" s="25"/>
      <c r="BA350" s="2"/>
      <c r="BG350" s="1"/>
    </row>
    <row r="351" spans="28:59" ht="15" customHeight="1" x14ac:dyDescent="0.3">
      <c r="AB351"/>
      <c r="AC351"/>
      <c r="AD351"/>
      <c r="AE351"/>
      <c r="AF351"/>
      <c r="AG351"/>
      <c r="AH351"/>
      <c r="AI351"/>
      <c r="AJ351" s="25"/>
      <c r="AK351" s="2"/>
      <c r="AR351" s="25"/>
      <c r="BA351" s="2"/>
      <c r="BG351" s="1"/>
    </row>
    <row r="352" spans="28:59" ht="15" customHeight="1" x14ac:dyDescent="0.3">
      <c r="AB352"/>
      <c r="AC352"/>
      <c r="AD352"/>
      <c r="AE352"/>
      <c r="AF352"/>
      <c r="AG352"/>
      <c r="AH352"/>
      <c r="AI352"/>
      <c r="AJ352" s="25"/>
      <c r="AK352" s="2"/>
      <c r="AR352" s="25"/>
      <c r="BA352" s="2"/>
      <c r="BG352" s="1"/>
    </row>
    <row r="353" spans="28:59" ht="15" customHeight="1" x14ac:dyDescent="0.3">
      <c r="AB353"/>
      <c r="AC353"/>
      <c r="AD353"/>
      <c r="AE353"/>
      <c r="AF353"/>
      <c r="AG353"/>
      <c r="AH353"/>
      <c r="AI353"/>
      <c r="AJ353" s="25"/>
      <c r="AK353" s="2"/>
      <c r="AR353" s="25"/>
      <c r="BA353" s="2"/>
      <c r="BG353" s="1"/>
    </row>
    <row r="354" spans="28:59" ht="15" customHeight="1" x14ac:dyDescent="0.3">
      <c r="AB354"/>
      <c r="AC354"/>
      <c r="AD354"/>
      <c r="AE354"/>
      <c r="AF354"/>
      <c r="AG354"/>
      <c r="AH354"/>
      <c r="AI354"/>
      <c r="AJ354" s="25"/>
      <c r="AK354" s="2"/>
      <c r="AR354" s="25"/>
      <c r="BA354" s="2"/>
      <c r="BG354" s="1"/>
    </row>
    <row r="355" spans="28:59" ht="15" customHeight="1" x14ac:dyDescent="0.3">
      <c r="AB355"/>
      <c r="AC355"/>
      <c r="AD355"/>
      <c r="AE355"/>
      <c r="AF355"/>
      <c r="AG355"/>
      <c r="AH355"/>
      <c r="AI355"/>
      <c r="AJ355" s="25"/>
      <c r="AK355" s="2"/>
      <c r="AR355" s="25"/>
      <c r="BA355" s="2"/>
      <c r="BG355" s="1"/>
    </row>
    <row r="356" spans="28:59" ht="15" customHeight="1" x14ac:dyDescent="0.3">
      <c r="AB356"/>
      <c r="AC356"/>
      <c r="AD356"/>
      <c r="AE356"/>
      <c r="AF356"/>
      <c r="AG356"/>
      <c r="AH356"/>
      <c r="AI356"/>
      <c r="AJ356" s="25"/>
      <c r="AK356" s="2"/>
      <c r="AR356" s="25"/>
      <c r="BA356" s="2"/>
      <c r="BG356" s="1"/>
    </row>
    <row r="357" spans="28:59" ht="15" customHeight="1" x14ac:dyDescent="0.3">
      <c r="AB357"/>
      <c r="AC357"/>
      <c r="AD357"/>
      <c r="AE357"/>
      <c r="AF357"/>
      <c r="AG357"/>
      <c r="AH357"/>
      <c r="AI357"/>
      <c r="AJ357" s="25"/>
      <c r="AK357" s="2"/>
      <c r="AR357" s="25"/>
      <c r="BA357" s="2"/>
      <c r="BG357" s="1"/>
    </row>
    <row r="358" spans="28:59" ht="15" customHeight="1" x14ac:dyDescent="0.3">
      <c r="AB358"/>
      <c r="AC358"/>
      <c r="AD358"/>
      <c r="AE358"/>
      <c r="AF358"/>
      <c r="AG358"/>
      <c r="AH358"/>
      <c r="AI358"/>
      <c r="AJ358" s="25"/>
      <c r="AK358" s="2"/>
      <c r="AR358" s="25"/>
      <c r="BA358" s="2"/>
      <c r="BG358" s="1"/>
    </row>
    <row r="359" spans="28:59" ht="15" customHeight="1" x14ac:dyDescent="0.3">
      <c r="AB359"/>
      <c r="AC359"/>
      <c r="AD359"/>
      <c r="AE359"/>
      <c r="AF359"/>
      <c r="AG359"/>
      <c r="AH359"/>
      <c r="AI359"/>
      <c r="AJ359" s="25"/>
      <c r="AK359" s="2"/>
      <c r="AR359" s="25"/>
      <c r="BA359" s="2"/>
      <c r="BG359" s="1"/>
    </row>
    <row r="360" spans="28:59" ht="15" customHeight="1" x14ac:dyDescent="0.3">
      <c r="AB360"/>
      <c r="AC360"/>
      <c r="AD360"/>
      <c r="AE360"/>
      <c r="AF360"/>
      <c r="AG360"/>
      <c r="AH360"/>
      <c r="AI360"/>
      <c r="AJ360" s="25"/>
      <c r="AK360" s="2"/>
      <c r="AR360" s="25"/>
      <c r="BA360" s="2"/>
      <c r="BG360" s="1"/>
    </row>
    <row r="361" spans="28:59" ht="15" customHeight="1" x14ac:dyDescent="0.3">
      <c r="AB361"/>
      <c r="AC361"/>
      <c r="AD361"/>
      <c r="AE361"/>
      <c r="AF361"/>
      <c r="AG361"/>
      <c r="AH361"/>
      <c r="AI361"/>
      <c r="AJ361" s="25"/>
      <c r="AK361" s="2"/>
      <c r="AR361" s="25"/>
      <c r="BA361" s="2"/>
      <c r="BG361" s="1"/>
    </row>
    <row r="362" spans="28:59" ht="15" customHeight="1" x14ac:dyDescent="0.3">
      <c r="AB362"/>
      <c r="AC362"/>
      <c r="AD362"/>
      <c r="AE362"/>
      <c r="AF362"/>
      <c r="AG362"/>
      <c r="AH362"/>
      <c r="AI362"/>
      <c r="AJ362" s="25"/>
      <c r="AK362" s="2"/>
      <c r="AR362" s="25"/>
      <c r="BA362" s="2"/>
      <c r="BG362" s="1"/>
    </row>
    <row r="363" spans="28:59" ht="15" customHeight="1" x14ac:dyDescent="0.3">
      <c r="AB363"/>
      <c r="AC363"/>
      <c r="AD363"/>
      <c r="AE363"/>
      <c r="AF363"/>
      <c r="AG363"/>
      <c r="AH363"/>
      <c r="AI363"/>
      <c r="AJ363" s="25"/>
      <c r="AK363" s="2"/>
      <c r="AR363" s="25"/>
      <c r="BA363" s="2"/>
      <c r="BG363" s="1"/>
    </row>
    <row r="364" spans="28:59" ht="15" customHeight="1" x14ac:dyDescent="0.3">
      <c r="AB364"/>
      <c r="AC364"/>
      <c r="AD364"/>
      <c r="AE364"/>
      <c r="AF364"/>
      <c r="AG364"/>
      <c r="AH364"/>
      <c r="AI364"/>
      <c r="AJ364" s="25"/>
      <c r="AK364" s="2"/>
      <c r="AR364" s="25"/>
      <c r="BA364" s="2"/>
      <c r="BG364" s="1"/>
    </row>
    <row r="365" spans="28:59" ht="15" customHeight="1" x14ac:dyDescent="0.3">
      <c r="AB365"/>
      <c r="AC365"/>
      <c r="AD365"/>
      <c r="AE365"/>
      <c r="AF365"/>
      <c r="AG365"/>
      <c r="AH365"/>
      <c r="AI365"/>
      <c r="AJ365" s="25"/>
      <c r="AK365" s="2"/>
      <c r="AR365" s="25"/>
      <c r="BA365" s="2"/>
      <c r="BG365" s="1"/>
    </row>
    <row r="366" spans="28:59" ht="15" customHeight="1" x14ac:dyDescent="0.3">
      <c r="AB366"/>
      <c r="AC366"/>
      <c r="AD366"/>
      <c r="AE366"/>
      <c r="AF366"/>
      <c r="AG366"/>
      <c r="AH366"/>
      <c r="AI366"/>
      <c r="AJ366" s="25"/>
      <c r="AK366" s="2"/>
      <c r="AR366" s="25"/>
      <c r="BA366" s="2"/>
      <c r="BG366" s="1"/>
    </row>
    <row r="367" spans="28:59" ht="15" customHeight="1" x14ac:dyDescent="0.3">
      <c r="AB367"/>
      <c r="AC367"/>
      <c r="AD367"/>
      <c r="AE367"/>
      <c r="AF367"/>
      <c r="AG367"/>
      <c r="AH367"/>
      <c r="AI367"/>
      <c r="AJ367" s="25"/>
      <c r="AK367" s="2"/>
      <c r="AR367" s="25"/>
      <c r="BA367" s="2"/>
      <c r="BG367" s="1"/>
    </row>
    <row r="368" spans="28:59" ht="15" customHeight="1" x14ac:dyDescent="0.3">
      <c r="AB368"/>
      <c r="AC368"/>
      <c r="AD368"/>
      <c r="AE368"/>
      <c r="AF368"/>
      <c r="AG368"/>
      <c r="AH368"/>
      <c r="AI368"/>
      <c r="AJ368" s="25"/>
      <c r="AK368" s="2"/>
      <c r="AR368" s="25"/>
      <c r="BA368" s="2"/>
      <c r="BG368" s="1"/>
    </row>
    <row r="369" spans="28:59" ht="15" customHeight="1" x14ac:dyDescent="0.3">
      <c r="AB369"/>
      <c r="AC369"/>
      <c r="AD369"/>
      <c r="AE369"/>
      <c r="AF369"/>
      <c r="AG369"/>
      <c r="AH369"/>
      <c r="AI369"/>
      <c r="AJ369" s="25"/>
      <c r="AK369" s="2"/>
      <c r="AR369" s="25"/>
      <c r="BA369" s="2"/>
      <c r="BG369" s="1"/>
    </row>
    <row r="370" spans="28:59" ht="15" customHeight="1" x14ac:dyDescent="0.3">
      <c r="AB370"/>
      <c r="AC370"/>
      <c r="AD370"/>
      <c r="AE370"/>
      <c r="AF370"/>
      <c r="AG370"/>
      <c r="AH370"/>
      <c r="AI370"/>
      <c r="AJ370" s="25"/>
      <c r="AK370" s="2"/>
      <c r="AR370" s="25"/>
      <c r="BA370" s="2"/>
      <c r="BG370" s="1"/>
    </row>
    <row r="371" spans="28:59" ht="15" customHeight="1" x14ac:dyDescent="0.3">
      <c r="AB371"/>
      <c r="AC371"/>
      <c r="AD371"/>
      <c r="AE371"/>
      <c r="AF371"/>
      <c r="AG371"/>
      <c r="AH371"/>
      <c r="AI371"/>
      <c r="AJ371" s="25"/>
      <c r="AK371" s="2"/>
      <c r="AR371" s="25"/>
      <c r="BA371" s="2"/>
      <c r="BG371" s="1"/>
    </row>
    <row r="372" spans="28:59" ht="15" customHeight="1" x14ac:dyDescent="0.3">
      <c r="AB372"/>
      <c r="AC372"/>
      <c r="AD372"/>
      <c r="AE372"/>
      <c r="AF372"/>
      <c r="AG372"/>
      <c r="AH372"/>
      <c r="AI372"/>
      <c r="AJ372" s="25"/>
      <c r="AK372" s="2"/>
      <c r="AR372" s="25"/>
      <c r="BA372" s="2"/>
      <c r="BG372" s="1"/>
    </row>
    <row r="373" spans="28:59" ht="15" customHeight="1" x14ac:dyDescent="0.3">
      <c r="AB373"/>
      <c r="AC373"/>
      <c r="AD373"/>
      <c r="AE373"/>
      <c r="AF373"/>
      <c r="AG373"/>
      <c r="AH373"/>
      <c r="AI373"/>
      <c r="AJ373" s="25"/>
      <c r="AK373" s="2"/>
      <c r="AR373" s="25"/>
      <c r="BA373" s="2"/>
      <c r="BG373" s="1"/>
    </row>
    <row r="374" spans="28:59" ht="15" customHeight="1" x14ac:dyDescent="0.3">
      <c r="AB374"/>
      <c r="AC374"/>
      <c r="AD374"/>
      <c r="AE374"/>
      <c r="AF374"/>
      <c r="AG374"/>
      <c r="AH374"/>
      <c r="AI374"/>
      <c r="AJ374" s="25"/>
      <c r="AK374" s="2"/>
      <c r="AR374" s="25"/>
      <c r="BA374" s="2"/>
      <c r="BG374" s="1"/>
    </row>
    <row r="375" spans="28:59" ht="15" customHeight="1" x14ac:dyDescent="0.3">
      <c r="AB375"/>
      <c r="AC375"/>
      <c r="AD375"/>
      <c r="AE375"/>
      <c r="AF375"/>
      <c r="AG375"/>
      <c r="AH375"/>
      <c r="AI375"/>
      <c r="AJ375" s="25"/>
      <c r="AK375" s="2"/>
      <c r="AR375" s="25"/>
      <c r="BA375" s="2"/>
      <c r="BG375" s="1"/>
    </row>
    <row r="376" spans="28:59" ht="15" customHeight="1" x14ac:dyDescent="0.3">
      <c r="AB376"/>
      <c r="AC376"/>
      <c r="AD376"/>
      <c r="AE376"/>
      <c r="AF376"/>
      <c r="AG376"/>
      <c r="AH376"/>
      <c r="AI376"/>
      <c r="AJ376" s="25"/>
      <c r="AK376" s="2"/>
      <c r="AR376" s="25"/>
      <c r="BA376" s="2"/>
      <c r="BG376" s="1"/>
    </row>
    <row r="377" spans="28:59" ht="15" customHeight="1" x14ac:dyDescent="0.3">
      <c r="AB377"/>
      <c r="AC377"/>
      <c r="AD377"/>
      <c r="AE377"/>
      <c r="AF377"/>
      <c r="AG377"/>
      <c r="AH377"/>
      <c r="AI377"/>
      <c r="AJ377" s="25"/>
      <c r="AK377" s="2"/>
      <c r="AR377" s="25"/>
      <c r="BA377" s="2"/>
      <c r="BG377" s="1"/>
    </row>
    <row r="378" spans="28:59" ht="15" customHeight="1" x14ac:dyDescent="0.3">
      <c r="AB378"/>
      <c r="AC378"/>
      <c r="AD378"/>
      <c r="AE378"/>
      <c r="AF378"/>
      <c r="AG378"/>
      <c r="AH378"/>
      <c r="AI378"/>
      <c r="AJ378" s="25"/>
      <c r="AK378" s="2"/>
      <c r="AR378" s="25"/>
      <c r="BA378" s="2"/>
      <c r="BG378" s="1"/>
    </row>
    <row r="379" spans="28:59" ht="15" customHeight="1" x14ac:dyDescent="0.3">
      <c r="AB379"/>
      <c r="AC379"/>
      <c r="AD379"/>
      <c r="AE379"/>
      <c r="AF379"/>
      <c r="AG379"/>
      <c r="AH379"/>
      <c r="AI379"/>
      <c r="AJ379" s="25"/>
      <c r="AK379" s="2"/>
      <c r="AR379" s="25"/>
      <c r="BA379" s="2"/>
      <c r="BG379" s="1"/>
    </row>
    <row r="380" spans="28:59" ht="15" customHeight="1" x14ac:dyDescent="0.3">
      <c r="AB380"/>
      <c r="AC380"/>
      <c r="AD380"/>
      <c r="AE380"/>
      <c r="AF380"/>
      <c r="AG380"/>
      <c r="AH380"/>
      <c r="AI380"/>
      <c r="AJ380" s="25"/>
      <c r="AK380" s="2"/>
      <c r="AR380" s="25"/>
      <c r="BA380" s="2"/>
      <c r="BG380" s="1"/>
    </row>
    <row r="381" spans="28:59" ht="15" customHeight="1" x14ac:dyDescent="0.3">
      <c r="AB381"/>
      <c r="AC381"/>
      <c r="AD381"/>
      <c r="AE381"/>
      <c r="AF381"/>
      <c r="AG381"/>
      <c r="AH381"/>
      <c r="AI381"/>
      <c r="AJ381" s="25"/>
      <c r="AK381" s="2"/>
      <c r="AR381" s="25"/>
      <c r="BA381" s="2"/>
      <c r="BG381" s="1"/>
    </row>
    <row r="382" spans="28:59" ht="15" customHeight="1" x14ac:dyDescent="0.3">
      <c r="AB382"/>
      <c r="AC382"/>
      <c r="AD382"/>
      <c r="AE382"/>
      <c r="AF382"/>
      <c r="AG382"/>
      <c r="AH382"/>
      <c r="AI382"/>
      <c r="AJ382" s="25"/>
      <c r="AK382" s="2"/>
      <c r="AR382" s="25"/>
      <c r="BA382" s="2"/>
      <c r="BG382" s="1"/>
    </row>
    <row r="383" spans="28:59" ht="15" customHeight="1" x14ac:dyDescent="0.3">
      <c r="AB383"/>
      <c r="AC383"/>
      <c r="AD383"/>
      <c r="AE383"/>
      <c r="AF383"/>
      <c r="AG383"/>
      <c r="AH383"/>
      <c r="AI383"/>
      <c r="AJ383" s="25"/>
      <c r="AK383" s="2"/>
      <c r="AR383" s="25"/>
      <c r="BA383" s="2"/>
      <c r="BG383" s="1"/>
    </row>
    <row r="384" spans="28:59" ht="15" customHeight="1" x14ac:dyDescent="0.3">
      <c r="AB384"/>
      <c r="AC384"/>
      <c r="AD384"/>
      <c r="AE384"/>
      <c r="AF384"/>
      <c r="AG384"/>
      <c r="AH384"/>
      <c r="AI384"/>
      <c r="AJ384" s="25"/>
      <c r="AK384" s="2"/>
      <c r="AR384" s="25"/>
      <c r="BA384" s="2"/>
      <c r="BG384" s="1"/>
    </row>
    <row r="385" spans="28:59" ht="15" customHeight="1" x14ac:dyDescent="0.3">
      <c r="AB385"/>
      <c r="AC385"/>
      <c r="AD385"/>
      <c r="AE385"/>
      <c r="AF385"/>
      <c r="AG385"/>
      <c r="AH385"/>
      <c r="AI385"/>
      <c r="AJ385" s="25"/>
      <c r="AK385" s="2"/>
      <c r="AR385" s="25"/>
      <c r="BA385" s="2"/>
      <c r="BG385" s="1"/>
    </row>
    <row r="386" spans="28:59" ht="15" customHeight="1" x14ac:dyDescent="0.3">
      <c r="AB386"/>
      <c r="AC386"/>
      <c r="AD386"/>
      <c r="AE386"/>
      <c r="AF386"/>
      <c r="AG386"/>
      <c r="AH386"/>
      <c r="AI386"/>
      <c r="AJ386" s="25"/>
      <c r="AK386" s="2"/>
      <c r="AR386" s="25"/>
      <c r="BA386" s="2"/>
      <c r="BG386" s="1"/>
    </row>
    <row r="387" spans="28:59" ht="15" customHeight="1" x14ac:dyDescent="0.3">
      <c r="AB387"/>
      <c r="AC387"/>
      <c r="AD387"/>
      <c r="AE387"/>
      <c r="AF387"/>
      <c r="AG387"/>
      <c r="AH387"/>
      <c r="AI387"/>
      <c r="AJ387" s="25"/>
      <c r="AK387" s="2"/>
      <c r="AR387" s="25"/>
      <c r="BA387" s="2"/>
      <c r="BG387" s="1"/>
    </row>
    <row r="388" spans="28:59" ht="15" customHeight="1" x14ac:dyDescent="0.3">
      <c r="AB388"/>
      <c r="AC388"/>
      <c r="AD388"/>
      <c r="AE388"/>
      <c r="AF388"/>
      <c r="AG388"/>
      <c r="AH388"/>
      <c r="AI388"/>
      <c r="AJ388" s="25"/>
      <c r="AK388" s="2"/>
      <c r="AR388" s="25"/>
      <c r="BA388" s="2"/>
      <c r="BG388" s="1"/>
    </row>
    <row r="389" spans="28:59" ht="15" customHeight="1" x14ac:dyDescent="0.3">
      <c r="AB389"/>
      <c r="AC389"/>
      <c r="AD389"/>
      <c r="AE389"/>
      <c r="AF389"/>
      <c r="AG389"/>
      <c r="AH389"/>
      <c r="AI389"/>
      <c r="AJ389" s="25"/>
      <c r="AK389" s="2"/>
      <c r="AR389" s="25"/>
      <c r="BA389" s="2"/>
      <c r="BG389" s="1"/>
    </row>
    <row r="390" spans="28:59" ht="15" customHeight="1" x14ac:dyDescent="0.3">
      <c r="AB390"/>
      <c r="AC390"/>
      <c r="AD390"/>
      <c r="AE390"/>
      <c r="AF390"/>
      <c r="AG390"/>
      <c r="AH390"/>
      <c r="AI390"/>
      <c r="AJ390" s="25"/>
      <c r="AK390" s="2"/>
      <c r="AR390" s="25"/>
      <c r="BA390" s="2"/>
      <c r="BG390" s="1"/>
    </row>
    <row r="391" spans="28:59" ht="15" customHeight="1" x14ac:dyDescent="0.3">
      <c r="AB391"/>
      <c r="AC391"/>
      <c r="AD391"/>
      <c r="AE391"/>
      <c r="AF391"/>
      <c r="AG391"/>
      <c r="AH391"/>
      <c r="AI391"/>
      <c r="AJ391" s="25"/>
      <c r="AK391" s="2"/>
      <c r="AR391" s="25"/>
      <c r="BA391" s="2"/>
      <c r="BG391" s="1"/>
    </row>
    <row r="392" spans="28:59" ht="15" customHeight="1" x14ac:dyDescent="0.3">
      <c r="AB392"/>
      <c r="AC392"/>
      <c r="AD392"/>
      <c r="AE392"/>
      <c r="AF392"/>
      <c r="AG392"/>
      <c r="AH392"/>
      <c r="AI392"/>
      <c r="AJ392" s="25"/>
      <c r="AK392" s="2"/>
      <c r="AR392" s="25"/>
      <c r="BA392" s="2"/>
      <c r="BG392" s="1"/>
    </row>
    <row r="393" spans="28:59" ht="15" customHeight="1" x14ac:dyDescent="0.3">
      <c r="AB393"/>
      <c r="AC393"/>
      <c r="AD393"/>
      <c r="AE393"/>
      <c r="AF393"/>
      <c r="AG393"/>
      <c r="AH393"/>
      <c r="AI393"/>
      <c r="AJ393" s="25"/>
      <c r="AK393" s="2"/>
      <c r="AR393" s="25"/>
      <c r="BA393" s="2"/>
      <c r="BG393" s="1"/>
    </row>
    <row r="394" spans="28:59" ht="15" customHeight="1" x14ac:dyDescent="0.3">
      <c r="AB394"/>
      <c r="AC394"/>
      <c r="AD394"/>
      <c r="AE394"/>
      <c r="AF394"/>
      <c r="AG394"/>
      <c r="AH394"/>
      <c r="AI394"/>
      <c r="AJ394" s="25"/>
      <c r="AK394" s="2"/>
      <c r="AR394" s="25"/>
      <c r="BA394" s="2"/>
      <c r="BG394" s="1"/>
    </row>
    <row r="395" spans="28:59" ht="15" customHeight="1" x14ac:dyDescent="0.3">
      <c r="AB395"/>
      <c r="AC395"/>
      <c r="AD395"/>
      <c r="AE395"/>
      <c r="AF395"/>
      <c r="AG395"/>
      <c r="AH395"/>
      <c r="AI395"/>
      <c r="AJ395" s="25"/>
      <c r="AK395" s="2"/>
      <c r="AR395" s="25"/>
      <c r="BA395" s="2"/>
      <c r="BG395" s="1"/>
    </row>
    <row r="396" spans="28:59" ht="15" customHeight="1" x14ac:dyDescent="0.3">
      <c r="AB396"/>
      <c r="AC396"/>
      <c r="AD396"/>
      <c r="AE396"/>
      <c r="AF396"/>
      <c r="AG396"/>
      <c r="AH396"/>
      <c r="AI396"/>
      <c r="AJ396" s="25"/>
      <c r="AK396" s="2"/>
      <c r="AR396" s="25"/>
      <c r="BA396" s="2"/>
      <c r="BG396" s="1"/>
    </row>
    <row r="397" spans="28:59" ht="15" customHeight="1" x14ac:dyDescent="0.3">
      <c r="AB397"/>
      <c r="AC397"/>
      <c r="AD397"/>
      <c r="AE397"/>
      <c r="AF397"/>
      <c r="AG397"/>
      <c r="AH397"/>
      <c r="AI397"/>
      <c r="AJ397" s="25"/>
      <c r="AK397" s="2"/>
      <c r="AR397" s="25"/>
      <c r="BA397" s="2"/>
      <c r="BG397" s="1"/>
    </row>
    <row r="398" spans="28:59" ht="15" customHeight="1" x14ac:dyDescent="0.3">
      <c r="AB398"/>
      <c r="AC398"/>
      <c r="AD398"/>
      <c r="AE398"/>
      <c r="AF398"/>
      <c r="AG398"/>
      <c r="AH398"/>
      <c r="AI398"/>
      <c r="AJ398" s="25"/>
      <c r="AK398" s="2"/>
      <c r="AR398" s="25"/>
      <c r="BA398" s="2"/>
      <c r="BG398" s="1"/>
    </row>
    <row r="399" spans="28:59" ht="15" customHeight="1" x14ac:dyDescent="0.3">
      <c r="AB399"/>
      <c r="AC399"/>
      <c r="AD399"/>
      <c r="AE399"/>
      <c r="AF399"/>
      <c r="AG399"/>
      <c r="AH399"/>
      <c r="AI399"/>
      <c r="AJ399" s="25"/>
      <c r="AK399" s="2"/>
      <c r="AR399" s="25"/>
      <c r="BA399" s="2"/>
      <c r="BG399" s="1"/>
    </row>
    <row r="400" spans="28:59" ht="15" customHeight="1" x14ac:dyDescent="0.3">
      <c r="AB400"/>
      <c r="AC400"/>
      <c r="AD400"/>
      <c r="AE400"/>
      <c r="AF400"/>
      <c r="AG400"/>
      <c r="AH400"/>
      <c r="AI400"/>
      <c r="AJ400" s="25"/>
      <c r="AK400" s="2"/>
      <c r="AR400" s="25"/>
      <c r="BA400" s="2"/>
      <c r="BG400" s="1"/>
    </row>
    <row r="401" spans="28:59" ht="15" customHeight="1" x14ac:dyDescent="0.3">
      <c r="AB401"/>
      <c r="AC401"/>
      <c r="AD401"/>
      <c r="AE401"/>
      <c r="AF401"/>
      <c r="AG401"/>
      <c r="AH401"/>
      <c r="AI401"/>
      <c r="AJ401" s="25"/>
      <c r="AK401" s="2"/>
      <c r="AR401" s="25"/>
      <c r="BA401" s="2"/>
      <c r="BG401" s="1"/>
    </row>
    <row r="402" spans="28:59" ht="15" customHeight="1" x14ac:dyDescent="0.3">
      <c r="AB402"/>
      <c r="AC402"/>
      <c r="AD402"/>
      <c r="AE402"/>
      <c r="AF402"/>
      <c r="AG402"/>
      <c r="AH402"/>
      <c r="AI402"/>
      <c r="AJ402" s="25"/>
      <c r="AK402" s="2"/>
      <c r="AR402" s="25"/>
      <c r="BA402" s="2"/>
      <c r="BG402" s="1"/>
    </row>
    <row r="403" spans="28:59" ht="15" customHeight="1" x14ac:dyDescent="0.3">
      <c r="AB403"/>
      <c r="AC403"/>
      <c r="AD403"/>
      <c r="AE403"/>
      <c r="AF403"/>
      <c r="AG403"/>
      <c r="AH403"/>
      <c r="AI403"/>
      <c r="AJ403" s="25"/>
      <c r="AK403" s="2"/>
      <c r="AR403" s="25"/>
      <c r="BA403" s="2"/>
      <c r="BG403" s="1"/>
    </row>
    <row r="404" spans="28:59" ht="15" customHeight="1" x14ac:dyDescent="0.3">
      <c r="AB404"/>
      <c r="AC404"/>
      <c r="AD404"/>
      <c r="AE404"/>
      <c r="AF404"/>
      <c r="AG404"/>
      <c r="AH404"/>
      <c r="AI404"/>
      <c r="AJ404" s="25"/>
      <c r="AK404" s="2"/>
      <c r="AR404" s="25"/>
      <c r="BA404" s="2"/>
      <c r="BG404" s="1"/>
    </row>
    <row r="405" spans="28:59" ht="15" customHeight="1" x14ac:dyDescent="0.3">
      <c r="AB405"/>
      <c r="AC405"/>
      <c r="AD405"/>
      <c r="AE405"/>
      <c r="AF405"/>
      <c r="AG405"/>
      <c r="AH405"/>
      <c r="AI405"/>
      <c r="AJ405" s="25"/>
      <c r="AK405" s="2"/>
      <c r="AR405" s="25"/>
      <c r="BA405" s="2"/>
      <c r="BG405" s="1"/>
    </row>
    <row r="406" spans="28:59" ht="15" customHeight="1" x14ac:dyDescent="0.3">
      <c r="AB406"/>
      <c r="AC406"/>
      <c r="AD406"/>
      <c r="AE406"/>
      <c r="AF406"/>
      <c r="AG406"/>
      <c r="AH406"/>
      <c r="AI406"/>
      <c r="AJ406" s="25"/>
      <c r="AK406" s="2"/>
      <c r="AR406" s="25"/>
      <c r="BA406" s="2"/>
      <c r="BG406" s="1"/>
    </row>
    <row r="407" spans="28:59" ht="15" customHeight="1" x14ac:dyDescent="0.3">
      <c r="AB407"/>
      <c r="AC407"/>
      <c r="AD407"/>
      <c r="AE407"/>
      <c r="AF407"/>
      <c r="AG407"/>
      <c r="AH407"/>
      <c r="AI407"/>
      <c r="AJ407" s="25"/>
      <c r="AK407" s="2"/>
      <c r="AR407" s="25"/>
      <c r="BA407" s="2"/>
      <c r="BG407" s="1"/>
    </row>
    <row r="408" spans="28:59" ht="15" customHeight="1" x14ac:dyDescent="0.3">
      <c r="AB408"/>
      <c r="AC408"/>
      <c r="AD408"/>
      <c r="AE408"/>
      <c r="AF408"/>
      <c r="AG408"/>
      <c r="AH408"/>
      <c r="AI408"/>
      <c r="AJ408" s="25"/>
      <c r="AK408" s="2"/>
      <c r="AR408" s="25"/>
      <c r="BA408" s="2"/>
      <c r="BG408" s="1"/>
    </row>
    <row r="409" spans="28:59" ht="15" customHeight="1" x14ac:dyDescent="0.3">
      <c r="AB409"/>
      <c r="AC409"/>
      <c r="AD409"/>
      <c r="AE409"/>
      <c r="AF409"/>
      <c r="AG409"/>
      <c r="AH409"/>
      <c r="AI409"/>
      <c r="AJ409" s="25"/>
      <c r="AK409" s="2"/>
      <c r="AR409" s="25"/>
      <c r="BA409" s="2"/>
      <c r="BG409" s="1"/>
    </row>
    <row r="410" spans="28:59" ht="15" customHeight="1" x14ac:dyDescent="0.3">
      <c r="AB410"/>
      <c r="AC410"/>
      <c r="AD410"/>
      <c r="AE410"/>
      <c r="AF410"/>
      <c r="AG410"/>
      <c r="AH410"/>
      <c r="AI410"/>
      <c r="AJ410" s="25"/>
      <c r="AK410" s="2"/>
      <c r="AR410" s="25"/>
      <c r="BA410" s="2"/>
      <c r="BG410" s="1"/>
    </row>
    <row r="411" spans="28:59" ht="15" customHeight="1" x14ac:dyDescent="0.3">
      <c r="AB411"/>
      <c r="AC411"/>
      <c r="AD411"/>
      <c r="AE411"/>
      <c r="AF411"/>
      <c r="AG411"/>
      <c r="AH411"/>
      <c r="AI411"/>
      <c r="AJ411" s="25"/>
      <c r="AK411" s="2"/>
      <c r="AR411" s="25"/>
      <c r="BA411" s="2"/>
      <c r="BG411" s="1"/>
    </row>
    <row r="412" spans="28:59" ht="15" customHeight="1" x14ac:dyDescent="0.3">
      <c r="AB412"/>
      <c r="AC412"/>
      <c r="AD412"/>
      <c r="AE412"/>
      <c r="AF412"/>
      <c r="AG412"/>
      <c r="AH412"/>
      <c r="AI412"/>
      <c r="AJ412" s="25"/>
      <c r="AK412" s="2"/>
      <c r="AR412" s="25"/>
      <c r="BA412" s="2"/>
      <c r="BG412" s="1"/>
    </row>
    <row r="413" spans="28:59" ht="15" customHeight="1" x14ac:dyDescent="0.3">
      <c r="AB413"/>
      <c r="AC413"/>
      <c r="AD413"/>
      <c r="AE413"/>
      <c r="AF413"/>
      <c r="AG413"/>
      <c r="AH413"/>
      <c r="AI413"/>
      <c r="AJ413" s="25"/>
      <c r="AK413" s="2"/>
      <c r="AR413" s="25"/>
      <c r="BA413" s="2"/>
      <c r="BG413" s="1"/>
    </row>
    <row r="414" spans="28:59" ht="15" customHeight="1" x14ac:dyDescent="0.3">
      <c r="AB414"/>
      <c r="AC414"/>
      <c r="AD414"/>
      <c r="AE414"/>
      <c r="AF414"/>
      <c r="AG414"/>
      <c r="AH414"/>
      <c r="AI414"/>
      <c r="AJ414" s="25"/>
      <c r="AK414" s="2"/>
      <c r="AR414" s="25"/>
      <c r="BA414" s="2"/>
      <c r="BG414" s="1"/>
    </row>
    <row r="415" spans="28:59" ht="15" customHeight="1" x14ac:dyDescent="0.3">
      <c r="AB415"/>
      <c r="AC415"/>
      <c r="AD415"/>
      <c r="AE415"/>
      <c r="AF415"/>
      <c r="AG415"/>
      <c r="AH415"/>
      <c r="AI415"/>
      <c r="AJ415" s="25"/>
      <c r="AK415" s="2"/>
      <c r="AR415" s="25"/>
      <c r="BA415" s="2"/>
      <c r="BG415" s="1"/>
    </row>
    <row r="416" spans="28:59" ht="15" customHeight="1" x14ac:dyDescent="0.3">
      <c r="AB416"/>
      <c r="AC416"/>
      <c r="AD416"/>
      <c r="AE416"/>
      <c r="AF416"/>
      <c r="AG416"/>
      <c r="AH416"/>
      <c r="AI416"/>
      <c r="AJ416" s="25"/>
      <c r="AK416" s="2"/>
      <c r="AR416" s="25"/>
      <c r="BA416" s="2"/>
      <c r="BG416" s="1"/>
    </row>
    <row r="417" spans="28:59" ht="15" customHeight="1" x14ac:dyDescent="0.3">
      <c r="AB417"/>
      <c r="AC417"/>
      <c r="AD417"/>
      <c r="AE417"/>
      <c r="AF417"/>
      <c r="AG417"/>
      <c r="AH417"/>
      <c r="AI417"/>
      <c r="AJ417" s="25"/>
      <c r="AK417" s="2"/>
      <c r="AR417" s="25"/>
      <c r="BA417" s="2"/>
      <c r="BG417" s="1"/>
    </row>
    <row r="418" spans="28:59" ht="15" customHeight="1" x14ac:dyDescent="0.3">
      <c r="AB418"/>
      <c r="AC418"/>
      <c r="AD418"/>
      <c r="AE418"/>
      <c r="AF418"/>
      <c r="AG418"/>
      <c r="AH418"/>
      <c r="AI418"/>
      <c r="AJ418" s="25"/>
      <c r="AK418" s="2"/>
      <c r="AR418" s="25"/>
      <c r="BA418" s="2"/>
      <c r="BG418" s="1"/>
    </row>
    <row r="419" spans="28:59" ht="15" customHeight="1" x14ac:dyDescent="0.3">
      <c r="AB419"/>
      <c r="AC419"/>
      <c r="AD419"/>
      <c r="AE419"/>
      <c r="AF419"/>
      <c r="AG419"/>
      <c r="AH419"/>
      <c r="AI419"/>
      <c r="AJ419" s="25"/>
      <c r="AK419" s="2"/>
      <c r="AR419" s="25"/>
      <c r="BA419" s="2"/>
      <c r="BG419" s="1"/>
    </row>
    <row r="420" spans="28:59" ht="15" customHeight="1" x14ac:dyDescent="0.3">
      <c r="AB420"/>
      <c r="AC420"/>
      <c r="AD420"/>
      <c r="AE420"/>
      <c r="AF420"/>
      <c r="AG420"/>
      <c r="AH420"/>
      <c r="AI420"/>
      <c r="AJ420" s="25"/>
      <c r="AK420" s="2"/>
      <c r="AR420" s="25"/>
      <c r="BA420" s="2"/>
      <c r="BG420" s="1"/>
    </row>
    <row r="421" spans="28:59" ht="15" customHeight="1" x14ac:dyDescent="0.3">
      <c r="AB421"/>
      <c r="AC421"/>
      <c r="AD421"/>
      <c r="AE421"/>
      <c r="AF421"/>
      <c r="AG421"/>
      <c r="AH421"/>
      <c r="AI421"/>
      <c r="AJ421" s="25"/>
      <c r="AK421" s="2"/>
      <c r="AR421" s="25"/>
      <c r="BA421" s="2"/>
      <c r="BG421" s="1"/>
    </row>
    <row r="422" spans="28:59" ht="15" customHeight="1" x14ac:dyDescent="0.3">
      <c r="AB422"/>
      <c r="AC422"/>
      <c r="AD422"/>
      <c r="AE422"/>
      <c r="AF422"/>
      <c r="AG422"/>
      <c r="AH422"/>
      <c r="AI422"/>
      <c r="AJ422" s="25"/>
      <c r="AK422" s="2"/>
      <c r="AR422" s="25"/>
      <c r="BA422" s="2"/>
      <c r="BG422" s="1"/>
    </row>
    <row r="423" spans="28:59" ht="15" customHeight="1" x14ac:dyDescent="0.3">
      <c r="AB423"/>
      <c r="AC423"/>
      <c r="AD423"/>
      <c r="AE423"/>
      <c r="AF423"/>
      <c r="AG423"/>
      <c r="AH423"/>
      <c r="AI423"/>
      <c r="AJ423" s="25"/>
      <c r="AK423" s="2"/>
      <c r="AR423" s="25"/>
      <c r="BA423" s="2"/>
      <c r="BG423" s="1"/>
    </row>
    <row r="424" spans="28:59" ht="15" customHeight="1" x14ac:dyDescent="0.3">
      <c r="AB424"/>
      <c r="AC424"/>
      <c r="AD424"/>
      <c r="AE424"/>
      <c r="AF424"/>
      <c r="AG424"/>
      <c r="AH424"/>
      <c r="AI424"/>
      <c r="AJ424" s="25"/>
      <c r="AK424" s="2"/>
      <c r="AR424" s="25"/>
      <c r="BA424" s="2"/>
      <c r="BG424" s="1"/>
    </row>
    <row r="425" spans="28:59" ht="15" customHeight="1" x14ac:dyDescent="0.3">
      <c r="AB425"/>
      <c r="AC425"/>
      <c r="AD425"/>
      <c r="AE425"/>
      <c r="AF425"/>
      <c r="AG425"/>
      <c r="AH425"/>
      <c r="AI425"/>
      <c r="AJ425" s="25"/>
      <c r="AK425" s="2"/>
      <c r="AR425" s="25"/>
      <c r="BA425" s="2"/>
      <c r="BG425" s="1"/>
    </row>
    <row r="426" spans="28:59" ht="15" customHeight="1" x14ac:dyDescent="0.3">
      <c r="AB426"/>
      <c r="AC426"/>
      <c r="AD426"/>
      <c r="AE426"/>
      <c r="AF426"/>
      <c r="AG426"/>
      <c r="AH426"/>
      <c r="AI426"/>
      <c r="AJ426" s="25"/>
      <c r="AK426" s="2"/>
      <c r="AR426" s="25"/>
      <c r="BA426" s="2"/>
      <c r="BG426" s="1"/>
    </row>
    <row r="427" spans="28:59" ht="15" customHeight="1" x14ac:dyDescent="0.3">
      <c r="AB427"/>
      <c r="AC427"/>
      <c r="AD427"/>
      <c r="AE427"/>
      <c r="AF427"/>
      <c r="AG427"/>
      <c r="AH427"/>
      <c r="AI427"/>
      <c r="AJ427" s="25"/>
      <c r="AK427" s="2"/>
      <c r="AR427" s="25"/>
      <c r="BA427" s="2"/>
      <c r="BG427" s="1"/>
    </row>
    <row r="428" spans="28:59" ht="15" customHeight="1" x14ac:dyDescent="0.3">
      <c r="AB428"/>
      <c r="AC428"/>
      <c r="AD428"/>
      <c r="AE428"/>
      <c r="AF428"/>
      <c r="AG428"/>
      <c r="AH428"/>
      <c r="AI428"/>
      <c r="AJ428" s="25"/>
      <c r="AK428" s="2"/>
      <c r="AR428" s="25"/>
      <c r="BA428" s="2"/>
      <c r="BG428" s="1"/>
    </row>
    <row r="429" spans="28:59" ht="15" customHeight="1" x14ac:dyDescent="0.3">
      <c r="AB429"/>
      <c r="AC429"/>
      <c r="AD429"/>
      <c r="AE429"/>
      <c r="AF429"/>
      <c r="AG429"/>
      <c r="AH429"/>
      <c r="AI429"/>
      <c r="AJ429" s="25"/>
      <c r="AK429" s="2"/>
      <c r="AR429" s="25"/>
      <c r="BA429" s="2"/>
      <c r="BG429" s="1"/>
    </row>
    <row r="430" spans="28:59" ht="15" customHeight="1" x14ac:dyDescent="0.3">
      <c r="AB430"/>
      <c r="AC430"/>
      <c r="AD430"/>
      <c r="AE430"/>
      <c r="AF430"/>
      <c r="AG430"/>
      <c r="AH430"/>
      <c r="AI430"/>
      <c r="AJ430" s="25"/>
      <c r="AK430" s="2"/>
      <c r="AR430" s="25"/>
      <c r="BA430" s="2"/>
      <c r="BG430" s="1"/>
    </row>
    <row r="431" spans="28:59" ht="15" customHeight="1" x14ac:dyDescent="0.3">
      <c r="AB431"/>
      <c r="AC431"/>
      <c r="AD431"/>
      <c r="AE431"/>
      <c r="AF431"/>
      <c r="AG431"/>
      <c r="AH431"/>
      <c r="AI431"/>
      <c r="AJ431" s="25"/>
      <c r="AK431" s="2"/>
      <c r="AR431" s="25"/>
      <c r="BA431" s="2"/>
      <c r="BG431" s="1"/>
    </row>
    <row r="432" spans="28:59" ht="15" customHeight="1" x14ac:dyDescent="0.3">
      <c r="AB432"/>
      <c r="AC432"/>
      <c r="AD432"/>
      <c r="AE432"/>
      <c r="AF432"/>
      <c r="AG432"/>
      <c r="AH432"/>
      <c r="AI432"/>
      <c r="AJ432" s="25"/>
      <c r="AK432" s="2"/>
      <c r="AR432" s="25"/>
      <c r="BA432" s="2"/>
      <c r="BG432" s="1"/>
    </row>
    <row r="433" spans="28:59" ht="15" customHeight="1" x14ac:dyDescent="0.3">
      <c r="AB433"/>
      <c r="AC433"/>
      <c r="AD433"/>
      <c r="AE433"/>
      <c r="AF433"/>
      <c r="AG433"/>
      <c r="AH433"/>
      <c r="AI433"/>
      <c r="AJ433" s="25"/>
      <c r="AK433" s="2"/>
      <c r="AR433" s="25"/>
      <c r="BA433" s="2"/>
      <c r="BG433" s="1"/>
    </row>
    <row r="434" spans="28:59" ht="15" customHeight="1" x14ac:dyDescent="0.3">
      <c r="AB434"/>
      <c r="AC434"/>
      <c r="AD434"/>
      <c r="AE434"/>
      <c r="AF434"/>
      <c r="AG434"/>
      <c r="AH434"/>
      <c r="AI434"/>
      <c r="AJ434" s="25"/>
      <c r="AK434" s="2"/>
      <c r="AR434" s="25"/>
      <c r="BA434" s="2"/>
      <c r="BG434" s="1"/>
    </row>
    <row r="435" spans="28:59" ht="15" customHeight="1" x14ac:dyDescent="0.3">
      <c r="AB435"/>
      <c r="AC435"/>
      <c r="AD435"/>
      <c r="AE435"/>
      <c r="AF435"/>
      <c r="AG435"/>
      <c r="AH435"/>
      <c r="AI435"/>
      <c r="AJ435" s="25"/>
      <c r="AK435" s="2"/>
      <c r="AR435" s="25"/>
      <c r="BA435" s="2"/>
      <c r="BG435" s="1"/>
    </row>
    <row r="436" spans="28:59" ht="15" customHeight="1" x14ac:dyDescent="0.3">
      <c r="AB436"/>
      <c r="AC436"/>
      <c r="AD436"/>
      <c r="AE436"/>
      <c r="AF436"/>
      <c r="AG436"/>
      <c r="AH436"/>
      <c r="AI436"/>
      <c r="AJ436" s="25"/>
      <c r="AK436" s="2"/>
      <c r="AR436" s="25"/>
      <c r="BA436" s="2"/>
      <c r="BG436" s="1"/>
    </row>
    <row r="437" spans="28:59" ht="15" customHeight="1" x14ac:dyDescent="0.3">
      <c r="AB437"/>
      <c r="AC437"/>
      <c r="AD437"/>
      <c r="AE437"/>
      <c r="AF437"/>
      <c r="AG437"/>
      <c r="AH437"/>
      <c r="AI437"/>
      <c r="AJ437" s="25"/>
      <c r="AK437" s="2"/>
      <c r="AR437" s="25"/>
      <c r="BA437" s="2"/>
      <c r="BG437" s="1"/>
    </row>
    <row r="438" spans="28:59" ht="15" customHeight="1" x14ac:dyDescent="0.3">
      <c r="AB438"/>
      <c r="AC438"/>
      <c r="AD438"/>
      <c r="AE438"/>
      <c r="AF438"/>
      <c r="AG438"/>
      <c r="AH438"/>
      <c r="AI438"/>
      <c r="AJ438" s="25"/>
      <c r="AK438" s="2"/>
      <c r="AR438" s="25"/>
      <c r="BA438" s="2"/>
      <c r="BG438" s="1"/>
    </row>
    <row r="439" spans="28:59" ht="15" customHeight="1" x14ac:dyDescent="0.3">
      <c r="AB439"/>
      <c r="AC439"/>
      <c r="AD439"/>
      <c r="AE439"/>
      <c r="AF439"/>
      <c r="AG439"/>
      <c r="AH439"/>
      <c r="AI439"/>
      <c r="AJ439" s="25"/>
      <c r="AK439" s="2"/>
      <c r="AR439" s="25"/>
      <c r="BA439" s="2"/>
      <c r="BG439" s="1"/>
    </row>
    <row r="440" spans="28:59" ht="15" customHeight="1" x14ac:dyDescent="0.3">
      <c r="AB440"/>
      <c r="AC440"/>
      <c r="AD440"/>
      <c r="AE440"/>
      <c r="AF440"/>
      <c r="AG440"/>
      <c r="AH440"/>
      <c r="AI440"/>
      <c r="AJ440" s="25"/>
      <c r="AK440" s="2"/>
      <c r="AR440" s="25"/>
      <c r="BA440" s="2"/>
      <c r="BG440" s="1"/>
    </row>
    <row r="441" spans="28:59" ht="15" customHeight="1" x14ac:dyDescent="0.3">
      <c r="AB441"/>
      <c r="AC441"/>
      <c r="AD441"/>
      <c r="AE441"/>
      <c r="AF441"/>
      <c r="AG441"/>
      <c r="AH441"/>
      <c r="AI441"/>
      <c r="AJ441" s="25"/>
      <c r="AK441" s="2"/>
      <c r="AR441" s="25"/>
      <c r="BA441" s="2"/>
      <c r="BG441" s="1"/>
    </row>
    <row r="442" spans="28:59" ht="15" customHeight="1" x14ac:dyDescent="0.3">
      <c r="AB442"/>
      <c r="AC442"/>
      <c r="AD442"/>
      <c r="AE442"/>
      <c r="AF442"/>
      <c r="AG442"/>
      <c r="AH442"/>
      <c r="AI442"/>
      <c r="AJ442" s="25"/>
      <c r="AK442" s="2"/>
      <c r="AR442" s="25"/>
      <c r="BA442" s="2"/>
      <c r="BG442" s="1"/>
    </row>
    <row r="443" spans="28:59" ht="15" customHeight="1" x14ac:dyDescent="0.3">
      <c r="AB443"/>
      <c r="AC443"/>
      <c r="AD443"/>
      <c r="AE443"/>
      <c r="AF443"/>
      <c r="AG443"/>
      <c r="AH443"/>
      <c r="AI443"/>
      <c r="AJ443" s="25"/>
      <c r="AK443" s="2"/>
      <c r="AR443" s="25"/>
      <c r="BA443" s="2"/>
      <c r="BG443" s="1"/>
    </row>
    <row r="444" spans="28:59" ht="15" customHeight="1" x14ac:dyDescent="0.3">
      <c r="AB444"/>
      <c r="AC444"/>
      <c r="AD444"/>
      <c r="AE444"/>
      <c r="AF444"/>
      <c r="AG444"/>
      <c r="AH444"/>
      <c r="AI444"/>
      <c r="AJ444" s="25"/>
      <c r="AK444" s="2"/>
      <c r="AR444" s="25"/>
      <c r="BA444" s="2"/>
      <c r="BG444" s="1"/>
    </row>
    <row r="445" spans="28:59" ht="15" customHeight="1" x14ac:dyDescent="0.3">
      <c r="AB445"/>
      <c r="AC445"/>
      <c r="AD445"/>
      <c r="AE445"/>
      <c r="AF445"/>
      <c r="AG445"/>
      <c r="AH445"/>
      <c r="AI445"/>
      <c r="AJ445" s="25"/>
      <c r="AK445" s="2"/>
      <c r="AR445" s="25"/>
      <c r="BA445" s="2"/>
      <c r="BG445" s="1"/>
    </row>
    <row r="446" spans="28:59" ht="15" customHeight="1" x14ac:dyDescent="0.3">
      <c r="AB446"/>
      <c r="AC446"/>
      <c r="AD446"/>
      <c r="AE446"/>
      <c r="AF446"/>
      <c r="AG446"/>
      <c r="AH446"/>
      <c r="AI446"/>
      <c r="AJ446" s="25"/>
      <c r="AK446" s="2"/>
      <c r="AR446" s="25"/>
      <c r="BA446" s="2"/>
      <c r="BG446" s="1"/>
    </row>
    <row r="447" spans="28:59" ht="15" customHeight="1" x14ac:dyDescent="0.3">
      <c r="AB447"/>
      <c r="AC447"/>
      <c r="AD447"/>
      <c r="AE447"/>
      <c r="AF447"/>
      <c r="AG447"/>
      <c r="AH447"/>
      <c r="AI447"/>
      <c r="AJ447" s="25"/>
      <c r="AK447" s="2"/>
      <c r="AR447" s="25"/>
      <c r="BA447" s="2"/>
      <c r="BG447" s="1"/>
    </row>
    <row r="448" spans="28:59" ht="15" customHeight="1" x14ac:dyDescent="0.3">
      <c r="AB448"/>
      <c r="AC448"/>
      <c r="AD448"/>
      <c r="AE448"/>
      <c r="AF448"/>
      <c r="AG448"/>
      <c r="AH448"/>
      <c r="AI448"/>
      <c r="AJ448" s="25"/>
      <c r="AK448" s="2"/>
      <c r="AR448" s="25"/>
      <c r="BA448" s="2"/>
      <c r="BG448" s="1"/>
    </row>
    <row r="449" spans="28:59" ht="15" customHeight="1" x14ac:dyDescent="0.3">
      <c r="AB449"/>
      <c r="AC449"/>
      <c r="AD449"/>
      <c r="AE449"/>
      <c r="AF449"/>
      <c r="AG449"/>
      <c r="AH449"/>
      <c r="AI449"/>
      <c r="AJ449" s="25"/>
      <c r="AK449" s="2"/>
      <c r="AR449" s="25"/>
      <c r="BA449" s="2"/>
      <c r="BG449" s="1"/>
    </row>
    <row r="450" spans="28:59" ht="15" customHeight="1" x14ac:dyDescent="0.3">
      <c r="AB450"/>
      <c r="AC450"/>
      <c r="AD450"/>
      <c r="AE450"/>
      <c r="AF450"/>
      <c r="AG450"/>
      <c r="AH450"/>
      <c r="AI450"/>
      <c r="AJ450" s="25"/>
      <c r="AK450" s="2"/>
      <c r="AR450" s="25"/>
      <c r="BA450" s="2"/>
      <c r="BG450" s="1"/>
    </row>
    <row r="451" spans="28:59" ht="15" customHeight="1" x14ac:dyDescent="0.3">
      <c r="AB451"/>
      <c r="AC451"/>
      <c r="AD451"/>
      <c r="AE451"/>
      <c r="AF451"/>
      <c r="AG451"/>
      <c r="AH451"/>
      <c r="AI451"/>
      <c r="AJ451" s="25"/>
      <c r="AK451" s="2"/>
      <c r="AR451" s="25"/>
      <c r="BA451" s="2"/>
      <c r="BG451" s="1"/>
    </row>
    <row r="452" spans="28:59" ht="15" customHeight="1" x14ac:dyDescent="0.3">
      <c r="AB452"/>
      <c r="AC452"/>
      <c r="AD452"/>
      <c r="AE452"/>
      <c r="AF452"/>
      <c r="AG452"/>
      <c r="AH452"/>
      <c r="AI452"/>
      <c r="AJ452" s="25"/>
      <c r="AK452" s="2"/>
      <c r="AR452" s="25"/>
      <c r="BA452" s="2"/>
      <c r="BG452" s="1"/>
    </row>
    <row r="453" spans="28:59" ht="15" customHeight="1" x14ac:dyDescent="0.3">
      <c r="AB453"/>
      <c r="AC453"/>
      <c r="AD453"/>
      <c r="AE453"/>
      <c r="AF453"/>
      <c r="AG453"/>
      <c r="AH453"/>
      <c r="AI453"/>
      <c r="AJ453" s="25"/>
      <c r="AK453" s="2"/>
      <c r="AR453" s="25"/>
      <c r="BA453" s="2"/>
      <c r="BG453" s="1"/>
    </row>
    <row r="454" spans="28:59" ht="15" customHeight="1" x14ac:dyDescent="0.3">
      <c r="AB454"/>
      <c r="AC454"/>
      <c r="AD454"/>
      <c r="AE454"/>
      <c r="AF454"/>
      <c r="AG454"/>
      <c r="AH454"/>
      <c r="AI454"/>
      <c r="AJ454" s="25"/>
      <c r="AK454" s="2"/>
      <c r="AR454" s="25"/>
      <c r="BA454" s="2"/>
      <c r="BG454" s="1"/>
    </row>
    <row r="455" spans="28:59" ht="15" customHeight="1" x14ac:dyDescent="0.3">
      <c r="AB455"/>
      <c r="AC455"/>
      <c r="AD455"/>
      <c r="AE455"/>
      <c r="AF455"/>
      <c r="AG455"/>
      <c r="AH455"/>
      <c r="AI455"/>
      <c r="AJ455" s="25"/>
      <c r="AK455" s="2"/>
      <c r="AR455" s="25"/>
      <c r="BA455" s="2"/>
      <c r="BG455" s="1"/>
    </row>
    <row r="456" spans="28:59" ht="15" customHeight="1" x14ac:dyDescent="0.3">
      <c r="AB456"/>
      <c r="AC456"/>
      <c r="AD456"/>
      <c r="AE456"/>
      <c r="AF456"/>
      <c r="AG456"/>
      <c r="AH456"/>
      <c r="AI456"/>
      <c r="AJ456" s="25"/>
      <c r="AK456" s="2"/>
      <c r="AR456" s="25"/>
      <c r="BA456" s="2"/>
      <c r="BG456" s="1"/>
    </row>
    <row r="457" spans="28:59" ht="15" customHeight="1" x14ac:dyDescent="0.3">
      <c r="AB457"/>
      <c r="AC457"/>
      <c r="AD457"/>
      <c r="AE457"/>
      <c r="AF457"/>
      <c r="AG457"/>
      <c r="AH457"/>
      <c r="AI457"/>
      <c r="AJ457" s="25"/>
      <c r="AK457" s="2"/>
      <c r="AR457" s="25"/>
      <c r="BA457" s="2"/>
      <c r="BG457" s="1"/>
    </row>
    <row r="458" spans="28:59" ht="15" customHeight="1" x14ac:dyDescent="0.3">
      <c r="AB458"/>
      <c r="AC458"/>
      <c r="AD458"/>
      <c r="AE458"/>
      <c r="AF458"/>
      <c r="AG458"/>
      <c r="AH458"/>
      <c r="AI458"/>
      <c r="AJ458" s="25"/>
      <c r="AK458" s="2"/>
      <c r="AR458" s="25"/>
      <c r="BA458" s="2"/>
      <c r="BG458" s="1"/>
    </row>
    <row r="459" spans="28:59" ht="15" customHeight="1" x14ac:dyDescent="0.3">
      <c r="AB459"/>
      <c r="AC459"/>
      <c r="AD459"/>
      <c r="AE459"/>
      <c r="AF459"/>
      <c r="AG459"/>
      <c r="AH459"/>
      <c r="AI459"/>
      <c r="AJ459" s="25"/>
      <c r="AK459" s="2"/>
      <c r="AR459" s="25"/>
      <c r="BA459" s="2"/>
      <c r="BG459" s="1"/>
    </row>
    <row r="460" spans="28:59" ht="15" customHeight="1" x14ac:dyDescent="0.3">
      <c r="AB460"/>
      <c r="AC460"/>
      <c r="AD460"/>
      <c r="AE460"/>
      <c r="AF460"/>
      <c r="AG460"/>
      <c r="AH460"/>
      <c r="AI460"/>
      <c r="AJ460" s="25"/>
      <c r="AK460" s="2"/>
      <c r="AR460" s="25"/>
      <c r="BA460" s="2"/>
      <c r="BG460" s="1"/>
    </row>
    <row r="461" spans="28:59" ht="15" customHeight="1" x14ac:dyDescent="0.3">
      <c r="AB461"/>
      <c r="AC461"/>
      <c r="AD461"/>
      <c r="AE461"/>
      <c r="AF461"/>
      <c r="AG461"/>
      <c r="AH461"/>
      <c r="AI461"/>
      <c r="AJ461" s="25"/>
      <c r="AK461" s="2"/>
      <c r="AR461" s="25"/>
      <c r="BA461" s="2"/>
      <c r="BG461" s="1"/>
    </row>
    <row r="462" spans="28:59" ht="15" customHeight="1" x14ac:dyDescent="0.3">
      <c r="AB462"/>
      <c r="AC462"/>
      <c r="AD462"/>
      <c r="AE462"/>
      <c r="AF462"/>
      <c r="AG462"/>
      <c r="AH462"/>
      <c r="AI462"/>
      <c r="AJ462" s="25"/>
      <c r="AK462" s="2"/>
      <c r="AR462" s="25"/>
      <c r="BA462" s="2"/>
      <c r="BG462" s="1"/>
    </row>
    <row r="463" spans="28:59" ht="15" customHeight="1" x14ac:dyDescent="0.3">
      <c r="AB463"/>
      <c r="AC463"/>
      <c r="AD463"/>
      <c r="AE463"/>
      <c r="AF463"/>
      <c r="AG463"/>
      <c r="AH463"/>
      <c r="AI463"/>
      <c r="AJ463" s="25"/>
      <c r="AK463" s="2"/>
      <c r="AR463" s="25"/>
      <c r="BA463" s="2"/>
      <c r="BG463" s="1"/>
    </row>
    <row r="464" spans="28:59" ht="15" customHeight="1" x14ac:dyDescent="0.3">
      <c r="AB464"/>
      <c r="AC464"/>
      <c r="AD464"/>
      <c r="AE464"/>
      <c r="AF464"/>
      <c r="AG464"/>
      <c r="AH464"/>
      <c r="AI464"/>
      <c r="AJ464" s="25"/>
      <c r="AK464" s="2"/>
      <c r="AR464" s="25"/>
      <c r="BA464" s="2"/>
      <c r="BG464" s="1"/>
    </row>
    <row r="465" spans="28:59" ht="15" customHeight="1" x14ac:dyDescent="0.3">
      <c r="AB465"/>
      <c r="AC465"/>
      <c r="AD465"/>
      <c r="AE465"/>
      <c r="AF465"/>
      <c r="AG465"/>
      <c r="AH465"/>
      <c r="AI465"/>
      <c r="AJ465" s="25"/>
      <c r="AK465" s="2"/>
      <c r="AR465" s="25"/>
      <c r="BA465" s="2"/>
      <c r="BG465" s="1"/>
    </row>
    <row r="466" spans="28:59" ht="15" customHeight="1" x14ac:dyDescent="0.3">
      <c r="AB466"/>
      <c r="AC466"/>
      <c r="AD466"/>
      <c r="AE466"/>
      <c r="AF466"/>
      <c r="AG466"/>
      <c r="AH466"/>
      <c r="AI466"/>
      <c r="AJ466" s="25"/>
      <c r="AK466" s="2"/>
      <c r="AR466" s="25"/>
      <c r="BA466" s="2"/>
      <c r="BG466" s="1"/>
    </row>
    <row r="467" spans="28:59" ht="15" customHeight="1" x14ac:dyDescent="0.3">
      <c r="AB467"/>
      <c r="AC467"/>
      <c r="AD467"/>
      <c r="AE467"/>
      <c r="AF467"/>
      <c r="AG467"/>
      <c r="AH467"/>
      <c r="AI467"/>
      <c r="AJ467" s="25"/>
      <c r="AK467" s="2"/>
      <c r="AR467" s="25"/>
      <c r="BA467" s="2"/>
      <c r="BG467" s="1"/>
    </row>
    <row r="468" spans="28:59" ht="15" customHeight="1" x14ac:dyDescent="0.3">
      <c r="AB468"/>
      <c r="AC468"/>
      <c r="AD468"/>
      <c r="AE468"/>
      <c r="AF468"/>
      <c r="AG468"/>
      <c r="AH468"/>
      <c r="AI468"/>
      <c r="AJ468" s="25"/>
      <c r="AK468" s="2"/>
      <c r="AR468" s="25"/>
      <c r="BA468" s="2"/>
      <c r="BG468" s="1"/>
    </row>
    <row r="469" spans="28:59" ht="15" customHeight="1" x14ac:dyDescent="0.3">
      <c r="AB469"/>
      <c r="AC469"/>
      <c r="AD469"/>
      <c r="AE469"/>
      <c r="AF469"/>
      <c r="AG469"/>
      <c r="AH469"/>
      <c r="AI469"/>
      <c r="AJ469" s="25"/>
      <c r="AK469" s="2"/>
      <c r="AR469" s="25"/>
      <c r="BA469" s="2"/>
      <c r="BG469" s="1"/>
    </row>
    <row r="470" spans="28:59" ht="15" customHeight="1" x14ac:dyDescent="0.3">
      <c r="AB470"/>
      <c r="AC470"/>
      <c r="AD470"/>
      <c r="AE470"/>
      <c r="AF470"/>
      <c r="AG470"/>
      <c r="AH470"/>
      <c r="AI470"/>
      <c r="AJ470" s="25"/>
      <c r="AK470" s="2"/>
      <c r="AR470" s="25"/>
      <c r="BA470" s="2"/>
      <c r="BG470" s="1"/>
    </row>
    <row r="471" spans="28:59" ht="15" customHeight="1" x14ac:dyDescent="0.3">
      <c r="AB471"/>
      <c r="AC471"/>
      <c r="AD471"/>
      <c r="AE471"/>
      <c r="AF471"/>
      <c r="AG471"/>
      <c r="AH471"/>
      <c r="AI471"/>
      <c r="AJ471" s="25"/>
      <c r="AK471" s="2"/>
      <c r="AR471" s="25"/>
      <c r="BA471" s="2"/>
      <c r="BG471" s="1"/>
    </row>
    <row r="472" spans="28:59" ht="15" customHeight="1" x14ac:dyDescent="0.3">
      <c r="AB472"/>
      <c r="AC472"/>
      <c r="AD472"/>
      <c r="AE472"/>
      <c r="AF472"/>
      <c r="AG472"/>
      <c r="AH472"/>
      <c r="AI472"/>
      <c r="AJ472" s="25"/>
      <c r="AK472" s="2"/>
      <c r="AR472" s="25"/>
      <c r="BA472" s="2"/>
      <c r="BG472" s="1"/>
    </row>
    <row r="473" spans="28:59" ht="15" customHeight="1" x14ac:dyDescent="0.3">
      <c r="AB473"/>
      <c r="AC473"/>
      <c r="AD473"/>
      <c r="AE473"/>
      <c r="AF473"/>
      <c r="AG473"/>
      <c r="AH473"/>
      <c r="AI473"/>
      <c r="AJ473" s="25"/>
      <c r="AK473" s="2"/>
      <c r="AR473" s="25"/>
      <c r="BA473" s="2"/>
      <c r="BG473" s="1"/>
    </row>
    <row r="474" spans="28:59" ht="15" customHeight="1" x14ac:dyDescent="0.3">
      <c r="AB474"/>
      <c r="AC474"/>
      <c r="AD474"/>
      <c r="AE474"/>
      <c r="AF474"/>
      <c r="AG474"/>
      <c r="AH474"/>
      <c r="AI474"/>
      <c r="AJ474" s="25"/>
      <c r="AK474" s="2"/>
      <c r="AR474" s="25"/>
      <c r="BA474" s="2"/>
      <c r="BG474" s="1"/>
    </row>
    <row r="475" spans="28:59" ht="15" customHeight="1" x14ac:dyDescent="0.3">
      <c r="AB475"/>
      <c r="AC475"/>
      <c r="AD475"/>
      <c r="AE475"/>
      <c r="AF475"/>
      <c r="AG475"/>
      <c r="AH475"/>
      <c r="AI475"/>
      <c r="AJ475" s="25"/>
      <c r="AK475" s="2"/>
      <c r="AR475" s="25"/>
      <c r="BA475" s="2"/>
      <c r="BG475" s="1"/>
    </row>
    <row r="476" spans="28:59" ht="15" customHeight="1" x14ac:dyDescent="0.3">
      <c r="AB476"/>
      <c r="AC476"/>
      <c r="AD476"/>
      <c r="AE476"/>
      <c r="AF476"/>
      <c r="AG476"/>
      <c r="AH476"/>
      <c r="AI476"/>
      <c r="AJ476" s="25"/>
      <c r="AK476" s="2"/>
      <c r="AR476" s="25"/>
      <c r="BA476" s="2"/>
      <c r="BG476" s="1"/>
    </row>
    <row r="477" spans="28:59" ht="15" customHeight="1" x14ac:dyDescent="0.3">
      <c r="AB477"/>
      <c r="AC477"/>
      <c r="AD477"/>
      <c r="AE477"/>
      <c r="AF477"/>
      <c r="AG477"/>
      <c r="AH477"/>
      <c r="AI477"/>
      <c r="AJ477" s="25"/>
      <c r="AK477" s="2"/>
      <c r="AR477" s="25"/>
      <c r="BA477" s="2"/>
      <c r="BG477" s="1"/>
    </row>
    <row r="478" spans="28:59" ht="15" customHeight="1" x14ac:dyDescent="0.3">
      <c r="AB478"/>
      <c r="AC478"/>
      <c r="AD478"/>
      <c r="AE478"/>
      <c r="AF478"/>
      <c r="AG478"/>
      <c r="AH478"/>
      <c r="AI478"/>
      <c r="AJ478" s="25"/>
      <c r="AK478" s="2"/>
      <c r="AR478" s="25"/>
      <c r="BA478" s="2"/>
      <c r="BG478" s="1"/>
    </row>
    <row r="479" spans="28:59" ht="15" customHeight="1" x14ac:dyDescent="0.3">
      <c r="AB479"/>
      <c r="AC479"/>
      <c r="AD479"/>
      <c r="AE479"/>
      <c r="AF479"/>
      <c r="AG479"/>
      <c r="AH479"/>
      <c r="AI479"/>
      <c r="AJ479" s="25"/>
      <c r="AK479" s="2"/>
      <c r="AR479" s="25"/>
      <c r="BA479" s="2"/>
      <c r="BG479" s="1"/>
    </row>
    <row r="480" spans="28:59" ht="15" customHeight="1" x14ac:dyDescent="0.3">
      <c r="AB480"/>
      <c r="AC480"/>
      <c r="AD480"/>
      <c r="AE480"/>
      <c r="AF480"/>
      <c r="AG480"/>
      <c r="AH480"/>
      <c r="AI480"/>
      <c r="AJ480" s="25"/>
      <c r="AK480" s="2"/>
      <c r="AR480" s="25"/>
      <c r="BA480" s="2"/>
      <c r="BG480" s="1"/>
    </row>
    <row r="481" spans="28:59" ht="15" customHeight="1" x14ac:dyDescent="0.3">
      <c r="AB481"/>
      <c r="AC481"/>
      <c r="AD481"/>
      <c r="AE481"/>
      <c r="AF481"/>
      <c r="AG481"/>
      <c r="AH481"/>
      <c r="AI481"/>
      <c r="AJ481" s="25"/>
      <c r="AK481" s="2"/>
      <c r="AR481" s="25"/>
      <c r="BA481" s="2"/>
      <c r="BG481" s="1"/>
    </row>
    <row r="482" spans="28:59" ht="15" customHeight="1" x14ac:dyDescent="0.3">
      <c r="AB482"/>
      <c r="AC482"/>
      <c r="AD482"/>
      <c r="AE482"/>
      <c r="AF482"/>
      <c r="AG482"/>
      <c r="AH482"/>
      <c r="AI482"/>
      <c r="AJ482" s="25"/>
      <c r="AK482" s="2"/>
      <c r="AR482" s="25"/>
      <c r="BA482" s="2"/>
      <c r="BG482" s="1"/>
    </row>
    <row r="483" spans="28:59" ht="15" customHeight="1" x14ac:dyDescent="0.3">
      <c r="AB483"/>
      <c r="AC483"/>
      <c r="AD483"/>
      <c r="AE483"/>
      <c r="AF483"/>
      <c r="AG483"/>
      <c r="AH483"/>
      <c r="AI483"/>
      <c r="AJ483" s="25"/>
      <c r="AK483" s="2"/>
      <c r="AR483" s="25"/>
      <c r="BA483" s="2"/>
      <c r="BG483" s="1"/>
    </row>
    <row r="484" spans="28:59" ht="15" customHeight="1" x14ac:dyDescent="0.3">
      <c r="AB484"/>
      <c r="AC484"/>
      <c r="AD484"/>
      <c r="AE484"/>
      <c r="AF484"/>
      <c r="AG484"/>
      <c r="AH484"/>
      <c r="AI484"/>
      <c r="AJ484" s="25"/>
      <c r="AK484" s="2"/>
      <c r="AR484" s="25"/>
      <c r="BA484" s="2"/>
      <c r="BG484" s="1"/>
    </row>
    <row r="485" spans="28:59" ht="15" customHeight="1" x14ac:dyDescent="0.3">
      <c r="AB485"/>
      <c r="AC485"/>
      <c r="AD485"/>
      <c r="AE485"/>
      <c r="AF485"/>
      <c r="AG485"/>
      <c r="AH485"/>
      <c r="AI485"/>
      <c r="AJ485" s="25"/>
      <c r="AK485" s="2"/>
      <c r="AR485" s="25"/>
      <c r="BA485" s="2"/>
      <c r="BG485" s="1"/>
    </row>
    <row r="486" spans="28:59" ht="15" customHeight="1" x14ac:dyDescent="0.3">
      <c r="AB486"/>
      <c r="AC486"/>
      <c r="AD486"/>
      <c r="AE486"/>
      <c r="AF486"/>
      <c r="AG486"/>
      <c r="AH486"/>
      <c r="AI486"/>
      <c r="AJ486" s="25"/>
      <c r="AK486" s="2"/>
      <c r="AR486" s="25"/>
      <c r="BA486" s="2"/>
      <c r="BG486" s="1"/>
    </row>
    <row r="487" spans="28:59" ht="15" customHeight="1" x14ac:dyDescent="0.3">
      <c r="AB487"/>
      <c r="AC487"/>
      <c r="AD487"/>
      <c r="AE487"/>
      <c r="AF487"/>
      <c r="AG487"/>
      <c r="AH487"/>
      <c r="AI487"/>
      <c r="AJ487" s="25"/>
      <c r="AK487" s="2"/>
      <c r="AR487" s="25"/>
      <c r="BA487" s="2"/>
      <c r="BG487" s="1"/>
    </row>
    <row r="488" spans="28:59" ht="15" customHeight="1" x14ac:dyDescent="0.3">
      <c r="AB488"/>
      <c r="AC488"/>
      <c r="AD488"/>
      <c r="AE488"/>
      <c r="AF488"/>
      <c r="AG488"/>
      <c r="AH488"/>
      <c r="AI488"/>
      <c r="AJ488" s="25"/>
      <c r="AK488" s="2"/>
      <c r="AR488" s="25"/>
      <c r="BA488" s="2"/>
      <c r="BG488" s="1"/>
    </row>
    <row r="489" spans="28:59" ht="15" customHeight="1" x14ac:dyDescent="0.3">
      <c r="AB489"/>
      <c r="AC489"/>
      <c r="AD489"/>
      <c r="AE489"/>
      <c r="AF489"/>
      <c r="AG489"/>
      <c r="AH489"/>
      <c r="AI489"/>
      <c r="AJ489" s="25"/>
      <c r="AK489" s="2"/>
      <c r="AR489" s="25"/>
      <c r="BA489" s="2"/>
      <c r="BG489" s="1"/>
    </row>
    <row r="490" spans="28:59" ht="15" customHeight="1" x14ac:dyDescent="0.3">
      <c r="AB490"/>
      <c r="AC490"/>
      <c r="AD490"/>
      <c r="AE490"/>
      <c r="AF490"/>
      <c r="AG490"/>
      <c r="AH490"/>
      <c r="AI490"/>
      <c r="AJ490" s="25"/>
      <c r="AK490" s="2"/>
      <c r="AR490" s="25"/>
      <c r="BA490" s="2"/>
      <c r="BG490" s="1"/>
    </row>
    <row r="491" spans="28:59" ht="15" customHeight="1" x14ac:dyDescent="0.3">
      <c r="AB491"/>
      <c r="AC491"/>
      <c r="AD491"/>
      <c r="AE491"/>
      <c r="AF491"/>
      <c r="AG491"/>
      <c r="AH491"/>
      <c r="AI491"/>
      <c r="AJ491" s="25"/>
      <c r="AK491" s="2"/>
      <c r="AR491" s="25"/>
      <c r="BA491" s="2"/>
      <c r="BG491" s="1"/>
    </row>
    <row r="492" spans="28:59" ht="15" customHeight="1" x14ac:dyDescent="0.3">
      <c r="AB492"/>
      <c r="AC492"/>
      <c r="AD492"/>
      <c r="AE492"/>
      <c r="AF492"/>
      <c r="AG492"/>
      <c r="AH492"/>
      <c r="AI492"/>
      <c r="AJ492" s="25"/>
      <c r="AK492" s="2"/>
      <c r="AR492" s="25"/>
      <c r="BA492" s="2"/>
      <c r="BG492" s="1"/>
    </row>
    <row r="493" spans="28:59" ht="15" customHeight="1" x14ac:dyDescent="0.3">
      <c r="AB493"/>
      <c r="AC493"/>
      <c r="AD493"/>
      <c r="AE493"/>
      <c r="AF493"/>
      <c r="AG493"/>
      <c r="AH493"/>
      <c r="AI493"/>
      <c r="AJ493" s="25"/>
      <c r="AK493" s="2"/>
      <c r="AR493" s="25"/>
      <c r="BA493" s="2"/>
      <c r="BG493" s="1"/>
    </row>
    <row r="494" spans="28:59" ht="15" customHeight="1" x14ac:dyDescent="0.3">
      <c r="AB494"/>
      <c r="AC494"/>
      <c r="AD494"/>
      <c r="AE494"/>
      <c r="AF494"/>
      <c r="AG494"/>
      <c r="AH494"/>
      <c r="AI494"/>
      <c r="AJ494" s="25"/>
      <c r="AK494" s="2"/>
      <c r="AR494" s="25"/>
      <c r="BA494" s="2"/>
      <c r="BG494" s="1"/>
    </row>
    <row r="495" spans="28:59" ht="15" customHeight="1" x14ac:dyDescent="0.3">
      <c r="AB495"/>
      <c r="AC495"/>
      <c r="AD495"/>
      <c r="AE495"/>
      <c r="AF495"/>
      <c r="AG495"/>
      <c r="AH495"/>
      <c r="AI495"/>
      <c r="AJ495" s="25"/>
      <c r="AK495" s="2"/>
      <c r="AR495" s="25"/>
      <c r="BA495" s="2"/>
      <c r="BG495" s="1"/>
    </row>
    <row r="496" spans="28:59" ht="15" customHeight="1" x14ac:dyDescent="0.3">
      <c r="AB496"/>
      <c r="AC496"/>
      <c r="AD496"/>
      <c r="AE496"/>
      <c r="AF496"/>
      <c r="AG496"/>
      <c r="AH496"/>
      <c r="AI496"/>
      <c r="AJ496" s="25"/>
      <c r="AK496" s="2"/>
      <c r="AR496" s="25"/>
      <c r="BA496" s="2"/>
      <c r="BG496" s="1"/>
    </row>
    <row r="497" spans="28:59" ht="15" customHeight="1" x14ac:dyDescent="0.3">
      <c r="AB497"/>
      <c r="AC497"/>
      <c r="AD497"/>
      <c r="AE497"/>
      <c r="AF497"/>
      <c r="AG497"/>
      <c r="AH497"/>
      <c r="AI497"/>
      <c r="AJ497" s="25"/>
      <c r="AK497" s="2"/>
      <c r="AR497" s="25"/>
      <c r="BA497" s="2"/>
      <c r="BG497" s="1"/>
    </row>
    <row r="498" spans="28:59" ht="15" customHeight="1" x14ac:dyDescent="0.3">
      <c r="AB498"/>
      <c r="AC498"/>
      <c r="AD498"/>
      <c r="AE498"/>
      <c r="AF498"/>
      <c r="AG498"/>
      <c r="AH498"/>
      <c r="AI498"/>
      <c r="AJ498" s="25"/>
      <c r="AK498" s="2"/>
      <c r="AR498" s="25"/>
      <c r="BA498" s="2"/>
      <c r="BG498" s="1"/>
    </row>
    <row r="499" spans="28:59" ht="15" customHeight="1" x14ac:dyDescent="0.3">
      <c r="AB499"/>
      <c r="AC499"/>
      <c r="AD499"/>
      <c r="AE499"/>
      <c r="AF499"/>
      <c r="AG499"/>
      <c r="AH499"/>
      <c r="AI499"/>
      <c r="AJ499" s="25"/>
      <c r="AK499" s="2"/>
      <c r="AR499" s="25"/>
      <c r="BA499" s="2"/>
      <c r="BG499" s="1"/>
    </row>
    <row r="500" spans="28:59" ht="15" customHeight="1" x14ac:dyDescent="0.3">
      <c r="AB500"/>
      <c r="AC500"/>
      <c r="AD500"/>
      <c r="AE500"/>
      <c r="AF500"/>
      <c r="AG500"/>
      <c r="AH500"/>
      <c r="AI500"/>
      <c r="AJ500" s="25"/>
      <c r="AK500" s="2"/>
      <c r="AR500" s="25"/>
      <c r="BA500" s="2"/>
      <c r="BG500" s="1"/>
    </row>
    <row r="501" spans="28:59" ht="15" customHeight="1" x14ac:dyDescent="0.3">
      <c r="AB501"/>
      <c r="AC501"/>
      <c r="AD501"/>
      <c r="AE501"/>
      <c r="AF501"/>
      <c r="AG501"/>
      <c r="AH501"/>
      <c r="AI501"/>
      <c r="AJ501" s="25"/>
      <c r="AK501" s="2"/>
      <c r="AR501" s="25"/>
      <c r="BA501" s="2"/>
      <c r="BG501" s="1"/>
    </row>
    <row r="502" spans="28:59" ht="15" customHeight="1" x14ac:dyDescent="0.3">
      <c r="AB502"/>
      <c r="AC502"/>
      <c r="AD502"/>
      <c r="AE502"/>
      <c r="AF502"/>
      <c r="AG502"/>
      <c r="AH502"/>
      <c r="AI502"/>
      <c r="AJ502" s="25"/>
      <c r="AK502" s="2"/>
      <c r="AR502" s="25"/>
      <c r="BA502" s="2"/>
      <c r="BG502" s="1"/>
    </row>
    <row r="503" spans="28:59" ht="15" customHeight="1" x14ac:dyDescent="0.3">
      <c r="AB503"/>
      <c r="AC503"/>
      <c r="AD503"/>
      <c r="AE503"/>
      <c r="AF503"/>
      <c r="AG503"/>
      <c r="AH503"/>
      <c r="AI503"/>
      <c r="AJ503" s="25"/>
      <c r="AK503" s="2"/>
      <c r="AR503" s="25"/>
      <c r="BA503" s="2"/>
      <c r="BG503" s="1"/>
    </row>
    <row r="504" spans="28:59" ht="15" customHeight="1" x14ac:dyDescent="0.3">
      <c r="AB504"/>
      <c r="AC504"/>
      <c r="AD504"/>
      <c r="AE504"/>
      <c r="AF504"/>
      <c r="AG504"/>
      <c r="AH504"/>
      <c r="AI504"/>
      <c r="AJ504" s="25"/>
      <c r="AK504" s="2"/>
      <c r="AR504" s="25"/>
      <c r="BA504" s="2"/>
      <c r="BG504" s="1"/>
    </row>
    <row r="505" spans="28:59" ht="15" customHeight="1" x14ac:dyDescent="0.3">
      <c r="AB505"/>
      <c r="AC505"/>
      <c r="AD505"/>
      <c r="AE505"/>
      <c r="AF505"/>
      <c r="AG505"/>
      <c r="AH505"/>
      <c r="AI505"/>
      <c r="AJ505" s="25"/>
      <c r="AK505" s="2"/>
      <c r="AR505" s="25"/>
      <c r="BA505" s="2"/>
      <c r="BG505" s="1"/>
    </row>
    <row r="506" spans="28:59" ht="15" customHeight="1" x14ac:dyDescent="0.3">
      <c r="AB506"/>
      <c r="AC506"/>
      <c r="AD506"/>
      <c r="AE506"/>
      <c r="AF506"/>
      <c r="AG506"/>
      <c r="AH506"/>
      <c r="AI506"/>
      <c r="AJ506" s="25"/>
      <c r="AK506" s="2"/>
      <c r="AR506" s="25"/>
      <c r="BA506" s="2"/>
      <c r="BG506" s="1"/>
    </row>
    <row r="507" spans="28:59" ht="15" customHeight="1" x14ac:dyDescent="0.3">
      <c r="AB507"/>
      <c r="AC507"/>
      <c r="AD507"/>
      <c r="AE507"/>
      <c r="AF507"/>
      <c r="AG507"/>
      <c r="AH507"/>
      <c r="AI507"/>
      <c r="AJ507" s="25"/>
      <c r="AK507" s="2"/>
      <c r="AR507" s="25"/>
      <c r="BA507" s="2"/>
      <c r="BG507" s="1"/>
    </row>
    <row r="508" spans="28:59" ht="15" customHeight="1" x14ac:dyDescent="0.3">
      <c r="AB508"/>
      <c r="AC508"/>
      <c r="AD508"/>
      <c r="AE508"/>
      <c r="AF508"/>
      <c r="AG508"/>
      <c r="AH508"/>
      <c r="AI508"/>
      <c r="AJ508" s="25"/>
      <c r="AK508" s="2"/>
      <c r="AR508" s="25"/>
      <c r="BA508" s="2"/>
      <c r="BG508" s="1"/>
    </row>
    <row r="509" spans="28:59" ht="15" customHeight="1" x14ac:dyDescent="0.3">
      <c r="AB509"/>
      <c r="AC509"/>
      <c r="AD509"/>
      <c r="AE509"/>
      <c r="AF509"/>
      <c r="AG509"/>
      <c r="AH509"/>
      <c r="AI509"/>
      <c r="AJ509" s="25"/>
      <c r="AK509" s="2"/>
      <c r="AR509" s="25"/>
      <c r="BA509" s="2"/>
      <c r="BG509" s="1"/>
    </row>
    <row r="510" spans="28:59" ht="15" customHeight="1" x14ac:dyDescent="0.3">
      <c r="AB510"/>
      <c r="AC510"/>
      <c r="AD510"/>
      <c r="AE510"/>
      <c r="AF510"/>
      <c r="AG510"/>
      <c r="AH510"/>
      <c r="AI510"/>
      <c r="AJ510" s="25"/>
      <c r="AK510" s="2"/>
      <c r="AR510" s="25"/>
      <c r="BA510" s="2"/>
      <c r="BG510" s="1"/>
    </row>
    <row r="511" spans="28:59" ht="15" customHeight="1" x14ac:dyDescent="0.3">
      <c r="AB511"/>
      <c r="AC511"/>
      <c r="AD511"/>
      <c r="AE511"/>
      <c r="AF511"/>
      <c r="AG511"/>
      <c r="AH511"/>
      <c r="AI511"/>
      <c r="AJ511" s="25"/>
      <c r="AK511" s="2"/>
      <c r="AR511" s="25"/>
      <c r="BA511" s="2"/>
      <c r="BG511" s="1"/>
    </row>
    <row r="512" spans="28:59" ht="15" customHeight="1" x14ac:dyDescent="0.3">
      <c r="AB512"/>
      <c r="AC512"/>
      <c r="AD512"/>
      <c r="AE512"/>
      <c r="AF512"/>
      <c r="AG512"/>
      <c r="AH512"/>
      <c r="AI512"/>
      <c r="AJ512" s="25"/>
      <c r="AK512" s="2"/>
      <c r="AR512" s="25"/>
      <c r="BA512" s="2"/>
      <c r="BG512" s="1"/>
    </row>
    <row r="513" spans="28:59" ht="15" customHeight="1" x14ac:dyDescent="0.3">
      <c r="AB513"/>
      <c r="AC513"/>
      <c r="AD513"/>
      <c r="AE513"/>
      <c r="AF513"/>
      <c r="AG513"/>
      <c r="AH513"/>
      <c r="AI513"/>
      <c r="AJ513" s="25"/>
      <c r="AK513" s="2"/>
      <c r="AR513" s="25"/>
      <c r="BA513" s="2"/>
      <c r="BG513" s="1"/>
    </row>
    <row r="514" spans="28:59" ht="15" customHeight="1" x14ac:dyDescent="0.3">
      <c r="AB514"/>
      <c r="AC514"/>
      <c r="AD514"/>
      <c r="AE514"/>
      <c r="AF514"/>
      <c r="AG514"/>
      <c r="AH514"/>
      <c r="AI514"/>
      <c r="AJ514" s="25"/>
      <c r="AK514" s="2"/>
      <c r="AR514" s="25"/>
      <c r="BA514" s="2"/>
      <c r="BG514" s="1"/>
    </row>
    <row r="515" spans="28:59" ht="15" customHeight="1" x14ac:dyDescent="0.3">
      <c r="AB515"/>
      <c r="AC515"/>
      <c r="AD515"/>
      <c r="AE515"/>
      <c r="AF515"/>
      <c r="AG515"/>
      <c r="AH515"/>
      <c r="AI515"/>
      <c r="AJ515" s="25"/>
      <c r="AK515" s="2"/>
      <c r="AR515" s="25"/>
      <c r="BA515" s="2"/>
      <c r="BG515" s="1"/>
    </row>
    <row r="516" spans="28:59" ht="15" customHeight="1" x14ac:dyDescent="0.3">
      <c r="AB516"/>
      <c r="AC516"/>
      <c r="AD516"/>
      <c r="AE516"/>
      <c r="AF516"/>
      <c r="AG516"/>
      <c r="AH516"/>
      <c r="AI516"/>
      <c r="AJ516" s="25"/>
      <c r="AK516" s="2"/>
      <c r="AR516" s="25"/>
      <c r="BA516" s="2"/>
      <c r="BG516" s="1"/>
    </row>
    <row r="517" spans="28:59" ht="15" customHeight="1" x14ac:dyDescent="0.3">
      <c r="AB517"/>
      <c r="AC517"/>
      <c r="AD517"/>
      <c r="AE517"/>
      <c r="AF517"/>
      <c r="AG517"/>
      <c r="AH517"/>
      <c r="AI517"/>
      <c r="AJ517" s="25"/>
      <c r="AK517" s="2"/>
      <c r="AR517" s="25"/>
      <c r="BA517" s="2"/>
      <c r="BG517" s="1"/>
    </row>
    <row r="518" spans="28:59" ht="15" customHeight="1" x14ac:dyDescent="0.3">
      <c r="AB518"/>
      <c r="AC518"/>
      <c r="AD518"/>
      <c r="AE518"/>
      <c r="AF518"/>
      <c r="AG518"/>
      <c r="AH518"/>
      <c r="AI518"/>
      <c r="AJ518" s="25"/>
      <c r="AK518" s="2"/>
      <c r="AR518" s="25"/>
      <c r="BA518" s="2"/>
      <c r="BG518" s="1"/>
    </row>
    <row r="519" spans="28:59" ht="15" customHeight="1" x14ac:dyDescent="0.3">
      <c r="AB519"/>
      <c r="AC519"/>
      <c r="AD519"/>
      <c r="AE519"/>
      <c r="AF519"/>
      <c r="AG519"/>
      <c r="AH519"/>
      <c r="AI519"/>
      <c r="AJ519" s="25"/>
      <c r="AK519" s="2"/>
      <c r="AR519" s="25"/>
      <c r="BA519" s="2"/>
      <c r="BG519" s="1"/>
    </row>
    <row r="520" spans="28:59" ht="15" customHeight="1" x14ac:dyDescent="0.3">
      <c r="AB520"/>
      <c r="AC520"/>
      <c r="AD520"/>
      <c r="AE520"/>
      <c r="AF520"/>
      <c r="AG520"/>
      <c r="AH520"/>
      <c r="AI520"/>
      <c r="AJ520" s="25"/>
      <c r="AK520" s="2"/>
      <c r="AR520" s="25"/>
      <c r="BA520" s="2"/>
      <c r="BG520" s="1"/>
    </row>
    <row r="521" spans="28:59" ht="15" customHeight="1" x14ac:dyDescent="0.3">
      <c r="AB521"/>
      <c r="AC521"/>
      <c r="AD521"/>
      <c r="AE521"/>
      <c r="AF521"/>
      <c r="AG521"/>
      <c r="AH521"/>
      <c r="AI521"/>
      <c r="AJ521" s="25"/>
      <c r="AK521" s="2"/>
      <c r="AR521" s="25"/>
      <c r="BA521" s="2"/>
      <c r="BG521" s="1"/>
    </row>
    <row r="522" spans="28:59" ht="15" customHeight="1" x14ac:dyDescent="0.3">
      <c r="AB522"/>
      <c r="AC522"/>
      <c r="AD522"/>
      <c r="AE522"/>
      <c r="AF522"/>
      <c r="AG522"/>
      <c r="AH522"/>
      <c r="AI522"/>
      <c r="AJ522" s="25"/>
      <c r="AK522" s="2"/>
      <c r="AR522" s="25"/>
      <c r="BA522" s="2"/>
      <c r="BG522" s="1"/>
    </row>
    <row r="523" spans="28:59" ht="15" customHeight="1" x14ac:dyDescent="0.3">
      <c r="AB523"/>
      <c r="AC523"/>
      <c r="AD523"/>
      <c r="AE523"/>
      <c r="AF523"/>
      <c r="AG523"/>
      <c r="AH523"/>
      <c r="AI523"/>
      <c r="AJ523" s="25"/>
      <c r="AK523" s="2"/>
      <c r="AR523" s="25"/>
      <c r="BA523" s="2"/>
      <c r="BG523" s="1"/>
    </row>
    <row r="524" spans="28:59" ht="15" customHeight="1" x14ac:dyDescent="0.3">
      <c r="AB524"/>
      <c r="AC524"/>
      <c r="AD524"/>
      <c r="AE524"/>
      <c r="AF524"/>
      <c r="AG524"/>
      <c r="AH524"/>
      <c r="AI524"/>
      <c r="AJ524" s="25"/>
      <c r="AK524" s="2"/>
      <c r="AR524" s="25"/>
      <c r="BA524" s="2"/>
      <c r="BG524" s="1"/>
    </row>
    <row r="525" spans="28:59" ht="15" customHeight="1" x14ac:dyDescent="0.3">
      <c r="AB525"/>
      <c r="AC525"/>
      <c r="AD525"/>
      <c r="AE525"/>
      <c r="AF525"/>
      <c r="AG525"/>
      <c r="AH525"/>
      <c r="AI525"/>
      <c r="AJ525" s="25"/>
      <c r="AK525" s="2"/>
      <c r="AR525" s="25"/>
      <c r="BA525" s="2"/>
      <c r="BG525" s="1"/>
    </row>
    <row r="526" spans="28:59" ht="15" customHeight="1" x14ac:dyDescent="0.3">
      <c r="AB526"/>
      <c r="AC526"/>
      <c r="AD526"/>
      <c r="AE526"/>
      <c r="AF526"/>
      <c r="AG526"/>
      <c r="AH526"/>
      <c r="AI526"/>
      <c r="AJ526" s="25"/>
      <c r="AK526" s="2"/>
      <c r="AR526" s="25"/>
      <c r="BA526" s="2"/>
      <c r="BG526" s="1"/>
    </row>
    <row r="527" spans="28:59" ht="15" customHeight="1" x14ac:dyDescent="0.3">
      <c r="AB527"/>
      <c r="AC527"/>
      <c r="AD527"/>
      <c r="AE527"/>
      <c r="AF527"/>
      <c r="AG527"/>
      <c r="AH527"/>
      <c r="AI527"/>
      <c r="AJ527" s="25"/>
      <c r="AK527" s="2"/>
      <c r="AR527" s="25"/>
      <c r="BA527" s="2"/>
      <c r="BG527" s="1"/>
    </row>
    <row r="528" spans="28:59" ht="15" customHeight="1" x14ac:dyDescent="0.3">
      <c r="AB528"/>
      <c r="AC528"/>
      <c r="AD528"/>
      <c r="AE528"/>
      <c r="AF528"/>
      <c r="AG528"/>
      <c r="AH528"/>
      <c r="AI528"/>
      <c r="AJ528" s="25"/>
      <c r="AK528" s="2"/>
      <c r="AR528" s="25"/>
      <c r="BA528" s="2"/>
      <c r="BG528" s="1"/>
    </row>
    <row r="529" spans="28:59" ht="15" customHeight="1" x14ac:dyDescent="0.3">
      <c r="AB529"/>
      <c r="AC529"/>
      <c r="AD529"/>
      <c r="AE529"/>
      <c r="AF529"/>
      <c r="AG529"/>
      <c r="AH529"/>
      <c r="AI529"/>
      <c r="AJ529" s="25"/>
      <c r="AK529" s="2"/>
      <c r="AR529" s="25"/>
      <c r="BA529" s="2"/>
      <c r="BG529" s="1"/>
    </row>
    <row r="530" spans="28:59" ht="15" customHeight="1" x14ac:dyDescent="0.3">
      <c r="AB530"/>
      <c r="AC530"/>
      <c r="AD530"/>
      <c r="AE530"/>
      <c r="AF530"/>
      <c r="AG530"/>
      <c r="AH530"/>
      <c r="AI530"/>
      <c r="AJ530" s="25"/>
      <c r="AK530" s="2"/>
      <c r="AR530" s="25"/>
      <c r="BA530" s="2"/>
      <c r="BG530" s="1"/>
    </row>
    <row r="531" spans="28:59" ht="15" customHeight="1" x14ac:dyDescent="0.3">
      <c r="AB531"/>
      <c r="AC531"/>
      <c r="AD531"/>
      <c r="AE531"/>
      <c r="AF531"/>
      <c r="AG531"/>
      <c r="AH531"/>
      <c r="AI531"/>
      <c r="AJ531" s="25"/>
      <c r="AK531" s="2"/>
      <c r="AR531" s="25"/>
      <c r="BA531" s="2"/>
      <c r="BG531" s="1"/>
    </row>
    <row r="532" spans="28:59" ht="15" customHeight="1" x14ac:dyDescent="0.3">
      <c r="AB532"/>
      <c r="AC532"/>
      <c r="AD532"/>
      <c r="AE532"/>
      <c r="AF532"/>
      <c r="AG532"/>
      <c r="AH532"/>
      <c r="AI532"/>
      <c r="AJ532" s="25"/>
      <c r="AK532" s="2"/>
      <c r="AR532" s="25"/>
      <c r="BA532" s="2"/>
      <c r="BG532" s="1"/>
    </row>
    <row r="533" spans="28:59" ht="15" customHeight="1" x14ac:dyDescent="0.3">
      <c r="AB533"/>
      <c r="AC533"/>
      <c r="AD533"/>
      <c r="AE533"/>
      <c r="AF533"/>
      <c r="AG533"/>
      <c r="AH533"/>
      <c r="AI533"/>
      <c r="AJ533" s="25"/>
      <c r="AK533" s="2"/>
      <c r="AR533" s="25"/>
      <c r="BA533" s="2"/>
      <c r="BG533" s="1"/>
    </row>
    <row r="534" spans="28:59" ht="15" customHeight="1" x14ac:dyDescent="0.3">
      <c r="AB534"/>
      <c r="AC534"/>
      <c r="AD534"/>
      <c r="AE534"/>
      <c r="AF534"/>
      <c r="AG534"/>
      <c r="AH534"/>
      <c r="AI534"/>
      <c r="AJ534" s="25"/>
      <c r="AK534" s="2"/>
      <c r="AR534" s="25"/>
      <c r="BA534" s="2"/>
      <c r="BG534" s="1"/>
    </row>
    <row r="535" spans="28:59" ht="15" customHeight="1" x14ac:dyDescent="0.3">
      <c r="AB535"/>
      <c r="AC535"/>
      <c r="AD535"/>
      <c r="AE535"/>
      <c r="AF535"/>
      <c r="AG535"/>
      <c r="AH535"/>
      <c r="AI535"/>
      <c r="AJ535" s="25"/>
      <c r="AK535" s="2"/>
      <c r="AR535" s="25"/>
      <c r="BA535" s="2"/>
      <c r="BG535" s="1"/>
    </row>
    <row r="536" spans="28:59" ht="15" customHeight="1" x14ac:dyDescent="0.3">
      <c r="AB536"/>
      <c r="AC536"/>
      <c r="AD536"/>
      <c r="AE536"/>
      <c r="AF536"/>
      <c r="AG536"/>
      <c r="AH536"/>
      <c r="AI536"/>
      <c r="AJ536" s="25"/>
      <c r="AK536" s="2"/>
      <c r="AR536" s="25"/>
      <c r="BA536" s="2"/>
      <c r="BG536" s="1"/>
    </row>
    <row r="537" spans="28:59" ht="15" customHeight="1" x14ac:dyDescent="0.3">
      <c r="AB537"/>
      <c r="AC537"/>
      <c r="AD537"/>
      <c r="AE537"/>
      <c r="AF537"/>
      <c r="AG537"/>
      <c r="AH537"/>
      <c r="AI537"/>
      <c r="AJ537" s="25"/>
      <c r="AK537" s="2"/>
      <c r="AR537" s="25"/>
      <c r="BA537" s="2"/>
      <c r="BG537" s="1"/>
    </row>
    <row r="538" spans="28:59" ht="15" customHeight="1" x14ac:dyDescent="0.3">
      <c r="AB538"/>
      <c r="AC538"/>
      <c r="AD538"/>
      <c r="AE538"/>
      <c r="AF538"/>
      <c r="AG538"/>
      <c r="AH538"/>
      <c r="AI538"/>
      <c r="AJ538" s="25"/>
      <c r="AK538" s="2"/>
      <c r="AR538" s="25"/>
      <c r="BA538" s="2"/>
      <c r="BG538" s="1"/>
    </row>
    <row r="539" spans="28:59" ht="15" customHeight="1" x14ac:dyDescent="0.3">
      <c r="AB539"/>
      <c r="AC539"/>
      <c r="AD539"/>
      <c r="AE539"/>
      <c r="AF539"/>
      <c r="AG539"/>
      <c r="AH539"/>
      <c r="AI539"/>
      <c r="AJ539" s="25"/>
      <c r="AK539" s="2"/>
      <c r="AR539" s="25"/>
      <c r="BA539" s="2"/>
      <c r="BG539" s="1"/>
    </row>
    <row r="540" spans="28:59" ht="15" customHeight="1" x14ac:dyDescent="0.3">
      <c r="AB540"/>
      <c r="AC540"/>
      <c r="AD540"/>
      <c r="AE540"/>
      <c r="AF540"/>
      <c r="AG540"/>
      <c r="AH540"/>
      <c r="AI540"/>
      <c r="AJ540" s="25"/>
      <c r="AK540" s="2"/>
      <c r="AR540" s="25"/>
      <c r="BA540" s="2"/>
      <c r="BG540" s="1"/>
    </row>
    <row r="541" spans="28:59" ht="15" customHeight="1" x14ac:dyDescent="0.3">
      <c r="AB541"/>
      <c r="AC541"/>
      <c r="AD541"/>
      <c r="AE541"/>
      <c r="AF541"/>
      <c r="AG541"/>
      <c r="AH541"/>
      <c r="AI541"/>
      <c r="AJ541" s="25"/>
      <c r="AK541" s="2"/>
      <c r="AR541" s="25"/>
      <c r="BA541" s="2"/>
      <c r="BG541" s="1"/>
    </row>
    <row r="542" spans="28:59" ht="15" customHeight="1" x14ac:dyDescent="0.3">
      <c r="AB542"/>
      <c r="AC542"/>
      <c r="AD542"/>
      <c r="AE542"/>
      <c r="AF542"/>
      <c r="AG542"/>
      <c r="AH542"/>
      <c r="AI542"/>
      <c r="AJ542" s="25"/>
      <c r="AK542" s="2"/>
      <c r="AR542" s="25"/>
      <c r="BA542" s="2"/>
      <c r="BG542" s="1"/>
    </row>
    <row r="543" spans="28:59" ht="15" customHeight="1" x14ac:dyDescent="0.3">
      <c r="AB543"/>
      <c r="AC543"/>
      <c r="AD543"/>
      <c r="AE543"/>
      <c r="AF543"/>
      <c r="AG543"/>
      <c r="AH543"/>
      <c r="AI543"/>
      <c r="AJ543" s="25"/>
      <c r="AK543" s="2"/>
      <c r="AR543" s="25"/>
      <c r="BA543" s="2"/>
      <c r="BG543" s="1"/>
    </row>
    <row r="544" spans="28:59" ht="15" customHeight="1" x14ac:dyDescent="0.3">
      <c r="AB544"/>
      <c r="AC544"/>
      <c r="AD544"/>
      <c r="AE544"/>
      <c r="AF544"/>
      <c r="AG544"/>
      <c r="AH544"/>
      <c r="AI544"/>
      <c r="AJ544" s="25"/>
      <c r="AK544" s="2"/>
      <c r="AR544" s="25"/>
      <c r="BA544" s="2"/>
      <c r="BG544" s="1"/>
    </row>
    <row r="545" spans="28:59" ht="15" customHeight="1" x14ac:dyDescent="0.3">
      <c r="AB545"/>
      <c r="AC545"/>
      <c r="AD545"/>
      <c r="AE545"/>
      <c r="AF545"/>
      <c r="AG545"/>
      <c r="AH545"/>
      <c r="AI545"/>
      <c r="AJ545" s="25"/>
      <c r="AK545" s="2"/>
      <c r="AR545" s="25"/>
      <c r="BA545" s="2"/>
      <c r="BG545" s="1"/>
    </row>
    <row r="546" spans="28:59" ht="15" customHeight="1" x14ac:dyDescent="0.3">
      <c r="AB546"/>
      <c r="AC546"/>
      <c r="AD546"/>
      <c r="AE546"/>
      <c r="AF546"/>
      <c r="AG546"/>
      <c r="AH546"/>
      <c r="AI546"/>
      <c r="AJ546" s="25"/>
      <c r="AK546" s="2"/>
      <c r="AR546" s="25"/>
      <c r="BA546" s="2"/>
      <c r="BG546" s="1"/>
    </row>
    <row r="547" spans="28:59" ht="15" customHeight="1" x14ac:dyDescent="0.3">
      <c r="AB547"/>
      <c r="AC547"/>
      <c r="AD547"/>
      <c r="AE547"/>
      <c r="AF547"/>
      <c r="AG547"/>
      <c r="AH547"/>
      <c r="AI547"/>
      <c r="AJ547" s="25"/>
      <c r="AK547" s="2"/>
      <c r="AR547" s="25"/>
      <c r="BA547" s="2"/>
      <c r="BG547" s="1"/>
    </row>
    <row r="548" spans="28:59" ht="15" customHeight="1" x14ac:dyDescent="0.3">
      <c r="AB548"/>
      <c r="AC548"/>
      <c r="AD548"/>
      <c r="AE548"/>
      <c r="AF548"/>
      <c r="AG548"/>
      <c r="AH548"/>
      <c r="AI548"/>
      <c r="AJ548" s="25"/>
      <c r="AK548" s="2"/>
      <c r="AR548" s="25"/>
      <c r="BA548" s="2"/>
      <c r="BG548" s="1"/>
    </row>
    <row r="549" spans="28:59" ht="15" customHeight="1" x14ac:dyDescent="0.3">
      <c r="AB549"/>
      <c r="AC549"/>
      <c r="AD549"/>
      <c r="AE549"/>
      <c r="AF549"/>
      <c r="AG549"/>
      <c r="AH549"/>
      <c r="AI549"/>
      <c r="AJ549" s="25"/>
      <c r="AK549" s="2"/>
      <c r="AR549" s="25"/>
      <c r="BA549" s="2"/>
      <c r="BG549" s="1"/>
    </row>
    <row r="550" spans="28:59" ht="15" customHeight="1" x14ac:dyDescent="0.3">
      <c r="AB550"/>
      <c r="AC550"/>
      <c r="AD550"/>
      <c r="AE550"/>
      <c r="AF550"/>
      <c r="AG550"/>
      <c r="AH550"/>
      <c r="AI550"/>
      <c r="AJ550" s="25"/>
      <c r="AK550" s="2"/>
      <c r="AR550" s="25"/>
      <c r="BA550" s="2"/>
      <c r="BG550" s="1"/>
    </row>
    <row r="551" spans="28:59" ht="15" customHeight="1" x14ac:dyDescent="0.3">
      <c r="AB551"/>
      <c r="AC551"/>
      <c r="AD551"/>
      <c r="AE551"/>
      <c r="AF551"/>
      <c r="AG551"/>
      <c r="AH551"/>
      <c r="AI551"/>
      <c r="AJ551" s="25"/>
      <c r="AK551" s="2"/>
      <c r="AR551" s="25"/>
      <c r="BA551" s="2"/>
      <c r="BG551" s="1"/>
    </row>
    <row r="552" spans="28:59" ht="15" customHeight="1" x14ac:dyDescent="0.3">
      <c r="AB552"/>
      <c r="AC552"/>
      <c r="AD552"/>
      <c r="AE552"/>
      <c r="AF552"/>
      <c r="AG552"/>
      <c r="AH552"/>
      <c r="AI552"/>
      <c r="AJ552" s="25"/>
      <c r="AK552" s="2"/>
      <c r="AR552" s="25"/>
      <c r="BA552" s="2"/>
      <c r="BG552" s="1"/>
    </row>
    <row r="553" spans="28:59" ht="15" customHeight="1" x14ac:dyDescent="0.3">
      <c r="AB553"/>
      <c r="AC553"/>
      <c r="AD553"/>
      <c r="AE553"/>
      <c r="AF553"/>
      <c r="AG553"/>
      <c r="AH553"/>
      <c r="AI553"/>
      <c r="AJ553" s="25"/>
      <c r="AK553" s="2"/>
      <c r="AR553" s="25"/>
      <c r="BA553" s="2"/>
      <c r="BG553" s="1"/>
    </row>
    <row r="554" spans="28:59" ht="15" customHeight="1" x14ac:dyDescent="0.3">
      <c r="AB554"/>
      <c r="AC554"/>
      <c r="AD554"/>
      <c r="AE554"/>
      <c r="AF554"/>
      <c r="AG554"/>
      <c r="AH554"/>
      <c r="AI554"/>
      <c r="AJ554" s="25"/>
      <c r="AK554" s="2"/>
      <c r="AR554" s="25"/>
      <c r="BA554" s="2"/>
      <c r="BG554" s="1"/>
    </row>
    <row r="555" spans="28:59" ht="15" customHeight="1" x14ac:dyDescent="0.3">
      <c r="AB555"/>
      <c r="AC555"/>
      <c r="AD555"/>
      <c r="AE555"/>
      <c r="AF555"/>
      <c r="AG555"/>
      <c r="AH555"/>
      <c r="AI555"/>
      <c r="AJ555" s="25"/>
      <c r="AK555" s="2"/>
      <c r="AR555" s="25"/>
      <c r="BA555" s="2"/>
      <c r="BG555" s="1"/>
    </row>
    <row r="556" spans="28:59" ht="15" customHeight="1" x14ac:dyDescent="0.3">
      <c r="AB556"/>
      <c r="AC556"/>
      <c r="AD556"/>
      <c r="AE556"/>
      <c r="AF556"/>
      <c r="AG556"/>
      <c r="AH556"/>
      <c r="AI556"/>
      <c r="AJ556" s="25"/>
      <c r="AK556" s="2"/>
      <c r="AR556" s="25"/>
      <c r="BA556" s="2"/>
      <c r="BG556" s="1"/>
    </row>
    <row r="557" spans="28:59" ht="15" customHeight="1" x14ac:dyDescent="0.3">
      <c r="AB557"/>
      <c r="AC557"/>
      <c r="AD557"/>
      <c r="AE557"/>
      <c r="AF557"/>
      <c r="AG557"/>
      <c r="AH557"/>
      <c r="AI557"/>
      <c r="AJ557" s="25"/>
      <c r="AK557" s="2"/>
      <c r="AR557" s="25"/>
      <c r="BA557" s="2"/>
      <c r="BG557" s="1"/>
    </row>
    <row r="558" spans="28:59" ht="15" customHeight="1" x14ac:dyDescent="0.3">
      <c r="AB558"/>
      <c r="AC558"/>
      <c r="AD558"/>
      <c r="AE558"/>
      <c r="AF558"/>
      <c r="AG558"/>
      <c r="AH558"/>
      <c r="AI558"/>
      <c r="AJ558" s="25"/>
      <c r="AK558" s="2"/>
      <c r="AR558" s="25"/>
      <c r="BA558" s="2"/>
      <c r="BG558" s="1"/>
    </row>
    <row r="559" spans="28:59" ht="15" customHeight="1" x14ac:dyDescent="0.3">
      <c r="AB559"/>
      <c r="AC559"/>
      <c r="AD559"/>
      <c r="AE559"/>
      <c r="AF559"/>
      <c r="AG559"/>
      <c r="AH559"/>
      <c r="AI559"/>
      <c r="AJ559" s="25"/>
      <c r="AK559" s="2"/>
      <c r="AR559" s="25"/>
      <c r="BA559" s="2"/>
      <c r="BG559" s="1"/>
    </row>
    <row r="560" spans="28:59" ht="15" customHeight="1" x14ac:dyDescent="0.3">
      <c r="AB560"/>
      <c r="AC560"/>
      <c r="AD560"/>
      <c r="AE560"/>
      <c r="AF560"/>
      <c r="AG560"/>
      <c r="AH560"/>
      <c r="AI560"/>
      <c r="AJ560" s="25"/>
      <c r="AK560" s="2"/>
      <c r="AR560" s="25"/>
      <c r="BA560" s="2"/>
      <c r="BG560" s="1"/>
    </row>
    <row r="561" spans="28:59" ht="15" customHeight="1" x14ac:dyDescent="0.3">
      <c r="AB561"/>
      <c r="AC561"/>
      <c r="AD561"/>
      <c r="AE561"/>
      <c r="AF561"/>
      <c r="AG561"/>
      <c r="AH561"/>
      <c r="AI561"/>
      <c r="AJ561" s="25"/>
      <c r="AK561" s="2"/>
      <c r="AR561" s="25"/>
      <c r="BA561" s="2"/>
      <c r="BG561" s="1"/>
    </row>
    <row r="562" spans="28:59" ht="15" customHeight="1" x14ac:dyDescent="0.3">
      <c r="AB562"/>
      <c r="AC562"/>
      <c r="AD562"/>
      <c r="AE562"/>
      <c r="AF562"/>
      <c r="AG562"/>
      <c r="AH562"/>
      <c r="AI562"/>
      <c r="AJ562" s="25"/>
      <c r="AK562" s="2"/>
      <c r="AR562" s="25"/>
      <c r="BA562" s="2"/>
      <c r="BG562" s="1"/>
    </row>
    <row r="563" spans="28:59" ht="15" customHeight="1" x14ac:dyDescent="0.3">
      <c r="AB563"/>
      <c r="AC563"/>
      <c r="AD563"/>
      <c r="AE563"/>
      <c r="AF563"/>
      <c r="AG563"/>
      <c r="AH563"/>
      <c r="AI563"/>
      <c r="AJ563" s="25"/>
      <c r="AK563" s="2"/>
      <c r="AR563" s="25"/>
      <c r="BA563" s="2"/>
      <c r="BG563" s="1"/>
    </row>
    <row r="564" spans="28:59" ht="15" customHeight="1" x14ac:dyDescent="0.3">
      <c r="AB564"/>
      <c r="AC564"/>
      <c r="AD564"/>
      <c r="AE564"/>
      <c r="AF564"/>
      <c r="AG564"/>
      <c r="AH564"/>
      <c r="AI564"/>
      <c r="AJ564" s="25"/>
      <c r="AK564" s="2"/>
      <c r="AR564" s="25"/>
      <c r="BA564" s="2"/>
      <c r="BG564" s="1"/>
    </row>
    <row r="565" spans="28:59" ht="15" customHeight="1" x14ac:dyDescent="0.3">
      <c r="AB565"/>
      <c r="AC565"/>
      <c r="AD565"/>
      <c r="AE565"/>
      <c r="AF565"/>
      <c r="AG565"/>
      <c r="AH565"/>
      <c r="AI565"/>
      <c r="AJ565" s="25"/>
      <c r="AK565" s="2"/>
      <c r="AR565" s="25"/>
      <c r="BA565" s="2"/>
      <c r="BG565" s="1"/>
    </row>
    <row r="566" spans="28:59" ht="15" customHeight="1" x14ac:dyDescent="0.3">
      <c r="AB566"/>
      <c r="AC566"/>
      <c r="AD566"/>
      <c r="AE566"/>
      <c r="AF566"/>
      <c r="AG566"/>
      <c r="AH566"/>
      <c r="AI566"/>
      <c r="AJ566" s="25"/>
      <c r="AK566" s="2"/>
      <c r="AR566" s="25"/>
      <c r="BA566" s="2"/>
      <c r="BG566" s="1"/>
    </row>
    <row r="567" spans="28:59" ht="15" customHeight="1" x14ac:dyDescent="0.3">
      <c r="AB567"/>
      <c r="AC567"/>
      <c r="AD567"/>
      <c r="AE567"/>
      <c r="AF567"/>
      <c r="AG567"/>
      <c r="AH567"/>
      <c r="AI567"/>
      <c r="AJ567" s="25"/>
      <c r="AK567" s="2"/>
      <c r="AR567" s="25"/>
      <c r="BA567" s="2"/>
      <c r="BG567" s="1"/>
    </row>
    <row r="568" spans="28:59" ht="15" customHeight="1" x14ac:dyDescent="0.3">
      <c r="AB568"/>
      <c r="AC568"/>
      <c r="AD568"/>
      <c r="AE568"/>
      <c r="AF568"/>
      <c r="AG568"/>
      <c r="AH568"/>
      <c r="AI568"/>
      <c r="AJ568" s="25"/>
      <c r="AK568" s="2"/>
      <c r="AR568" s="25"/>
      <c r="BA568" s="2"/>
      <c r="BG568" s="1"/>
    </row>
    <row r="569" spans="28:59" ht="15" customHeight="1" x14ac:dyDescent="0.3">
      <c r="AB569"/>
      <c r="AC569"/>
      <c r="AD569"/>
      <c r="AE569"/>
      <c r="AF569"/>
      <c r="AG569"/>
      <c r="AH569"/>
      <c r="AI569"/>
      <c r="AJ569" s="25"/>
      <c r="AK569" s="2"/>
      <c r="AR569" s="25"/>
      <c r="BA569" s="2"/>
      <c r="BG569" s="1"/>
    </row>
    <row r="570" spans="28:59" ht="15" customHeight="1" x14ac:dyDescent="0.3">
      <c r="AB570"/>
      <c r="AC570"/>
      <c r="AD570"/>
      <c r="AE570"/>
      <c r="AF570"/>
      <c r="AG570"/>
      <c r="AH570"/>
      <c r="AI570"/>
      <c r="AJ570" s="25"/>
      <c r="AK570" s="2"/>
      <c r="AR570" s="25"/>
      <c r="BA570" s="2"/>
      <c r="BG570" s="1"/>
    </row>
    <row r="571" spans="28:59" ht="15" customHeight="1" x14ac:dyDescent="0.3">
      <c r="AB571"/>
      <c r="AC571"/>
      <c r="AD571"/>
      <c r="AE571"/>
      <c r="AF571"/>
      <c r="AG571"/>
      <c r="AH571"/>
      <c r="AI571"/>
      <c r="AJ571" s="25"/>
      <c r="AK571" s="2"/>
      <c r="AR571" s="25"/>
      <c r="BA571" s="2"/>
      <c r="BG571" s="1"/>
    </row>
    <row r="572" spans="28:59" ht="15" customHeight="1" x14ac:dyDescent="0.3">
      <c r="AB572"/>
      <c r="AC572"/>
      <c r="AD572"/>
      <c r="AE572"/>
      <c r="AF572"/>
      <c r="AG572"/>
      <c r="AH572"/>
      <c r="AI572"/>
      <c r="AJ572" s="25"/>
      <c r="AK572" s="2"/>
      <c r="AR572" s="25"/>
      <c r="BA572" s="2"/>
      <c r="BG572" s="1"/>
    </row>
    <row r="573" spans="28:59" ht="15" customHeight="1" x14ac:dyDescent="0.3">
      <c r="AB573"/>
      <c r="AC573"/>
      <c r="AD573"/>
      <c r="AE573"/>
      <c r="AF573"/>
      <c r="AG573"/>
      <c r="AH573"/>
      <c r="AI573"/>
      <c r="AJ573" s="25"/>
      <c r="AK573" s="2"/>
      <c r="AR573" s="25"/>
      <c r="BA573" s="2"/>
      <c r="BG573" s="1"/>
    </row>
    <row r="574" spans="28:59" ht="15" customHeight="1" x14ac:dyDescent="0.3">
      <c r="AB574"/>
      <c r="AC574"/>
      <c r="AD574"/>
      <c r="AE574"/>
      <c r="AF574"/>
      <c r="AG574"/>
      <c r="AH574"/>
      <c r="AI574"/>
      <c r="AJ574" s="25"/>
      <c r="AK574" s="2"/>
      <c r="AR574" s="25"/>
      <c r="BA574" s="2"/>
      <c r="BG574" s="1"/>
    </row>
    <row r="575" spans="28:59" ht="15" customHeight="1" x14ac:dyDescent="0.3">
      <c r="AB575"/>
      <c r="AC575"/>
      <c r="AD575"/>
      <c r="AE575"/>
      <c r="AF575"/>
      <c r="AG575"/>
      <c r="AH575"/>
      <c r="AI575"/>
      <c r="AJ575" s="25"/>
      <c r="AK575" s="2"/>
      <c r="AR575" s="25"/>
      <c r="BA575" s="2"/>
      <c r="BG575" s="1"/>
    </row>
    <row r="576" spans="28:59" ht="15" customHeight="1" x14ac:dyDescent="0.3">
      <c r="AB576"/>
      <c r="AC576"/>
      <c r="AD576"/>
      <c r="AE576"/>
      <c r="AF576"/>
      <c r="AG576"/>
      <c r="AH576"/>
      <c r="AI576"/>
      <c r="AJ576" s="25"/>
      <c r="AK576" s="2"/>
      <c r="AR576" s="25"/>
      <c r="BA576" s="2"/>
      <c r="BG576" s="1"/>
    </row>
    <row r="577" spans="28:59" ht="15" customHeight="1" x14ac:dyDescent="0.3">
      <c r="AB577"/>
      <c r="AC577"/>
      <c r="AD577"/>
      <c r="AE577"/>
      <c r="AF577"/>
      <c r="AG577"/>
      <c r="AH577"/>
      <c r="AI577"/>
      <c r="AJ577" s="25"/>
      <c r="AK577" s="2"/>
      <c r="AR577" s="25"/>
      <c r="BA577" s="2"/>
      <c r="BG577" s="1"/>
    </row>
    <row r="578" spans="28:59" ht="15" customHeight="1" x14ac:dyDescent="0.3">
      <c r="AB578"/>
      <c r="AC578"/>
      <c r="AD578"/>
      <c r="AE578"/>
      <c r="AF578"/>
      <c r="AG578"/>
      <c r="AH578"/>
      <c r="AI578"/>
      <c r="AJ578" s="25"/>
      <c r="AK578" s="2"/>
      <c r="AR578" s="25"/>
      <c r="BA578" s="2"/>
      <c r="BG578" s="1"/>
    </row>
    <row r="579" spans="28:59" ht="15" customHeight="1" x14ac:dyDescent="0.3">
      <c r="AB579"/>
      <c r="AC579"/>
      <c r="AD579"/>
      <c r="AE579"/>
      <c r="AF579"/>
      <c r="AG579"/>
      <c r="AH579"/>
      <c r="AI579"/>
      <c r="AJ579" s="25"/>
      <c r="AK579" s="2"/>
      <c r="AR579" s="25"/>
      <c r="BA579" s="2"/>
      <c r="BG579" s="1"/>
    </row>
    <row r="580" spans="28:59" ht="15" customHeight="1" x14ac:dyDescent="0.3">
      <c r="AB580"/>
      <c r="AC580"/>
      <c r="AD580"/>
      <c r="AE580"/>
      <c r="AF580"/>
      <c r="AG580"/>
      <c r="AH580"/>
      <c r="AI580"/>
      <c r="AJ580" s="25"/>
      <c r="AK580" s="2"/>
      <c r="AR580" s="25"/>
      <c r="BA580" s="2"/>
      <c r="BG580" s="1"/>
    </row>
    <row r="581" spans="28:59" ht="15" customHeight="1" x14ac:dyDescent="0.3">
      <c r="AB581"/>
      <c r="AC581"/>
      <c r="AD581"/>
      <c r="AE581"/>
      <c r="AF581"/>
      <c r="AG581"/>
      <c r="AH581"/>
      <c r="AI581"/>
      <c r="AJ581" s="25"/>
      <c r="AK581" s="2"/>
      <c r="AR581" s="25"/>
      <c r="BA581" s="2"/>
      <c r="BG581" s="1"/>
    </row>
    <row r="582" spans="28:59" ht="15" customHeight="1" x14ac:dyDescent="0.3">
      <c r="AB582"/>
      <c r="AC582"/>
      <c r="AD582"/>
      <c r="AE582"/>
      <c r="AF582"/>
      <c r="AG582"/>
      <c r="AH582"/>
      <c r="AI582"/>
      <c r="AJ582" s="25"/>
      <c r="AK582" s="2"/>
      <c r="AR582" s="25"/>
      <c r="BA582" s="2"/>
      <c r="BG582" s="1"/>
    </row>
    <row r="583" spans="28:59" ht="15" customHeight="1" x14ac:dyDescent="0.3">
      <c r="AB583"/>
      <c r="AC583"/>
      <c r="AD583"/>
      <c r="AE583"/>
      <c r="AF583"/>
      <c r="AG583"/>
      <c r="AH583"/>
      <c r="AI583"/>
      <c r="AJ583" s="25"/>
      <c r="AK583" s="2"/>
      <c r="AR583" s="25"/>
      <c r="BA583" s="2"/>
      <c r="BG583" s="1"/>
    </row>
    <row r="584" spans="28:59" ht="15" customHeight="1" x14ac:dyDescent="0.3">
      <c r="AB584"/>
      <c r="AC584"/>
      <c r="AD584"/>
      <c r="AE584"/>
      <c r="AF584"/>
      <c r="AG584"/>
      <c r="AH584"/>
      <c r="AI584"/>
      <c r="AJ584" s="25"/>
      <c r="AK584" s="2"/>
      <c r="AR584" s="25"/>
      <c r="BA584" s="2"/>
      <c r="BG584" s="1"/>
    </row>
    <row r="585" spans="28:59" ht="15" customHeight="1" x14ac:dyDescent="0.3">
      <c r="AB585"/>
      <c r="AC585"/>
      <c r="AD585"/>
      <c r="AE585"/>
      <c r="AF585"/>
      <c r="AG585"/>
      <c r="AH585"/>
      <c r="AI585"/>
      <c r="AJ585" s="25"/>
      <c r="AK585" s="2"/>
      <c r="AR585" s="25"/>
      <c r="BA585" s="2"/>
      <c r="BG585" s="1"/>
    </row>
    <row r="586" spans="28:59" ht="15" customHeight="1" x14ac:dyDescent="0.3">
      <c r="AB586"/>
      <c r="AC586"/>
      <c r="AD586"/>
      <c r="AE586"/>
      <c r="AF586"/>
      <c r="AG586"/>
      <c r="AH586"/>
      <c r="AI586"/>
      <c r="AJ586" s="25"/>
      <c r="AK586" s="2"/>
      <c r="AR586" s="25"/>
      <c r="BA586" s="2"/>
      <c r="BG586" s="1"/>
    </row>
    <row r="587" spans="28:59" ht="15" customHeight="1" x14ac:dyDescent="0.3">
      <c r="AB587"/>
      <c r="AC587"/>
      <c r="AD587"/>
      <c r="AE587"/>
      <c r="AF587"/>
      <c r="AG587"/>
      <c r="AH587"/>
      <c r="AI587"/>
      <c r="AJ587" s="25"/>
      <c r="AK587" s="2"/>
      <c r="AR587" s="25"/>
      <c r="BA587" s="2"/>
      <c r="BG587" s="1"/>
    </row>
    <row r="588" spans="28:59" ht="15" customHeight="1" x14ac:dyDescent="0.3">
      <c r="AB588"/>
      <c r="AC588"/>
      <c r="AD588"/>
      <c r="AE588"/>
      <c r="AF588"/>
      <c r="AG588"/>
      <c r="AH588"/>
      <c r="AI588"/>
      <c r="AJ588" s="25"/>
      <c r="AK588" s="2"/>
      <c r="AR588" s="25"/>
      <c r="BA588" s="2"/>
      <c r="BG588" s="1"/>
    </row>
    <row r="589" spans="28:59" ht="15" customHeight="1" x14ac:dyDescent="0.3">
      <c r="AB589"/>
      <c r="AC589"/>
      <c r="AD589"/>
      <c r="AE589"/>
      <c r="AF589"/>
      <c r="AG589"/>
      <c r="AH589"/>
      <c r="AI589"/>
      <c r="AJ589" s="25"/>
      <c r="AK589" s="2"/>
      <c r="AR589" s="25"/>
      <c r="BA589" s="2"/>
      <c r="BG589" s="1"/>
    </row>
    <row r="590" spans="28:59" ht="15" customHeight="1" x14ac:dyDescent="0.3">
      <c r="AB590"/>
      <c r="AC590"/>
      <c r="AD590"/>
      <c r="AE590"/>
      <c r="AF590"/>
      <c r="AG590"/>
      <c r="AH590"/>
      <c r="AI590"/>
      <c r="AJ590" s="25"/>
      <c r="AK590" s="2"/>
      <c r="AR590" s="25"/>
      <c r="BA590" s="2"/>
      <c r="BG590" s="1"/>
    </row>
    <row r="591" spans="28:59" ht="15" customHeight="1" x14ac:dyDescent="0.3">
      <c r="AB591"/>
      <c r="AC591"/>
      <c r="AD591"/>
      <c r="AE591"/>
      <c r="AF591"/>
      <c r="AG591"/>
      <c r="AH591"/>
      <c r="AI591"/>
      <c r="AJ591" s="25"/>
      <c r="AK591" s="2"/>
      <c r="AR591" s="25"/>
      <c r="BA591" s="2"/>
      <c r="BG591" s="1"/>
    </row>
    <row r="592" spans="28:59" ht="15" customHeight="1" x14ac:dyDescent="0.3">
      <c r="AB592"/>
      <c r="AC592"/>
      <c r="AD592"/>
      <c r="AE592"/>
      <c r="AF592"/>
      <c r="AG592"/>
      <c r="AH592"/>
      <c r="AI592"/>
      <c r="AJ592" s="25"/>
      <c r="AK592" s="2"/>
      <c r="AR592" s="25"/>
      <c r="BA592" s="2"/>
      <c r="BG592" s="1"/>
    </row>
    <row r="593" spans="28:59" ht="15" customHeight="1" x14ac:dyDescent="0.3">
      <c r="AB593"/>
      <c r="AC593"/>
      <c r="AD593"/>
      <c r="AE593"/>
      <c r="AF593"/>
      <c r="AG593"/>
      <c r="AH593"/>
      <c r="AI593"/>
      <c r="AJ593" s="25"/>
      <c r="AK593" s="2"/>
      <c r="AR593" s="25"/>
      <c r="BA593" s="2"/>
      <c r="BG593" s="1"/>
    </row>
    <row r="594" spans="28:59" ht="15" customHeight="1" x14ac:dyDescent="0.3">
      <c r="AB594"/>
      <c r="AC594"/>
      <c r="AD594"/>
      <c r="AE594"/>
      <c r="AF594"/>
      <c r="AG594"/>
      <c r="AH594"/>
      <c r="AI594"/>
      <c r="AJ594" s="25"/>
      <c r="AK594" s="2"/>
      <c r="AR594" s="25"/>
      <c r="BA594" s="2"/>
      <c r="BG594" s="1"/>
    </row>
    <row r="595" spans="28:59" ht="15" customHeight="1" x14ac:dyDescent="0.3">
      <c r="AB595"/>
      <c r="AC595"/>
      <c r="AD595"/>
      <c r="AE595"/>
      <c r="AF595"/>
      <c r="AG595"/>
      <c r="AH595"/>
      <c r="AI595"/>
      <c r="AJ595" s="25"/>
      <c r="AK595" s="2"/>
      <c r="AR595" s="25"/>
      <c r="BA595" s="2"/>
      <c r="BG595" s="1"/>
    </row>
    <row r="596" spans="28:59" ht="15" customHeight="1" x14ac:dyDescent="0.3">
      <c r="AB596"/>
      <c r="AC596"/>
      <c r="AD596"/>
      <c r="AE596"/>
      <c r="AF596"/>
      <c r="AG596"/>
      <c r="AH596"/>
      <c r="AI596"/>
      <c r="AJ596" s="25"/>
      <c r="AK596" s="2"/>
      <c r="AR596" s="25"/>
      <c r="BA596" s="2"/>
      <c r="BG596" s="1"/>
    </row>
    <row r="597" spans="28:59" ht="15" customHeight="1" x14ac:dyDescent="0.3">
      <c r="AB597"/>
      <c r="AC597"/>
      <c r="AD597"/>
      <c r="AE597"/>
      <c r="AF597"/>
      <c r="AG597"/>
      <c r="AH597"/>
      <c r="AI597"/>
      <c r="AJ597" s="25"/>
      <c r="AK597" s="2"/>
      <c r="AR597" s="25"/>
      <c r="BA597" s="2"/>
      <c r="BG597" s="1"/>
    </row>
    <row r="598" spans="28:59" ht="15" customHeight="1" x14ac:dyDescent="0.3">
      <c r="AB598"/>
      <c r="AC598"/>
      <c r="AD598"/>
      <c r="AE598"/>
      <c r="AF598"/>
      <c r="AG598"/>
      <c r="AH598"/>
      <c r="AI598"/>
      <c r="AJ598" s="25"/>
      <c r="AK598" s="2"/>
      <c r="AR598" s="25"/>
      <c r="BA598" s="2"/>
      <c r="BG598" s="1"/>
    </row>
    <row r="599" spans="28:59" ht="15" customHeight="1" x14ac:dyDescent="0.3">
      <c r="AB599"/>
      <c r="AC599"/>
      <c r="AD599"/>
      <c r="AE599"/>
      <c r="AF599"/>
      <c r="AG599"/>
      <c r="AH599"/>
      <c r="AI599"/>
      <c r="AJ599" s="25"/>
      <c r="AK599" s="2"/>
      <c r="AR599" s="25"/>
      <c r="BA599" s="2"/>
      <c r="BG599" s="1"/>
    </row>
    <row r="600" spans="28:59" ht="15" customHeight="1" x14ac:dyDescent="0.3">
      <c r="AB600"/>
      <c r="AC600"/>
      <c r="AD600"/>
      <c r="AE600"/>
      <c r="AF600"/>
      <c r="AG600"/>
      <c r="AH600"/>
      <c r="AI600"/>
      <c r="AJ600" s="25"/>
      <c r="AK600" s="2"/>
      <c r="AR600" s="25"/>
      <c r="BA600" s="2"/>
      <c r="BG600" s="1"/>
    </row>
    <row r="601" spans="28:59" ht="15" customHeight="1" x14ac:dyDescent="0.3">
      <c r="AB601"/>
      <c r="AC601"/>
      <c r="AD601"/>
      <c r="AE601"/>
      <c r="AF601"/>
      <c r="AG601"/>
      <c r="AH601"/>
      <c r="AI601"/>
      <c r="AJ601" s="25"/>
      <c r="AK601" s="2"/>
      <c r="AR601" s="25"/>
      <c r="BA601" s="2"/>
      <c r="BG601" s="1"/>
    </row>
    <row r="602" spans="28:59" ht="15" customHeight="1" x14ac:dyDescent="0.3">
      <c r="AB602"/>
      <c r="AC602"/>
      <c r="AD602"/>
      <c r="AE602"/>
      <c r="AF602"/>
      <c r="AG602"/>
      <c r="AH602"/>
      <c r="AI602"/>
      <c r="AJ602" s="25"/>
      <c r="AK602" s="2"/>
      <c r="AR602" s="25"/>
      <c r="BA602" s="2"/>
      <c r="BG602" s="1"/>
    </row>
    <row r="603" spans="28:59" ht="15" customHeight="1" x14ac:dyDescent="0.3">
      <c r="AB603"/>
      <c r="AC603"/>
      <c r="AD603"/>
      <c r="AE603"/>
      <c r="AF603"/>
      <c r="AG603"/>
      <c r="AH603"/>
      <c r="AI603"/>
      <c r="AJ603" s="25"/>
      <c r="AK603" s="2"/>
      <c r="AR603" s="25"/>
      <c r="BA603" s="2"/>
      <c r="BG603" s="1"/>
    </row>
    <row r="604" spans="28:59" ht="15" customHeight="1" x14ac:dyDescent="0.3">
      <c r="AB604"/>
      <c r="AC604"/>
      <c r="AD604"/>
      <c r="AE604"/>
      <c r="AF604"/>
      <c r="AG604"/>
      <c r="AH604"/>
      <c r="AI604"/>
      <c r="AJ604" s="25"/>
      <c r="AK604" s="2"/>
      <c r="AR604" s="25"/>
      <c r="BA604" s="2"/>
      <c r="BG604" s="1"/>
    </row>
    <row r="605" spans="28:59" ht="15" customHeight="1" x14ac:dyDescent="0.3">
      <c r="AB605"/>
      <c r="AC605"/>
      <c r="AD605"/>
      <c r="AE605"/>
      <c r="AF605"/>
      <c r="AG605"/>
      <c r="AH605"/>
      <c r="AI605"/>
      <c r="AJ605" s="25"/>
      <c r="AK605" s="2"/>
      <c r="AR605" s="25"/>
      <c r="BA605" s="2"/>
      <c r="BG605" s="1"/>
    </row>
    <row r="606" spans="28:59" ht="15" customHeight="1" x14ac:dyDescent="0.3">
      <c r="AB606"/>
      <c r="AC606"/>
      <c r="AD606"/>
      <c r="AE606"/>
      <c r="AF606"/>
      <c r="AG606"/>
      <c r="AH606"/>
      <c r="AI606"/>
      <c r="AJ606" s="25"/>
      <c r="AK606" s="2"/>
      <c r="AR606" s="25"/>
      <c r="BA606" s="2"/>
      <c r="BG606" s="1"/>
    </row>
    <row r="607" spans="28:59" ht="15" customHeight="1" x14ac:dyDescent="0.3">
      <c r="AB607"/>
      <c r="AC607"/>
      <c r="AD607"/>
      <c r="AE607"/>
      <c r="AF607"/>
      <c r="AG607"/>
      <c r="AH607"/>
      <c r="AI607"/>
      <c r="AJ607" s="25"/>
      <c r="AK607" s="2"/>
      <c r="AR607" s="25"/>
      <c r="BA607" s="2"/>
      <c r="BG607" s="1"/>
    </row>
    <row r="608" spans="28:59" ht="15" customHeight="1" x14ac:dyDescent="0.3">
      <c r="AB608"/>
      <c r="AC608"/>
      <c r="AD608"/>
      <c r="AE608"/>
      <c r="AF608"/>
      <c r="AG608"/>
      <c r="AH608"/>
      <c r="AI608"/>
      <c r="AJ608" s="25"/>
      <c r="AK608" s="2"/>
      <c r="AR608" s="25"/>
      <c r="BA608" s="2"/>
      <c r="BG608" s="1"/>
    </row>
    <row r="609" spans="28:59" ht="15" customHeight="1" x14ac:dyDescent="0.3">
      <c r="AB609"/>
      <c r="AC609"/>
      <c r="AD609"/>
      <c r="AE609"/>
      <c r="AF609"/>
      <c r="AG609"/>
      <c r="AH609"/>
      <c r="AI609"/>
      <c r="AJ609" s="25"/>
      <c r="AK609" s="2"/>
      <c r="AR609" s="25"/>
      <c r="BA609" s="2"/>
      <c r="BG609" s="1"/>
    </row>
    <row r="610" spans="28:59" ht="15" customHeight="1" x14ac:dyDescent="0.3">
      <c r="AB610"/>
      <c r="AC610"/>
      <c r="AD610"/>
      <c r="AE610"/>
      <c r="AF610"/>
      <c r="AG610"/>
      <c r="AH610"/>
      <c r="AI610"/>
      <c r="AJ610" s="25"/>
      <c r="AK610" s="2"/>
      <c r="AR610" s="25"/>
      <c r="BA610" s="2"/>
      <c r="BG610" s="1"/>
    </row>
    <row r="611" spans="28:59" ht="15" customHeight="1" x14ac:dyDescent="0.3">
      <c r="AB611"/>
      <c r="AC611"/>
      <c r="AD611"/>
      <c r="AE611"/>
      <c r="AF611"/>
      <c r="AG611"/>
      <c r="AH611"/>
      <c r="AI611"/>
      <c r="AJ611" s="25"/>
      <c r="AK611" s="2"/>
      <c r="AR611" s="25"/>
      <c r="BA611" s="2"/>
      <c r="BG611" s="1"/>
    </row>
    <row r="612" spans="28:59" ht="15" customHeight="1" x14ac:dyDescent="0.3">
      <c r="AB612"/>
      <c r="AC612"/>
      <c r="AD612"/>
      <c r="AE612"/>
      <c r="AF612"/>
      <c r="AG612"/>
      <c r="AH612"/>
      <c r="AI612"/>
      <c r="AJ612" s="25"/>
      <c r="AK612" s="2"/>
      <c r="AR612" s="25"/>
      <c r="BA612" s="2"/>
      <c r="BG612" s="1"/>
    </row>
    <row r="613" spans="28:59" ht="15" customHeight="1" x14ac:dyDescent="0.3">
      <c r="AB613"/>
      <c r="AC613"/>
      <c r="AD613"/>
      <c r="AE613"/>
      <c r="AF613"/>
      <c r="AG613"/>
      <c r="AH613"/>
      <c r="AI613"/>
      <c r="AJ613" s="25"/>
      <c r="AK613" s="2"/>
      <c r="AR613" s="25"/>
      <c r="BA613" s="2"/>
      <c r="BG613" s="1"/>
    </row>
    <row r="614" spans="28:59" ht="15" customHeight="1" x14ac:dyDescent="0.3">
      <c r="AB614"/>
      <c r="AC614"/>
      <c r="AD614"/>
      <c r="AE614"/>
      <c r="AF614"/>
      <c r="AG614"/>
      <c r="AH614"/>
      <c r="AI614"/>
      <c r="AJ614" s="25"/>
      <c r="AK614" s="2"/>
      <c r="AR614" s="25"/>
      <c r="BA614" s="2"/>
      <c r="BG614" s="1"/>
    </row>
    <row r="615" spans="28:59" ht="15" customHeight="1" x14ac:dyDescent="0.3">
      <c r="AB615"/>
      <c r="AC615"/>
      <c r="AD615"/>
      <c r="AE615"/>
      <c r="AF615"/>
      <c r="AG615"/>
      <c r="AH615"/>
      <c r="AI615"/>
      <c r="AJ615" s="25"/>
      <c r="AK615" s="2"/>
      <c r="AR615" s="25"/>
      <c r="BA615" s="2"/>
      <c r="BG615" s="1"/>
    </row>
    <row r="616" spans="28:59" ht="15" customHeight="1" x14ac:dyDescent="0.3">
      <c r="AB616"/>
      <c r="AC616"/>
      <c r="AD616"/>
      <c r="AE616"/>
      <c r="AF616"/>
      <c r="AG616"/>
      <c r="AH616"/>
      <c r="AI616"/>
      <c r="AJ616" s="25"/>
      <c r="AK616" s="2"/>
      <c r="AR616" s="25"/>
      <c r="BA616" s="2"/>
      <c r="BG616" s="1"/>
    </row>
    <row r="617" spans="28:59" ht="15" customHeight="1" x14ac:dyDescent="0.3">
      <c r="AB617"/>
      <c r="AC617"/>
      <c r="AD617"/>
      <c r="AE617"/>
      <c r="AF617"/>
      <c r="AG617"/>
      <c r="AH617"/>
      <c r="AI617"/>
      <c r="AJ617" s="25"/>
      <c r="AK617" s="2"/>
      <c r="AR617" s="25"/>
      <c r="BA617" s="2"/>
      <c r="BG617" s="1"/>
    </row>
    <row r="618" spans="28:59" ht="15" customHeight="1" x14ac:dyDescent="0.3">
      <c r="AB618"/>
      <c r="AC618"/>
      <c r="AD618"/>
      <c r="AE618"/>
      <c r="AF618"/>
      <c r="AG618"/>
      <c r="AH618"/>
      <c r="AI618"/>
      <c r="AJ618" s="25"/>
      <c r="AK618" s="2"/>
      <c r="AR618" s="25"/>
      <c r="BA618" s="2"/>
      <c r="BG618" s="1"/>
    </row>
    <row r="619" spans="28:59" ht="15" customHeight="1" x14ac:dyDescent="0.3">
      <c r="AB619"/>
      <c r="AC619"/>
      <c r="AD619"/>
      <c r="AE619"/>
      <c r="AF619"/>
      <c r="AG619"/>
      <c r="AH619"/>
      <c r="AI619"/>
      <c r="AJ619" s="25"/>
      <c r="AK619" s="2"/>
      <c r="AR619" s="25"/>
      <c r="BA619" s="2"/>
      <c r="BG619" s="1"/>
    </row>
    <row r="620" spans="28:59" ht="15" customHeight="1" x14ac:dyDescent="0.3">
      <c r="AB620"/>
      <c r="AC620"/>
      <c r="AD620"/>
      <c r="AE620"/>
      <c r="AF620"/>
      <c r="AG620"/>
      <c r="AH620"/>
      <c r="AI620"/>
      <c r="AJ620" s="25"/>
      <c r="AK620" s="2"/>
      <c r="AR620" s="25"/>
      <c r="BA620" s="2"/>
      <c r="BG620" s="1"/>
    </row>
    <row r="621" spans="28:59" ht="15" customHeight="1" x14ac:dyDescent="0.3">
      <c r="AB621"/>
      <c r="AC621"/>
      <c r="AD621"/>
      <c r="AE621"/>
      <c r="AF621"/>
      <c r="AG621"/>
      <c r="AH621"/>
      <c r="AI621"/>
      <c r="AJ621" s="25"/>
      <c r="AK621" s="2"/>
      <c r="AR621" s="25"/>
      <c r="BA621" s="2"/>
      <c r="BG621" s="1"/>
    </row>
    <row r="622" spans="28:59" ht="15" customHeight="1" x14ac:dyDescent="0.3">
      <c r="AB622"/>
      <c r="AC622"/>
      <c r="AD622"/>
      <c r="AE622"/>
      <c r="AF622"/>
      <c r="AG622"/>
      <c r="AH622"/>
      <c r="AI622"/>
      <c r="AJ622" s="25"/>
      <c r="AK622" s="2"/>
      <c r="AR622" s="25"/>
      <c r="BA622" s="2"/>
      <c r="BG622" s="1"/>
    </row>
    <row r="623" spans="28:59" ht="15" customHeight="1" x14ac:dyDescent="0.3">
      <c r="AB623"/>
      <c r="AC623"/>
      <c r="AD623"/>
      <c r="AE623"/>
      <c r="AF623"/>
      <c r="AG623"/>
      <c r="AH623"/>
      <c r="AI623"/>
      <c r="AJ623" s="25"/>
      <c r="AK623" s="2"/>
      <c r="AR623" s="25"/>
      <c r="BA623" s="2"/>
      <c r="BG623" s="1"/>
    </row>
    <row r="624" spans="28:59" ht="15" customHeight="1" x14ac:dyDescent="0.3">
      <c r="AB624"/>
      <c r="AC624"/>
      <c r="AD624"/>
      <c r="AE624"/>
      <c r="AF624"/>
      <c r="AG624"/>
      <c r="AH624"/>
      <c r="AI624"/>
      <c r="AJ624" s="25"/>
      <c r="AK624" s="2"/>
      <c r="AR624" s="25"/>
      <c r="BA624" s="2"/>
      <c r="BG624" s="1"/>
    </row>
    <row r="625" spans="28:59" ht="15" customHeight="1" x14ac:dyDescent="0.3">
      <c r="AB625"/>
      <c r="AC625"/>
      <c r="AD625"/>
      <c r="AE625"/>
      <c r="AF625"/>
      <c r="AG625"/>
      <c r="AH625"/>
      <c r="AI625"/>
      <c r="AJ625" s="25"/>
      <c r="AK625" s="2"/>
      <c r="AR625" s="25"/>
      <c r="BA625" s="2"/>
      <c r="BG625" s="1"/>
    </row>
    <row r="626" spans="28:59" ht="15" customHeight="1" x14ac:dyDescent="0.3">
      <c r="AB626"/>
      <c r="AC626"/>
      <c r="AD626"/>
      <c r="AE626"/>
      <c r="AF626"/>
      <c r="AG626"/>
      <c r="AH626"/>
      <c r="AI626"/>
      <c r="AJ626" s="25"/>
      <c r="AK626" s="2"/>
      <c r="AR626" s="25"/>
      <c r="BA626" s="2"/>
      <c r="BG626" s="1"/>
    </row>
    <row r="627" spans="28:59" ht="15" customHeight="1" x14ac:dyDescent="0.3">
      <c r="AB627"/>
      <c r="AC627"/>
      <c r="AD627"/>
      <c r="AE627"/>
      <c r="AF627"/>
      <c r="AG627"/>
      <c r="AH627"/>
      <c r="AI627"/>
      <c r="AJ627" s="25"/>
      <c r="AK627" s="2"/>
      <c r="AR627" s="25"/>
      <c r="BA627" s="2"/>
      <c r="BG627" s="1"/>
    </row>
    <row r="628" spans="28:59" ht="15" customHeight="1" x14ac:dyDescent="0.3">
      <c r="AB628"/>
      <c r="AC628"/>
      <c r="AD628"/>
      <c r="AE628"/>
      <c r="AF628"/>
      <c r="AG628"/>
      <c r="AH628"/>
      <c r="AI628"/>
      <c r="AJ628" s="25"/>
      <c r="AK628" s="2"/>
      <c r="AR628" s="25"/>
      <c r="BA628" s="2"/>
      <c r="BG628" s="1"/>
    </row>
    <row r="629" spans="28:59" ht="15" customHeight="1" x14ac:dyDescent="0.3">
      <c r="AB629"/>
      <c r="AC629"/>
      <c r="AD629"/>
      <c r="AE629"/>
      <c r="AF629"/>
      <c r="AG629"/>
      <c r="AH629"/>
      <c r="AI629"/>
      <c r="AJ629" s="25"/>
      <c r="AK629" s="2"/>
      <c r="AR629" s="25"/>
      <c r="BA629" s="2"/>
      <c r="BG629" s="1"/>
    </row>
    <row r="630" spans="28:59" ht="15" customHeight="1" x14ac:dyDescent="0.3">
      <c r="AB630"/>
      <c r="AC630"/>
      <c r="AD630"/>
      <c r="AE630"/>
      <c r="AF630"/>
      <c r="AG630"/>
      <c r="AH630"/>
      <c r="AI630"/>
      <c r="AJ630" s="25"/>
      <c r="AK630" s="2"/>
      <c r="AR630" s="25"/>
      <c r="BA630" s="2"/>
      <c r="BG630" s="1"/>
    </row>
    <row r="631" spans="28:59" ht="15" customHeight="1" x14ac:dyDescent="0.3">
      <c r="AB631"/>
      <c r="AC631"/>
      <c r="AD631"/>
      <c r="AE631"/>
      <c r="AF631"/>
      <c r="AG631"/>
      <c r="AH631"/>
      <c r="AI631"/>
      <c r="AJ631" s="25"/>
      <c r="AK631" s="2"/>
      <c r="AR631" s="25"/>
      <c r="BA631" s="2"/>
      <c r="BG631" s="1"/>
    </row>
    <row r="632" spans="28:59" ht="15" customHeight="1" x14ac:dyDescent="0.3">
      <c r="AB632"/>
      <c r="AC632"/>
      <c r="AD632"/>
      <c r="AE632"/>
      <c r="AF632"/>
      <c r="AG632"/>
      <c r="AH632"/>
      <c r="AI632"/>
      <c r="AJ632" s="25"/>
      <c r="AK632" s="2"/>
      <c r="AR632" s="25"/>
      <c r="BA632" s="2"/>
      <c r="BG632" s="1"/>
    </row>
    <row r="633" spans="28:59" ht="15" customHeight="1" x14ac:dyDescent="0.3">
      <c r="AB633"/>
      <c r="AC633"/>
      <c r="AD633"/>
      <c r="AE633"/>
      <c r="AF633"/>
      <c r="AG633"/>
      <c r="AH633"/>
      <c r="AI633"/>
      <c r="AJ633" s="25"/>
      <c r="AK633" s="2"/>
      <c r="AR633" s="25"/>
      <c r="BA633" s="2"/>
      <c r="BG633" s="1"/>
    </row>
    <row r="634" spans="28:59" ht="15" customHeight="1" x14ac:dyDescent="0.3">
      <c r="AB634"/>
      <c r="AC634"/>
      <c r="AD634"/>
      <c r="AE634"/>
      <c r="AF634"/>
      <c r="AG634"/>
      <c r="AH634"/>
      <c r="AI634"/>
      <c r="AJ634" s="25"/>
      <c r="AK634" s="2"/>
      <c r="AR634" s="25"/>
      <c r="BA634" s="2"/>
      <c r="BG634" s="1"/>
    </row>
    <row r="635" spans="28:59" ht="15" customHeight="1" x14ac:dyDescent="0.3">
      <c r="AB635"/>
      <c r="AC635"/>
      <c r="AD635"/>
      <c r="AE635"/>
      <c r="AF635"/>
      <c r="AG635"/>
      <c r="AH635"/>
      <c r="AI635"/>
      <c r="AJ635" s="25"/>
      <c r="AK635" s="2"/>
      <c r="AR635" s="25"/>
      <c r="BA635" s="2"/>
      <c r="BG635" s="1"/>
    </row>
    <row r="636" spans="28:59" ht="15" customHeight="1" x14ac:dyDescent="0.3">
      <c r="AB636"/>
      <c r="AC636"/>
      <c r="AD636"/>
      <c r="AE636"/>
      <c r="AF636"/>
      <c r="AG636"/>
      <c r="AH636"/>
      <c r="AI636"/>
      <c r="AJ636" s="25"/>
      <c r="AK636" s="2"/>
      <c r="AR636" s="25"/>
      <c r="BA636" s="2"/>
      <c r="BG636" s="1"/>
    </row>
    <row r="637" spans="28:59" ht="15" customHeight="1" x14ac:dyDescent="0.3">
      <c r="AB637"/>
      <c r="AC637"/>
      <c r="AD637"/>
      <c r="AE637"/>
      <c r="AF637"/>
      <c r="AG637"/>
      <c r="AH637"/>
      <c r="AI637"/>
      <c r="AJ637" s="25"/>
      <c r="AK637" s="2"/>
      <c r="AR637" s="25"/>
      <c r="BA637" s="2"/>
      <c r="BG637" s="1"/>
    </row>
    <row r="638" spans="28:59" ht="15" customHeight="1" x14ac:dyDescent="0.3">
      <c r="AB638"/>
      <c r="AC638"/>
      <c r="AD638"/>
      <c r="AE638"/>
      <c r="AF638"/>
      <c r="AG638"/>
      <c r="AH638"/>
      <c r="AI638"/>
      <c r="AJ638" s="25"/>
      <c r="AK638" s="2"/>
      <c r="AR638" s="25"/>
      <c r="BA638" s="2"/>
      <c r="BG638" s="1"/>
    </row>
    <row r="639" spans="28:59" ht="15" customHeight="1" x14ac:dyDescent="0.3">
      <c r="AB639"/>
      <c r="AC639"/>
      <c r="AD639"/>
      <c r="AE639"/>
      <c r="AF639"/>
      <c r="AG639"/>
      <c r="AH639"/>
      <c r="AI639"/>
      <c r="AJ639" s="25"/>
      <c r="AK639" s="2"/>
      <c r="AR639" s="25"/>
      <c r="BA639" s="2"/>
      <c r="BG639" s="1"/>
    </row>
    <row r="640" spans="28:59" ht="15" customHeight="1" x14ac:dyDescent="0.3">
      <c r="AB640"/>
      <c r="AC640"/>
      <c r="AD640"/>
      <c r="AE640"/>
      <c r="AF640"/>
      <c r="AG640"/>
      <c r="AH640"/>
      <c r="AI640"/>
      <c r="AJ640" s="25"/>
      <c r="AK640" s="2"/>
      <c r="AR640" s="25"/>
      <c r="BA640" s="2"/>
      <c r="BG640" s="1"/>
    </row>
    <row r="641" spans="28:59" ht="15" customHeight="1" x14ac:dyDescent="0.3">
      <c r="AB641"/>
      <c r="AC641"/>
      <c r="AD641"/>
      <c r="AE641"/>
      <c r="AF641"/>
      <c r="AG641"/>
      <c r="AH641"/>
      <c r="AI641"/>
      <c r="AJ641" s="25"/>
      <c r="AK641" s="2"/>
      <c r="AR641" s="25"/>
      <c r="BA641" s="2"/>
      <c r="BG641" s="1"/>
    </row>
    <row r="642" spans="28:59" ht="15" customHeight="1" x14ac:dyDescent="0.3">
      <c r="AB642"/>
      <c r="AC642"/>
      <c r="AD642"/>
      <c r="AE642"/>
      <c r="AF642"/>
      <c r="AG642"/>
      <c r="AH642"/>
      <c r="AI642"/>
      <c r="AJ642" s="25"/>
      <c r="AK642" s="2"/>
      <c r="AR642" s="25"/>
      <c r="BA642" s="2"/>
      <c r="BG642" s="1"/>
    </row>
    <row r="643" spans="28:59" ht="15" customHeight="1" x14ac:dyDescent="0.3">
      <c r="AB643"/>
      <c r="AC643"/>
      <c r="AD643"/>
      <c r="AE643"/>
      <c r="AF643"/>
      <c r="AG643"/>
      <c r="AH643"/>
      <c r="AI643"/>
      <c r="AJ643" s="25"/>
      <c r="AK643" s="2"/>
      <c r="AR643" s="25"/>
      <c r="BA643" s="2"/>
      <c r="BG643" s="1"/>
    </row>
    <row r="644" spans="28:59" ht="15" customHeight="1" x14ac:dyDescent="0.3">
      <c r="AB644"/>
      <c r="AC644"/>
      <c r="AD644"/>
      <c r="AE644"/>
      <c r="AF644"/>
      <c r="AG644"/>
      <c r="AH644"/>
      <c r="AI644"/>
      <c r="AJ644" s="25"/>
      <c r="AK644" s="2"/>
      <c r="AR644" s="25"/>
      <c r="BA644" s="2"/>
      <c r="BG644" s="1"/>
    </row>
    <row r="645" spans="28:59" ht="15" customHeight="1" x14ac:dyDescent="0.3">
      <c r="AB645"/>
      <c r="AC645"/>
      <c r="AD645"/>
      <c r="AE645"/>
      <c r="AF645"/>
      <c r="AG645"/>
      <c r="AH645"/>
      <c r="AI645"/>
      <c r="AJ645" s="25"/>
      <c r="AK645" s="2"/>
      <c r="AR645" s="25"/>
      <c r="BA645" s="2"/>
      <c r="BG645" s="1"/>
    </row>
    <row r="646" spans="28:59" ht="15" customHeight="1" x14ac:dyDescent="0.3">
      <c r="AB646"/>
      <c r="AC646"/>
      <c r="AD646"/>
      <c r="AE646"/>
      <c r="AF646"/>
      <c r="AG646"/>
      <c r="AH646"/>
      <c r="AI646"/>
      <c r="AJ646" s="25"/>
      <c r="AK646" s="2"/>
      <c r="AR646" s="25"/>
      <c r="BA646" s="2"/>
      <c r="BG646" s="1"/>
    </row>
    <row r="647" spans="28:59" ht="15" customHeight="1" x14ac:dyDescent="0.3">
      <c r="AB647"/>
      <c r="AC647"/>
      <c r="AD647"/>
      <c r="AE647"/>
      <c r="AF647"/>
      <c r="AG647"/>
      <c r="AH647"/>
      <c r="AI647"/>
      <c r="AJ647" s="25"/>
      <c r="AK647" s="2"/>
      <c r="AR647" s="25"/>
      <c r="BA647" s="2"/>
      <c r="BG647" s="1"/>
    </row>
    <row r="648" spans="28:59" ht="15" customHeight="1" x14ac:dyDescent="0.3">
      <c r="AB648"/>
      <c r="AC648"/>
      <c r="AD648"/>
      <c r="AE648"/>
      <c r="AF648"/>
      <c r="AG648"/>
      <c r="AH648"/>
      <c r="AI648"/>
      <c r="AJ648" s="25"/>
      <c r="AK648" s="2"/>
      <c r="AR648" s="25"/>
      <c r="BA648" s="2"/>
      <c r="BG648" s="1"/>
    </row>
    <row r="649" spans="28:59" ht="15" customHeight="1" x14ac:dyDescent="0.3">
      <c r="AB649"/>
      <c r="AC649"/>
      <c r="AD649"/>
      <c r="AE649"/>
      <c r="AF649"/>
      <c r="AG649"/>
      <c r="AH649"/>
      <c r="AI649"/>
      <c r="AJ649" s="25"/>
      <c r="AK649" s="2"/>
      <c r="AR649" s="25"/>
      <c r="BA649" s="2"/>
      <c r="BG649" s="1"/>
    </row>
    <row r="650" spans="28:59" ht="15" customHeight="1" x14ac:dyDescent="0.3">
      <c r="AB650"/>
      <c r="AC650"/>
      <c r="AD650"/>
      <c r="AE650"/>
      <c r="AF650"/>
      <c r="AG650"/>
      <c r="AH650"/>
      <c r="AI650"/>
      <c r="AJ650" s="25"/>
      <c r="AK650" s="2"/>
      <c r="AR650" s="25"/>
      <c r="BA650" s="2"/>
      <c r="BG650" s="1"/>
    </row>
    <row r="651" spans="28:59" ht="15" customHeight="1" x14ac:dyDescent="0.3">
      <c r="AB651"/>
      <c r="AC651"/>
      <c r="AD651"/>
      <c r="AE651"/>
      <c r="AF651"/>
      <c r="AG651"/>
      <c r="AH651"/>
      <c r="AI651"/>
      <c r="AJ651" s="25"/>
      <c r="AK651" s="2"/>
      <c r="AR651" s="25"/>
      <c r="BA651" s="2"/>
      <c r="BG651" s="1"/>
    </row>
    <row r="652" spans="28:59" ht="15" customHeight="1" x14ac:dyDescent="0.3">
      <c r="AB652"/>
      <c r="AC652"/>
      <c r="AD652"/>
      <c r="AE652"/>
      <c r="AF652"/>
      <c r="AG652"/>
      <c r="AH652"/>
      <c r="AI652"/>
      <c r="AJ652" s="25"/>
      <c r="AK652" s="2"/>
      <c r="AR652" s="25"/>
      <c r="BA652" s="2"/>
      <c r="BG652" s="1"/>
    </row>
    <row r="653" spans="28:59" ht="15" customHeight="1" x14ac:dyDescent="0.3">
      <c r="AB653"/>
      <c r="AC653"/>
      <c r="AD653"/>
      <c r="AE653"/>
      <c r="AF653"/>
      <c r="AG653"/>
      <c r="AH653"/>
      <c r="AI653"/>
      <c r="AJ653" s="25"/>
      <c r="AK653" s="2"/>
      <c r="AR653" s="25"/>
      <c r="BA653" s="2"/>
      <c r="BG653" s="1"/>
    </row>
    <row r="654" spans="28:59" ht="15" customHeight="1" x14ac:dyDescent="0.3">
      <c r="AB654"/>
      <c r="AC654"/>
      <c r="AD654"/>
      <c r="AE654"/>
      <c r="AF654"/>
      <c r="AG654"/>
      <c r="AH654"/>
      <c r="AI654"/>
      <c r="AJ654" s="25"/>
      <c r="AK654" s="2"/>
      <c r="AR654" s="25"/>
      <c r="BA654" s="2"/>
      <c r="BG654" s="1"/>
    </row>
    <row r="655" spans="28:59" ht="15" customHeight="1" x14ac:dyDescent="0.3">
      <c r="AB655"/>
      <c r="AC655"/>
      <c r="AD655"/>
      <c r="AE655"/>
      <c r="AF655"/>
      <c r="AG655"/>
      <c r="AH655"/>
      <c r="AI655"/>
      <c r="AJ655" s="25"/>
      <c r="AK655" s="2"/>
      <c r="AR655" s="25"/>
      <c r="BA655" s="2"/>
      <c r="BG655" s="1"/>
    </row>
    <row r="656" spans="28:59" ht="15" customHeight="1" x14ac:dyDescent="0.3">
      <c r="AB656"/>
      <c r="AC656"/>
      <c r="AD656"/>
      <c r="AE656"/>
      <c r="AF656"/>
      <c r="AG656"/>
      <c r="AH656"/>
      <c r="AI656"/>
      <c r="AJ656" s="25"/>
      <c r="AK656" s="2"/>
      <c r="AR656" s="25"/>
      <c r="BA656" s="2"/>
      <c r="BG656" s="1"/>
    </row>
    <row r="657" spans="28:59" ht="15" customHeight="1" x14ac:dyDescent="0.3">
      <c r="AB657"/>
      <c r="AC657"/>
      <c r="AD657"/>
      <c r="AE657"/>
      <c r="AF657"/>
      <c r="AG657"/>
      <c r="AH657"/>
      <c r="AI657"/>
      <c r="AJ657" s="25"/>
      <c r="AK657" s="2"/>
      <c r="AR657" s="25"/>
      <c r="BA657" s="2"/>
      <c r="BG657" s="1"/>
    </row>
    <row r="658" spans="28:59" ht="15" customHeight="1" x14ac:dyDescent="0.3">
      <c r="AB658"/>
      <c r="AC658"/>
      <c r="AD658"/>
      <c r="AE658"/>
      <c r="AF658"/>
      <c r="AG658"/>
      <c r="AH658"/>
      <c r="AI658"/>
      <c r="AJ658" s="25"/>
      <c r="AK658" s="2"/>
      <c r="AR658" s="25"/>
      <c r="BA658" s="2"/>
      <c r="BG658" s="1"/>
    </row>
    <row r="659" spans="28:59" ht="15" customHeight="1" x14ac:dyDescent="0.3">
      <c r="AB659"/>
      <c r="AC659"/>
      <c r="AD659"/>
      <c r="AE659"/>
      <c r="AF659"/>
      <c r="AG659"/>
      <c r="AH659"/>
      <c r="AI659"/>
      <c r="AJ659" s="25"/>
      <c r="AK659" s="2"/>
      <c r="AR659" s="25"/>
      <c r="BA659" s="2"/>
      <c r="BG659" s="1"/>
    </row>
    <row r="660" spans="28:59" ht="15" customHeight="1" x14ac:dyDescent="0.3">
      <c r="AB660"/>
      <c r="AC660"/>
      <c r="AD660"/>
      <c r="AE660"/>
      <c r="AF660"/>
      <c r="AG660"/>
      <c r="AH660"/>
      <c r="AI660"/>
      <c r="AJ660" s="25"/>
      <c r="AK660" s="2"/>
      <c r="AR660" s="25"/>
      <c r="BA660" s="2"/>
      <c r="BG660" s="1"/>
    </row>
    <row r="661" spans="28:59" ht="15" customHeight="1" x14ac:dyDescent="0.3">
      <c r="AB661"/>
      <c r="AC661"/>
      <c r="AD661"/>
      <c r="AE661"/>
      <c r="AF661"/>
      <c r="AG661"/>
      <c r="AH661"/>
      <c r="AI661"/>
      <c r="AJ661" s="25"/>
      <c r="AK661" s="2"/>
      <c r="AR661" s="25"/>
      <c r="BA661" s="2"/>
      <c r="BG661" s="1"/>
    </row>
    <row r="662" spans="28:59" ht="15" customHeight="1" x14ac:dyDescent="0.3">
      <c r="AB662"/>
      <c r="AC662"/>
      <c r="AD662"/>
      <c r="AE662"/>
      <c r="AF662"/>
      <c r="AG662"/>
      <c r="AH662"/>
      <c r="AI662"/>
      <c r="AJ662" s="25"/>
      <c r="AK662" s="2"/>
      <c r="AR662" s="25"/>
      <c r="BA662" s="2"/>
      <c r="BG662" s="1"/>
    </row>
    <row r="663" spans="28:59" ht="15" customHeight="1" x14ac:dyDescent="0.3">
      <c r="AB663"/>
      <c r="AC663"/>
      <c r="AD663"/>
      <c r="AE663"/>
      <c r="AF663"/>
      <c r="AG663"/>
      <c r="AH663"/>
      <c r="AI663"/>
      <c r="AJ663" s="25"/>
      <c r="AK663" s="2"/>
      <c r="AR663" s="25"/>
      <c r="BA663" s="2"/>
      <c r="BG663" s="1"/>
    </row>
    <row r="664" spans="28:59" ht="15" customHeight="1" x14ac:dyDescent="0.3">
      <c r="AB664"/>
      <c r="AC664"/>
      <c r="AD664"/>
      <c r="AE664"/>
      <c r="AF664"/>
      <c r="AG664"/>
      <c r="AH664"/>
      <c r="AI664"/>
      <c r="AJ664" s="25"/>
      <c r="AK664" s="2"/>
      <c r="AR664" s="25"/>
      <c r="BA664" s="2"/>
      <c r="BG664" s="1"/>
    </row>
    <row r="665" spans="28:59" ht="15" customHeight="1" x14ac:dyDescent="0.3">
      <c r="AB665"/>
      <c r="AC665"/>
      <c r="AD665"/>
      <c r="AE665"/>
      <c r="AF665"/>
      <c r="AG665"/>
      <c r="AH665"/>
      <c r="AI665"/>
      <c r="AJ665" s="25"/>
      <c r="AK665" s="2"/>
      <c r="AR665" s="25"/>
      <c r="BA665" s="2"/>
      <c r="BG665" s="1"/>
    </row>
    <row r="666" spans="28:59" ht="15" customHeight="1" x14ac:dyDescent="0.3">
      <c r="AB666"/>
      <c r="AC666"/>
      <c r="AD666"/>
      <c r="AE666"/>
      <c r="AF666"/>
      <c r="AG666"/>
      <c r="AH666"/>
      <c r="AI666"/>
      <c r="AJ666" s="25"/>
      <c r="AK666" s="2"/>
      <c r="AR666" s="25"/>
      <c r="BA666" s="2"/>
      <c r="BG666" s="1"/>
    </row>
    <row r="667" spans="28:59" ht="15" customHeight="1" x14ac:dyDescent="0.3">
      <c r="AB667"/>
      <c r="AC667"/>
      <c r="AD667"/>
      <c r="AE667"/>
      <c r="AF667"/>
      <c r="AG667"/>
      <c r="AH667"/>
      <c r="AI667"/>
      <c r="AJ667" s="25"/>
      <c r="AK667" s="2"/>
      <c r="AR667" s="25"/>
      <c r="BA667" s="2"/>
      <c r="BG667" s="1"/>
    </row>
    <row r="668" spans="28:59" ht="15" customHeight="1" x14ac:dyDescent="0.3">
      <c r="AB668"/>
      <c r="AC668"/>
      <c r="AD668"/>
      <c r="AE668"/>
      <c r="AF668"/>
      <c r="AG668"/>
      <c r="AH668"/>
      <c r="AI668"/>
      <c r="AJ668" s="25"/>
      <c r="AK668" s="2"/>
      <c r="AR668" s="25"/>
      <c r="BA668" s="2"/>
      <c r="BG668" s="1"/>
    </row>
    <row r="669" spans="28:59" ht="15" customHeight="1" x14ac:dyDescent="0.3">
      <c r="AB669"/>
      <c r="AC669"/>
      <c r="AD669"/>
      <c r="AE669"/>
      <c r="AF669"/>
      <c r="AG669"/>
      <c r="AH669"/>
      <c r="AI669"/>
      <c r="AJ669" s="25"/>
      <c r="AK669" s="2"/>
      <c r="AR669" s="25"/>
      <c r="BA669" s="2"/>
      <c r="BG669" s="1"/>
    </row>
    <row r="670" spans="28:59" ht="15" customHeight="1" x14ac:dyDescent="0.3">
      <c r="AB670"/>
      <c r="AC670"/>
      <c r="AD670"/>
      <c r="AE670"/>
      <c r="AF670"/>
      <c r="AG670"/>
      <c r="AH670"/>
      <c r="AI670"/>
      <c r="AJ670" s="25"/>
      <c r="AK670" s="2"/>
      <c r="AR670" s="25"/>
      <c r="BA670" s="2"/>
      <c r="BG670" s="1"/>
    </row>
    <row r="671" spans="28:59" ht="15" customHeight="1" x14ac:dyDescent="0.3">
      <c r="AB671"/>
      <c r="AC671"/>
      <c r="AD671"/>
      <c r="AE671"/>
      <c r="AF671"/>
      <c r="AG671"/>
      <c r="AH671"/>
      <c r="AI671"/>
      <c r="AJ671" s="25"/>
      <c r="AK671" s="2"/>
      <c r="AR671" s="25"/>
      <c r="BA671" s="2"/>
      <c r="BG671" s="1"/>
    </row>
    <row r="672" spans="28:59" ht="15" customHeight="1" x14ac:dyDescent="0.3">
      <c r="AB672"/>
      <c r="AC672"/>
      <c r="AD672"/>
      <c r="AE672"/>
      <c r="AF672"/>
      <c r="AG672"/>
      <c r="AH672"/>
      <c r="AI672"/>
      <c r="AJ672" s="25"/>
      <c r="AK672" s="2"/>
      <c r="AR672" s="25"/>
      <c r="BA672" s="2"/>
      <c r="BG672" s="1"/>
    </row>
    <row r="673" spans="28:59" ht="15" customHeight="1" x14ac:dyDescent="0.3">
      <c r="AB673"/>
      <c r="AC673"/>
      <c r="AD673"/>
      <c r="AE673"/>
      <c r="AF673"/>
      <c r="AG673"/>
      <c r="AH673"/>
      <c r="AI673"/>
      <c r="AJ673" s="25"/>
      <c r="AK673" s="2"/>
      <c r="AR673" s="25"/>
      <c r="BA673" s="2"/>
      <c r="BG673" s="1"/>
    </row>
    <row r="674" spans="28:59" ht="15" customHeight="1" x14ac:dyDescent="0.3">
      <c r="AB674"/>
      <c r="AC674"/>
      <c r="AD674"/>
      <c r="AE674"/>
      <c r="AF674"/>
      <c r="AG674"/>
      <c r="AH674"/>
      <c r="AI674"/>
      <c r="AJ674" s="25"/>
      <c r="AK674" s="2"/>
      <c r="AR674" s="25"/>
      <c r="BA674" s="2"/>
      <c r="BG674" s="1"/>
    </row>
    <row r="675" spans="28:59" ht="15" customHeight="1" x14ac:dyDescent="0.3">
      <c r="AB675"/>
      <c r="AC675"/>
      <c r="AD675"/>
      <c r="AE675"/>
      <c r="AF675"/>
      <c r="AG675"/>
      <c r="AH675"/>
      <c r="AI675"/>
      <c r="AJ675" s="25"/>
      <c r="AK675" s="2"/>
      <c r="AR675" s="25"/>
      <c r="BA675" s="2"/>
      <c r="BG675" s="1"/>
    </row>
    <row r="676" spans="28:59" ht="15" customHeight="1" x14ac:dyDescent="0.3">
      <c r="AB676"/>
      <c r="AC676"/>
      <c r="AD676"/>
      <c r="AE676"/>
      <c r="AF676"/>
      <c r="AG676"/>
      <c r="AH676"/>
      <c r="AI676"/>
      <c r="AJ676" s="25"/>
      <c r="AK676" s="2"/>
      <c r="AR676" s="25"/>
      <c r="BA676" s="2"/>
      <c r="BG676" s="1"/>
    </row>
    <row r="677" spans="28:59" ht="15" customHeight="1" x14ac:dyDescent="0.3">
      <c r="AB677"/>
      <c r="AC677"/>
      <c r="AD677"/>
      <c r="AE677"/>
      <c r="AF677"/>
      <c r="AG677"/>
      <c r="AH677"/>
      <c r="AI677"/>
      <c r="AJ677" s="25"/>
      <c r="AK677" s="2"/>
      <c r="AR677" s="25"/>
      <c r="BA677" s="2"/>
      <c r="BG677" s="1"/>
    </row>
    <row r="678" spans="28:59" ht="15" customHeight="1" x14ac:dyDescent="0.3">
      <c r="AB678"/>
      <c r="AC678"/>
      <c r="AD678"/>
      <c r="AE678"/>
      <c r="AF678"/>
      <c r="AG678"/>
      <c r="AH678"/>
      <c r="AI678"/>
      <c r="AJ678" s="25"/>
      <c r="AK678" s="2"/>
      <c r="AR678" s="25"/>
      <c r="BA678" s="2"/>
      <c r="BG678" s="1"/>
    </row>
    <row r="679" spans="28:59" ht="15" customHeight="1" x14ac:dyDescent="0.3">
      <c r="AB679"/>
      <c r="AC679"/>
      <c r="AD679"/>
      <c r="AE679"/>
      <c r="AF679"/>
      <c r="AG679"/>
      <c r="AH679"/>
      <c r="AI679"/>
      <c r="AJ679" s="25"/>
      <c r="AK679" s="2"/>
      <c r="AR679" s="25"/>
      <c r="BA679" s="2"/>
      <c r="BG679" s="1"/>
    </row>
    <row r="680" spans="28:59" ht="15" customHeight="1" x14ac:dyDescent="0.3">
      <c r="AB680"/>
      <c r="AC680"/>
      <c r="AD680"/>
      <c r="AE680"/>
      <c r="AF680"/>
      <c r="AG680"/>
      <c r="AH680"/>
      <c r="AI680"/>
      <c r="AJ680" s="25"/>
      <c r="AK680" s="2"/>
      <c r="AR680" s="25"/>
      <c r="BA680" s="2"/>
      <c r="BG680" s="1"/>
    </row>
    <row r="681" spans="28:59" ht="15" customHeight="1" x14ac:dyDescent="0.3">
      <c r="AB681"/>
      <c r="AC681"/>
      <c r="AD681"/>
      <c r="AE681"/>
      <c r="AF681"/>
      <c r="AG681"/>
      <c r="AH681"/>
      <c r="AI681"/>
      <c r="AJ681" s="25"/>
      <c r="AK681" s="2"/>
      <c r="AR681" s="25"/>
      <c r="BA681" s="2"/>
      <c r="BG681" s="1"/>
    </row>
    <row r="682" spans="28:59" ht="15" customHeight="1" x14ac:dyDescent="0.3">
      <c r="AB682"/>
      <c r="AC682"/>
      <c r="AD682"/>
      <c r="AE682"/>
      <c r="AF682"/>
      <c r="AG682"/>
      <c r="AH682"/>
      <c r="AI682"/>
      <c r="AJ682" s="25"/>
      <c r="AK682" s="2"/>
      <c r="AR682" s="25"/>
      <c r="BA682" s="2"/>
      <c r="BG682" s="1"/>
    </row>
    <row r="683" spans="28:59" ht="15" customHeight="1" x14ac:dyDescent="0.3">
      <c r="AB683"/>
      <c r="AC683"/>
      <c r="AD683"/>
      <c r="AE683"/>
      <c r="AF683"/>
      <c r="AG683"/>
      <c r="AH683"/>
      <c r="AI683"/>
      <c r="AJ683" s="25"/>
      <c r="AK683" s="2"/>
      <c r="AR683" s="25"/>
      <c r="BA683" s="2"/>
      <c r="BG683" s="1"/>
    </row>
    <row r="684" spans="28:59" ht="15" customHeight="1" x14ac:dyDescent="0.3">
      <c r="AB684"/>
      <c r="AC684"/>
      <c r="AD684"/>
      <c r="AE684"/>
      <c r="AF684"/>
      <c r="AG684"/>
      <c r="AH684"/>
      <c r="AI684"/>
      <c r="AJ684" s="25"/>
      <c r="AK684" s="2"/>
      <c r="AR684" s="25"/>
      <c r="BA684" s="2"/>
      <c r="BG684" s="1"/>
    </row>
    <row r="685" spans="28:59" ht="15" customHeight="1" x14ac:dyDescent="0.3">
      <c r="AB685"/>
      <c r="AC685"/>
      <c r="AD685"/>
      <c r="AE685"/>
      <c r="AF685"/>
      <c r="AG685"/>
      <c r="AH685"/>
      <c r="AI685"/>
      <c r="AJ685" s="25"/>
      <c r="AK685" s="2"/>
      <c r="AR685" s="25"/>
      <c r="BA685" s="2"/>
      <c r="BG685" s="1"/>
    </row>
    <row r="686" spans="28:59" ht="15" customHeight="1" x14ac:dyDescent="0.3">
      <c r="AB686"/>
      <c r="AC686"/>
      <c r="AD686"/>
      <c r="AE686"/>
      <c r="AF686"/>
      <c r="AG686"/>
      <c r="AH686"/>
      <c r="AI686"/>
      <c r="AJ686" s="25"/>
      <c r="AK686" s="2"/>
      <c r="AR686" s="25"/>
      <c r="BA686" s="2"/>
      <c r="BG686" s="1"/>
    </row>
    <row r="687" spans="28:59" ht="15" customHeight="1" x14ac:dyDescent="0.3">
      <c r="AB687"/>
      <c r="AC687"/>
      <c r="AD687"/>
      <c r="AE687"/>
      <c r="AF687"/>
      <c r="AG687"/>
      <c r="AH687"/>
      <c r="AI687"/>
      <c r="AJ687" s="25"/>
      <c r="AK687" s="2"/>
      <c r="AR687" s="25"/>
      <c r="BA687" s="2"/>
      <c r="BG687" s="1"/>
    </row>
    <row r="688" spans="28:59" ht="15" customHeight="1" x14ac:dyDescent="0.3">
      <c r="AB688"/>
      <c r="AC688"/>
      <c r="AD688"/>
      <c r="AE688"/>
      <c r="AF688"/>
      <c r="AG688"/>
      <c r="AH688"/>
      <c r="AI688"/>
      <c r="AJ688" s="25"/>
      <c r="AK688" s="2"/>
      <c r="AR688" s="25"/>
      <c r="BA688" s="2"/>
      <c r="BG688" s="1"/>
    </row>
    <row r="689" spans="28:59" ht="15" customHeight="1" x14ac:dyDescent="0.3">
      <c r="AB689"/>
      <c r="AC689"/>
      <c r="AD689"/>
      <c r="AE689"/>
      <c r="AF689"/>
      <c r="AG689"/>
      <c r="AH689"/>
      <c r="AI689"/>
      <c r="AJ689" s="25"/>
      <c r="AK689" s="2"/>
      <c r="AR689" s="25"/>
      <c r="BA689" s="2"/>
      <c r="BG689" s="1"/>
    </row>
    <row r="690" spans="28:59" ht="15" customHeight="1" x14ac:dyDescent="0.3">
      <c r="AB690"/>
      <c r="AC690"/>
      <c r="AD690"/>
      <c r="AE690"/>
      <c r="AF690"/>
      <c r="AG690"/>
      <c r="AH690"/>
      <c r="AI690"/>
      <c r="AJ690" s="25"/>
      <c r="AK690" s="2"/>
      <c r="AR690" s="25"/>
      <c r="BA690" s="2"/>
      <c r="BG690" s="1"/>
    </row>
    <row r="691" spans="28:59" ht="15" customHeight="1" x14ac:dyDescent="0.3">
      <c r="AB691"/>
      <c r="AC691"/>
      <c r="AD691"/>
      <c r="AE691"/>
      <c r="AF691"/>
      <c r="AG691"/>
      <c r="AH691"/>
      <c r="AI691"/>
      <c r="AJ691" s="25"/>
      <c r="AK691" s="2"/>
      <c r="AR691" s="25"/>
      <c r="BA691" s="2"/>
      <c r="BG691" s="1"/>
    </row>
    <row r="692" spans="28:59" ht="15" customHeight="1" x14ac:dyDescent="0.3">
      <c r="AB692"/>
      <c r="AC692"/>
      <c r="AD692"/>
      <c r="AE692"/>
      <c r="AF692"/>
      <c r="AG692"/>
      <c r="AH692"/>
      <c r="AI692"/>
      <c r="AJ692" s="25"/>
      <c r="AK692" s="2"/>
      <c r="AR692" s="25"/>
      <c r="BA692" s="2"/>
      <c r="BG692" s="1"/>
    </row>
    <row r="693" spans="28:59" ht="15" customHeight="1" x14ac:dyDescent="0.3">
      <c r="AB693"/>
      <c r="AC693"/>
      <c r="AD693"/>
      <c r="AE693"/>
      <c r="AF693"/>
      <c r="AG693"/>
      <c r="AH693"/>
      <c r="AI693"/>
      <c r="AJ693" s="25"/>
      <c r="AK693" s="2"/>
      <c r="AR693" s="25"/>
      <c r="BA693" s="2"/>
      <c r="BG693" s="1"/>
    </row>
    <row r="694" spans="28:59" ht="15" customHeight="1" x14ac:dyDescent="0.3">
      <c r="AB694"/>
      <c r="AC694"/>
      <c r="AD694"/>
      <c r="AE694"/>
      <c r="AF694"/>
      <c r="AG694"/>
      <c r="AH694"/>
      <c r="AI694"/>
      <c r="AJ694" s="25"/>
      <c r="AK694" s="2"/>
      <c r="AR694" s="25"/>
      <c r="BA694" s="2"/>
      <c r="BG694" s="1"/>
    </row>
    <row r="695" spans="28:59" ht="15" customHeight="1" x14ac:dyDescent="0.3">
      <c r="AB695"/>
      <c r="AC695"/>
      <c r="AD695"/>
      <c r="AE695"/>
      <c r="AF695"/>
      <c r="AG695"/>
      <c r="AH695"/>
      <c r="AI695"/>
      <c r="AJ695" s="25"/>
      <c r="AK695" s="2"/>
      <c r="AR695" s="25"/>
      <c r="BA695" s="2"/>
      <c r="BG695" s="1"/>
    </row>
    <row r="696" spans="28:59" ht="15" customHeight="1" x14ac:dyDescent="0.3">
      <c r="AB696"/>
      <c r="AC696"/>
      <c r="AD696"/>
      <c r="AE696"/>
      <c r="AF696"/>
      <c r="AG696"/>
      <c r="AH696"/>
      <c r="AI696"/>
      <c r="AJ696" s="25"/>
      <c r="AK696" s="2"/>
      <c r="AR696" s="25"/>
      <c r="BA696" s="2"/>
      <c r="BG696" s="1"/>
    </row>
    <row r="697" spans="28:59" ht="15" customHeight="1" x14ac:dyDescent="0.3">
      <c r="AB697"/>
      <c r="AC697"/>
      <c r="AD697"/>
      <c r="AE697"/>
      <c r="AF697"/>
      <c r="AG697"/>
      <c r="AH697"/>
      <c r="AI697"/>
      <c r="AJ697" s="25"/>
      <c r="AK697" s="2"/>
      <c r="AR697" s="25"/>
      <c r="BA697" s="2"/>
      <c r="BG697" s="1"/>
    </row>
    <row r="698" spans="28:59" ht="15" customHeight="1" x14ac:dyDescent="0.3">
      <c r="AB698"/>
      <c r="AC698"/>
      <c r="AD698"/>
      <c r="AE698"/>
      <c r="AF698"/>
      <c r="AG698"/>
      <c r="AH698"/>
      <c r="AI698"/>
      <c r="AJ698" s="25"/>
      <c r="AK698" s="2"/>
      <c r="AR698" s="25"/>
      <c r="BA698" s="2"/>
      <c r="BG698" s="1"/>
    </row>
    <row r="699" spans="28:59" ht="15" customHeight="1" x14ac:dyDescent="0.3">
      <c r="AB699"/>
      <c r="AC699"/>
      <c r="AD699"/>
      <c r="AE699"/>
      <c r="AF699"/>
      <c r="AG699"/>
      <c r="AH699"/>
      <c r="AI699"/>
      <c r="AJ699" s="25"/>
      <c r="AK699" s="2"/>
      <c r="AR699" s="25"/>
      <c r="BA699" s="2"/>
      <c r="BG699" s="1"/>
    </row>
    <row r="700" spans="28:59" ht="15" customHeight="1" x14ac:dyDescent="0.3">
      <c r="AB700"/>
      <c r="AC700"/>
      <c r="AD700"/>
      <c r="AE700"/>
      <c r="AF700"/>
      <c r="AG700"/>
      <c r="AH700"/>
      <c r="AI700"/>
      <c r="AJ700" s="25"/>
      <c r="AK700" s="2"/>
      <c r="AR700" s="25"/>
      <c r="BA700" s="2"/>
      <c r="BG700" s="1"/>
    </row>
    <row r="701" spans="28:59" ht="15" customHeight="1" x14ac:dyDescent="0.3">
      <c r="AB701"/>
      <c r="AC701"/>
      <c r="AD701"/>
      <c r="AE701"/>
      <c r="AF701"/>
      <c r="AG701"/>
      <c r="AH701"/>
      <c r="AI701"/>
      <c r="AJ701" s="25"/>
      <c r="AK701" s="2"/>
      <c r="AR701" s="25"/>
      <c r="BA701" s="2"/>
      <c r="BG701" s="1"/>
    </row>
    <row r="702" spans="28:59" ht="15" customHeight="1" x14ac:dyDescent="0.3">
      <c r="AB702"/>
      <c r="AC702"/>
      <c r="AD702"/>
      <c r="AE702"/>
      <c r="AF702"/>
      <c r="AG702"/>
      <c r="AH702"/>
      <c r="AI702"/>
      <c r="AJ702" s="25"/>
      <c r="AK702" s="2"/>
      <c r="AR702" s="25"/>
      <c r="BA702" s="2"/>
      <c r="BG702" s="1"/>
    </row>
    <row r="703" spans="28:59" ht="15" customHeight="1" x14ac:dyDescent="0.3">
      <c r="AB703"/>
      <c r="AC703"/>
      <c r="AD703"/>
      <c r="AE703"/>
      <c r="AF703"/>
      <c r="AG703"/>
      <c r="AH703"/>
      <c r="AI703"/>
      <c r="AJ703" s="25"/>
      <c r="AK703" s="2"/>
      <c r="AR703" s="25"/>
      <c r="BA703" s="2"/>
      <c r="BG703" s="1"/>
    </row>
    <row r="704" spans="28:59" ht="15" customHeight="1" x14ac:dyDescent="0.3">
      <c r="AB704"/>
      <c r="AC704"/>
      <c r="AD704"/>
      <c r="AE704"/>
      <c r="AF704"/>
      <c r="AG704"/>
      <c r="AH704"/>
      <c r="AI704"/>
      <c r="AJ704" s="25"/>
      <c r="AK704" s="2"/>
      <c r="AR704" s="25"/>
      <c r="BA704" s="2"/>
      <c r="BG704" s="1"/>
    </row>
    <row r="705" spans="28:59" ht="15" customHeight="1" x14ac:dyDescent="0.3">
      <c r="AB705"/>
      <c r="AC705"/>
      <c r="AD705"/>
      <c r="AE705"/>
      <c r="AF705"/>
      <c r="AG705"/>
      <c r="AH705"/>
      <c r="AI705"/>
      <c r="AJ705" s="25"/>
      <c r="AK705" s="2"/>
      <c r="AR705" s="25"/>
      <c r="BA705" s="2"/>
      <c r="BG705" s="1"/>
    </row>
    <row r="706" spans="28:59" ht="15" customHeight="1" x14ac:dyDescent="0.3">
      <c r="AB706"/>
      <c r="AC706"/>
      <c r="AD706"/>
      <c r="AE706"/>
      <c r="AF706"/>
      <c r="AG706"/>
      <c r="AH706"/>
      <c r="AI706"/>
      <c r="AJ706" s="25"/>
      <c r="AK706" s="2"/>
      <c r="AR706" s="25"/>
      <c r="BA706" s="2"/>
      <c r="BG706" s="1"/>
    </row>
    <row r="707" spans="28:59" ht="15" customHeight="1" x14ac:dyDescent="0.3">
      <c r="AB707"/>
      <c r="AC707"/>
      <c r="AD707"/>
      <c r="AE707"/>
      <c r="AF707"/>
      <c r="AG707"/>
      <c r="AH707"/>
      <c r="AI707"/>
      <c r="AJ707" s="25"/>
      <c r="AK707" s="2"/>
      <c r="AR707" s="25"/>
      <c r="BA707" s="2"/>
      <c r="BG707" s="1"/>
    </row>
    <row r="708" spans="28:59" ht="15" customHeight="1" x14ac:dyDescent="0.3">
      <c r="AB708"/>
      <c r="AC708"/>
      <c r="AD708"/>
      <c r="AE708"/>
      <c r="AF708"/>
      <c r="AG708"/>
      <c r="AH708"/>
      <c r="AI708"/>
      <c r="AJ708" s="25"/>
      <c r="AK708" s="2"/>
      <c r="AR708" s="25"/>
      <c r="BA708" s="2"/>
      <c r="BG708" s="1"/>
    </row>
    <row r="709" spans="28:59" ht="15" customHeight="1" x14ac:dyDescent="0.3">
      <c r="AB709"/>
      <c r="AC709"/>
      <c r="AD709"/>
      <c r="AE709"/>
      <c r="AF709"/>
      <c r="AG709"/>
      <c r="AH709"/>
      <c r="AI709"/>
      <c r="AJ709" s="25"/>
      <c r="AK709" s="2"/>
      <c r="AR709" s="25"/>
      <c r="BA709" s="2"/>
      <c r="BG709" s="1"/>
    </row>
    <row r="710" spans="28:59" ht="15" customHeight="1" x14ac:dyDescent="0.3">
      <c r="AB710"/>
      <c r="AC710"/>
      <c r="AD710"/>
      <c r="AE710"/>
      <c r="AF710"/>
      <c r="AG710"/>
      <c r="AH710"/>
      <c r="AI710"/>
      <c r="AJ710" s="25"/>
      <c r="AK710" s="2"/>
      <c r="AR710" s="25"/>
      <c r="BA710" s="2"/>
      <c r="BG710" s="1"/>
    </row>
    <row r="711" spans="28:59" ht="15" customHeight="1" x14ac:dyDescent="0.3">
      <c r="AB711"/>
      <c r="AC711"/>
      <c r="AD711"/>
      <c r="AE711"/>
      <c r="AF711"/>
      <c r="AG711"/>
      <c r="AH711"/>
      <c r="AI711"/>
      <c r="AJ711" s="25"/>
      <c r="AK711" s="2"/>
      <c r="AR711" s="25"/>
      <c r="BA711" s="2"/>
      <c r="BG711" s="1"/>
    </row>
    <row r="712" spans="28:59" ht="15" customHeight="1" x14ac:dyDescent="0.3">
      <c r="AB712"/>
      <c r="AC712"/>
      <c r="AD712"/>
      <c r="AE712"/>
      <c r="AF712"/>
      <c r="AG712"/>
      <c r="AH712"/>
      <c r="AI712"/>
      <c r="AJ712" s="25"/>
      <c r="AK712" s="2"/>
      <c r="AR712" s="25"/>
      <c r="BA712" s="2"/>
      <c r="BG712" s="1"/>
    </row>
    <row r="713" spans="28:59" ht="15" customHeight="1" x14ac:dyDescent="0.3">
      <c r="AB713"/>
      <c r="AC713"/>
      <c r="AD713"/>
      <c r="AE713"/>
      <c r="AF713"/>
      <c r="AG713"/>
      <c r="AH713"/>
      <c r="AI713"/>
      <c r="AJ713" s="25"/>
      <c r="AK713" s="2"/>
      <c r="AR713" s="25"/>
      <c r="BA713" s="2"/>
      <c r="BG713" s="1"/>
    </row>
    <row r="714" spans="28:59" ht="15" customHeight="1" x14ac:dyDescent="0.3">
      <c r="AB714"/>
      <c r="AC714"/>
      <c r="AD714"/>
      <c r="AE714"/>
      <c r="AF714"/>
      <c r="AG714"/>
      <c r="AH714"/>
      <c r="AI714"/>
      <c r="AJ714" s="25"/>
      <c r="AK714" s="2"/>
      <c r="AR714" s="25"/>
      <c r="BA714" s="2"/>
      <c r="BG714" s="1"/>
    </row>
    <row r="715" spans="28:59" ht="15" customHeight="1" x14ac:dyDescent="0.3">
      <c r="AB715"/>
      <c r="AC715"/>
      <c r="AD715"/>
      <c r="AE715"/>
      <c r="AF715"/>
      <c r="AG715"/>
      <c r="AH715"/>
      <c r="AI715"/>
      <c r="AJ715" s="25"/>
      <c r="AK715" s="2"/>
      <c r="AR715" s="25"/>
      <c r="BA715" s="2"/>
      <c r="BG715" s="1"/>
    </row>
    <row r="716" spans="28:59" ht="15" customHeight="1" x14ac:dyDescent="0.3">
      <c r="AB716"/>
      <c r="AC716"/>
      <c r="AD716"/>
      <c r="AE716"/>
      <c r="AF716"/>
      <c r="AG716"/>
      <c r="AH716"/>
      <c r="AI716"/>
      <c r="AJ716" s="25"/>
      <c r="AK716" s="2"/>
      <c r="AR716" s="25"/>
      <c r="BA716" s="2"/>
      <c r="BG716" s="1"/>
    </row>
    <row r="717" spans="28:59" ht="15" customHeight="1" x14ac:dyDescent="0.3">
      <c r="AB717"/>
      <c r="AC717"/>
      <c r="AD717"/>
      <c r="AE717"/>
      <c r="AF717"/>
      <c r="AG717"/>
      <c r="AH717"/>
      <c r="AI717"/>
      <c r="AJ717" s="25"/>
      <c r="AK717" s="2"/>
      <c r="AR717" s="25"/>
      <c r="BA717" s="2"/>
      <c r="BG717" s="1"/>
    </row>
    <row r="718" spans="28:59" ht="15" customHeight="1" x14ac:dyDescent="0.3">
      <c r="AB718"/>
      <c r="AC718"/>
      <c r="AD718"/>
      <c r="AE718"/>
      <c r="AF718"/>
      <c r="AG718"/>
      <c r="AH718"/>
      <c r="AI718"/>
      <c r="AJ718" s="25"/>
      <c r="AK718" s="2"/>
      <c r="AR718" s="25"/>
      <c r="BA718" s="2"/>
      <c r="BG718" s="1"/>
    </row>
    <row r="719" spans="28:59" ht="15" customHeight="1" x14ac:dyDescent="0.3">
      <c r="AB719"/>
      <c r="AC719"/>
      <c r="AD719"/>
      <c r="AE719"/>
      <c r="AF719"/>
      <c r="AG719"/>
      <c r="AH719"/>
      <c r="AI719"/>
      <c r="AJ719" s="25"/>
      <c r="AK719" s="2"/>
      <c r="AR719" s="25"/>
      <c r="BA719" s="2"/>
      <c r="BG719" s="1"/>
    </row>
    <row r="720" spans="28:59" ht="15" customHeight="1" x14ac:dyDescent="0.3">
      <c r="AB720"/>
      <c r="AC720"/>
      <c r="AD720"/>
      <c r="AE720"/>
      <c r="AF720"/>
      <c r="AG720"/>
      <c r="AH720"/>
      <c r="AI720"/>
      <c r="AJ720" s="25"/>
      <c r="AK720" s="2"/>
      <c r="AR720" s="25"/>
      <c r="BA720" s="2"/>
      <c r="BG720" s="1"/>
    </row>
    <row r="721" spans="28:59" ht="15" customHeight="1" x14ac:dyDescent="0.3">
      <c r="AB721"/>
      <c r="AC721"/>
      <c r="AD721"/>
      <c r="AE721"/>
      <c r="AF721"/>
      <c r="AG721"/>
      <c r="AH721"/>
      <c r="AI721"/>
      <c r="AJ721" s="25"/>
      <c r="AK721" s="2"/>
      <c r="AR721" s="25"/>
      <c r="BA721" s="2"/>
      <c r="BG721" s="1"/>
    </row>
    <row r="722" spans="28:59" ht="15" customHeight="1" x14ac:dyDescent="0.3">
      <c r="AB722"/>
      <c r="AC722"/>
      <c r="AD722"/>
      <c r="AE722"/>
      <c r="AF722"/>
      <c r="AG722"/>
      <c r="AH722"/>
      <c r="AI722"/>
      <c r="AJ722" s="25"/>
      <c r="AK722" s="2"/>
      <c r="AR722" s="25"/>
      <c r="BA722" s="2"/>
      <c r="BG722" s="1"/>
    </row>
    <row r="723" spans="28:59" ht="15" customHeight="1" x14ac:dyDescent="0.3">
      <c r="AB723"/>
      <c r="AC723"/>
      <c r="AD723"/>
      <c r="AE723"/>
      <c r="AF723"/>
      <c r="AG723"/>
      <c r="AH723"/>
      <c r="AI723"/>
      <c r="AJ723" s="25"/>
      <c r="AK723" s="2"/>
      <c r="AR723" s="25"/>
      <c r="BA723" s="2"/>
      <c r="BG723" s="1"/>
    </row>
    <row r="724" spans="28:59" ht="15" customHeight="1" x14ac:dyDescent="0.3">
      <c r="AB724"/>
      <c r="AC724"/>
      <c r="AD724"/>
      <c r="AE724"/>
      <c r="AF724"/>
      <c r="AG724"/>
      <c r="AH724"/>
      <c r="AI724"/>
      <c r="AJ724" s="25"/>
      <c r="AK724" s="2"/>
      <c r="AR724" s="25"/>
      <c r="BA724" s="2"/>
      <c r="BG724" s="1"/>
    </row>
    <row r="725" spans="28:59" ht="15" customHeight="1" x14ac:dyDescent="0.3">
      <c r="AB725"/>
      <c r="AC725"/>
      <c r="AD725"/>
      <c r="AE725"/>
      <c r="AF725"/>
      <c r="AG725"/>
      <c r="AH725"/>
      <c r="AI725"/>
      <c r="AJ725" s="25"/>
      <c r="AK725" s="2"/>
      <c r="AR725" s="25"/>
      <c r="BA725" s="2"/>
      <c r="BG725" s="1"/>
    </row>
    <row r="726" spans="28:59" ht="15" customHeight="1" x14ac:dyDescent="0.3">
      <c r="AB726"/>
      <c r="AC726"/>
      <c r="AD726"/>
      <c r="AE726"/>
      <c r="AF726"/>
      <c r="AG726"/>
      <c r="AH726"/>
      <c r="AI726"/>
      <c r="AJ726" s="25"/>
      <c r="AK726" s="2"/>
      <c r="AR726" s="25"/>
      <c r="BA726" s="2"/>
      <c r="BG726" s="1"/>
    </row>
    <row r="727" spans="28:59" ht="15" customHeight="1" x14ac:dyDescent="0.3">
      <c r="AB727"/>
      <c r="AC727"/>
      <c r="AD727"/>
      <c r="AE727"/>
      <c r="AF727"/>
      <c r="AG727"/>
      <c r="AH727"/>
      <c r="AI727"/>
      <c r="AJ727" s="25"/>
      <c r="AK727" s="2"/>
      <c r="AR727" s="25"/>
      <c r="BA727" s="2"/>
      <c r="BG727" s="1"/>
    </row>
    <row r="728" spans="28:59" ht="15" customHeight="1" x14ac:dyDescent="0.3">
      <c r="AB728"/>
      <c r="AC728"/>
      <c r="AD728"/>
      <c r="AE728"/>
      <c r="AF728"/>
      <c r="AG728"/>
      <c r="AH728"/>
      <c r="AI728"/>
      <c r="AJ728" s="25"/>
      <c r="AK728" s="2"/>
      <c r="AR728" s="25"/>
      <c r="BA728" s="2"/>
      <c r="BG728" s="1"/>
    </row>
    <row r="729" spans="28:59" ht="15" customHeight="1" x14ac:dyDescent="0.3">
      <c r="AB729"/>
      <c r="AC729"/>
      <c r="AD729"/>
      <c r="AE729"/>
      <c r="AF729"/>
      <c r="AG729"/>
      <c r="AH729"/>
      <c r="AI729"/>
      <c r="AJ729" s="25"/>
      <c r="AK729" s="2"/>
      <c r="AR729" s="25"/>
      <c r="BA729" s="2"/>
      <c r="BG729" s="1"/>
    </row>
    <row r="730" spans="28:59" ht="15" customHeight="1" x14ac:dyDescent="0.3">
      <c r="AB730"/>
      <c r="AC730"/>
      <c r="AD730"/>
      <c r="AE730"/>
      <c r="AF730"/>
      <c r="AG730"/>
      <c r="AH730"/>
      <c r="AI730"/>
      <c r="AJ730" s="25"/>
      <c r="AK730" s="2"/>
      <c r="AR730" s="25"/>
      <c r="BA730" s="2"/>
      <c r="BG730" s="1"/>
    </row>
    <row r="731" spans="28:59" ht="15" customHeight="1" x14ac:dyDescent="0.3">
      <c r="AB731"/>
      <c r="AC731"/>
      <c r="AD731"/>
      <c r="AE731"/>
      <c r="AF731"/>
      <c r="AG731"/>
      <c r="AH731"/>
      <c r="AI731"/>
      <c r="AJ731" s="25"/>
      <c r="AK731" s="2"/>
      <c r="AR731" s="25"/>
      <c r="BA731" s="2"/>
      <c r="BG731" s="1"/>
    </row>
    <row r="732" spans="28:59" ht="15" customHeight="1" x14ac:dyDescent="0.3">
      <c r="AB732"/>
      <c r="AC732"/>
      <c r="AD732"/>
      <c r="AE732"/>
      <c r="AF732"/>
      <c r="AG732"/>
      <c r="AH732"/>
      <c r="AI732"/>
      <c r="AJ732" s="25"/>
      <c r="AK732" s="2"/>
      <c r="AR732" s="25"/>
      <c r="BA732" s="2"/>
      <c r="BG732" s="1"/>
    </row>
    <row r="733" spans="28:59" ht="15" customHeight="1" x14ac:dyDescent="0.3">
      <c r="AB733"/>
      <c r="AC733"/>
      <c r="AD733"/>
      <c r="AE733"/>
      <c r="AF733"/>
      <c r="AG733"/>
      <c r="AH733"/>
      <c r="AI733"/>
      <c r="AJ733" s="25"/>
      <c r="AK733" s="2"/>
      <c r="AR733" s="25"/>
      <c r="BA733" s="2"/>
      <c r="BG733" s="1"/>
    </row>
    <row r="734" spans="28:59" ht="15" customHeight="1" x14ac:dyDescent="0.3">
      <c r="AB734"/>
      <c r="AC734"/>
      <c r="AD734"/>
      <c r="AE734"/>
      <c r="AF734"/>
      <c r="AG734"/>
      <c r="AH734"/>
      <c r="AI734"/>
      <c r="AJ734" s="25"/>
      <c r="AK734" s="2"/>
      <c r="AR734" s="25"/>
      <c r="BA734" s="2"/>
      <c r="BG734" s="1"/>
    </row>
    <row r="735" spans="28:59" ht="15" customHeight="1" x14ac:dyDescent="0.3">
      <c r="AB735"/>
      <c r="AC735"/>
      <c r="AD735"/>
      <c r="AE735"/>
      <c r="AF735"/>
      <c r="AG735"/>
      <c r="AH735"/>
      <c r="AI735"/>
      <c r="AJ735" s="25"/>
      <c r="AK735" s="2"/>
      <c r="AR735" s="25"/>
      <c r="BA735" s="2"/>
      <c r="BG735" s="1"/>
    </row>
    <row r="736" spans="28:59" ht="15" customHeight="1" x14ac:dyDescent="0.3">
      <c r="AB736"/>
      <c r="AC736"/>
      <c r="AD736"/>
      <c r="AE736"/>
      <c r="AF736"/>
      <c r="AG736"/>
      <c r="AH736"/>
      <c r="AI736"/>
      <c r="AJ736" s="25"/>
      <c r="AK736" s="2"/>
      <c r="AR736" s="25"/>
      <c r="BA736" s="2"/>
      <c r="BG736" s="1"/>
    </row>
    <row r="737" spans="28:59" ht="15" customHeight="1" x14ac:dyDescent="0.3">
      <c r="AB737"/>
      <c r="AC737"/>
      <c r="AD737"/>
      <c r="AE737"/>
      <c r="AF737"/>
      <c r="AG737"/>
      <c r="AH737"/>
      <c r="AI737"/>
      <c r="AJ737" s="25"/>
      <c r="AK737" s="2"/>
      <c r="AR737" s="25"/>
      <c r="BA737" s="2"/>
      <c r="BG737" s="1"/>
    </row>
    <row r="738" spans="28:59" ht="15" customHeight="1" x14ac:dyDescent="0.3">
      <c r="AB738"/>
      <c r="AC738"/>
      <c r="AD738"/>
      <c r="AE738"/>
      <c r="AF738"/>
      <c r="AG738"/>
      <c r="AH738"/>
      <c r="AI738"/>
      <c r="AJ738" s="25"/>
      <c r="AK738" s="2"/>
      <c r="AR738" s="25"/>
      <c r="BA738" s="2"/>
      <c r="BG738" s="1"/>
    </row>
    <row r="739" spans="28:59" ht="15" customHeight="1" x14ac:dyDescent="0.3">
      <c r="AB739"/>
      <c r="AC739"/>
      <c r="AD739"/>
      <c r="AE739"/>
      <c r="AF739"/>
      <c r="AG739"/>
      <c r="AH739"/>
      <c r="AI739"/>
      <c r="AJ739" s="25"/>
      <c r="AK739" s="2"/>
      <c r="AR739" s="25"/>
      <c r="BA739" s="2"/>
      <c r="BG739" s="1"/>
    </row>
    <row r="740" spans="28:59" ht="15" customHeight="1" x14ac:dyDescent="0.3">
      <c r="AB740"/>
      <c r="AC740"/>
      <c r="AD740"/>
      <c r="AE740"/>
      <c r="AF740"/>
      <c r="AG740"/>
      <c r="AH740"/>
      <c r="AI740"/>
      <c r="AJ740" s="25"/>
      <c r="AK740" s="2"/>
      <c r="AR740" s="25"/>
      <c r="BA740" s="2"/>
      <c r="BG740" s="1"/>
    </row>
    <row r="741" spans="28:59" ht="15" customHeight="1" x14ac:dyDescent="0.3">
      <c r="AB741"/>
      <c r="AC741"/>
      <c r="AD741"/>
      <c r="AE741"/>
      <c r="AF741"/>
      <c r="AG741"/>
      <c r="AH741"/>
      <c r="AI741"/>
      <c r="AJ741" s="25"/>
      <c r="AK741" s="2"/>
      <c r="AR741" s="25"/>
      <c r="BA741" s="2"/>
      <c r="BG741" s="1"/>
    </row>
    <row r="742" spans="28:59" ht="15" customHeight="1" x14ac:dyDescent="0.3">
      <c r="AB742"/>
      <c r="AC742"/>
      <c r="AD742"/>
      <c r="AE742"/>
      <c r="AF742"/>
      <c r="AG742"/>
      <c r="AH742"/>
      <c r="AI742"/>
      <c r="AJ742" s="25"/>
      <c r="AK742" s="2"/>
      <c r="AR742" s="25"/>
      <c r="BA742" s="2"/>
      <c r="BG742" s="1"/>
    </row>
    <row r="743" spans="28:59" ht="15" customHeight="1" x14ac:dyDescent="0.3">
      <c r="AB743"/>
      <c r="AC743"/>
      <c r="AD743"/>
      <c r="AE743"/>
      <c r="AF743"/>
      <c r="AG743"/>
      <c r="AH743"/>
      <c r="AI743"/>
      <c r="AJ743" s="25"/>
      <c r="AK743" s="2"/>
      <c r="AR743" s="25"/>
      <c r="BA743" s="2"/>
      <c r="BG743" s="1"/>
    </row>
    <row r="744" spans="28:59" ht="15" customHeight="1" x14ac:dyDescent="0.3">
      <c r="AB744"/>
      <c r="AC744"/>
      <c r="AD744"/>
      <c r="AE744"/>
      <c r="AF744"/>
      <c r="AG744"/>
      <c r="AH744"/>
      <c r="AI744"/>
      <c r="AJ744" s="25"/>
      <c r="AK744" s="2"/>
      <c r="AR744" s="25"/>
      <c r="BA744" s="2"/>
      <c r="BG744" s="1"/>
    </row>
    <row r="745" spans="28:59" ht="15" customHeight="1" x14ac:dyDescent="0.3">
      <c r="AB745"/>
      <c r="AC745"/>
      <c r="AD745"/>
      <c r="AE745"/>
      <c r="AF745"/>
      <c r="AG745"/>
      <c r="AH745"/>
      <c r="AI745"/>
      <c r="AJ745" s="25"/>
      <c r="AK745" s="2"/>
      <c r="AR745" s="25"/>
      <c r="BA745" s="2"/>
      <c r="BG745" s="1"/>
    </row>
    <row r="746" spans="28:59" ht="15" customHeight="1" x14ac:dyDescent="0.3">
      <c r="AB746"/>
      <c r="AC746"/>
      <c r="AD746"/>
      <c r="AE746"/>
      <c r="AF746"/>
      <c r="AG746"/>
      <c r="AH746"/>
      <c r="AI746"/>
      <c r="AJ746" s="25"/>
      <c r="AK746" s="2"/>
      <c r="AR746" s="25"/>
      <c r="BA746" s="2"/>
      <c r="BG746" s="1"/>
    </row>
    <row r="747" spans="28:59" ht="15" customHeight="1" x14ac:dyDescent="0.3">
      <c r="AB747"/>
      <c r="AC747"/>
      <c r="AD747"/>
      <c r="AE747"/>
      <c r="AF747"/>
      <c r="AG747"/>
      <c r="AH747"/>
      <c r="AI747"/>
      <c r="AJ747" s="25"/>
      <c r="AK747" s="2"/>
      <c r="AR747" s="25"/>
      <c r="BA747" s="2"/>
      <c r="BG747" s="1"/>
    </row>
    <row r="748" spans="28:59" ht="15" customHeight="1" x14ac:dyDescent="0.3">
      <c r="AB748"/>
      <c r="AC748"/>
      <c r="AD748"/>
      <c r="AE748"/>
      <c r="AF748"/>
      <c r="AG748"/>
      <c r="AH748"/>
      <c r="AI748"/>
      <c r="AJ748" s="25"/>
      <c r="AK748" s="2"/>
      <c r="AR748" s="25"/>
      <c r="BA748" s="2"/>
      <c r="BG748" s="1"/>
    </row>
    <row r="749" spans="28:59" ht="15" customHeight="1" x14ac:dyDescent="0.3">
      <c r="AB749"/>
      <c r="AC749"/>
      <c r="AD749"/>
      <c r="AE749"/>
      <c r="AF749"/>
      <c r="AG749"/>
      <c r="AH749"/>
      <c r="AI749"/>
      <c r="AJ749" s="25"/>
      <c r="AK749" s="2"/>
      <c r="AR749" s="25"/>
      <c r="BA749" s="2"/>
      <c r="BG749" s="1"/>
    </row>
    <row r="750" spans="28:59" ht="15" customHeight="1" x14ac:dyDescent="0.3">
      <c r="AB750"/>
      <c r="AC750"/>
      <c r="AD750"/>
      <c r="AE750"/>
      <c r="AF750"/>
      <c r="AG750"/>
      <c r="AH750"/>
      <c r="AI750"/>
      <c r="AJ750" s="25"/>
      <c r="AK750" s="2"/>
      <c r="AR750" s="25"/>
      <c r="BA750" s="2"/>
      <c r="BG750" s="1"/>
    </row>
    <row r="751" spans="28:59" ht="15" customHeight="1" x14ac:dyDescent="0.3">
      <c r="AB751"/>
      <c r="AC751"/>
      <c r="AD751"/>
      <c r="AE751"/>
      <c r="AF751"/>
      <c r="AG751"/>
      <c r="AH751"/>
      <c r="AI751"/>
      <c r="AJ751" s="25"/>
      <c r="AK751" s="2"/>
      <c r="AR751" s="25"/>
      <c r="BA751" s="2"/>
      <c r="BG751" s="1"/>
    </row>
    <row r="752" spans="28:59" ht="15" customHeight="1" x14ac:dyDescent="0.3">
      <c r="AB752"/>
      <c r="AC752"/>
      <c r="AD752"/>
      <c r="AE752"/>
      <c r="AF752"/>
      <c r="AG752"/>
      <c r="AH752"/>
      <c r="AI752"/>
      <c r="AJ752" s="25"/>
      <c r="AK752" s="2"/>
      <c r="AR752" s="25"/>
      <c r="BA752" s="2"/>
      <c r="BG752" s="1"/>
    </row>
    <row r="753" spans="28:59" ht="15" customHeight="1" x14ac:dyDescent="0.3">
      <c r="AB753"/>
      <c r="AC753"/>
      <c r="AD753"/>
      <c r="AE753"/>
      <c r="AF753"/>
      <c r="AG753"/>
      <c r="AH753"/>
      <c r="AI753"/>
      <c r="AJ753" s="25"/>
      <c r="AK753" s="2"/>
      <c r="AR753" s="25"/>
      <c r="BA753" s="2"/>
      <c r="BG753" s="1"/>
    </row>
    <row r="754" spans="28:59" ht="15" customHeight="1" x14ac:dyDescent="0.3">
      <c r="AB754"/>
      <c r="AC754"/>
      <c r="AD754"/>
      <c r="AE754"/>
      <c r="AF754"/>
      <c r="AG754"/>
      <c r="AH754"/>
      <c r="AI754"/>
      <c r="AJ754" s="25"/>
      <c r="AK754" s="2"/>
      <c r="AR754" s="25"/>
      <c r="BA754" s="2"/>
      <c r="BG754" s="1"/>
    </row>
    <row r="755" spans="28:59" ht="15" customHeight="1" x14ac:dyDescent="0.3">
      <c r="AB755"/>
      <c r="AC755"/>
      <c r="AD755"/>
      <c r="AE755"/>
      <c r="AF755"/>
      <c r="AG755"/>
      <c r="AH755"/>
      <c r="AI755"/>
      <c r="AJ755" s="25"/>
      <c r="AK755" s="2"/>
      <c r="AR755" s="25"/>
      <c r="BA755" s="2"/>
      <c r="BG755" s="1"/>
    </row>
    <row r="756" spans="28:59" ht="15" customHeight="1" x14ac:dyDescent="0.3">
      <c r="AB756"/>
      <c r="AC756"/>
      <c r="AD756"/>
      <c r="AE756"/>
      <c r="AF756"/>
      <c r="AG756"/>
      <c r="AH756"/>
      <c r="AI756"/>
      <c r="AJ756" s="25"/>
      <c r="AK756" s="2"/>
      <c r="AR756" s="25"/>
      <c r="BA756" s="2"/>
      <c r="BG756" s="1"/>
    </row>
    <row r="757" spans="28:59" ht="15" customHeight="1" x14ac:dyDescent="0.3">
      <c r="AB757"/>
      <c r="AC757"/>
      <c r="AD757"/>
      <c r="AE757"/>
      <c r="AF757"/>
      <c r="AG757"/>
      <c r="AH757"/>
      <c r="AI757"/>
      <c r="AJ757" s="25"/>
      <c r="AK757" s="2"/>
      <c r="AR757" s="25"/>
      <c r="BA757" s="2"/>
      <c r="BG757" s="1"/>
    </row>
    <row r="758" spans="28:59" ht="15" customHeight="1" x14ac:dyDescent="0.3">
      <c r="AB758"/>
      <c r="AC758"/>
      <c r="AD758"/>
      <c r="AE758"/>
      <c r="AF758"/>
      <c r="AG758"/>
      <c r="AH758"/>
      <c r="AI758"/>
      <c r="AJ758" s="25"/>
      <c r="AK758" s="2"/>
      <c r="AR758" s="25"/>
      <c r="BA758" s="2"/>
      <c r="BG758" s="1"/>
    </row>
    <row r="759" spans="28:59" ht="15" customHeight="1" x14ac:dyDescent="0.3">
      <c r="AB759"/>
      <c r="AC759"/>
      <c r="AD759"/>
      <c r="AE759"/>
      <c r="AF759"/>
      <c r="AG759"/>
      <c r="AH759"/>
      <c r="AI759"/>
      <c r="AJ759" s="25"/>
      <c r="AK759" s="2"/>
      <c r="AR759" s="25"/>
      <c r="BA759" s="2"/>
      <c r="BG759" s="1"/>
    </row>
    <row r="760" spans="28:59" ht="15" customHeight="1" x14ac:dyDescent="0.3">
      <c r="AB760"/>
      <c r="AC760"/>
      <c r="AD760"/>
      <c r="AE760"/>
      <c r="AF760"/>
      <c r="AG760"/>
      <c r="AH760"/>
      <c r="AI760"/>
      <c r="AJ760" s="25"/>
      <c r="AK760" s="2"/>
      <c r="AR760" s="25"/>
      <c r="BA760" s="2"/>
      <c r="BG760" s="1"/>
    </row>
    <row r="761" spans="28:59" ht="15" customHeight="1" x14ac:dyDescent="0.3">
      <c r="AB761"/>
      <c r="AC761"/>
      <c r="AD761"/>
      <c r="AE761"/>
      <c r="AF761"/>
      <c r="AG761"/>
      <c r="AH761"/>
      <c r="AI761"/>
      <c r="AJ761" s="25"/>
      <c r="AK761" s="2"/>
      <c r="AR761" s="25"/>
      <c r="BA761" s="2"/>
      <c r="BG761" s="1"/>
    </row>
    <row r="762" spans="28:59" ht="15" customHeight="1" x14ac:dyDescent="0.3">
      <c r="AB762"/>
      <c r="AC762"/>
      <c r="AD762"/>
      <c r="AE762"/>
      <c r="AF762"/>
      <c r="AG762"/>
      <c r="AH762"/>
      <c r="AI762"/>
      <c r="AJ762" s="25"/>
      <c r="AK762" s="2"/>
      <c r="AR762" s="25"/>
      <c r="BA762" s="2"/>
      <c r="BG762" s="1"/>
    </row>
    <row r="763" spans="28:59" ht="15" customHeight="1" x14ac:dyDescent="0.3">
      <c r="AB763"/>
      <c r="AC763"/>
      <c r="AD763"/>
      <c r="AE763"/>
      <c r="AF763"/>
      <c r="AG763"/>
      <c r="AH763"/>
      <c r="AI763"/>
      <c r="AJ763" s="25"/>
      <c r="AK763" s="2"/>
      <c r="AR763" s="25"/>
      <c r="BA763" s="2"/>
      <c r="BG763" s="1"/>
    </row>
    <row r="764" spans="28:59" ht="15" customHeight="1" x14ac:dyDescent="0.3">
      <c r="AB764"/>
      <c r="AC764"/>
      <c r="AD764"/>
      <c r="AE764"/>
      <c r="AF764"/>
      <c r="AG764"/>
      <c r="AH764"/>
      <c r="AI764"/>
      <c r="AJ764" s="25"/>
      <c r="AK764" s="2"/>
      <c r="AR764" s="25"/>
      <c r="BA764" s="2"/>
      <c r="BG764" s="1"/>
    </row>
    <row r="765" spans="28:59" ht="15" customHeight="1" x14ac:dyDescent="0.3">
      <c r="AB765"/>
      <c r="AC765"/>
      <c r="AD765"/>
      <c r="AE765"/>
      <c r="AF765"/>
      <c r="AG765"/>
      <c r="AH765"/>
      <c r="AI765"/>
      <c r="AJ765" s="25"/>
      <c r="AK765" s="2"/>
      <c r="AR765" s="25"/>
      <c r="BA765" s="2"/>
      <c r="BG765" s="1"/>
    </row>
    <row r="766" spans="28:59" ht="15" customHeight="1" x14ac:dyDescent="0.3">
      <c r="AB766"/>
      <c r="AC766"/>
      <c r="AD766"/>
      <c r="AE766"/>
      <c r="AF766"/>
      <c r="AG766"/>
      <c r="AH766"/>
      <c r="AI766"/>
      <c r="AJ766" s="25"/>
      <c r="AK766" s="2"/>
      <c r="AR766" s="25"/>
      <c r="BA766" s="2"/>
      <c r="BG766" s="1"/>
    </row>
    <row r="767" spans="28:59" ht="15" customHeight="1" x14ac:dyDescent="0.3">
      <c r="AB767"/>
      <c r="AC767"/>
      <c r="AD767"/>
      <c r="AE767"/>
      <c r="AF767"/>
      <c r="AG767"/>
      <c r="AH767"/>
      <c r="AI767"/>
      <c r="AJ767" s="25"/>
      <c r="AK767" s="2"/>
      <c r="AR767" s="25"/>
      <c r="BA767" s="2"/>
      <c r="BG767" s="1"/>
    </row>
    <row r="768" spans="28:59" ht="15" customHeight="1" x14ac:dyDescent="0.3">
      <c r="AB768"/>
      <c r="AC768"/>
      <c r="AD768"/>
      <c r="AE768"/>
      <c r="AF768"/>
      <c r="AG768"/>
      <c r="AH768"/>
      <c r="AI768"/>
      <c r="AJ768" s="25"/>
      <c r="AK768" s="2"/>
      <c r="AR768" s="25"/>
      <c r="BA768" s="2"/>
      <c r="BG768" s="1"/>
    </row>
    <row r="769" spans="28:59" ht="15" customHeight="1" x14ac:dyDescent="0.3">
      <c r="AB769"/>
      <c r="AC769"/>
      <c r="AD769"/>
      <c r="AE769"/>
      <c r="AF769"/>
      <c r="AG769"/>
      <c r="AH769"/>
      <c r="AI769"/>
      <c r="AJ769" s="25"/>
      <c r="AK769" s="2"/>
      <c r="AR769" s="25"/>
      <c r="BA769" s="2"/>
      <c r="BG769" s="1"/>
    </row>
    <row r="770" spans="28:59" ht="15" customHeight="1" x14ac:dyDescent="0.3">
      <c r="AB770"/>
      <c r="AC770"/>
      <c r="AD770"/>
      <c r="AE770"/>
      <c r="AF770"/>
      <c r="AG770"/>
      <c r="AH770"/>
      <c r="AI770"/>
      <c r="AJ770" s="25"/>
      <c r="AK770" s="2"/>
      <c r="AR770" s="25"/>
      <c r="BA770" s="2"/>
      <c r="BG770" s="1"/>
    </row>
    <row r="771" spans="28:59" ht="15" customHeight="1" x14ac:dyDescent="0.3">
      <c r="AB771"/>
      <c r="AC771"/>
      <c r="AD771"/>
      <c r="AE771"/>
      <c r="AF771"/>
      <c r="AG771"/>
      <c r="AH771"/>
      <c r="AI771"/>
      <c r="AJ771" s="25"/>
      <c r="AK771" s="2"/>
      <c r="AR771" s="25"/>
      <c r="BA771" s="2"/>
      <c r="BG771" s="1"/>
    </row>
    <row r="772" spans="28:59" ht="15" customHeight="1" x14ac:dyDescent="0.3">
      <c r="AB772"/>
      <c r="AC772"/>
      <c r="AD772"/>
      <c r="AE772"/>
      <c r="AF772"/>
      <c r="AG772"/>
      <c r="AH772"/>
      <c r="AI772"/>
      <c r="AJ772" s="25"/>
      <c r="AK772" s="2"/>
      <c r="AR772" s="25"/>
      <c r="BA772" s="2"/>
      <c r="BG772" s="1"/>
    </row>
    <row r="773" spans="28:59" ht="15" customHeight="1" x14ac:dyDescent="0.3">
      <c r="AB773"/>
      <c r="AC773"/>
      <c r="AD773"/>
      <c r="AE773"/>
      <c r="AF773"/>
      <c r="AG773"/>
      <c r="AH773"/>
      <c r="AI773"/>
      <c r="AJ773" s="25"/>
      <c r="AK773" s="2"/>
      <c r="AR773" s="25"/>
      <c r="BA773" s="2"/>
      <c r="BG773" s="1"/>
    </row>
    <row r="774" spans="28:59" ht="15" customHeight="1" x14ac:dyDescent="0.3">
      <c r="AB774"/>
      <c r="AC774"/>
      <c r="AD774"/>
      <c r="AE774"/>
      <c r="AF774"/>
      <c r="AG774"/>
      <c r="AH774"/>
      <c r="AI774"/>
      <c r="AJ774" s="25"/>
      <c r="AK774" s="2"/>
      <c r="AR774" s="25"/>
      <c r="BA774" s="2"/>
      <c r="BG774" s="1"/>
    </row>
    <row r="775" spans="28:59" ht="15" customHeight="1" x14ac:dyDescent="0.3">
      <c r="AB775"/>
      <c r="AC775"/>
      <c r="AD775"/>
      <c r="AE775"/>
      <c r="AF775"/>
      <c r="AG775"/>
      <c r="AH775"/>
      <c r="AI775"/>
      <c r="AJ775" s="25"/>
      <c r="AK775" s="2"/>
      <c r="AR775" s="25"/>
      <c r="BA775" s="2"/>
      <c r="BG775" s="1"/>
    </row>
    <row r="776" spans="28:59" ht="15" customHeight="1" x14ac:dyDescent="0.3">
      <c r="AB776"/>
      <c r="AC776"/>
      <c r="AD776"/>
      <c r="AE776"/>
      <c r="AF776"/>
      <c r="AG776"/>
      <c r="AH776"/>
      <c r="AI776"/>
      <c r="AJ776" s="25"/>
      <c r="AK776" s="2"/>
      <c r="AR776" s="25"/>
      <c r="BA776" s="2"/>
      <c r="BG776" s="1"/>
    </row>
    <row r="777" spans="28:59" ht="15" customHeight="1" x14ac:dyDescent="0.3">
      <c r="AB777"/>
      <c r="AC777"/>
      <c r="AD777"/>
      <c r="AE777"/>
      <c r="AF777"/>
      <c r="AG777"/>
      <c r="AH777"/>
      <c r="AI777"/>
      <c r="AJ777" s="25"/>
      <c r="AK777" s="2"/>
      <c r="AR777" s="25"/>
      <c r="BA777" s="2"/>
      <c r="BG777" s="1"/>
    </row>
    <row r="778" spans="28:59" ht="15" customHeight="1" x14ac:dyDescent="0.3">
      <c r="AB778"/>
      <c r="AC778"/>
      <c r="AD778"/>
      <c r="AE778"/>
      <c r="AF778"/>
      <c r="AG778"/>
      <c r="AH778"/>
      <c r="AI778"/>
      <c r="AJ778" s="25"/>
      <c r="AK778" s="2"/>
      <c r="AR778" s="25"/>
      <c r="BA778" s="2"/>
      <c r="BG778" s="1"/>
    </row>
    <row r="779" spans="28:59" ht="15" customHeight="1" x14ac:dyDescent="0.3">
      <c r="AB779"/>
      <c r="AC779"/>
      <c r="AD779"/>
      <c r="AE779"/>
      <c r="AF779"/>
      <c r="AG779"/>
      <c r="AH779"/>
      <c r="AI779"/>
      <c r="AJ779" s="25"/>
      <c r="AK779" s="2"/>
      <c r="AR779" s="25"/>
      <c r="BA779" s="2"/>
      <c r="BG779" s="1"/>
    </row>
    <row r="780" spans="28:59" ht="15" customHeight="1" x14ac:dyDescent="0.3">
      <c r="AB780"/>
      <c r="AC780"/>
      <c r="AD780"/>
      <c r="AE780"/>
      <c r="AF780"/>
      <c r="AG780"/>
      <c r="AH780"/>
      <c r="AI780"/>
      <c r="AJ780" s="25"/>
      <c r="AK780" s="2"/>
      <c r="AR780" s="25"/>
      <c r="BA780" s="2"/>
      <c r="BG780" s="1"/>
    </row>
    <row r="781" spans="28:59" ht="15" customHeight="1" x14ac:dyDescent="0.3">
      <c r="AB781"/>
      <c r="AC781"/>
      <c r="AD781"/>
      <c r="AE781"/>
      <c r="AF781"/>
      <c r="AG781"/>
      <c r="AH781"/>
      <c r="AI781"/>
      <c r="AJ781" s="25"/>
      <c r="AK781" s="2"/>
      <c r="AR781" s="25"/>
      <c r="BA781" s="2"/>
      <c r="BG781" s="1"/>
    </row>
    <row r="782" spans="28:59" ht="15" customHeight="1" x14ac:dyDescent="0.3">
      <c r="AB782"/>
      <c r="AC782"/>
      <c r="AD782"/>
      <c r="AE782"/>
      <c r="AF782"/>
      <c r="AG782"/>
      <c r="AH782"/>
      <c r="AI782"/>
      <c r="AJ782" s="25"/>
      <c r="AK782" s="2"/>
      <c r="AR782" s="25"/>
      <c r="BA782" s="2"/>
      <c r="BG782" s="1"/>
    </row>
    <row r="783" spans="28:59" ht="15" customHeight="1" x14ac:dyDescent="0.3">
      <c r="AB783"/>
      <c r="AC783"/>
      <c r="AD783"/>
      <c r="AE783"/>
      <c r="AF783"/>
      <c r="AG783"/>
      <c r="AH783"/>
      <c r="AI783"/>
      <c r="AJ783" s="25"/>
      <c r="AK783" s="2"/>
      <c r="AR783" s="25"/>
      <c r="BA783" s="2"/>
      <c r="BG783" s="1"/>
    </row>
    <row r="784" spans="28:59" ht="15" customHeight="1" x14ac:dyDescent="0.3">
      <c r="AB784"/>
      <c r="AC784"/>
      <c r="AD784"/>
      <c r="AE784"/>
      <c r="AF784"/>
      <c r="AG784"/>
      <c r="AH784"/>
      <c r="AI784"/>
      <c r="AJ784" s="25"/>
      <c r="AK784" s="2"/>
      <c r="AR784" s="25"/>
      <c r="BA784" s="2"/>
      <c r="BG784" s="1"/>
    </row>
    <row r="785" spans="28:59" ht="15" customHeight="1" x14ac:dyDescent="0.3">
      <c r="AB785"/>
      <c r="AC785"/>
      <c r="AD785"/>
      <c r="AE785"/>
      <c r="AF785"/>
      <c r="AG785"/>
      <c r="AH785"/>
      <c r="AI785"/>
      <c r="AJ785" s="25"/>
      <c r="AK785" s="2"/>
      <c r="AR785" s="25"/>
      <c r="BA785" s="2"/>
      <c r="BG785" s="1"/>
    </row>
    <row r="786" spans="28:59" ht="15" customHeight="1" x14ac:dyDescent="0.3">
      <c r="AB786"/>
      <c r="AC786"/>
      <c r="AD786"/>
      <c r="AE786"/>
      <c r="AF786"/>
      <c r="AG786"/>
      <c r="AH786"/>
      <c r="AI786"/>
      <c r="AJ786" s="25"/>
      <c r="AK786" s="2"/>
      <c r="AR786" s="25"/>
      <c r="BA786" s="2"/>
      <c r="BG786" s="1"/>
    </row>
    <row r="787" spans="28:59" ht="15" customHeight="1" x14ac:dyDescent="0.3">
      <c r="AB787"/>
      <c r="AC787"/>
      <c r="AD787"/>
      <c r="AE787"/>
      <c r="AF787"/>
      <c r="AG787"/>
      <c r="AH787"/>
      <c r="AI787"/>
      <c r="AJ787" s="25"/>
      <c r="AK787" s="2"/>
      <c r="AR787" s="25"/>
      <c r="BA787" s="2"/>
      <c r="BG787" s="1"/>
    </row>
    <row r="788" spans="28:59" ht="15" customHeight="1" x14ac:dyDescent="0.3">
      <c r="AB788"/>
      <c r="AC788"/>
      <c r="AD788"/>
      <c r="AE788"/>
      <c r="AF788"/>
      <c r="AG788"/>
      <c r="AH788"/>
      <c r="AI788"/>
      <c r="AJ788" s="25"/>
      <c r="AK788" s="2"/>
      <c r="AR788" s="25"/>
      <c r="BA788" s="2"/>
      <c r="BG788" s="1"/>
    </row>
    <row r="789" spans="28:59" ht="15" customHeight="1" x14ac:dyDescent="0.3">
      <c r="AB789"/>
      <c r="AC789"/>
      <c r="AD789"/>
      <c r="AE789"/>
      <c r="AF789"/>
      <c r="AG789"/>
      <c r="AH789"/>
      <c r="AI789"/>
      <c r="AJ789" s="25"/>
      <c r="AK789" s="2"/>
      <c r="AR789" s="25"/>
      <c r="BA789" s="2"/>
      <c r="BG789" s="1"/>
    </row>
    <row r="790" spans="28:59" ht="15" customHeight="1" x14ac:dyDescent="0.3">
      <c r="AB790"/>
      <c r="AC790"/>
      <c r="AD790"/>
      <c r="AE790"/>
      <c r="AF790"/>
      <c r="AG790"/>
      <c r="AH790"/>
      <c r="AI790"/>
      <c r="AJ790" s="25"/>
      <c r="AK790" s="2"/>
      <c r="AR790" s="25"/>
      <c r="BA790" s="2"/>
      <c r="BG790" s="1"/>
    </row>
    <row r="791" spans="28:59" ht="15" customHeight="1" x14ac:dyDescent="0.3">
      <c r="AB791"/>
      <c r="AC791"/>
      <c r="AD791"/>
      <c r="AE791"/>
      <c r="AF791"/>
      <c r="AG791"/>
      <c r="AH791"/>
      <c r="AI791"/>
      <c r="AJ791" s="25"/>
      <c r="AK791" s="2"/>
      <c r="AR791" s="25"/>
      <c r="BA791" s="2"/>
      <c r="BG791" s="1"/>
    </row>
    <row r="792" spans="28:59" ht="15" customHeight="1" x14ac:dyDescent="0.3">
      <c r="AB792"/>
      <c r="AC792"/>
      <c r="AD792"/>
      <c r="AE792"/>
      <c r="AF792"/>
      <c r="AG792"/>
      <c r="AH792"/>
      <c r="AI792"/>
      <c r="AJ792" s="25"/>
      <c r="AK792" s="2"/>
      <c r="AR792" s="25"/>
      <c r="BA792" s="2"/>
      <c r="BG792" s="1"/>
    </row>
    <row r="793" spans="28:59" ht="15" customHeight="1" x14ac:dyDescent="0.3">
      <c r="AB793"/>
      <c r="AC793"/>
      <c r="AD793"/>
      <c r="AE793"/>
      <c r="AF793"/>
      <c r="AG793"/>
      <c r="AH793"/>
      <c r="AI793"/>
      <c r="AJ793" s="25"/>
      <c r="AK793" s="2"/>
      <c r="AR793" s="25"/>
      <c r="BA793" s="2"/>
      <c r="BG793" s="1"/>
    </row>
    <row r="794" spans="28:59" ht="15" customHeight="1" x14ac:dyDescent="0.3">
      <c r="AB794"/>
      <c r="AC794"/>
      <c r="AD794"/>
      <c r="AE794"/>
      <c r="AF794"/>
      <c r="AG794"/>
      <c r="AH794"/>
      <c r="AI794"/>
      <c r="AJ794" s="25"/>
      <c r="AK794" s="2"/>
      <c r="AR794" s="25"/>
      <c r="BA794" s="2"/>
      <c r="BG794" s="1"/>
    </row>
    <row r="795" spans="28:59" ht="15" customHeight="1" x14ac:dyDescent="0.3">
      <c r="AB795"/>
      <c r="AC795"/>
      <c r="AD795"/>
      <c r="AE795"/>
      <c r="AF795"/>
      <c r="AG795"/>
      <c r="AH795"/>
      <c r="AI795"/>
      <c r="AJ795" s="25"/>
      <c r="AK795" s="2"/>
      <c r="AR795" s="25"/>
      <c r="BA795" s="2"/>
      <c r="BG795" s="1"/>
    </row>
    <row r="796" spans="28:59" ht="15" customHeight="1" x14ac:dyDescent="0.3">
      <c r="AB796"/>
      <c r="AC796"/>
      <c r="AD796"/>
      <c r="AE796"/>
      <c r="AF796"/>
      <c r="AG796"/>
      <c r="AH796"/>
      <c r="AI796"/>
      <c r="AJ796" s="25"/>
      <c r="AK796" s="2"/>
      <c r="AR796" s="25"/>
      <c r="BA796" s="2"/>
      <c r="BG796" s="1"/>
    </row>
    <row r="797" spans="28:59" ht="15" customHeight="1" x14ac:dyDescent="0.3">
      <c r="AB797"/>
      <c r="AC797"/>
      <c r="AD797"/>
      <c r="AE797"/>
      <c r="AF797"/>
      <c r="AG797"/>
      <c r="AH797"/>
      <c r="AI797"/>
      <c r="AJ797" s="25"/>
      <c r="AK797" s="2"/>
      <c r="AR797" s="25"/>
      <c r="BA797" s="2"/>
      <c r="BG797" s="1"/>
    </row>
    <row r="798" spans="28:59" ht="15" customHeight="1" x14ac:dyDescent="0.3">
      <c r="AB798"/>
      <c r="AC798"/>
      <c r="AD798"/>
      <c r="AE798"/>
      <c r="AF798"/>
      <c r="AG798"/>
      <c r="AH798"/>
      <c r="AI798"/>
      <c r="AJ798" s="25"/>
      <c r="AK798" s="2"/>
      <c r="AR798" s="25"/>
      <c r="BA798" s="2"/>
      <c r="BG798" s="1"/>
    </row>
    <row r="799" spans="28:59" ht="15" customHeight="1" x14ac:dyDescent="0.3">
      <c r="AB799"/>
      <c r="AC799"/>
      <c r="AD799"/>
      <c r="AE799"/>
      <c r="AF799"/>
      <c r="AG799"/>
      <c r="AH799"/>
      <c r="AI799"/>
      <c r="AJ799" s="25"/>
      <c r="AK799" s="2"/>
      <c r="AR799" s="25"/>
      <c r="BA799" s="2"/>
      <c r="BG799" s="1"/>
    </row>
    <row r="800" spans="28:59" ht="15" customHeight="1" x14ac:dyDescent="0.3">
      <c r="AB800"/>
      <c r="AC800"/>
      <c r="AD800"/>
      <c r="AE800"/>
      <c r="AF800"/>
      <c r="AG800"/>
      <c r="AH800"/>
      <c r="AI800"/>
      <c r="AJ800" s="25"/>
      <c r="AK800" s="2"/>
      <c r="AR800" s="25"/>
      <c r="BA800" s="2"/>
      <c r="BG800" s="1"/>
    </row>
    <row r="801" spans="28:59" ht="15" customHeight="1" x14ac:dyDescent="0.3">
      <c r="AB801"/>
      <c r="AC801"/>
      <c r="AD801"/>
      <c r="AE801"/>
      <c r="AF801"/>
      <c r="AG801"/>
      <c r="AH801"/>
      <c r="AI801"/>
      <c r="AJ801" s="25"/>
      <c r="AK801" s="2"/>
      <c r="AR801" s="25"/>
      <c r="BA801" s="2"/>
      <c r="BG801" s="1"/>
    </row>
    <row r="802" spans="28:59" ht="15" customHeight="1" x14ac:dyDescent="0.3">
      <c r="AB802"/>
      <c r="AC802"/>
      <c r="AD802"/>
      <c r="AE802"/>
      <c r="AF802"/>
      <c r="AG802"/>
      <c r="AH802"/>
      <c r="AI802"/>
      <c r="AJ802" s="25"/>
      <c r="AK802" s="2"/>
      <c r="AR802" s="25"/>
      <c r="BA802" s="2"/>
      <c r="BG802" s="1"/>
    </row>
    <row r="803" spans="28:59" ht="15" customHeight="1" x14ac:dyDescent="0.3">
      <c r="AB803"/>
      <c r="AC803"/>
      <c r="AD803"/>
      <c r="AE803"/>
      <c r="AF803"/>
      <c r="AG803"/>
      <c r="AH803"/>
      <c r="AI803"/>
      <c r="AJ803" s="25"/>
      <c r="AK803" s="2"/>
      <c r="AR803" s="25"/>
      <c r="BA803" s="2"/>
      <c r="BG803" s="1"/>
    </row>
    <row r="804" spans="28:59" ht="15" customHeight="1" x14ac:dyDescent="0.3">
      <c r="AB804"/>
      <c r="AC804"/>
      <c r="AD804"/>
      <c r="AE804"/>
      <c r="AF804"/>
      <c r="AG804"/>
      <c r="AH804"/>
      <c r="AI804"/>
      <c r="AJ804" s="25"/>
      <c r="AK804" s="2"/>
      <c r="AR804" s="25"/>
      <c r="BA804" s="2"/>
      <c r="BG804" s="1"/>
    </row>
    <row r="805" spans="28:59" ht="15" customHeight="1" x14ac:dyDescent="0.3">
      <c r="AB805"/>
      <c r="AC805"/>
      <c r="AD805"/>
      <c r="AE805"/>
      <c r="AF805"/>
      <c r="AG805"/>
      <c r="AH805"/>
      <c r="AI805"/>
      <c r="AJ805" s="25"/>
      <c r="AK805" s="2"/>
      <c r="AR805" s="25"/>
      <c r="BA805" s="2"/>
      <c r="BG805" s="1"/>
    </row>
    <row r="806" spans="28:59" ht="15" customHeight="1" x14ac:dyDescent="0.3">
      <c r="AB806"/>
      <c r="AC806"/>
      <c r="AD806"/>
      <c r="AE806"/>
      <c r="AF806"/>
      <c r="AG806"/>
      <c r="AH806"/>
      <c r="AI806"/>
      <c r="AJ806" s="25"/>
      <c r="AK806" s="2"/>
      <c r="AR806" s="25"/>
      <c r="BA806" s="2"/>
      <c r="BG806" s="1"/>
    </row>
    <row r="807" spans="28:59" ht="15" customHeight="1" x14ac:dyDescent="0.3">
      <c r="AB807"/>
      <c r="AC807"/>
      <c r="AD807"/>
      <c r="AE807"/>
      <c r="AF807"/>
      <c r="AG807"/>
      <c r="AH807"/>
      <c r="AI807"/>
      <c r="AJ807" s="25"/>
      <c r="AK807" s="2"/>
      <c r="AR807" s="25"/>
      <c r="BA807" s="2"/>
      <c r="BG807" s="1"/>
    </row>
    <row r="808" spans="28:59" ht="15" customHeight="1" x14ac:dyDescent="0.3">
      <c r="AB808"/>
      <c r="AC808"/>
      <c r="AD808"/>
      <c r="AE808"/>
      <c r="AF808"/>
      <c r="AG808"/>
      <c r="AH808"/>
      <c r="AI808"/>
      <c r="AJ808" s="25"/>
      <c r="AK808" s="2"/>
      <c r="AR808" s="25"/>
      <c r="BA808" s="2"/>
      <c r="BG808" s="1"/>
    </row>
    <row r="809" spans="28:59" ht="15" customHeight="1" x14ac:dyDescent="0.3">
      <c r="AB809"/>
      <c r="AC809"/>
      <c r="AD809"/>
      <c r="AE809"/>
      <c r="AF809"/>
      <c r="AG809"/>
      <c r="AH809"/>
      <c r="AI809"/>
      <c r="AJ809" s="25"/>
      <c r="AK809" s="2"/>
      <c r="AR809" s="25"/>
      <c r="BA809" s="2"/>
      <c r="BG809" s="1"/>
    </row>
    <row r="810" spans="28:59" ht="15" customHeight="1" x14ac:dyDescent="0.3">
      <c r="AB810"/>
      <c r="AC810"/>
      <c r="AD810"/>
      <c r="AE810"/>
      <c r="AF810"/>
      <c r="AG810"/>
      <c r="AH810"/>
      <c r="AI810"/>
      <c r="AJ810" s="25"/>
      <c r="AK810" s="2"/>
      <c r="AR810" s="25"/>
      <c r="BA810" s="2"/>
      <c r="BG810" s="1"/>
    </row>
    <row r="811" spans="28:59" ht="15" customHeight="1" x14ac:dyDescent="0.3">
      <c r="AB811"/>
      <c r="AC811"/>
      <c r="AD811"/>
      <c r="AE811"/>
      <c r="AF811"/>
      <c r="AG811"/>
      <c r="AH811"/>
      <c r="AI811"/>
      <c r="AJ811" s="25"/>
      <c r="AK811" s="2"/>
      <c r="AR811" s="25"/>
      <c r="BA811" s="2"/>
      <c r="BG811" s="1"/>
    </row>
    <row r="812" spans="28:59" ht="15" customHeight="1" x14ac:dyDescent="0.3">
      <c r="AB812"/>
      <c r="AC812"/>
      <c r="AD812"/>
      <c r="AE812"/>
      <c r="AF812"/>
      <c r="AG812"/>
      <c r="AH812"/>
      <c r="AI812"/>
      <c r="AJ812" s="25"/>
      <c r="AK812" s="2"/>
      <c r="AR812" s="25"/>
      <c r="BA812" s="2"/>
      <c r="BG812" s="1"/>
    </row>
    <row r="813" spans="28:59" ht="15" customHeight="1" x14ac:dyDescent="0.3">
      <c r="AB813"/>
      <c r="AC813"/>
      <c r="AD813"/>
      <c r="AE813"/>
      <c r="AF813"/>
      <c r="AG813"/>
      <c r="AH813"/>
      <c r="AI813"/>
      <c r="AJ813" s="25"/>
      <c r="AK813" s="2"/>
      <c r="AR813" s="25"/>
      <c r="BA813" s="2"/>
      <c r="BG813" s="1"/>
    </row>
    <row r="814" spans="28:59" ht="15" customHeight="1" x14ac:dyDescent="0.3">
      <c r="AB814"/>
      <c r="AC814"/>
      <c r="AD814"/>
      <c r="AE814"/>
      <c r="AF814"/>
      <c r="AG814"/>
      <c r="AH814"/>
      <c r="AI814"/>
      <c r="AJ814" s="25"/>
      <c r="AK814" s="2"/>
      <c r="AR814" s="25"/>
      <c r="BA814" s="2"/>
      <c r="BG814" s="1"/>
    </row>
    <row r="815" spans="28:59" ht="15" customHeight="1" x14ac:dyDescent="0.3">
      <c r="AB815"/>
      <c r="AC815"/>
      <c r="AD815"/>
      <c r="AE815"/>
      <c r="AF815"/>
      <c r="AG815"/>
      <c r="AH815"/>
      <c r="AI815"/>
      <c r="AJ815" s="25"/>
      <c r="AK815" s="2"/>
      <c r="AR815" s="25"/>
      <c r="BA815" s="2"/>
      <c r="BG815" s="1"/>
    </row>
    <row r="816" spans="28:59" ht="15" customHeight="1" x14ac:dyDescent="0.3">
      <c r="AB816"/>
      <c r="AC816"/>
      <c r="AD816"/>
      <c r="AE816"/>
      <c r="AF816"/>
      <c r="AG816"/>
      <c r="AH816"/>
      <c r="AI816"/>
      <c r="AJ816" s="25"/>
      <c r="AK816" s="2"/>
      <c r="AR816" s="25"/>
      <c r="BA816" s="2"/>
      <c r="BG816" s="1"/>
    </row>
    <row r="817" spans="28:59" ht="15" customHeight="1" x14ac:dyDescent="0.3">
      <c r="AB817"/>
      <c r="AC817"/>
      <c r="AD817"/>
      <c r="AE817"/>
      <c r="AF817"/>
      <c r="AG817"/>
      <c r="AH817"/>
      <c r="AI817"/>
      <c r="AJ817" s="25"/>
      <c r="AK817" s="2"/>
      <c r="AR817" s="25"/>
      <c r="BA817" s="2"/>
      <c r="BG817" s="1"/>
    </row>
    <row r="818" spans="28:59" ht="15" customHeight="1" x14ac:dyDescent="0.3">
      <c r="AB818"/>
      <c r="AC818"/>
      <c r="AD818"/>
      <c r="AE818"/>
      <c r="AF818"/>
      <c r="AG818"/>
      <c r="AH818"/>
      <c r="AI818"/>
      <c r="AJ818" s="25"/>
      <c r="AK818" s="2"/>
      <c r="AR818" s="25"/>
      <c r="BA818" s="2"/>
      <c r="BG818" s="1"/>
    </row>
    <row r="819" spans="28:59" ht="15" customHeight="1" x14ac:dyDescent="0.3">
      <c r="AB819"/>
      <c r="AC819"/>
      <c r="AD819"/>
      <c r="AE819"/>
      <c r="AF819"/>
      <c r="AG819"/>
      <c r="AH819"/>
      <c r="AI819"/>
      <c r="AJ819" s="25"/>
      <c r="AK819" s="2"/>
      <c r="AR819" s="25"/>
      <c r="BA819" s="2"/>
      <c r="BG819" s="1"/>
    </row>
    <row r="820" spans="28:59" ht="15" customHeight="1" x14ac:dyDescent="0.3">
      <c r="AB820"/>
      <c r="AC820"/>
      <c r="AD820"/>
      <c r="AE820"/>
      <c r="AF820"/>
      <c r="AG820"/>
      <c r="AH820"/>
      <c r="AI820"/>
      <c r="AJ820" s="25"/>
      <c r="AK820" s="2"/>
      <c r="AR820" s="25"/>
      <c r="BA820" s="2"/>
      <c r="BG820" s="1"/>
    </row>
    <row r="821" spans="28:59" ht="15" customHeight="1" x14ac:dyDescent="0.3">
      <c r="AB821"/>
      <c r="AC821"/>
      <c r="AD821"/>
      <c r="AE821"/>
      <c r="AF821"/>
      <c r="AG821"/>
      <c r="AH821"/>
      <c r="AI821"/>
      <c r="AJ821" s="25"/>
      <c r="AK821" s="2"/>
      <c r="AR821" s="25"/>
      <c r="BA821" s="2"/>
      <c r="BG821" s="1"/>
    </row>
    <row r="822" spans="28:59" ht="15" customHeight="1" x14ac:dyDescent="0.3">
      <c r="AB822"/>
      <c r="AC822"/>
      <c r="AD822"/>
      <c r="AE822"/>
      <c r="AF822"/>
      <c r="AG822"/>
      <c r="AH822"/>
      <c r="AI822"/>
      <c r="AJ822" s="25"/>
      <c r="AK822" s="2"/>
      <c r="AR822" s="25"/>
      <c r="BA822" s="2"/>
      <c r="BG822" s="1"/>
    </row>
    <row r="823" spans="28:59" ht="15" customHeight="1" x14ac:dyDescent="0.3">
      <c r="AB823"/>
      <c r="AC823"/>
      <c r="AD823"/>
      <c r="AE823"/>
      <c r="AF823"/>
      <c r="AG823"/>
      <c r="AH823"/>
      <c r="AI823"/>
      <c r="AJ823" s="25"/>
      <c r="AK823" s="2"/>
      <c r="AR823" s="25"/>
      <c r="BA823" s="2"/>
      <c r="BG823" s="1"/>
    </row>
    <row r="824" spans="28:59" ht="15" customHeight="1" x14ac:dyDescent="0.3">
      <c r="AB824"/>
      <c r="AC824"/>
      <c r="AD824"/>
      <c r="AE824"/>
      <c r="AF824"/>
      <c r="AG824"/>
      <c r="AH824"/>
      <c r="AI824"/>
      <c r="AJ824" s="25"/>
      <c r="AK824" s="2"/>
      <c r="AR824" s="25"/>
      <c r="BA824" s="2"/>
      <c r="BG824" s="1"/>
    </row>
    <row r="825" spans="28:59" ht="15" customHeight="1" x14ac:dyDescent="0.3">
      <c r="AB825"/>
      <c r="AC825"/>
      <c r="AD825"/>
      <c r="AE825"/>
      <c r="AF825"/>
      <c r="AG825"/>
      <c r="AH825"/>
      <c r="AI825"/>
      <c r="AJ825" s="25"/>
      <c r="AK825" s="2"/>
      <c r="AR825" s="25"/>
      <c r="BA825" s="2"/>
      <c r="BG825" s="1"/>
    </row>
    <row r="826" spans="28:59" ht="15" customHeight="1" x14ac:dyDescent="0.3">
      <c r="AB826"/>
      <c r="AC826"/>
      <c r="AD826"/>
      <c r="AE826"/>
      <c r="AF826"/>
      <c r="AG826"/>
      <c r="AH826"/>
      <c r="AI826"/>
      <c r="AJ826" s="25"/>
      <c r="AK826" s="2"/>
      <c r="AR826" s="25"/>
      <c r="BA826" s="2"/>
      <c r="BG826" s="1"/>
    </row>
    <row r="827" spans="28:59" ht="15" customHeight="1" x14ac:dyDescent="0.3">
      <c r="AB827"/>
      <c r="AC827"/>
      <c r="AD827"/>
      <c r="AE827"/>
      <c r="AF827"/>
      <c r="AG827"/>
      <c r="AH827"/>
      <c r="AI827"/>
      <c r="AJ827" s="25"/>
      <c r="AK827" s="2"/>
      <c r="AR827" s="25"/>
      <c r="BA827" s="2"/>
      <c r="BG827" s="1"/>
    </row>
    <row r="828" spans="28:59" ht="15" customHeight="1" x14ac:dyDescent="0.3">
      <c r="AB828"/>
      <c r="AC828"/>
      <c r="AD828"/>
      <c r="AE828"/>
      <c r="AF828"/>
      <c r="AG828"/>
      <c r="AH828"/>
      <c r="AI828"/>
      <c r="AJ828" s="25"/>
      <c r="AK828" s="2"/>
      <c r="AR828" s="25"/>
      <c r="BA828" s="2"/>
      <c r="BG828" s="1"/>
    </row>
    <row r="829" spans="28:59" ht="15" customHeight="1" x14ac:dyDescent="0.3">
      <c r="AB829"/>
      <c r="AC829"/>
      <c r="AD829"/>
      <c r="AE829"/>
      <c r="AF829"/>
      <c r="AG829"/>
      <c r="AH829"/>
      <c r="AI829"/>
      <c r="AJ829" s="25"/>
      <c r="AK829" s="2"/>
      <c r="AR829" s="25"/>
      <c r="BA829" s="2"/>
      <c r="BG829" s="1"/>
    </row>
    <row r="830" spans="28:59" ht="15" customHeight="1" x14ac:dyDescent="0.3">
      <c r="AB830"/>
      <c r="AC830"/>
      <c r="AD830"/>
      <c r="AE830"/>
      <c r="AF830"/>
      <c r="AG830"/>
      <c r="AH830"/>
      <c r="AI830"/>
      <c r="AJ830" s="25"/>
      <c r="AK830" s="2"/>
      <c r="AR830" s="25"/>
      <c r="BA830" s="2"/>
      <c r="BG830" s="1"/>
    </row>
    <row r="831" spans="28:59" ht="15" customHeight="1" x14ac:dyDescent="0.3">
      <c r="AB831"/>
      <c r="AC831"/>
      <c r="AD831"/>
      <c r="AE831"/>
      <c r="AF831"/>
      <c r="AG831"/>
      <c r="AH831"/>
      <c r="AI831"/>
      <c r="AJ831" s="25"/>
      <c r="AK831" s="2"/>
      <c r="AR831" s="25"/>
      <c r="BA831" s="2"/>
      <c r="BG831" s="1"/>
    </row>
    <row r="832" spans="28:59" ht="15" customHeight="1" x14ac:dyDescent="0.3">
      <c r="AB832"/>
      <c r="AC832"/>
      <c r="AD832"/>
      <c r="AE832"/>
      <c r="AF832"/>
      <c r="AG832"/>
      <c r="AH832"/>
      <c r="AI832"/>
      <c r="AJ832" s="25"/>
      <c r="AK832" s="2"/>
      <c r="AR832" s="25"/>
      <c r="BA832" s="2"/>
      <c r="BG832" s="1"/>
    </row>
    <row r="833" spans="28:59" ht="15" customHeight="1" x14ac:dyDescent="0.3">
      <c r="AB833"/>
      <c r="AC833"/>
      <c r="AD833"/>
      <c r="AE833"/>
      <c r="AF833"/>
      <c r="AG833"/>
      <c r="AH833"/>
      <c r="AI833"/>
      <c r="AJ833" s="25"/>
      <c r="AK833" s="2"/>
      <c r="AR833" s="25"/>
      <c r="BA833" s="2"/>
      <c r="BG833" s="1"/>
    </row>
    <row r="834" spans="28:59" ht="15" customHeight="1" x14ac:dyDescent="0.3">
      <c r="AB834"/>
      <c r="AC834"/>
      <c r="AD834"/>
      <c r="AE834"/>
      <c r="AF834"/>
      <c r="AG834"/>
      <c r="AH834"/>
      <c r="AI834"/>
      <c r="AJ834" s="25"/>
      <c r="AK834" s="2"/>
      <c r="AR834" s="25"/>
      <c r="BA834" s="2"/>
      <c r="BG834" s="1"/>
    </row>
    <row r="835" spans="28:59" ht="15" customHeight="1" x14ac:dyDescent="0.3">
      <c r="AB835"/>
      <c r="AC835"/>
      <c r="AD835"/>
      <c r="AE835"/>
      <c r="AF835"/>
      <c r="AG835"/>
      <c r="AH835"/>
      <c r="AI835"/>
      <c r="AJ835" s="25"/>
      <c r="AK835" s="2"/>
      <c r="AR835" s="25"/>
      <c r="BA835" s="2"/>
      <c r="BG835" s="1"/>
    </row>
    <row r="836" spans="28:59" ht="15" customHeight="1" x14ac:dyDescent="0.3">
      <c r="AB836"/>
      <c r="AC836"/>
      <c r="AD836"/>
      <c r="AE836"/>
      <c r="AF836"/>
      <c r="AG836"/>
      <c r="AH836"/>
      <c r="AI836"/>
      <c r="AJ836" s="25"/>
      <c r="AK836" s="2"/>
      <c r="AR836" s="25"/>
      <c r="BA836" s="2"/>
      <c r="BG836" s="1"/>
    </row>
    <row r="837" spans="28:59" ht="15" customHeight="1" x14ac:dyDescent="0.3">
      <c r="AB837"/>
      <c r="AC837"/>
      <c r="AD837"/>
      <c r="AE837"/>
      <c r="AF837"/>
      <c r="AG837"/>
      <c r="AH837"/>
      <c r="AI837"/>
      <c r="AJ837" s="25"/>
      <c r="AK837" s="2"/>
      <c r="AR837" s="25"/>
      <c r="BA837" s="2"/>
      <c r="BG837" s="1"/>
    </row>
    <row r="838" spans="28:59" ht="15" customHeight="1" x14ac:dyDescent="0.3">
      <c r="AB838"/>
      <c r="AC838"/>
      <c r="AD838"/>
      <c r="AE838"/>
      <c r="AF838"/>
      <c r="AG838"/>
      <c r="AH838"/>
      <c r="AI838"/>
      <c r="AJ838" s="25"/>
      <c r="AK838" s="2"/>
      <c r="AR838" s="25"/>
      <c r="BA838" s="2"/>
      <c r="BG838" s="1"/>
    </row>
    <row r="839" spans="28:59" ht="15" customHeight="1" x14ac:dyDescent="0.3">
      <c r="AB839"/>
      <c r="AC839"/>
      <c r="AD839"/>
      <c r="AE839"/>
      <c r="AF839"/>
      <c r="AG839"/>
      <c r="AH839"/>
      <c r="AI839"/>
      <c r="AJ839" s="25"/>
      <c r="AK839" s="2"/>
      <c r="AR839" s="25"/>
      <c r="BA839" s="2"/>
      <c r="BG839" s="1"/>
    </row>
    <row r="840" spans="28:59" ht="15" customHeight="1" x14ac:dyDescent="0.3">
      <c r="AB840"/>
      <c r="AC840"/>
      <c r="AD840"/>
      <c r="AE840"/>
      <c r="AF840"/>
      <c r="AG840"/>
      <c r="AH840"/>
      <c r="AI840"/>
      <c r="AJ840" s="25"/>
      <c r="AK840" s="2"/>
      <c r="AR840" s="25"/>
      <c r="BA840" s="2"/>
      <c r="BG840" s="1"/>
    </row>
    <row r="841" spans="28:59" ht="15" customHeight="1" x14ac:dyDescent="0.3">
      <c r="AB841"/>
      <c r="AC841"/>
      <c r="AD841"/>
      <c r="AE841"/>
      <c r="AF841"/>
      <c r="AG841"/>
      <c r="AH841"/>
      <c r="AI841"/>
      <c r="AJ841" s="25"/>
      <c r="AK841" s="2"/>
      <c r="AR841" s="25"/>
      <c r="BA841" s="2"/>
      <c r="BG841" s="1"/>
    </row>
    <row r="842" spans="28:59" ht="15" customHeight="1" x14ac:dyDescent="0.3">
      <c r="AB842"/>
      <c r="AC842"/>
      <c r="AD842"/>
      <c r="AE842"/>
      <c r="AF842"/>
      <c r="AG842"/>
      <c r="AH842"/>
      <c r="AI842"/>
      <c r="AJ842" s="25"/>
      <c r="AK842" s="2"/>
      <c r="AR842" s="25"/>
      <c r="BA842" s="2"/>
      <c r="BG842" s="1"/>
    </row>
    <row r="843" spans="28:59" ht="15" customHeight="1" x14ac:dyDescent="0.3">
      <c r="AB843"/>
      <c r="AC843"/>
      <c r="AD843"/>
      <c r="AE843"/>
      <c r="AF843"/>
      <c r="AG843"/>
      <c r="AH843"/>
      <c r="AI843"/>
      <c r="AJ843" s="25"/>
      <c r="AK843" s="2"/>
      <c r="AR843" s="25"/>
      <c r="BA843" s="2"/>
      <c r="BG843" s="1"/>
    </row>
    <row r="844" spans="28:59" ht="15" customHeight="1" x14ac:dyDescent="0.3">
      <c r="AB844"/>
      <c r="AC844"/>
      <c r="AD844"/>
      <c r="AE844"/>
      <c r="AF844"/>
      <c r="AG844"/>
      <c r="AH844"/>
      <c r="AI844"/>
      <c r="AJ844" s="25"/>
      <c r="AK844" s="2"/>
      <c r="AR844" s="25"/>
      <c r="BA844" s="2"/>
      <c r="BG844" s="1"/>
    </row>
    <row r="845" spans="28:59" ht="15" customHeight="1" x14ac:dyDescent="0.3">
      <c r="AB845"/>
      <c r="AC845"/>
      <c r="AD845"/>
      <c r="AE845"/>
      <c r="AF845"/>
      <c r="AG845"/>
      <c r="AH845"/>
      <c r="AI845"/>
      <c r="AJ845" s="25"/>
      <c r="AK845" s="2"/>
      <c r="AR845" s="25"/>
      <c r="BA845" s="2"/>
      <c r="BG845" s="1"/>
    </row>
    <row r="846" spans="28:59" ht="15" customHeight="1" x14ac:dyDescent="0.3">
      <c r="AB846"/>
      <c r="AC846"/>
      <c r="AD846"/>
      <c r="AE846"/>
      <c r="AF846"/>
      <c r="AG846"/>
      <c r="AH846"/>
      <c r="AI846"/>
      <c r="AJ846" s="25"/>
      <c r="AK846" s="2"/>
      <c r="AR846" s="25"/>
      <c r="BA846" s="2"/>
      <c r="BG846" s="1"/>
    </row>
    <row r="847" spans="28:59" ht="15" customHeight="1" x14ac:dyDescent="0.3">
      <c r="AB847"/>
      <c r="AC847"/>
      <c r="AD847"/>
      <c r="AE847"/>
      <c r="AF847"/>
      <c r="AG847"/>
      <c r="AH847"/>
      <c r="AI847"/>
      <c r="AJ847" s="25"/>
      <c r="AK847" s="2"/>
      <c r="AR847" s="25"/>
      <c r="BA847" s="2"/>
      <c r="BG847" s="1"/>
    </row>
    <row r="848" spans="28:59" ht="15" customHeight="1" x14ac:dyDescent="0.3">
      <c r="AB848"/>
      <c r="AC848"/>
      <c r="AD848"/>
      <c r="AE848"/>
      <c r="AF848"/>
      <c r="AG848"/>
      <c r="AH848"/>
      <c r="AI848"/>
      <c r="AJ848" s="25"/>
      <c r="AK848" s="2"/>
      <c r="AR848" s="25"/>
      <c r="BA848" s="2"/>
      <c r="BG848" s="1"/>
    </row>
    <row r="849" spans="28:59" ht="15" customHeight="1" x14ac:dyDescent="0.3">
      <c r="AB849"/>
      <c r="AC849"/>
      <c r="AD849"/>
      <c r="AE849"/>
      <c r="AF849"/>
      <c r="AG849"/>
      <c r="AH849"/>
      <c r="AI849"/>
      <c r="AJ849" s="25"/>
      <c r="AK849" s="2"/>
      <c r="AR849" s="25"/>
      <c r="BA849" s="2"/>
      <c r="BG849" s="1"/>
    </row>
    <row r="850" spans="28:59" ht="15" customHeight="1" x14ac:dyDescent="0.3">
      <c r="AB850"/>
      <c r="AC850"/>
      <c r="AD850"/>
      <c r="AE850"/>
      <c r="AF850"/>
      <c r="AG850"/>
      <c r="AH850"/>
      <c r="AI850"/>
      <c r="AJ850" s="25"/>
      <c r="AK850" s="2"/>
      <c r="AR850" s="25"/>
      <c r="BA850" s="2"/>
      <c r="BG850" s="1"/>
    </row>
    <row r="851" spans="28:59" ht="15" customHeight="1" x14ac:dyDescent="0.3">
      <c r="AB851"/>
      <c r="AC851"/>
      <c r="AD851"/>
      <c r="AE851"/>
      <c r="AF851"/>
      <c r="AG851"/>
      <c r="AH851"/>
      <c r="AI851"/>
      <c r="AJ851" s="25"/>
      <c r="AK851" s="2"/>
      <c r="AR851" s="25"/>
      <c r="BA851" s="2"/>
      <c r="BG851" s="1"/>
    </row>
    <row r="852" spans="28:59" ht="15" customHeight="1" x14ac:dyDescent="0.3">
      <c r="AB852"/>
      <c r="AC852"/>
      <c r="AD852"/>
      <c r="AE852"/>
      <c r="AF852"/>
      <c r="AG852"/>
      <c r="AH852"/>
      <c r="AI852"/>
      <c r="AJ852" s="25"/>
      <c r="AK852" s="2"/>
      <c r="AR852" s="25"/>
      <c r="BA852" s="2"/>
      <c r="BG852" s="1"/>
    </row>
    <row r="853" spans="28:59" ht="15" customHeight="1" x14ac:dyDescent="0.3">
      <c r="AB853"/>
      <c r="AC853"/>
      <c r="AD853"/>
      <c r="AE853"/>
      <c r="AF853"/>
      <c r="AG853"/>
      <c r="AH853"/>
      <c r="AI853"/>
      <c r="AJ853" s="25"/>
      <c r="AK853" s="2"/>
      <c r="AR853" s="25"/>
      <c r="BA853" s="2"/>
      <c r="BG853" s="1"/>
    </row>
    <row r="854" spans="28:59" ht="15" customHeight="1" x14ac:dyDescent="0.3">
      <c r="AB854"/>
      <c r="AC854"/>
      <c r="AD854"/>
      <c r="AE854"/>
      <c r="AF854"/>
      <c r="AG854"/>
      <c r="AH854"/>
      <c r="AI854"/>
      <c r="AJ854" s="25"/>
      <c r="AK854" s="2"/>
      <c r="AR854" s="25"/>
      <c r="BA854" s="2"/>
      <c r="BG854" s="1"/>
    </row>
    <row r="855" spans="28:59" ht="15" customHeight="1" x14ac:dyDescent="0.3">
      <c r="AB855"/>
      <c r="AC855"/>
      <c r="AD855"/>
      <c r="AE855"/>
      <c r="AF855"/>
      <c r="AG855"/>
      <c r="AH855"/>
      <c r="AI855"/>
      <c r="AJ855" s="25"/>
      <c r="AK855" s="2"/>
      <c r="AR855" s="25"/>
      <c r="BA855" s="2"/>
      <c r="BG855" s="1"/>
    </row>
    <row r="856" spans="28:59" ht="15" customHeight="1" x14ac:dyDescent="0.3">
      <c r="AB856"/>
      <c r="AC856"/>
      <c r="AD856"/>
      <c r="AE856"/>
      <c r="AF856"/>
      <c r="AG856"/>
      <c r="AH856"/>
      <c r="AI856"/>
      <c r="AJ856" s="25"/>
      <c r="AK856" s="2"/>
      <c r="AR856" s="25"/>
      <c r="BA856" s="2"/>
      <c r="BG856" s="1"/>
    </row>
    <row r="857" spans="28:59" ht="15" customHeight="1" x14ac:dyDescent="0.3">
      <c r="AB857"/>
      <c r="AC857"/>
      <c r="AD857"/>
      <c r="AE857"/>
      <c r="AF857"/>
      <c r="AG857"/>
      <c r="AH857"/>
      <c r="AI857"/>
      <c r="AJ857" s="25"/>
      <c r="AK857" s="2"/>
      <c r="AR857" s="25"/>
      <c r="BA857" s="2"/>
      <c r="BG857" s="1"/>
    </row>
    <row r="858" spans="28:59" ht="15" customHeight="1" x14ac:dyDescent="0.3">
      <c r="AB858"/>
      <c r="AC858"/>
      <c r="AD858"/>
      <c r="AE858"/>
      <c r="AF858"/>
      <c r="AG858"/>
      <c r="AH858"/>
      <c r="AI858"/>
      <c r="AJ858" s="25"/>
      <c r="AK858" s="2"/>
      <c r="AR858" s="25"/>
      <c r="BA858" s="2"/>
      <c r="BG858" s="1"/>
    </row>
    <row r="859" spans="28:59" ht="15" customHeight="1" x14ac:dyDescent="0.3">
      <c r="AB859"/>
      <c r="AC859"/>
      <c r="AD859"/>
      <c r="AE859"/>
      <c r="AF859"/>
      <c r="AG859"/>
      <c r="AH859"/>
      <c r="AI859"/>
      <c r="AJ859" s="25"/>
      <c r="AK859" s="2"/>
      <c r="AR859" s="25"/>
      <c r="BA859" s="2"/>
      <c r="BG859" s="1"/>
    </row>
    <row r="860" spans="28:59" ht="15" customHeight="1" x14ac:dyDescent="0.3">
      <c r="AB860"/>
      <c r="AC860"/>
      <c r="AD860"/>
      <c r="AE860"/>
      <c r="AF860"/>
      <c r="AG860"/>
      <c r="AH860"/>
      <c r="AI860"/>
      <c r="AJ860" s="25"/>
      <c r="AK860" s="2"/>
      <c r="AR860" s="25"/>
      <c r="BA860" s="2"/>
      <c r="BG860" s="1"/>
    </row>
    <row r="861" spans="28:59" ht="15" customHeight="1" x14ac:dyDescent="0.3">
      <c r="AB861"/>
      <c r="AC861"/>
      <c r="AD861"/>
      <c r="AE861"/>
      <c r="AF861"/>
      <c r="AG861"/>
      <c r="AH861"/>
      <c r="AI861"/>
      <c r="AJ861" s="25"/>
      <c r="AK861" s="2"/>
      <c r="AR861" s="25"/>
      <c r="BA861" s="2"/>
      <c r="BG861" s="1"/>
    </row>
    <row r="862" spans="28:59" ht="15" customHeight="1" x14ac:dyDescent="0.3">
      <c r="AB862"/>
      <c r="AC862"/>
      <c r="AD862"/>
      <c r="AE862"/>
      <c r="AF862"/>
      <c r="AG862"/>
      <c r="AH862"/>
      <c r="AI862"/>
      <c r="AJ862" s="25"/>
      <c r="AK862" s="2"/>
      <c r="AR862" s="25"/>
      <c r="BA862" s="2"/>
      <c r="BG862" s="1"/>
    </row>
    <row r="863" spans="28:59" ht="15" customHeight="1" x14ac:dyDescent="0.3">
      <c r="AB863"/>
      <c r="AC863"/>
      <c r="AD863"/>
      <c r="AE863"/>
      <c r="AF863"/>
      <c r="AG863"/>
      <c r="AH863"/>
      <c r="AI863"/>
      <c r="AJ863" s="25"/>
      <c r="AK863" s="2"/>
      <c r="AR863" s="25"/>
      <c r="BA863" s="2"/>
      <c r="BG863" s="1"/>
    </row>
    <row r="864" spans="28:59" ht="15" customHeight="1" x14ac:dyDescent="0.3">
      <c r="AB864"/>
      <c r="AC864"/>
      <c r="AD864"/>
      <c r="AE864"/>
      <c r="AF864"/>
      <c r="AG864"/>
      <c r="AH864"/>
      <c r="AI864"/>
      <c r="AJ864" s="25"/>
      <c r="AK864" s="2"/>
      <c r="AR864" s="25"/>
      <c r="BA864" s="2"/>
      <c r="BG864" s="1"/>
    </row>
    <row r="865" spans="28:59" ht="15" customHeight="1" x14ac:dyDescent="0.3">
      <c r="AB865"/>
      <c r="AC865"/>
      <c r="AD865"/>
      <c r="AE865"/>
      <c r="AF865"/>
      <c r="AG865"/>
      <c r="AH865"/>
      <c r="AI865"/>
      <c r="AJ865" s="25"/>
      <c r="AK865" s="2"/>
      <c r="AR865" s="25"/>
      <c r="BA865" s="2"/>
      <c r="BG865" s="1"/>
    </row>
    <row r="866" spans="28:59" ht="15" customHeight="1" x14ac:dyDescent="0.3">
      <c r="AB866"/>
      <c r="AC866"/>
      <c r="AD866"/>
      <c r="AE866"/>
      <c r="AF866"/>
      <c r="AG866"/>
      <c r="AH866"/>
      <c r="AI866"/>
      <c r="AJ866" s="25"/>
      <c r="AK866" s="2"/>
      <c r="AR866" s="25"/>
      <c r="BA866" s="2"/>
      <c r="BG866" s="1"/>
    </row>
    <row r="867" spans="28:59" ht="15" customHeight="1" x14ac:dyDescent="0.3">
      <c r="AB867"/>
      <c r="AC867"/>
      <c r="AD867"/>
      <c r="AE867"/>
      <c r="AF867"/>
      <c r="AG867"/>
      <c r="AH867"/>
      <c r="AI867"/>
      <c r="AJ867" s="25"/>
      <c r="AK867" s="2"/>
      <c r="AR867" s="25"/>
      <c r="BA867" s="2"/>
      <c r="BG867" s="1"/>
    </row>
    <row r="868" spans="28:59" ht="15" customHeight="1" x14ac:dyDescent="0.3">
      <c r="AB868"/>
      <c r="AC868"/>
      <c r="AD868"/>
      <c r="AE868"/>
      <c r="AF868"/>
      <c r="AG868"/>
      <c r="AH868"/>
      <c r="AI868"/>
      <c r="AJ868" s="25"/>
      <c r="AK868" s="2"/>
      <c r="AR868" s="25"/>
      <c r="BA868" s="2"/>
      <c r="BG868" s="1"/>
    </row>
    <row r="869" spans="28:59" ht="15" customHeight="1" x14ac:dyDescent="0.3">
      <c r="AB869"/>
      <c r="AC869"/>
      <c r="AD869"/>
      <c r="AE869"/>
      <c r="AF869"/>
      <c r="AG869"/>
      <c r="AH869"/>
      <c r="AI869"/>
      <c r="AJ869" s="25"/>
      <c r="AK869" s="2"/>
      <c r="AR869" s="25"/>
      <c r="BA869" s="2"/>
      <c r="BG869" s="1"/>
    </row>
    <row r="870" spans="28:59" ht="15" customHeight="1" x14ac:dyDescent="0.3">
      <c r="AB870"/>
      <c r="AC870"/>
      <c r="AD870"/>
      <c r="AE870"/>
      <c r="AF870"/>
      <c r="AG870"/>
      <c r="AH870"/>
      <c r="AI870"/>
      <c r="AJ870" s="25"/>
      <c r="AK870" s="2"/>
      <c r="AR870" s="25"/>
      <c r="BA870" s="2"/>
      <c r="BG870" s="1"/>
    </row>
    <row r="871" spans="28:59" ht="15" customHeight="1" x14ac:dyDescent="0.3">
      <c r="AB871"/>
      <c r="AC871"/>
      <c r="AD871"/>
      <c r="AE871"/>
      <c r="AF871"/>
      <c r="AG871"/>
      <c r="AH871"/>
      <c r="AI871"/>
      <c r="AJ871" s="25"/>
      <c r="AK871" s="2"/>
      <c r="AR871" s="25"/>
      <c r="BA871" s="2"/>
      <c r="BG871" s="1"/>
    </row>
    <row r="872" spans="28:59" ht="15" customHeight="1" x14ac:dyDescent="0.3">
      <c r="AB872"/>
      <c r="AC872"/>
      <c r="AD872"/>
      <c r="AE872"/>
      <c r="AF872"/>
      <c r="AG872"/>
      <c r="AH872"/>
      <c r="AI872"/>
      <c r="AJ872" s="25"/>
      <c r="AK872" s="2"/>
      <c r="AR872" s="25"/>
      <c r="BA872" s="2"/>
      <c r="BG872" s="1"/>
    </row>
    <row r="873" spans="28:59" ht="15" customHeight="1" x14ac:dyDescent="0.3">
      <c r="AB873"/>
      <c r="AC873"/>
      <c r="AD873"/>
      <c r="AE873"/>
      <c r="AF873"/>
      <c r="AG873"/>
      <c r="AH873"/>
      <c r="AI873"/>
      <c r="AJ873" s="25"/>
      <c r="AK873" s="2"/>
      <c r="AR873" s="25"/>
      <c r="BA873" s="2"/>
      <c r="BG873" s="1"/>
    </row>
    <row r="874" spans="28:59" ht="15" customHeight="1" x14ac:dyDescent="0.3">
      <c r="AB874"/>
      <c r="AC874"/>
      <c r="AD874"/>
      <c r="AE874"/>
      <c r="AF874"/>
      <c r="AG874"/>
      <c r="AH874"/>
      <c r="AI874"/>
      <c r="AJ874" s="25"/>
      <c r="AK874" s="2"/>
      <c r="AR874" s="25"/>
      <c r="BA874" s="2"/>
      <c r="BG874" s="1"/>
    </row>
    <row r="875" spans="28:59" ht="15" customHeight="1" x14ac:dyDescent="0.3">
      <c r="AB875"/>
      <c r="AC875"/>
      <c r="AD875"/>
      <c r="AE875"/>
      <c r="AF875"/>
      <c r="AG875"/>
      <c r="AH875"/>
      <c r="AI875"/>
      <c r="AJ875" s="25"/>
      <c r="AK875" s="2"/>
      <c r="AR875" s="25"/>
      <c r="BA875" s="2"/>
      <c r="BG875" s="1"/>
    </row>
    <row r="876" spans="28:59" ht="15" customHeight="1" x14ac:dyDescent="0.3">
      <c r="AB876"/>
      <c r="AC876"/>
      <c r="AD876"/>
      <c r="AE876"/>
      <c r="AF876"/>
      <c r="AG876"/>
      <c r="AH876"/>
      <c r="AI876"/>
      <c r="AJ876" s="25"/>
      <c r="AK876" s="2"/>
      <c r="AR876" s="25"/>
      <c r="BA876" s="2"/>
      <c r="BG876" s="1"/>
    </row>
    <row r="877" spans="28:59" ht="15" customHeight="1" x14ac:dyDescent="0.3">
      <c r="AB877"/>
      <c r="AC877"/>
      <c r="AD877"/>
      <c r="AE877"/>
      <c r="AF877"/>
      <c r="AG877"/>
      <c r="AH877"/>
      <c r="AI877"/>
      <c r="AJ877" s="25"/>
      <c r="AK877" s="2"/>
      <c r="AR877" s="25"/>
      <c r="BA877" s="2"/>
      <c r="BG877" s="1"/>
    </row>
    <row r="878" spans="28:59" ht="15" customHeight="1" x14ac:dyDescent="0.3">
      <c r="AB878"/>
      <c r="AC878"/>
      <c r="AD878"/>
      <c r="AE878"/>
      <c r="AF878"/>
      <c r="AG878"/>
      <c r="AH878"/>
      <c r="AI878"/>
      <c r="AJ878" s="25"/>
      <c r="AK878" s="2"/>
      <c r="AR878" s="25"/>
      <c r="BA878" s="2"/>
      <c r="BG878" s="1"/>
    </row>
    <row r="879" spans="28:59" ht="15" customHeight="1" x14ac:dyDescent="0.3">
      <c r="AB879"/>
      <c r="AC879"/>
      <c r="AD879"/>
      <c r="AE879"/>
      <c r="AF879"/>
      <c r="AG879"/>
      <c r="AH879"/>
      <c r="AI879"/>
      <c r="AJ879" s="25"/>
      <c r="AK879" s="2"/>
      <c r="AR879" s="25"/>
      <c r="BA879" s="2"/>
      <c r="BG879" s="1"/>
    </row>
    <row r="880" spans="28:59" ht="15" customHeight="1" x14ac:dyDescent="0.3">
      <c r="AB880"/>
      <c r="AC880"/>
      <c r="AD880"/>
      <c r="AE880"/>
      <c r="AF880"/>
      <c r="AG880"/>
      <c r="AH880"/>
      <c r="AI880"/>
      <c r="AJ880" s="25"/>
      <c r="AK880" s="2"/>
      <c r="AR880" s="25"/>
      <c r="BA880" s="2"/>
      <c r="BG880" s="1"/>
    </row>
    <row r="881" spans="28:59" ht="15" customHeight="1" x14ac:dyDescent="0.3">
      <c r="AB881"/>
      <c r="AC881"/>
      <c r="AD881"/>
      <c r="AE881"/>
      <c r="AF881"/>
      <c r="AG881"/>
      <c r="AH881"/>
      <c r="AI881"/>
      <c r="AJ881" s="25"/>
      <c r="AK881" s="2"/>
      <c r="AR881" s="25"/>
      <c r="BA881" s="2"/>
      <c r="BG881" s="1"/>
    </row>
    <row r="882" spans="28:59" ht="15" customHeight="1" x14ac:dyDescent="0.3">
      <c r="AB882"/>
      <c r="AC882"/>
      <c r="AD882"/>
      <c r="AE882"/>
      <c r="AF882"/>
      <c r="AG882"/>
      <c r="AH882"/>
      <c r="AI882"/>
      <c r="AJ882" s="25"/>
      <c r="AK882" s="2"/>
      <c r="AR882" s="25"/>
      <c r="BA882" s="2"/>
      <c r="BG882" s="1"/>
    </row>
    <row r="883" spans="28:59" ht="15" customHeight="1" x14ac:dyDescent="0.3">
      <c r="AB883"/>
      <c r="AC883"/>
      <c r="AD883"/>
      <c r="AE883"/>
      <c r="AF883"/>
      <c r="AG883"/>
      <c r="AH883"/>
      <c r="AI883"/>
      <c r="AJ883" s="25"/>
      <c r="AK883" s="2"/>
      <c r="AR883" s="25"/>
      <c r="BA883" s="2"/>
      <c r="BG883" s="1"/>
    </row>
    <row r="884" spans="28:59" ht="15" customHeight="1" x14ac:dyDescent="0.3">
      <c r="AB884"/>
      <c r="AC884"/>
      <c r="AD884"/>
      <c r="AE884"/>
      <c r="AF884"/>
      <c r="AG884"/>
      <c r="AH884"/>
      <c r="AI884"/>
      <c r="AJ884" s="25"/>
      <c r="AK884" s="2"/>
      <c r="AR884" s="25"/>
      <c r="BA884" s="2"/>
      <c r="BG884" s="1"/>
    </row>
    <row r="885" spans="28:59" ht="15" customHeight="1" x14ac:dyDescent="0.3">
      <c r="AB885"/>
      <c r="AC885"/>
      <c r="AD885"/>
      <c r="AE885"/>
      <c r="AF885"/>
      <c r="AG885"/>
      <c r="AH885"/>
      <c r="AI885"/>
      <c r="AJ885" s="25"/>
      <c r="AK885" s="2"/>
      <c r="AR885" s="25"/>
      <c r="BA885" s="2"/>
      <c r="BG885" s="1"/>
    </row>
    <row r="886" spans="28:59" ht="15" customHeight="1" x14ac:dyDescent="0.3">
      <c r="AB886"/>
      <c r="AC886"/>
      <c r="AD886"/>
      <c r="AE886"/>
      <c r="AF886"/>
      <c r="AG886"/>
      <c r="AH886"/>
      <c r="AI886"/>
      <c r="AJ886" s="25"/>
      <c r="AK886" s="2"/>
      <c r="AR886" s="25"/>
      <c r="BA886" s="2"/>
      <c r="BG886" s="1"/>
    </row>
    <row r="887" spans="28:59" ht="15" customHeight="1" x14ac:dyDescent="0.3">
      <c r="AB887"/>
      <c r="AC887"/>
      <c r="AD887"/>
      <c r="AE887"/>
      <c r="AF887"/>
      <c r="AG887"/>
      <c r="AH887"/>
      <c r="AI887"/>
      <c r="AJ887" s="25"/>
      <c r="AK887" s="2"/>
      <c r="AR887" s="25"/>
      <c r="BA887" s="2"/>
      <c r="BG887" s="1"/>
    </row>
    <row r="888" spans="28:59" ht="15" customHeight="1" x14ac:dyDescent="0.3">
      <c r="AB888"/>
      <c r="AC888"/>
      <c r="AD888"/>
      <c r="AE888"/>
      <c r="AF888"/>
      <c r="AG888"/>
      <c r="AH888"/>
      <c r="AI888"/>
      <c r="AJ888" s="25"/>
      <c r="AK888" s="2"/>
      <c r="AR888" s="25"/>
      <c r="BA888" s="2"/>
      <c r="BG888" s="1"/>
    </row>
    <row r="889" spans="28:59" ht="15" customHeight="1" x14ac:dyDescent="0.3">
      <c r="AB889"/>
      <c r="AC889"/>
      <c r="AD889"/>
      <c r="AE889"/>
      <c r="AF889"/>
      <c r="AG889"/>
      <c r="AH889"/>
      <c r="AI889"/>
      <c r="AJ889" s="25"/>
      <c r="AK889" s="2"/>
      <c r="AR889" s="25"/>
      <c r="BA889" s="2"/>
      <c r="BG889" s="1"/>
    </row>
    <row r="890" spans="28:59" ht="15" customHeight="1" x14ac:dyDescent="0.3">
      <c r="AB890"/>
      <c r="AC890"/>
      <c r="AD890"/>
      <c r="AE890"/>
      <c r="AF890"/>
      <c r="AG890"/>
      <c r="AH890"/>
      <c r="AI890"/>
      <c r="AJ890" s="25"/>
      <c r="AK890" s="2"/>
      <c r="AR890" s="25"/>
      <c r="BA890" s="2"/>
      <c r="BG890" s="1"/>
    </row>
    <row r="891" spans="28:59" ht="15" customHeight="1" x14ac:dyDescent="0.3">
      <c r="AB891"/>
      <c r="AC891"/>
      <c r="AD891"/>
      <c r="AE891"/>
      <c r="AF891"/>
      <c r="AG891"/>
      <c r="AH891"/>
      <c r="AI891"/>
      <c r="AJ891" s="25"/>
      <c r="AK891" s="2"/>
      <c r="AR891" s="25"/>
      <c r="BA891" s="2"/>
      <c r="BG891" s="1"/>
    </row>
    <row r="892" spans="28:59" ht="15" customHeight="1" x14ac:dyDescent="0.3">
      <c r="AB892"/>
      <c r="AC892"/>
      <c r="AD892"/>
      <c r="AE892"/>
      <c r="AF892"/>
      <c r="AG892"/>
      <c r="AH892"/>
      <c r="AI892"/>
      <c r="AJ892" s="25"/>
      <c r="AK892" s="2"/>
      <c r="AR892" s="25"/>
      <c r="BA892" s="2"/>
      <c r="BG892" s="1"/>
    </row>
    <row r="893" spans="28:59" ht="15" customHeight="1" x14ac:dyDescent="0.3">
      <c r="AB893"/>
      <c r="AC893"/>
      <c r="AD893"/>
      <c r="AE893"/>
      <c r="AF893"/>
      <c r="AG893"/>
      <c r="AH893"/>
      <c r="AI893"/>
      <c r="AJ893" s="25"/>
      <c r="AK893" s="2"/>
      <c r="AR893" s="25"/>
      <c r="BA893" s="2"/>
      <c r="BG893" s="1"/>
    </row>
    <row r="894" spans="28:59" ht="15" customHeight="1" x14ac:dyDescent="0.3">
      <c r="AB894"/>
      <c r="AC894"/>
      <c r="AD894"/>
      <c r="AE894"/>
      <c r="AF894"/>
      <c r="AG894"/>
      <c r="AH894"/>
      <c r="AI894"/>
      <c r="AJ894" s="25"/>
      <c r="AK894" s="2"/>
      <c r="AR894" s="25"/>
      <c r="BA894" s="2"/>
      <c r="BG894" s="1"/>
    </row>
    <row r="895" spans="28:59" ht="15" customHeight="1" x14ac:dyDescent="0.3">
      <c r="AB895"/>
      <c r="AC895"/>
      <c r="AD895"/>
      <c r="AE895"/>
      <c r="AF895"/>
      <c r="AG895"/>
      <c r="AH895"/>
      <c r="AI895"/>
      <c r="AJ895" s="25"/>
      <c r="AK895" s="2"/>
      <c r="AR895" s="25"/>
      <c r="BA895" s="2"/>
      <c r="BG895" s="1"/>
    </row>
    <row r="896" spans="28:59" ht="15" customHeight="1" x14ac:dyDescent="0.3">
      <c r="AB896"/>
      <c r="AC896"/>
      <c r="AD896"/>
      <c r="AE896"/>
      <c r="AF896"/>
      <c r="AG896"/>
      <c r="AH896"/>
      <c r="AI896"/>
      <c r="AJ896" s="25"/>
      <c r="AK896" s="2"/>
      <c r="AR896" s="25"/>
      <c r="BA896" s="2"/>
      <c r="BG896" s="1"/>
    </row>
    <row r="897" spans="28:59" ht="15" customHeight="1" x14ac:dyDescent="0.3">
      <c r="AB897"/>
      <c r="AC897"/>
      <c r="AD897"/>
      <c r="AE897"/>
      <c r="AF897"/>
      <c r="AG897"/>
      <c r="AH897"/>
      <c r="AI897"/>
      <c r="AJ897" s="25"/>
      <c r="AK897" s="2"/>
      <c r="AR897" s="25"/>
      <c r="BA897" s="2"/>
      <c r="BG897" s="1"/>
    </row>
    <row r="898" spans="28:59" ht="15" customHeight="1" x14ac:dyDescent="0.3">
      <c r="AB898"/>
      <c r="AC898"/>
      <c r="AD898"/>
      <c r="AE898"/>
      <c r="AF898"/>
      <c r="AG898"/>
      <c r="AH898"/>
      <c r="AI898"/>
      <c r="AJ898" s="25"/>
      <c r="AK898" s="2"/>
      <c r="AR898" s="25"/>
      <c r="BA898" s="2"/>
      <c r="BG898" s="1"/>
    </row>
    <row r="899" spans="28:59" ht="15" customHeight="1" x14ac:dyDescent="0.3">
      <c r="AB899"/>
      <c r="AC899"/>
      <c r="AD899"/>
      <c r="AE899"/>
      <c r="AF899"/>
      <c r="AG899"/>
      <c r="AH899"/>
      <c r="AI899"/>
      <c r="AJ899" s="25"/>
      <c r="AK899" s="2"/>
      <c r="AR899" s="25"/>
      <c r="BA899" s="2"/>
      <c r="BG899" s="1"/>
    </row>
    <row r="900" spans="28:59" ht="15" customHeight="1" x14ac:dyDescent="0.3">
      <c r="AB900"/>
      <c r="AC900"/>
      <c r="AD900"/>
      <c r="AE900"/>
      <c r="AF900"/>
      <c r="AG900"/>
      <c r="AH900"/>
      <c r="AI900"/>
      <c r="AJ900" s="25"/>
      <c r="AK900" s="2"/>
      <c r="AR900" s="25"/>
      <c r="BA900" s="2"/>
      <c r="BG900" s="1"/>
    </row>
    <row r="901" spans="28:59" ht="15" customHeight="1" x14ac:dyDescent="0.3">
      <c r="AB901"/>
      <c r="AC901"/>
      <c r="AD901"/>
      <c r="AE901"/>
      <c r="AF901"/>
      <c r="AG901"/>
      <c r="AH901"/>
      <c r="AI901"/>
      <c r="AJ901" s="25"/>
      <c r="AK901" s="2"/>
      <c r="AR901" s="25"/>
      <c r="BA901" s="2"/>
      <c r="BG901" s="1"/>
    </row>
    <row r="902" spans="28:59" ht="15" customHeight="1" x14ac:dyDescent="0.3">
      <c r="AB902"/>
      <c r="AC902"/>
      <c r="AD902"/>
      <c r="AE902"/>
      <c r="AF902"/>
      <c r="AG902"/>
      <c r="AH902"/>
      <c r="AI902"/>
      <c r="AJ902" s="25"/>
      <c r="AK902" s="2"/>
      <c r="AR902" s="25"/>
      <c r="BA902" s="2"/>
      <c r="BG902" s="1"/>
    </row>
    <row r="903" spans="28:59" ht="15" customHeight="1" x14ac:dyDescent="0.3">
      <c r="AB903"/>
      <c r="AC903"/>
      <c r="AD903"/>
      <c r="AE903"/>
      <c r="AF903"/>
      <c r="AG903"/>
      <c r="AH903"/>
      <c r="AI903"/>
      <c r="AJ903" s="25"/>
      <c r="AK903" s="2"/>
      <c r="AR903" s="25"/>
      <c r="BA903" s="2"/>
      <c r="BG903" s="1"/>
    </row>
    <row r="904" spans="28:59" ht="15" customHeight="1" x14ac:dyDescent="0.3">
      <c r="AB904"/>
      <c r="AC904"/>
      <c r="AD904"/>
      <c r="AE904"/>
      <c r="AF904"/>
      <c r="AG904"/>
      <c r="AH904"/>
      <c r="AI904"/>
      <c r="AJ904" s="25"/>
      <c r="AK904" s="2"/>
      <c r="AR904" s="25"/>
      <c r="BA904" s="2"/>
      <c r="BG904" s="1"/>
    </row>
    <row r="905" spans="28:59" ht="15" customHeight="1" x14ac:dyDescent="0.3">
      <c r="AB905"/>
      <c r="AC905"/>
      <c r="AD905"/>
      <c r="AE905"/>
      <c r="AF905"/>
      <c r="AG905"/>
      <c r="AH905"/>
      <c r="AI905"/>
      <c r="AJ905" s="25"/>
      <c r="AK905" s="2"/>
      <c r="AR905" s="25"/>
      <c r="BA905" s="2"/>
      <c r="BG905" s="1"/>
    </row>
    <row r="906" spans="28:59" ht="15" customHeight="1" x14ac:dyDescent="0.3">
      <c r="AB906"/>
      <c r="AC906"/>
      <c r="AD906"/>
      <c r="AE906"/>
      <c r="AF906"/>
      <c r="AG906"/>
      <c r="AH906"/>
      <c r="AI906"/>
      <c r="AJ906" s="25"/>
      <c r="AK906" s="2"/>
      <c r="AR906" s="25"/>
      <c r="BA906" s="2"/>
      <c r="BG906" s="1"/>
    </row>
    <row r="907" spans="28:59" ht="15" customHeight="1" x14ac:dyDescent="0.3">
      <c r="AB907"/>
      <c r="AC907"/>
      <c r="AD907"/>
      <c r="AE907"/>
      <c r="AF907"/>
      <c r="AG907"/>
      <c r="AH907"/>
      <c r="AI907"/>
      <c r="AJ907" s="25"/>
      <c r="AK907" s="2"/>
      <c r="AR907" s="25"/>
      <c r="BA907" s="2"/>
      <c r="BG907" s="1"/>
    </row>
    <row r="908" spans="28:59" ht="15" customHeight="1" x14ac:dyDescent="0.3">
      <c r="AB908"/>
      <c r="AC908"/>
      <c r="AD908"/>
      <c r="AE908"/>
      <c r="AF908"/>
      <c r="AG908"/>
      <c r="AH908"/>
      <c r="AI908"/>
      <c r="AJ908" s="25"/>
      <c r="AK908" s="2"/>
      <c r="AR908" s="25"/>
      <c r="BA908" s="2"/>
      <c r="BG908" s="1"/>
    </row>
    <row r="909" spans="28:59" ht="15" customHeight="1" x14ac:dyDescent="0.3">
      <c r="AB909"/>
      <c r="AC909"/>
      <c r="AD909"/>
      <c r="AE909"/>
      <c r="AF909"/>
      <c r="AG909"/>
      <c r="AH909"/>
      <c r="AI909"/>
      <c r="AJ909" s="25"/>
      <c r="AK909" s="2"/>
      <c r="AR909" s="25"/>
      <c r="BA909" s="2"/>
      <c r="BG909" s="1"/>
    </row>
    <row r="910" spans="28:59" ht="15" customHeight="1" x14ac:dyDescent="0.3">
      <c r="AB910"/>
      <c r="AC910"/>
      <c r="AD910"/>
      <c r="AE910"/>
      <c r="AF910"/>
      <c r="AG910"/>
      <c r="AH910"/>
      <c r="AI910"/>
      <c r="AJ910" s="25"/>
      <c r="AK910" s="2"/>
      <c r="AR910" s="25"/>
      <c r="BA910" s="2"/>
      <c r="BG910" s="1"/>
    </row>
    <row r="911" spans="28:59" ht="15" customHeight="1" x14ac:dyDescent="0.3">
      <c r="AB911"/>
      <c r="AC911"/>
      <c r="AD911"/>
      <c r="AE911"/>
      <c r="AF911"/>
      <c r="AG911"/>
      <c r="AH911"/>
      <c r="AI911"/>
      <c r="AJ911" s="25"/>
      <c r="AK911" s="2"/>
      <c r="AR911" s="25"/>
      <c r="BA911" s="2"/>
      <c r="BG911" s="1"/>
    </row>
    <row r="912" spans="28:59" ht="15" customHeight="1" x14ac:dyDescent="0.3">
      <c r="AB912"/>
      <c r="AC912"/>
      <c r="AD912"/>
      <c r="AE912"/>
      <c r="AF912"/>
      <c r="AG912"/>
      <c r="AH912"/>
      <c r="AI912"/>
      <c r="AJ912" s="25"/>
      <c r="AK912" s="2"/>
      <c r="AR912" s="25"/>
      <c r="BA912" s="2"/>
      <c r="BG912" s="1"/>
    </row>
    <row r="913" spans="28:59" ht="15" customHeight="1" x14ac:dyDescent="0.3">
      <c r="AB913"/>
      <c r="AC913"/>
      <c r="AD913"/>
      <c r="AE913"/>
      <c r="AF913"/>
      <c r="AG913"/>
      <c r="AH913"/>
      <c r="AI913"/>
      <c r="AJ913" s="25"/>
      <c r="AK913" s="2"/>
      <c r="AR913" s="25"/>
      <c r="BA913" s="2"/>
      <c r="BG913" s="1"/>
    </row>
    <row r="914" spans="28:59" ht="15" customHeight="1" x14ac:dyDescent="0.3">
      <c r="AB914"/>
      <c r="AC914"/>
      <c r="AD914"/>
      <c r="AE914"/>
      <c r="AF914"/>
      <c r="AG914"/>
      <c r="AH914"/>
      <c r="AI914"/>
      <c r="AJ914" s="25"/>
      <c r="AK914" s="2"/>
      <c r="AR914" s="25"/>
      <c r="BA914" s="2"/>
      <c r="BG914" s="1"/>
    </row>
    <row r="915" spans="28:59" ht="15" customHeight="1" x14ac:dyDescent="0.3">
      <c r="AB915"/>
      <c r="AC915"/>
      <c r="AD915"/>
      <c r="AE915"/>
      <c r="AF915"/>
      <c r="AG915"/>
      <c r="AH915"/>
      <c r="AI915"/>
      <c r="AJ915" s="25"/>
      <c r="AK915" s="2"/>
      <c r="AR915" s="25"/>
      <c r="BA915" s="2"/>
      <c r="BG915" s="1"/>
    </row>
    <row r="916" spans="28:59" ht="15" customHeight="1" x14ac:dyDescent="0.3">
      <c r="AB916"/>
      <c r="AC916"/>
      <c r="AD916"/>
      <c r="AE916"/>
      <c r="AF916"/>
      <c r="AG916"/>
      <c r="AH916"/>
      <c r="AI916"/>
      <c r="AJ916" s="25"/>
      <c r="AK916" s="2"/>
      <c r="AR916" s="25"/>
      <c r="BA916" s="2"/>
      <c r="BG916" s="1"/>
    </row>
    <row r="917" spans="28:59" ht="15" customHeight="1" x14ac:dyDescent="0.3">
      <c r="AB917"/>
      <c r="AC917"/>
      <c r="AD917"/>
      <c r="AE917"/>
      <c r="AF917"/>
      <c r="AG917"/>
      <c r="AH917"/>
      <c r="AI917"/>
      <c r="AJ917" s="25"/>
      <c r="AK917" s="2"/>
      <c r="AR917" s="25"/>
      <c r="BA917" s="2"/>
      <c r="BG917" s="1"/>
    </row>
    <row r="918" spans="28:59" ht="15" customHeight="1" x14ac:dyDescent="0.3">
      <c r="AB918"/>
      <c r="AC918"/>
      <c r="AD918"/>
      <c r="AE918"/>
      <c r="AF918"/>
      <c r="AG918"/>
      <c r="AH918"/>
      <c r="AI918"/>
      <c r="AJ918" s="25"/>
      <c r="AK918" s="2"/>
      <c r="AR918" s="25"/>
      <c r="BA918" s="2"/>
      <c r="BG918" s="1"/>
    </row>
    <row r="919" spans="28:59" ht="15" customHeight="1" x14ac:dyDescent="0.3">
      <c r="AB919"/>
      <c r="AC919"/>
      <c r="AD919"/>
      <c r="AE919"/>
      <c r="AF919"/>
      <c r="AG919"/>
      <c r="AH919"/>
      <c r="AI919"/>
      <c r="AJ919" s="25"/>
      <c r="AK919" s="2"/>
      <c r="AR919" s="25"/>
      <c r="BA919" s="2"/>
      <c r="BG919" s="1"/>
    </row>
    <row r="920" spans="28:59" ht="15" customHeight="1" x14ac:dyDescent="0.3">
      <c r="AB920"/>
      <c r="AC920"/>
      <c r="AD920"/>
      <c r="AE920"/>
      <c r="AF920"/>
      <c r="AG920"/>
      <c r="AH920"/>
      <c r="AI920"/>
      <c r="AJ920" s="25"/>
      <c r="AK920" s="2"/>
      <c r="AR920" s="25"/>
      <c r="BA920" s="2"/>
      <c r="BG920" s="1"/>
    </row>
    <row r="921" spans="28:59" ht="15" customHeight="1" x14ac:dyDescent="0.3">
      <c r="AB921"/>
      <c r="AC921"/>
      <c r="AD921"/>
      <c r="AE921"/>
      <c r="AF921"/>
      <c r="AG921"/>
      <c r="AH921"/>
      <c r="AI921"/>
      <c r="AJ921" s="25"/>
      <c r="AK921" s="2"/>
      <c r="AR921" s="25"/>
      <c r="BA921" s="2"/>
      <c r="BG921" s="1"/>
    </row>
    <row r="922" spans="28:59" ht="15" customHeight="1" x14ac:dyDescent="0.3">
      <c r="AB922"/>
      <c r="AC922"/>
      <c r="AD922"/>
      <c r="AE922"/>
      <c r="AF922"/>
      <c r="AG922"/>
      <c r="AH922"/>
      <c r="AI922"/>
      <c r="AJ922" s="25"/>
      <c r="AK922" s="2"/>
      <c r="AR922" s="25"/>
      <c r="BA922" s="2"/>
      <c r="BG922" s="1"/>
    </row>
    <row r="923" spans="28:59" ht="15" customHeight="1" x14ac:dyDescent="0.3">
      <c r="AB923"/>
      <c r="AC923"/>
      <c r="AD923"/>
      <c r="AE923"/>
      <c r="AF923"/>
      <c r="AG923"/>
      <c r="AH923"/>
      <c r="AI923"/>
      <c r="AJ923" s="25"/>
      <c r="AK923" s="2"/>
      <c r="AR923" s="25"/>
      <c r="BA923" s="2"/>
      <c r="BG923" s="1"/>
    </row>
    <row r="924" spans="28:59" ht="15" customHeight="1" x14ac:dyDescent="0.3">
      <c r="AB924"/>
      <c r="AC924"/>
      <c r="AD924"/>
      <c r="AE924"/>
      <c r="AF924"/>
      <c r="AG924"/>
      <c r="AH924"/>
      <c r="AI924"/>
      <c r="AJ924" s="25"/>
      <c r="AK924" s="2"/>
      <c r="AR924" s="25"/>
      <c r="BA924" s="2"/>
      <c r="BG924" s="1"/>
    </row>
    <row r="925" spans="28:59" ht="15" customHeight="1" x14ac:dyDescent="0.3">
      <c r="AB925"/>
      <c r="AC925"/>
      <c r="AD925"/>
      <c r="AE925"/>
      <c r="AF925"/>
      <c r="AG925"/>
      <c r="AH925"/>
      <c r="AI925"/>
      <c r="AJ925" s="25"/>
      <c r="AK925" s="2"/>
      <c r="AR925" s="25"/>
      <c r="BA925" s="2"/>
      <c r="BG925" s="1"/>
    </row>
    <row r="926" spans="28:59" ht="15" customHeight="1" x14ac:dyDescent="0.3">
      <c r="AB926"/>
      <c r="AC926"/>
      <c r="AD926"/>
      <c r="AE926"/>
      <c r="AF926"/>
      <c r="AG926"/>
      <c r="AH926"/>
      <c r="AI926"/>
      <c r="AJ926" s="25"/>
      <c r="AK926" s="2"/>
      <c r="AR926" s="25"/>
      <c r="BA926" s="2"/>
      <c r="BG926" s="1"/>
    </row>
    <row r="927" spans="28:59" ht="15" customHeight="1" x14ac:dyDescent="0.3">
      <c r="AB927"/>
      <c r="AC927"/>
      <c r="AD927"/>
      <c r="AE927"/>
      <c r="AF927"/>
      <c r="AG927"/>
      <c r="AH927"/>
      <c r="AI927"/>
      <c r="AJ927" s="25"/>
      <c r="AK927" s="2"/>
      <c r="AR927" s="25"/>
      <c r="BA927" s="2"/>
      <c r="BG927" s="1"/>
    </row>
    <row r="928" spans="28:59" ht="15" customHeight="1" x14ac:dyDescent="0.3">
      <c r="AB928"/>
      <c r="AC928"/>
      <c r="AD928"/>
      <c r="AE928"/>
      <c r="AF928"/>
      <c r="AG928"/>
      <c r="AH928"/>
      <c r="AI928"/>
      <c r="AJ928" s="25"/>
      <c r="AK928" s="2"/>
      <c r="AR928" s="25"/>
      <c r="BA928" s="2"/>
      <c r="BG928" s="1"/>
    </row>
    <row r="929" spans="28:59" ht="15" customHeight="1" x14ac:dyDescent="0.3">
      <c r="AB929"/>
      <c r="AC929"/>
      <c r="AD929"/>
      <c r="AE929"/>
      <c r="AF929"/>
      <c r="AG929"/>
      <c r="AH929"/>
      <c r="AI929"/>
      <c r="AJ929" s="25"/>
      <c r="AK929" s="2"/>
      <c r="AR929" s="25"/>
      <c r="BA929" s="2"/>
      <c r="BG929" s="1"/>
    </row>
    <row r="930" spans="28:59" ht="15" customHeight="1" x14ac:dyDescent="0.3">
      <c r="AB930"/>
      <c r="AC930"/>
      <c r="AD930"/>
      <c r="AE930"/>
      <c r="AF930"/>
      <c r="AG930"/>
      <c r="AH930"/>
      <c r="AI930"/>
      <c r="AJ930" s="25"/>
      <c r="AK930" s="2"/>
      <c r="AR930" s="25"/>
      <c r="BA930" s="2"/>
      <c r="BG930" s="1"/>
    </row>
    <row r="931" spans="28:59" ht="15" customHeight="1" x14ac:dyDescent="0.3">
      <c r="AB931"/>
      <c r="AC931"/>
      <c r="AD931"/>
      <c r="AE931"/>
      <c r="AF931"/>
      <c r="AG931"/>
      <c r="AH931"/>
      <c r="AI931"/>
      <c r="AJ931" s="25"/>
      <c r="AK931" s="2"/>
      <c r="AR931" s="25"/>
      <c r="BA931" s="2"/>
      <c r="BG931" s="1"/>
    </row>
    <row r="932" spans="28:59" ht="15" customHeight="1" x14ac:dyDescent="0.3">
      <c r="AB932"/>
      <c r="AC932"/>
      <c r="AD932"/>
      <c r="AE932"/>
      <c r="AF932"/>
      <c r="AG932"/>
      <c r="AH932"/>
      <c r="AI932"/>
      <c r="AJ932" s="25"/>
      <c r="AK932" s="2"/>
      <c r="AR932" s="25"/>
      <c r="BA932" s="2"/>
      <c r="BG932" s="1"/>
    </row>
    <row r="933" spans="28:59" ht="15" customHeight="1" x14ac:dyDescent="0.3">
      <c r="AB933"/>
      <c r="AC933"/>
      <c r="AD933"/>
      <c r="AE933"/>
      <c r="AF933"/>
      <c r="AG933"/>
      <c r="AH933"/>
      <c r="AI933"/>
      <c r="AJ933" s="25"/>
      <c r="AK933" s="2"/>
      <c r="AR933" s="25"/>
      <c r="BA933" s="2"/>
      <c r="BG933" s="1"/>
    </row>
    <row r="934" spans="28:59" ht="15" customHeight="1" x14ac:dyDescent="0.3">
      <c r="AB934"/>
      <c r="AC934"/>
      <c r="AD934"/>
      <c r="AE934"/>
      <c r="AF934"/>
      <c r="AG934"/>
      <c r="AH934"/>
      <c r="AI934"/>
      <c r="AJ934" s="25"/>
      <c r="AK934" s="2"/>
      <c r="AR934" s="25"/>
      <c r="BA934" s="2"/>
      <c r="BG934" s="1"/>
    </row>
    <row r="935" spans="28:59" ht="15" customHeight="1" x14ac:dyDescent="0.3">
      <c r="AB935"/>
      <c r="AC935"/>
      <c r="AD935"/>
      <c r="AE935"/>
      <c r="AF935"/>
      <c r="AG935"/>
      <c r="AH935"/>
      <c r="AI935"/>
      <c r="AJ935" s="25"/>
      <c r="AK935" s="2"/>
      <c r="AR935" s="25"/>
      <c r="BA935" s="2"/>
      <c r="BG935" s="1"/>
    </row>
    <row r="936" spans="28:59" ht="15" customHeight="1" x14ac:dyDescent="0.3">
      <c r="AB936"/>
      <c r="AC936"/>
      <c r="AD936"/>
      <c r="AE936"/>
      <c r="AF936"/>
      <c r="AG936"/>
      <c r="AH936"/>
      <c r="AI936"/>
      <c r="AJ936" s="25"/>
      <c r="AK936" s="2"/>
      <c r="AR936" s="25"/>
      <c r="BA936" s="2"/>
      <c r="BG936" s="1"/>
    </row>
    <row r="937" spans="28:59" ht="15" customHeight="1" x14ac:dyDescent="0.3">
      <c r="AB937"/>
      <c r="AC937"/>
      <c r="AD937"/>
      <c r="AE937"/>
      <c r="AF937"/>
      <c r="AG937"/>
      <c r="AH937"/>
      <c r="AI937"/>
      <c r="AJ937" s="25"/>
      <c r="AK937" s="2"/>
      <c r="AR937" s="25"/>
      <c r="BA937" s="2"/>
      <c r="BG937" s="1"/>
    </row>
    <row r="938" spans="28:59" ht="15" customHeight="1" x14ac:dyDescent="0.3">
      <c r="AB938"/>
      <c r="AC938"/>
      <c r="AD938"/>
      <c r="AE938"/>
      <c r="AF938"/>
      <c r="AG938"/>
      <c r="AH938"/>
      <c r="AI938"/>
      <c r="AJ938" s="25"/>
      <c r="AK938" s="2"/>
      <c r="AR938" s="25"/>
      <c r="BA938" s="2"/>
      <c r="BG938" s="1"/>
    </row>
    <row r="939" spans="28:59" ht="15" customHeight="1" x14ac:dyDescent="0.3">
      <c r="AB939"/>
      <c r="AC939"/>
      <c r="AD939"/>
      <c r="AE939"/>
      <c r="AF939"/>
      <c r="AG939"/>
      <c r="AH939"/>
      <c r="AI939"/>
      <c r="AJ939" s="25"/>
      <c r="AK939" s="2"/>
      <c r="AR939" s="25"/>
      <c r="BA939" s="2"/>
      <c r="BG939" s="1"/>
    </row>
    <row r="940" spans="28:59" ht="15" customHeight="1" x14ac:dyDescent="0.3">
      <c r="AB940"/>
      <c r="AC940"/>
      <c r="AD940"/>
      <c r="AE940"/>
      <c r="AF940"/>
      <c r="AG940"/>
      <c r="AH940"/>
      <c r="AI940"/>
      <c r="AJ940" s="25"/>
      <c r="AK940" s="2"/>
      <c r="AR940" s="25"/>
      <c r="BA940" s="2"/>
      <c r="BG940" s="1"/>
    </row>
    <row r="941" spans="28:59" ht="15" customHeight="1" x14ac:dyDescent="0.3">
      <c r="AB941"/>
      <c r="AC941"/>
      <c r="AD941"/>
      <c r="AE941"/>
      <c r="AF941"/>
      <c r="AG941"/>
      <c r="AH941"/>
      <c r="AI941"/>
      <c r="AJ941" s="25"/>
      <c r="AK941" s="2"/>
      <c r="AR941" s="25"/>
      <c r="BA941" s="2"/>
      <c r="BG941" s="1"/>
    </row>
    <row r="942" spans="28:59" ht="15" customHeight="1" x14ac:dyDescent="0.3">
      <c r="AB942"/>
      <c r="AC942"/>
      <c r="AD942"/>
      <c r="AE942"/>
      <c r="AF942"/>
      <c r="AG942"/>
      <c r="AH942"/>
      <c r="AI942"/>
      <c r="AJ942" s="25"/>
      <c r="AK942" s="2"/>
      <c r="AR942" s="25"/>
      <c r="BA942" s="2"/>
      <c r="BG942" s="1"/>
    </row>
    <row r="943" spans="28:59" ht="15" customHeight="1" x14ac:dyDescent="0.3">
      <c r="AB943"/>
      <c r="AC943"/>
      <c r="AD943"/>
      <c r="AE943"/>
      <c r="AF943"/>
      <c r="AG943"/>
      <c r="AH943"/>
      <c r="AI943"/>
      <c r="AJ943" s="25"/>
      <c r="AK943" s="2"/>
      <c r="AR943" s="25"/>
      <c r="BA943" s="2"/>
      <c r="BG943" s="1"/>
    </row>
    <row r="944" spans="28:59" ht="15" customHeight="1" x14ac:dyDescent="0.3">
      <c r="AB944"/>
      <c r="AC944"/>
      <c r="AD944"/>
      <c r="AE944"/>
      <c r="AF944"/>
      <c r="AG944"/>
      <c r="AH944"/>
      <c r="AI944"/>
      <c r="AJ944" s="25"/>
      <c r="AK944" s="2"/>
      <c r="AR944" s="25"/>
      <c r="BA944" s="2"/>
      <c r="BG944" s="1"/>
    </row>
    <row r="945" spans="28:59" ht="15" customHeight="1" x14ac:dyDescent="0.3">
      <c r="AB945"/>
      <c r="AC945"/>
      <c r="AD945"/>
      <c r="AE945"/>
      <c r="AF945"/>
      <c r="AG945"/>
      <c r="AH945"/>
      <c r="AI945"/>
      <c r="AJ945" s="25"/>
      <c r="AK945" s="2"/>
      <c r="AR945" s="25"/>
      <c r="BA945" s="2"/>
      <c r="BG945" s="1"/>
    </row>
    <row r="946" spans="28:59" ht="15" customHeight="1" x14ac:dyDescent="0.3">
      <c r="AB946"/>
      <c r="AC946"/>
      <c r="AD946"/>
      <c r="AE946"/>
      <c r="AF946"/>
      <c r="AG946"/>
      <c r="AH946"/>
      <c r="AI946"/>
      <c r="AJ946" s="25"/>
      <c r="AK946" s="2"/>
      <c r="AR946" s="25"/>
      <c r="BA946" s="2"/>
      <c r="BG946" s="1"/>
    </row>
    <row r="947" spans="28:59" ht="15" customHeight="1" x14ac:dyDescent="0.3">
      <c r="AB947"/>
      <c r="AC947"/>
      <c r="AD947"/>
      <c r="AE947"/>
      <c r="AF947"/>
      <c r="AG947"/>
      <c r="AH947"/>
      <c r="AI947"/>
      <c r="AJ947" s="25"/>
      <c r="AK947" s="2"/>
      <c r="AR947" s="25"/>
      <c r="BA947" s="2"/>
      <c r="BG947" s="1"/>
    </row>
    <row r="948" spans="28:59" ht="15" customHeight="1" x14ac:dyDescent="0.3">
      <c r="AB948"/>
      <c r="AC948"/>
      <c r="AD948"/>
      <c r="AE948"/>
      <c r="AF948"/>
      <c r="AG948"/>
      <c r="AH948"/>
      <c r="AI948"/>
      <c r="AJ948" s="25"/>
      <c r="AK948" s="2"/>
      <c r="AR948" s="25"/>
      <c r="BA948" s="2"/>
      <c r="BG948" s="1"/>
    </row>
    <row r="949" spans="28:59" ht="15" customHeight="1" x14ac:dyDescent="0.3">
      <c r="AB949"/>
      <c r="AC949"/>
      <c r="AD949"/>
      <c r="AE949"/>
      <c r="AF949"/>
      <c r="AG949"/>
      <c r="AH949"/>
      <c r="AI949"/>
      <c r="AJ949" s="25"/>
      <c r="AK949" s="2"/>
      <c r="AR949" s="25"/>
      <c r="BA949" s="2"/>
      <c r="BG949" s="1"/>
    </row>
    <row r="950" spans="28:59" ht="15" customHeight="1" x14ac:dyDescent="0.3">
      <c r="AB950"/>
      <c r="AC950"/>
      <c r="AD950"/>
      <c r="AE950"/>
      <c r="AF950"/>
      <c r="AG950"/>
      <c r="AH950"/>
      <c r="AI950"/>
      <c r="AJ950" s="25"/>
      <c r="AK950" s="2"/>
      <c r="AR950" s="25"/>
      <c r="BA950" s="2"/>
      <c r="BG950" s="1"/>
    </row>
    <row r="951" spans="28:59" ht="15" customHeight="1" x14ac:dyDescent="0.3">
      <c r="AB951"/>
      <c r="AC951"/>
      <c r="AD951"/>
      <c r="AE951"/>
      <c r="AF951"/>
      <c r="AG951"/>
      <c r="AH951"/>
      <c r="AI951"/>
      <c r="AJ951" s="25"/>
      <c r="AK951" s="2"/>
      <c r="AR951" s="25"/>
      <c r="BA951" s="2"/>
      <c r="BG951" s="1"/>
    </row>
    <row r="952" spans="28:59" ht="15" customHeight="1" x14ac:dyDescent="0.3">
      <c r="AB952"/>
      <c r="AC952"/>
      <c r="AD952"/>
      <c r="AE952"/>
      <c r="AF952"/>
      <c r="AG952"/>
      <c r="AH952"/>
      <c r="AI952"/>
      <c r="AJ952" s="25"/>
      <c r="AK952" s="2"/>
      <c r="AR952" s="25"/>
      <c r="BA952" s="2"/>
      <c r="BG952" s="1"/>
    </row>
    <row r="953" spans="28:59" ht="15" customHeight="1" x14ac:dyDescent="0.3">
      <c r="AB953"/>
      <c r="AC953"/>
      <c r="AD953"/>
      <c r="AE953"/>
      <c r="AF953"/>
      <c r="AG953"/>
      <c r="AH953"/>
      <c r="AI953"/>
      <c r="AJ953" s="25"/>
      <c r="AK953" s="2"/>
      <c r="AR953" s="25"/>
      <c r="BA953" s="2"/>
      <c r="BG953" s="1"/>
    </row>
    <row r="954" spans="28:59" ht="15" customHeight="1" x14ac:dyDescent="0.3">
      <c r="AB954"/>
      <c r="AC954"/>
      <c r="AD954"/>
      <c r="AE954"/>
      <c r="AF954"/>
      <c r="AG954"/>
      <c r="AH954"/>
      <c r="AI954"/>
      <c r="AJ954" s="25"/>
      <c r="AK954" s="2"/>
      <c r="AR954" s="25"/>
      <c r="BA954" s="2"/>
      <c r="BG954" s="1"/>
    </row>
    <row r="955" spans="28:59" ht="15" customHeight="1" x14ac:dyDescent="0.3">
      <c r="AB955"/>
      <c r="AC955"/>
      <c r="AD955"/>
      <c r="AE955"/>
      <c r="AF955"/>
      <c r="AG955"/>
      <c r="AH955"/>
      <c r="AI955"/>
      <c r="AJ955" s="25"/>
      <c r="AK955" s="2"/>
      <c r="AR955" s="25"/>
      <c r="BA955" s="2"/>
      <c r="BG955" s="1"/>
    </row>
    <row r="956" spans="28:59" ht="15" customHeight="1" x14ac:dyDescent="0.3">
      <c r="AB956"/>
      <c r="AC956"/>
      <c r="AD956"/>
      <c r="AE956"/>
      <c r="AF956"/>
      <c r="AG956"/>
      <c r="AH956"/>
      <c r="AI956"/>
      <c r="AJ956" s="25"/>
      <c r="AK956" s="2"/>
      <c r="AR956" s="25"/>
      <c r="BA956" s="2"/>
      <c r="BG956" s="1"/>
    </row>
    <row r="957" spans="28:59" ht="15" customHeight="1" x14ac:dyDescent="0.3">
      <c r="AB957"/>
      <c r="AC957"/>
      <c r="AD957"/>
      <c r="AE957"/>
      <c r="AF957"/>
      <c r="AG957"/>
      <c r="AH957"/>
      <c r="AI957"/>
      <c r="AJ957" s="25"/>
      <c r="AK957" s="2"/>
      <c r="AR957" s="25"/>
      <c r="BA957" s="2"/>
      <c r="BG957" s="1"/>
    </row>
    <row r="958" spans="28:59" ht="15" customHeight="1" x14ac:dyDescent="0.3">
      <c r="AB958"/>
      <c r="AC958"/>
      <c r="AD958"/>
      <c r="AE958"/>
      <c r="AF958"/>
      <c r="AG958"/>
      <c r="AH958"/>
      <c r="AI958"/>
      <c r="AJ958" s="25"/>
      <c r="AK958" s="2"/>
      <c r="AR958" s="25"/>
      <c r="BA958" s="2"/>
      <c r="BG958" s="1"/>
    </row>
    <row r="959" spans="28:59" ht="15" customHeight="1" x14ac:dyDescent="0.3">
      <c r="AB959"/>
      <c r="AC959"/>
      <c r="AD959"/>
      <c r="AE959"/>
      <c r="AF959"/>
      <c r="AG959"/>
      <c r="AH959"/>
      <c r="AI959"/>
      <c r="AJ959" s="25"/>
      <c r="AK959" s="2"/>
      <c r="AR959" s="25"/>
      <c r="BA959" s="2"/>
      <c r="BG959" s="1"/>
    </row>
    <row r="960" spans="28:59" ht="15" customHeight="1" x14ac:dyDescent="0.3">
      <c r="AB960"/>
      <c r="AC960"/>
      <c r="AD960"/>
      <c r="AE960"/>
      <c r="AF960"/>
      <c r="AG960"/>
      <c r="AH960"/>
      <c r="AI960"/>
      <c r="AJ960" s="25"/>
      <c r="AK960" s="2"/>
      <c r="AR960" s="25"/>
      <c r="BA960" s="2"/>
      <c r="BG960" s="1"/>
    </row>
    <row r="961" spans="28:59" ht="15" customHeight="1" x14ac:dyDescent="0.3">
      <c r="AB961"/>
      <c r="AC961"/>
      <c r="AD961"/>
      <c r="AE961"/>
      <c r="AF961"/>
      <c r="AG961"/>
      <c r="AH961"/>
      <c r="AI961"/>
      <c r="AJ961" s="25"/>
      <c r="AK961" s="2"/>
      <c r="AR961" s="25"/>
      <c r="BA961" s="2"/>
      <c r="BG961" s="1"/>
    </row>
    <row r="962" spans="28:59" ht="15" customHeight="1" x14ac:dyDescent="0.3">
      <c r="AB962"/>
      <c r="AC962"/>
      <c r="AD962"/>
      <c r="AE962"/>
      <c r="AF962"/>
      <c r="AG962"/>
      <c r="AH962"/>
      <c r="AI962"/>
      <c r="AJ962" s="25"/>
      <c r="AK962" s="2"/>
      <c r="AR962" s="25"/>
      <c r="BA962" s="2"/>
      <c r="BG962" s="1"/>
    </row>
    <row r="963" spans="28:59" ht="15" customHeight="1" x14ac:dyDescent="0.3">
      <c r="AB963"/>
      <c r="AC963"/>
      <c r="AD963"/>
      <c r="AE963"/>
      <c r="AF963"/>
      <c r="AG963"/>
      <c r="AH963"/>
      <c r="AI963"/>
      <c r="AJ963" s="25"/>
      <c r="AK963" s="2"/>
      <c r="AR963" s="25"/>
      <c r="BA963" s="2"/>
      <c r="BG963" s="1"/>
    </row>
    <row r="964" spans="28:59" ht="15" customHeight="1" x14ac:dyDescent="0.3">
      <c r="AB964"/>
      <c r="AC964"/>
      <c r="AD964"/>
      <c r="AE964"/>
      <c r="AF964"/>
      <c r="AG964"/>
      <c r="AH964"/>
      <c r="AI964"/>
      <c r="AJ964" s="25"/>
      <c r="AK964" s="2"/>
      <c r="AR964" s="25"/>
      <c r="BA964" s="2"/>
      <c r="BG964" s="1"/>
    </row>
    <row r="965" spans="28:59" ht="15" customHeight="1" x14ac:dyDescent="0.3">
      <c r="AB965"/>
      <c r="AC965"/>
      <c r="AD965"/>
      <c r="AE965"/>
      <c r="AF965"/>
      <c r="AG965"/>
      <c r="AH965"/>
      <c r="AI965"/>
      <c r="AJ965" s="25"/>
      <c r="AK965" s="2"/>
      <c r="AR965" s="25"/>
      <c r="BA965" s="2"/>
      <c r="BG965" s="1"/>
    </row>
    <row r="966" spans="28:59" ht="15" customHeight="1" x14ac:dyDescent="0.3">
      <c r="AB966"/>
      <c r="AC966"/>
      <c r="AD966"/>
      <c r="AE966"/>
      <c r="AF966"/>
      <c r="AG966"/>
      <c r="AH966"/>
      <c r="AI966"/>
      <c r="AJ966" s="25"/>
      <c r="AK966" s="2"/>
      <c r="AR966" s="25"/>
      <c r="BA966" s="2"/>
      <c r="BG966" s="1"/>
    </row>
    <row r="967" spans="28:59" ht="15" customHeight="1" x14ac:dyDescent="0.3">
      <c r="AB967"/>
      <c r="AC967"/>
      <c r="AD967"/>
      <c r="AE967"/>
      <c r="AF967"/>
      <c r="AG967"/>
      <c r="AH967"/>
      <c r="AI967"/>
      <c r="AJ967" s="25"/>
      <c r="AK967" s="2"/>
      <c r="AR967" s="25"/>
      <c r="BA967" s="2"/>
      <c r="BG967" s="1"/>
    </row>
    <row r="968" spans="28:59" ht="15" customHeight="1" x14ac:dyDescent="0.3">
      <c r="AB968"/>
      <c r="AC968"/>
      <c r="AD968"/>
      <c r="AE968"/>
      <c r="AF968"/>
      <c r="AG968"/>
      <c r="AH968"/>
      <c r="AI968"/>
      <c r="AJ968" s="25"/>
      <c r="AK968" s="2"/>
      <c r="AR968" s="25"/>
      <c r="BA968" s="2"/>
      <c r="BG968" s="1"/>
    </row>
    <row r="969" spans="28:59" ht="15" customHeight="1" x14ac:dyDescent="0.3">
      <c r="AB969"/>
      <c r="AC969"/>
      <c r="AD969"/>
      <c r="AE969"/>
      <c r="AF969"/>
      <c r="AG969"/>
      <c r="AH969"/>
      <c r="AI969"/>
      <c r="AJ969" s="25"/>
      <c r="AK969" s="2"/>
      <c r="AR969" s="25"/>
      <c r="BA969" s="2"/>
      <c r="BG969" s="1"/>
    </row>
    <row r="970" spans="28:59" ht="15" customHeight="1" x14ac:dyDescent="0.3">
      <c r="AB970"/>
      <c r="AC970"/>
      <c r="AD970"/>
      <c r="AE970"/>
      <c r="AF970"/>
      <c r="AG970"/>
      <c r="AH970"/>
      <c r="AI970"/>
      <c r="AJ970" s="25"/>
      <c r="AK970" s="2"/>
      <c r="AR970" s="25"/>
      <c r="BA970" s="2"/>
      <c r="BG970" s="1"/>
    </row>
    <row r="971" spans="28:59" ht="15" customHeight="1" x14ac:dyDescent="0.3">
      <c r="AB971"/>
      <c r="AC971"/>
      <c r="AD971"/>
      <c r="AE971"/>
      <c r="AF971"/>
      <c r="AG971"/>
      <c r="AH971"/>
      <c r="AI971"/>
      <c r="AJ971" s="25"/>
      <c r="AK971" s="2"/>
      <c r="AR971" s="25"/>
      <c r="BA971" s="2"/>
      <c r="BG971" s="1"/>
    </row>
    <row r="972" spans="28:59" ht="15" customHeight="1" x14ac:dyDescent="0.3">
      <c r="AB972"/>
      <c r="AC972"/>
      <c r="AD972"/>
      <c r="AE972"/>
      <c r="AF972"/>
      <c r="AG972"/>
      <c r="AH972"/>
      <c r="AI972"/>
      <c r="AJ972" s="25"/>
      <c r="AK972" s="2"/>
      <c r="AR972" s="25"/>
      <c r="BA972" s="2"/>
      <c r="BG972" s="1"/>
    </row>
    <row r="973" spans="28:59" ht="15" customHeight="1" x14ac:dyDescent="0.3">
      <c r="AB973"/>
      <c r="AC973"/>
      <c r="AD973"/>
      <c r="AE973"/>
      <c r="AF973"/>
      <c r="AG973"/>
      <c r="AH973"/>
      <c r="AI973"/>
      <c r="AJ973" s="25"/>
      <c r="AK973" s="2"/>
      <c r="AR973" s="25"/>
      <c r="BA973" s="2"/>
      <c r="BG973" s="1"/>
    </row>
    <row r="974" spans="28:59" ht="15" customHeight="1" x14ac:dyDescent="0.3">
      <c r="AB974"/>
      <c r="AC974"/>
      <c r="AD974"/>
      <c r="AE974"/>
      <c r="AF974"/>
      <c r="AG974"/>
      <c r="AH974"/>
      <c r="AI974"/>
      <c r="AJ974" s="25"/>
      <c r="AK974" s="2"/>
      <c r="AR974" s="25"/>
      <c r="BA974" s="2"/>
      <c r="BG974" s="1"/>
    </row>
    <row r="975" spans="28:59" ht="15" customHeight="1" x14ac:dyDescent="0.3">
      <c r="AB975"/>
      <c r="AC975"/>
      <c r="AD975"/>
      <c r="AE975"/>
      <c r="AF975"/>
      <c r="AG975"/>
      <c r="AH975"/>
      <c r="AI975"/>
      <c r="AJ975" s="25"/>
      <c r="AK975" s="2"/>
      <c r="AR975" s="25"/>
      <c r="BA975" s="2"/>
      <c r="BG975" s="1"/>
    </row>
    <row r="976" spans="28:59" ht="15" customHeight="1" x14ac:dyDescent="0.3">
      <c r="AB976"/>
      <c r="AC976"/>
      <c r="AD976"/>
      <c r="AE976"/>
      <c r="AF976"/>
      <c r="AG976"/>
      <c r="AH976"/>
      <c r="AI976"/>
      <c r="AJ976" s="25"/>
      <c r="AK976" s="2"/>
      <c r="AR976" s="25"/>
      <c r="BA976" s="2"/>
      <c r="BG976" s="1"/>
    </row>
    <row r="977" spans="28:59" ht="15" customHeight="1" x14ac:dyDescent="0.3">
      <c r="AB977"/>
      <c r="AC977"/>
      <c r="AD977"/>
      <c r="AE977"/>
      <c r="AF977"/>
      <c r="AG977"/>
      <c r="AH977"/>
      <c r="AI977"/>
      <c r="AJ977" s="25"/>
      <c r="AK977" s="2"/>
      <c r="AR977" s="25"/>
      <c r="BA977" s="2"/>
      <c r="BG977" s="1"/>
    </row>
    <row r="978" spans="28:59" ht="15" customHeight="1" x14ac:dyDescent="0.3">
      <c r="AB978"/>
      <c r="AC978"/>
      <c r="AD978"/>
      <c r="AE978"/>
      <c r="AF978"/>
      <c r="AG978"/>
      <c r="AH978"/>
      <c r="AI978"/>
      <c r="AJ978" s="25"/>
      <c r="AK978" s="2"/>
      <c r="AR978" s="25"/>
      <c r="BA978" s="2"/>
      <c r="BG978" s="1"/>
    </row>
    <row r="979" spans="28:59" ht="15" customHeight="1" x14ac:dyDescent="0.3">
      <c r="AB979"/>
      <c r="AC979"/>
      <c r="AD979"/>
      <c r="AE979"/>
      <c r="AF979"/>
      <c r="AG979"/>
      <c r="AH979"/>
      <c r="AI979"/>
      <c r="AJ979" s="25"/>
      <c r="AK979" s="2"/>
      <c r="AR979" s="25"/>
      <c r="BA979" s="2"/>
      <c r="BG979" s="1"/>
    </row>
    <row r="980" spans="28:59" ht="15" customHeight="1" x14ac:dyDescent="0.3">
      <c r="AB980"/>
      <c r="AC980"/>
      <c r="AD980"/>
      <c r="AE980"/>
      <c r="AF980"/>
      <c r="AG980"/>
      <c r="AH980"/>
      <c r="AI980"/>
      <c r="AJ980" s="25"/>
      <c r="AK980" s="2"/>
      <c r="AR980" s="25"/>
      <c r="BA980" s="2"/>
      <c r="BG980" s="1"/>
    </row>
    <row r="981" spans="28:59" ht="15" customHeight="1" x14ac:dyDescent="0.3">
      <c r="AB981"/>
      <c r="AC981"/>
      <c r="AD981"/>
      <c r="AE981"/>
      <c r="AF981"/>
      <c r="AG981"/>
      <c r="AH981"/>
      <c r="AI981"/>
      <c r="AJ981" s="25"/>
      <c r="AK981" s="2"/>
      <c r="AR981" s="25"/>
      <c r="BA981" s="2"/>
      <c r="BG981" s="1"/>
    </row>
    <row r="982" spans="28:59" ht="15" customHeight="1" x14ac:dyDescent="0.3">
      <c r="AB982"/>
      <c r="AC982"/>
      <c r="AD982"/>
      <c r="AE982"/>
      <c r="AF982"/>
      <c r="AG982"/>
      <c r="AH982"/>
      <c r="AI982"/>
      <c r="AJ982" s="25"/>
      <c r="AK982" s="2"/>
      <c r="AR982" s="25"/>
      <c r="BA982" s="2"/>
      <c r="BG982" s="1"/>
    </row>
    <row r="983" spans="28:59" ht="15" customHeight="1" x14ac:dyDescent="0.3">
      <c r="AB983"/>
      <c r="AC983"/>
      <c r="AD983"/>
      <c r="AE983"/>
      <c r="AF983"/>
      <c r="AG983"/>
      <c r="AH983"/>
      <c r="AI983"/>
      <c r="AJ983" s="25"/>
      <c r="AK983" s="2"/>
      <c r="AR983" s="25"/>
      <c r="BA983" s="2"/>
      <c r="BG983" s="1"/>
    </row>
    <row r="984" spans="28:59" ht="15" customHeight="1" x14ac:dyDescent="0.3">
      <c r="AB984"/>
      <c r="AC984"/>
      <c r="AD984"/>
      <c r="AE984"/>
      <c r="AF984"/>
      <c r="AG984"/>
      <c r="AH984"/>
      <c r="AI984"/>
      <c r="AJ984" s="25"/>
      <c r="AK984" s="2"/>
      <c r="AR984" s="25"/>
      <c r="BA984" s="2"/>
      <c r="BG984" s="1"/>
    </row>
    <row r="985" spans="28:59" ht="15" customHeight="1" x14ac:dyDescent="0.3">
      <c r="AB985"/>
      <c r="AC985"/>
      <c r="AD985"/>
      <c r="AE985"/>
      <c r="AF985"/>
      <c r="AG985"/>
      <c r="AH985"/>
      <c r="AI985"/>
      <c r="AJ985" s="25"/>
      <c r="AK985" s="2"/>
      <c r="AR985" s="25"/>
      <c r="BA985" s="2"/>
      <c r="BG985" s="1"/>
    </row>
    <row r="986" spans="28:59" ht="15" customHeight="1" x14ac:dyDescent="0.3">
      <c r="AB986"/>
      <c r="AC986"/>
      <c r="AD986"/>
      <c r="AE986"/>
      <c r="AF986"/>
      <c r="AG986"/>
      <c r="AH986"/>
      <c r="AI986"/>
      <c r="AJ986" s="25"/>
      <c r="AK986" s="2"/>
      <c r="AR986" s="25"/>
      <c r="BA986" s="2"/>
      <c r="BG986" s="1"/>
    </row>
    <row r="987" spans="28:59" ht="15" customHeight="1" x14ac:dyDescent="0.3">
      <c r="AB987"/>
      <c r="AC987"/>
      <c r="AD987"/>
      <c r="AE987"/>
      <c r="AF987"/>
      <c r="AG987"/>
      <c r="AH987"/>
      <c r="AI987"/>
      <c r="AJ987" s="25"/>
      <c r="AK987" s="2"/>
      <c r="AR987" s="25"/>
      <c r="BA987" s="2"/>
      <c r="BG987" s="1"/>
    </row>
    <row r="988" spans="28:59" ht="15" customHeight="1" x14ac:dyDescent="0.3">
      <c r="AB988"/>
      <c r="AC988"/>
      <c r="AD988"/>
      <c r="AE988"/>
      <c r="AF988"/>
      <c r="AG988"/>
      <c r="AH988"/>
      <c r="AI988"/>
      <c r="AJ988" s="25"/>
      <c r="AK988" s="2"/>
      <c r="AR988" s="25"/>
      <c r="BA988" s="2"/>
      <c r="BG988" s="1"/>
    </row>
    <row r="989" spans="28:59" ht="15" customHeight="1" x14ac:dyDescent="0.3">
      <c r="AB989"/>
      <c r="AC989"/>
      <c r="AD989"/>
      <c r="AE989"/>
      <c r="AF989"/>
      <c r="AG989"/>
      <c r="AH989"/>
      <c r="AI989"/>
      <c r="AJ989" s="25"/>
      <c r="AK989" s="2"/>
      <c r="AR989" s="25"/>
      <c r="BA989" s="2"/>
      <c r="BG989" s="1"/>
    </row>
    <row r="990" spans="28:59" ht="15" customHeight="1" x14ac:dyDescent="0.3">
      <c r="AB990"/>
      <c r="AC990"/>
      <c r="AD990"/>
      <c r="AE990"/>
      <c r="AF990"/>
      <c r="AG990"/>
      <c r="AH990"/>
      <c r="AI990"/>
      <c r="AJ990" s="25"/>
      <c r="AK990" s="2"/>
      <c r="AR990" s="25"/>
      <c r="BA990" s="2"/>
      <c r="BG990" s="1"/>
    </row>
    <row r="991" spans="28:59" ht="15" customHeight="1" x14ac:dyDescent="0.3">
      <c r="AB991"/>
      <c r="AC991"/>
      <c r="AD991"/>
      <c r="AE991"/>
      <c r="AF991"/>
      <c r="AG991"/>
      <c r="AH991"/>
      <c r="AI991"/>
      <c r="AJ991" s="25"/>
      <c r="AK991" s="2"/>
      <c r="AR991" s="25"/>
      <c r="BA991" s="2"/>
      <c r="BG991" s="1"/>
    </row>
    <row r="992" spans="28:59" ht="15" customHeight="1" x14ac:dyDescent="0.3">
      <c r="AB992"/>
      <c r="AC992"/>
      <c r="AD992"/>
      <c r="AE992"/>
      <c r="AF992"/>
      <c r="AG992"/>
      <c r="AH992"/>
      <c r="AI992"/>
      <c r="AJ992" s="25"/>
      <c r="AK992" s="2"/>
      <c r="AR992" s="25"/>
      <c r="BA992" s="2"/>
      <c r="BG992" s="1"/>
    </row>
    <row r="993" spans="28:59" ht="15" customHeight="1" x14ac:dyDescent="0.3">
      <c r="AB993"/>
      <c r="AC993"/>
      <c r="AD993"/>
      <c r="AE993"/>
      <c r="AF993"/>
      <c r="AG993"/>
      <c r="AH993"/>
      <c r="AI993"/>
      <c r="AJ993" s="25"/>
      <c r="AK993" s="2"/>
      <c r="AR993" s="25"/>
      <c r="BA993" s="2"/>
      <c r="BG993" s="1"/>
    </row>
    <row r="994" spans="28:59" ht="15" customHeight="1" x14ac:dyDescent="0.3">
      <c r="AB994"/>
      <c r="AC994"/>
      <c r="AD994"/>
      <c r="AE994"/>
      <c r="AF994"/>
      <c r="AG994"/>
      <c r="AH994"/>
      <c r="AI994"/>
      <c r="AJ994" s="25"/>
      <c r="AK994" s="2"/>
      <c r="AR994" s="25"/>
      <c r="BA994" s="2"/>
      <c r="BG994" s="1"/>
    </row>
    <row r="995" spans="28:59" ht="15" customHeight="1" x14ac:dyDescent="0.3">
      <c r="AB995"/>
      <c r="AC995"/>
      <c r="AD995"/>
      <c r="AE995"/>
      <c r="AF995"/>
      <c r="AG995"/>
      <c r="AH995"/>
      <c r="AI995"/>
      <c r="AJ995" s="25"/>
      <c r="AK995" s="2"/>
      <c r="AR995" s="25"/>
      <c r="BA995" s="2"/>
      <c r="BG995" s="1"/>
    </row>
    <row r="996" spans="28:59" ht="15" customHeight="1" x14ac:dyDescent="0.3">
      <c r="AB996"/>
      <c r="AC996"/>
      <c r="AD996"/>
      <c r="AE996"/>
      <c r="AF996"/>
      <c r="AG996"/>
      <c r="AH996"/>
      <c r="AI996"/>
      <c r="AJ996" s="25"/>
      <c r="AK996" s="2"/>
      <c r="AR996" s="25"/>
      <c r="BA996" s="2"/>
      <c r="BG996" s="1"/>
    </row>
    <row r="997" spans="28:59" ht="15" customHeight="1" x14ac:dyDescent="0.3">
      <c r="AB997"/>
      <c r="AC997"/>
      <c r="AD997"/>
      <c r="AE997"/>
      <c r="AF997"/>
      <c r="AG997"/>
      <c r="AH997"/>
      <c r="AI997"/>
      <c r="AJ997" s="25"/>
      <c r="AK997" s="2"/>
      <c r="AR997" s="25"/>
      <c r="BA997" s="2"/>
      <c r="BG997" s="1"/>
    </row>
    <row r="998" spans="28:59" ht="15" customHeight="1" x14ac:dyDescent="0.3">
      <c r="AB998"/>
      <c r="AC998"/>
      <c r="AD998"/>
      <c r="AE998"/>
      <c r="AF998"/>
      <c r="AG998"/>
      <c r="AH998"/>
      <c r="AI998"/>
      <c r="AJ998" s="25"/>
      <c r="AK998" s="2"/>
      <c r="AR998" s="25"/>
      <c r="BA998" s="2"/>
      <c r="BG998" s="1"/>
    </row>
    <row r="999" spans="28:59" ht="15" customHeight="1" x14ac:dyDescent="0.3">
      <c r="AB999"/>
      <c r="AC999"/>
      <c r="AD999"/>
      <c r="AE999"/>
      <c r="AF999"/>
      <c r="AG999"/>
      <c r="AH999"/>
      <c r="AI999"/>
      <c r="AJ999" s="25"/>
      <c r="AK999" s="2"/>
      <c r="AR999" s="25"/>
      <c r="BA999" s="2"/>
      <c r="BG999" s="1"/>
    </row>
    <row r="1000" spans="28:59" ht="15" customHeight="1" x14ac:dyDescent="0.3">
      <c r="AB1000"/>
      <c r="AC1000"/>
      <c r="AD1000"/>
      <c r="AE1000"/>
      <c r="AF1000"/>
      <c r="AG1000"/>
      <c r="AH1000"/>
      <c r="AI1000"/>
      <c r="AJ1000" s="25"/>
      <c r="AK1000" s="2"/>
      <c r="AR1000" s="25"/>
      <c r="BA1000" s="2"/>
      <c r="BG1000" s="1"/>
    </row>
    <row r="1001" spans="28:59" ht="15" customHeight="1" x14ac:dyDescent="0.3">
      <c r="AB1001"/>
      <c r="AC1001"/>
      <c r="AD1001"/>
      <c r="AE1001"/>
      <c r="AF1001"/>
      <c r="AG1001"/>
      <c r="AH1001"/>
      <c r="AI1001"/>
      <c r="AJ1001" s="25"/>
      <c r="AK1001" s="2"/>
      <c r="AR1001" s="25"/>
      <c r="BA1001" s="2"/>
      <c r="BG1001" s="1"/>
    </row>
    <row r="1002" spans="28:59" ht="15" customHeight="1" x14ac:dyDescent="0.3">
      <c r="AB1002"/>
      <c r="AC1002"/>
      <c r="AD1002"/>
      <c r="AE1002"/>
      <c r="AF1002"/>
      <c r="AG1002"/>
      <c r="AH1002"/>
      <c r="AI1002"/>
      <c r="AJ1002" s="25"/>
      <c r="AK1002" s="2"/>
      <c r="AR1002" s="25"/>
      <c r="BA1002" s="2"/>
      <c r="BG1002" s="1"/>
    </row>
    <row r="1003" spans="28:59" ht="15" customHeight="1" x14ac:dyDescent="0.3">
      <c r="AB1003"/>
      <c r="AC1003"/>
      <c r="AD1003"/>
      <c r="AE1003"/>
      <c r="AF1003"/>
      <c r="AG1003"/>
      <c r="AH1003"/>
      <c r="AI1003"/>
      <c r="AJ1003" s="25"/>
      <c r="AK1003" s="2"/>
      <c r="AR1003" s="25"/>
      <c r="BA1003" s="2"/>
      <c r="BG1003" s="1"/>
    </row>
    <row r="1004" spans="28:59" ht="15" customHeight="1" x14ac:dyDescent="0.3">
      <c r="AB1004"/>
      <c r="AC1004"/>
      <c r="AD1004"/>
      <c r="AE1004"/>
      <c r="AF1004"/>
      <c r="AG1004"/>
      <c r="AH1004"/>
      <c r="AI1004"/>
      <c r="AJ1004" s="25"/>
      <c r="AK1004" s="2"/>
      <c r="AR1004" s="25"/>
      <c r="BA1004" s="2"/>
      <c r="BG1004" s="1"/>
    </row>
    <row r="1005" spans="28:59" ht="15" customHeight="1" x14ac:dyDescent="0.3">
      <c r="AB1005"/>
      <c r="AC1005"/>
      <c r="AD1005"/>
      <c r="AE1005"/>
      <c r="AF1005"/>
      <c r="AG1005"/>
      <c r="AH1005"/>
      <c r="AI1005"/>
      <c r="AJ1005" s="25"/>
      <c r="AK1005" s="2"/>
      <c r="AR1005" s="25"/>
      <c r="BA1005" s="2"/>
      <c r="BG1005" s="1"/>
    </row>
    <row r="1006" spans="28:59" ht="15" customHeight="1" x14ac:dyDescent="0.3">
      <c r="AB1006"/>
      <c r="AC1006"/>
      <c r="AD1006"/>
      <c r="AE1006"/>
      <c r="AF1006"/>
      <c r="AG1006"/>
      <c r="AH1006"/>
      <c r="AI1006"/>
      <c r="AJ1006" s="25"/>
      <c r="AK1006" s="2"/>
      <c r="AR1006" s="25"/>
      <c r="BA1006" s="2"/>
      <c r="BG1006" s="1"/>
    </row>
    <row r="1007" spans="28:59" ht="15" customHeight="1" x14ac:dyDescent="0.3">
      <c r="AB1007"/>
      <c r="AC1007"/>
      <c r="AD1007"/>
      <c r="AE1007"/>
      <c r="AF1007"/>
      <c r="AG1007"/>
      <c r="AH1007"/>
      <c r="AI1007"/>
      <c r="AJ1007" s="25"/>
      <c r="AK1007" s="2"/>
      <c r="AR1007" s="25"/>
      <c r="BA1007" s="2"/>
      <c r="BG1007" s="1"/>
    </row>
    <row r="1008" spans="28:59" ht="15" customHeight="1" x14ac:dyDescent="0.3">
      <c r="AB1008"/>
      <c r="AC1008"/>
      <c r="AD1008"/>
      <c r="AE1008"/>
      <c r="AF1008"/>
      <c r="AG1008"/>
      <c r="AH1008"/>
      <c r="AI1008"/>
      <c r="AJ1008" s="25"/>
      <c r="AK1008" s="2"/>
      <c r="AR1008" s="25"/>
      <c r="BA1008" s="2"/>
      <c r="BG1008" s="1"/>
    </row>
    <row r="1009" spans="28:59" ht="15" customHeight="1" x14ac:dyDescent="0.3">
      <c r="AB1009"/>
      <c r="AC1009"/>
      <c r="AD1009"/>
      <c r="AE1009"/>
      <c r="AF1009"/>
      <c r="AG1009"/>
      <c r="AH1009"/>
      <c r="AI1009"/>
      <c r="AJ1009" s="25"/>
      <c r="AK1009" s="2"/>
      <c r="AR1009" s="25"/>
      <c r="BA1009" s="2"/>
      <c r="BG1009" s="1"/>
    </row>
    <row r="1010" spans="28:59" ht="15" customHeight="1" x14ac:dyDescent="0.3">
      <c r="AB1010"/>
      <c r="AC1010"/>
      <c r="AD1010"/>
      <c r="AE1010"/>
      <c r="AF1010"/>
      <c r="AG1010"/>
      <c r="AH1010"/>
      <c r="AI1010"/>
      <c r="AJ1010" s="25"/>
      <c r="AK1010" s="2"/>
      <c r="AR1010" s="25"/>
      <c r="BA1010" s="2"/>
      <c r="BG1010" s="1"/>
    </row>
    <row r="1011" spans="28:59" ht="15" customHeight="1" x14ac:dyDescent="0.3">
      <c r="AB1011"/>
      <c r="AC1011"/>
      <c r="AD1011"/>
      <c r="AE1011"/>
      <c r="AF1011"/>
      <c r="AG1011"/>
      <c r="AH1011"/>
      <c r="AI1011"/>
      <c r="AJ1011" s="25"/>
      <c r="AK1011" s="2"/>
      <c r="AR1011" s="25"/>
      <c r="BA1011" s="2"/>
      <c r="BG1011" s="1"/>
    </row>
    <row r="1012" spans="28:59" ht="15" customHeight="1" x14ac:dyDescent="0.3">
      <c r="AB1012"/>
      <c r="AC1012"/>
      <c r="AD1012"/>
      <c r="AE1012"/>
      <c r="AF1012"/>
      <c r="AG1012"/>
      <c r="AH1012"/>
      <c r="AI1012"/>
      <c r="AJ1012" s="25"/>
      <c r="AK1012" s="2"/>
      <c r="AR1012" s="25"/>
      <c r="BA1012" s="2"/>
      <c r="BG1012" s="1"/>
    </row>
    <row r="1013" spans="28:59" ht="15" customHeight="1" x14ac:dyDescent="0.3">
      <c r="AB1013"/>
      <c r="AC1013"/>
      <c r="AD1013"/>
      <c r="AE1013"/>
      <c r="AF1013"/>
      <c r="AG1013"/>
      <c r="AH1013"/>
      <c r="AI1013"/>
      <c r="AJ1013" s="25"/>
      <c r="AK1013" s="2"/>
      <c r="AR1013" s="25"/>
      <c r="BA1013" s="2"/>
      <c r="BG1013" s="1"/>
    </row>
    <row r="1014" spans="28:59" ht="15" customHeight="1" x14ac:dyDescent="0.3">
      <c r="AB1014"/>
      <c r="AC1014"/>
      <c r="AD1014"/>
      <c r="AE1014"/>
      <c r="AF1014"/>
      <c r="AG1014"/>
      <c r="AH1014"/>
      <c r="AI1014"/>
      <c r="AJ1014" s="25"/>
      <c r="AK1014" s="2"/>
      <c r="AR1014" s="25"/>
      <c r="BA1014" s="2"/>
      <c r="BG1014" s="1"/>
    </row>
    <row r="1015" spans="28:59" ht="15" customHeight="1" x14ac:dyDescent="0.3">
      <c r="AB1015"/>
      <c r="AC1015"/>
      <c r="AD1015"/>
      <c r="AE1015"/>
      <c r="AF1015"/>
      <c r="AG1015"/>
      <c r="AH1015"/>
      <c r="AI1015"/>
      <c r="AJ1015" s="25"/>
      <c r="AK1015" s="2"/>
      <c r="AR1015" s="25"/>
      <c r="BA1015" s="2"/>
      <c r="BG1015" s="1"/>
    </row>
    <row r="1016" spans="28:59" ht="15" customHeight="1" x14ac:dyDescent="0.3">
      <c r="AB1016"/>
      <c r="AC1016"/>
      <c r="AD1016"/>
      <c r="AE1016"/>
      <c r="AF1016"/>
      <c r="AG1016"/>
      <c r="AH1016"/>
      <c r="AI1016"/>
      <c r="AJ1016" s="25"/>
      <c r="AK1016" s="2"/>
      <c r="AR1016" s="25"/>
      <c r="BA1016" s="2"/>
      <c r="BG1016" s="1"/>
    </row>
    <row r="1017" spans="28:59" ht="15" customHeight="1" x14ac:dyDescent="0.3">
      <c r="AB1017"/>
      <c r="AC1017"/>
      <c r="AD1017"/>
      <c r="AE1017"/>
      <c r="AF1017"/>
      <c r="AG1017"/>
      <c r="AH1017"/>
      <c r="AI1017"/>
      <c r="AJ1017" s="25"/>
      <c r="AK1017" s="2"/>
      <c r="AR1017" s="25"/>
      <c r="BA1017" s="2"/>
      <c r="BG1017" s="1"/>
    </row>
    <row r="1018" spans="28:59" ht="15" customHeight="1" x14ac:dyDescent="0.3">
      <c r="AB1018"/>
      <c r="AC1018"/>
      <c r="AD1018"/>
      <c r="AE1018"/>
      <c r="AF1018"/>
      <c r="AG1018"/>
      <c r="AH1018"/>
      <c r="AI1018"/>
      <c r="AJ1018" s="25"/>
      <c r="AK1018" s="2"/>
      <c r="AR1018" s="25"/>
      <c r="BA1018" s="2"/>
      <c r="BG1018" s="1"/>
    </row>
    <row r="1019" spans="28:59" ht="15" customHeight="1" x14ac:dyDescent="0.3">
      <c r="AB1019"/>
      <c r="AC1019"/>
      <c r="AD1019"/>
      <c r="AE1019"/>
      <c r="AF1019"/>
      <c r="AG1019"/>
      <c r="AH1019"/>
      <c r="AI1019"/>
      <c r="AJ1019" s="25"/>
      <c r="AK1019" s="2"/>
      <c r="AR1019" s="25"/>
      <c r="BA1019" s="2"/>
      <c r="BG1019" s="1"/>
    </row>
    <row r="1020" spans="28:59" ht="15" customHeight="1" x14ac:dyDescent="0.3">
      <c r="AB1020"/>
      <c r="AC1020"/>
      <c r="AD1020"/>
      <c r="AE1020"/>
      <c r="AF1020"/>
      <c r="AG1020"/>
      <c r="AH1020"/>
      <c r="AI1020"/>
      <c r="AJ1020" s="25"/>
      <c r="AK1020" s="2"/>
      <c r="AR1020" s="25"/>
      <c r="BA1020" s="2"/>
      <c r="BG1020" s="1"/>
    </row>
    <row r="1021" spans="28:59" ht="15" customHeight="1" x14ac:dyDescent="0.3">
      <c r="AB1021"/>
      <c r="AC1021"/>
      <c r="AD1021"/>
      <c r="AE1021"/>
      <c r="AF1021"/>
      <c r="AG1021"/>
      <c r="AH1021"/>
      <c r="AI1021"/>
      <c r="AJ1021" s="25"/>
      <c r="AK1021" s="2"/>
      <c r="AR1021" s="25"/>
      <c r="BA1021" s="2"/>
      <c r="BG1021" s="1"/>
    </row>
    <row r="1022" spans="28:59" ht="15" customHeight="1" x14ac:dyDescent="0.3">
      <c r="AB1022"/>
      <c r="AC1022"/>
      <c r="AD1022"/>
      <c r="AE1022"/>
      <c r="AF1022"/>
      <c r="AG1022"/>
      <c r="AH1022"/>
      <c r="AI1022"/>
      <c r="AJ1022" s="25"/>
      <c r="AK1022" s="2"/>
      <c r="AR1022" s="25"/>
      <c r="BA1022" s="2"/>
      <c r="BG1022" s="1"/>
    </row>
    <row r="1023" spans="28:59" ht="15" customHeight="1" x14ac:dyDescent="0.3">
      <c r="AB1023"/>
      <c r="AC1023"/>
      <c r="AD1023"/>
      <c r="AE1023"/>
      <c r="AF1023"/>
      <c r="AG1023"/>
      <c r="AH1023"/>
      <c r="AI1023"/>
      <c r="AJ1023" s="25"/>
      <c r="AK1023" s="2"/>
      <c r="AR1023" s="25"/>
      <c r="BA1023" s="2"/>
      <c r="BG1023" s="1"/>
    </row>
    <row r="1024" spans="28:59" ht="15" customHeight="1" x14ac:dyDescent="0.3">
      <c r="AB1024"/>
      <c r="AC1024"/>
      <c r="AD1024"/>
      <c r="AE1024"/>
      <c r="AF1024"/>
      <c r="AG1024"/>
      <c r="AH1024"/>
      <c r="AI1024"/>
      <c r="AJ1024" s="25"/>
      <c r="AK1024" s="2"/>
      <c r="AR1024" s="25"/>
      <c r="BA1024" s="2"/>
      <c r="BG1024" s="1"/>
    </row>
    <row r="1025" spans="28:59" ht="15" customHeight="1" x14ac:dyDescent="0.3">
      <c r="AB1025"/>
      <c r="AC1025"/>
      <c r="AD1025"/>
      <c r="AE1025"/>
      <c r="AF1025"/>
      <c r="AG1025"/>
      <c r="AH1025"/>
      <c r="AI1025"/>
      <c r="AJ1025" s="25"/>
      <c r="AK1025" s="2"/>
      <c r="AR1025" s="25"/>
      <c r="BA1025" s="2"/>
      <c r="BG1025" s="1"/>
    </row>
    <row r="1026" spans="28:59" ht="15" customHeight="1" x14ac:dyDescent="0.3">
      <c r="AB1026"/>
      <c r="AC1026"/>
      <c r="AD1026"/>
      <c r="AE1026"/>
      <c r="AF1026"/>
      <c r="AG1026"/>
      <c r="AH1026"/>
      <c r="AI1026"/>
      <c r="AJ1026" s="25"/>
      <c r="AK1026" s="2"/>
      <c r="AR1026" s="25"/>
      <c r="BA1026" s="2"/>
      <c r="BG1026" s="1"/>
    </row>
    <row r="1027" spans="28:59" ht="15" customHeight="1" x14ac:dyDescent="0.3">
      <c r="AB1027"/>
      <c r="AC1027"/>
      <c r="AD1027"/>
      <c r="AE1027"/>
      <c r="AF1027"/>
      <c r="AG1027"/>
      <c r="AH1027"/>
      <c r="AI1027"/>
      <c r="AJ1027" s="25"/>
      <c r="AK1027" s="2"/>
      <c r="AR1027" s="25"/>
      <c r="BA1027" s="2"/>
      <c r="BG1027" s="1"/>
    </row>
    <row r="1028" spans="28:59" ht="15" customHeight="1" x14ac:dyDescent="0.3">
      <c r="AB1028"/>
      <c r="AC1028"/>
      <c r="AD1028"/>
      <c r="AE1028"/>
      <c r="AF1028"/>
      <c r="AG1028"/>
      <c r="AH1028"/>
      <c r="AI1028"/>
      <c r="AJ1028" s="25"/>
      <c r="AK1028" s="2"/>
      <c r="AR1028" s="25"/>
      <c r="BA1028" s="2"/>
      <c r="BG1028" s="1"/>
    </row>
    <row r="1029" spans="28:59" ht="15" customHeight="1" x14ac:dyDescent="0.3">
      <c r="AB1029"/>
      <c r="AC1029"/>
      <c r="AD1029"/>
      <c r="AE1029"/>
      <c r="AF1029"/>
      <c r="AG1029"/>
      <c r="AH1029"/>
      <c r="AI1029"/>
      <c r="AJ1029" s="25"/>
      <c r="AK1029" s="2"/>
      <c r="AR1029" s="25"/>
      <c r="BA1029" s="2"/>
      <c r="BG1029" s="1"/>
    </row>
    <row r="1030" spans="28:59" ht="15" customHeight="1" x14ac:dyDescent="0.3">
      <c r="AB1030"/>
      <c r="AC1030"/>
      <c r="AD1030"/>
      <c r="AE1030"/>
      <c r="AF1030"/>
      <c r="AG1030"/>
      <c r="AH1030"/>
      <c r="AI1030"/>
      <c r="AJ1030" s="25"/>
      <c r="AK1030" s="2"/>
      <c r="AR1030" s="25"/>
      <c r="BA1030" s="2"/>
      <c r="BG1030" s="1"/>
    </row>
    <row r="1031" spans="28:59" ht="15" customHeight="1" x14ac:dyDescent="0.3">
      <c r="AB1031"/>
      <c r="AC1031"/>
      <c r="AD1031"/>
      <c r="AE1031"/>
      <c r="AF1031"/>
      <c r="AG1031"/>
      <c r="AH1031"/>
      <c r="AI1031"/>
      <c r="AJ1031" s="25"/>
      <c r="AK1031" s="2"/>
      <c r="AR1031" s="25"/>
      <c r="BA1031" s="2"/>
      <c r="BG1031" s="1"/>
    </row>
    <row r="1032" spans="28:59" ht="15" customHeight="1" x14ac:dyDescent="0.3">
      <c r="AB1032"/>
      <c r="AC1032"/>
      <c r="AD1032"/>
      <c r="AE1032"/>
      <c r="AF1032"/>
      <c r="AG1032"/>
      <c r="AH1032"/>
      <c r="AI1032"/>
      <c r="AJ1032" s="25"/>
      <c r="AK1032" s="2"/>
      <c r="AR1032" s="25"/>
      <c r="BA1032" s="2"/>
      <c r="BG1032" s="1"/>
    </row>
    <row r="1033" spans="28:59" ht="15" customHeight="1" x14ac:dyDescent="0.3">
      <c r="AB1033"/>
      <c r="AC1033"/>
      <c r="AD1033"/>
      <c r="AE1033"/>
      <c r="AF1033"/>
      <c r="AG1033"/>
      <c r="AH1033"/>
      <c r="AI1033"/>
      <c r="AJ1033" s="25"/>
      <c r="AK1033" s="2"/>
      <c r="AR1033" s="25"/>
      <c r="BA1033" s="2"/>
      <c r="BG1033" s="1"/>
    </row>
    <row r="1034" spans="28:59" ht="15" customHeight="1" x14ac:dyDescent="0.3">
      <c r="AB1034"/>
      <c r="AC1034"/>
      <c r="AD1034"/>
      <c r="AE1034"/>
      <c r="AF1034"/>
      <c r="AG1034"/>
      <c r="AH1034"/>
      <c r="AI1034"/>
      <c r="AJ1034" s="25"/>
      <c r="AK1034" s="2"/>
      <c r="AR1034" s="25"/>
      <c r="BA1034" s="2"/>
      <c r="BG1034" s="1"/>
    </row>
    <row r="1035" spans="28:59" ht="15" customHeight="1" x14ac:dyDescent="0.3">
      <c r="AB1035"/>
      <c r="AC1035"/>
      <c r="AD1035"/>
      <c r="AE1035"/>
      <c r="AF1035"/>
      <c r="AG1035"/>
      <c r="AH1035"/>
      <c r="AI1035"/>
      <c r="AJ1035" s="25"/>
      <c r="AK1035" s="2"/>
      <c r="AR1035" s="25"/>
      <c r="BA1035" s="2"/>
      <c r="BG1035" s="1"/>
    </row>
    <row r="1036" spans="28:59" ht="15" customHeight="1" x14ac:dyDescent="0.3">
      <c r="AB1036"/>
      <c r="AC1036"/>
      <c r="AD1036"/>
      <c r="AE1036"/>
      <c r="AF1036"/>
      <c r="AG1036"/>
      <c r="AH1036"/>
      <c r="AI1036"/>
      <c r="AJ1036" s="25"/>
      <c r="AK1036" s="2"/>
      <c r="AR1036" s="25"/>
      <c r="BA1036" s="2"/>
      <c r="BG1036" s="1"/>
    </row>
    <row r="1037" spans="28:59" ht="15" customHeight="1" x14ac:dyDescent="0.3">
      <c r="AB1037"/>
      <c r="AC1037"/>
      <c r="AD1037"/>
      <c r="AE1037"/>
      <c r="AF1037"/>
      <c r="AG1037"/>
      <c r="AH1037"/>
      <c r="AI1037"/>
      <c r="AJ1037" s="25"/>
      <c r="AK1037" s="2"/>
      <c r="AR1037" s="25"/>
      <c r="BA1037" s="2"/>
      <c r="BG1037" s="1"/>
    </row>
    <row r="1038" spans="28:59" ht="15" customHeight="1" x14ac:dyDescent="0.3">
      <c r="AB1038"/>
      <c r="AC1038"/>
      <c r="AD1038"/>
      <c r="AE1038"/>
      <c r="AF1038"/>
      <c r="AG1038"/>
      <c r="AH1038"/>
      <c r="AI1038"/>
      <c r="AJ1038" s="25"/>
      <c r="AK1038" s="2"/>
      <c r="AR1038" s="25"/>
      <c r="BA1038" s="2"/>
      <c r="BG1038" s="1"/>
    </row>
    <row r="1039" spans="28:59" ht="15" customHeight="1" x14ac:dyDescent="0.3">
      <c r="AB1039"/>
      <c r="AC1039"/>
      <c r="AD1039"/>
      <c r="AE1039"/>
      <c r="AF1039"/>
      <c r="AG1039"/>
      <c r="AH1039"/>
      <c r="AI1039"/>
      <c r="AJ1039" s="25"/>
      <c r="AK1039" s="2"/>
      <c r="AR1039" s="25"/>
      <c r="BA1039" s="2"/>
      <c r="BG1039" s="1"/>
    </row>
    <row r="1040" spans="28:59" ht="15" customHeight="1" x14ac:dyDescent="0.3">
      <c r="AB1040"/>
      <c r="AC1040"/>
      <c r="AD1040"/>
      <c r="AE1040"/>
      <c r="AF1040"/>
      <c r="AG1040"/>
      <c r="AH1040"/>
      <c r="AI1040"/>
      <c r="AJ1040" s="25"/>
      <c r="AK1040" s="2"/>
      <c r="AR1040" s="25"/>
      <c r="BA1040" s="2"/>
      <c r="BG1040" s="1"/>
    </row>
    <row r="1041" spans="28:59" ht="15" customHeight="1" x14ac:dyDescent="0.3">
      <c r="AB1041"/>
      <c r="AC1041"/>
      <c r="AD1041"/>
      <c r="AE1041"/>
      <c r="AF1041"/>
      <c r="AG1041"/>
      <c r="AH1041"/>
      <c r="AI1041"/>
      <c r="AJ1041" s="25"/>
      <c r="AK1041" s="2"/>
      <c r="AR1041" s="25"/>
      <c r="BA1041" s="2"/>
      <c r="BG1041" s="1"/>
    </row>
    <row r="1042" spans="28:59" ht="15" customHeight="1" x14ac:dyDescent="0.3">
      <c r="AB1042"/>
      <c r="AC1042"/>
      <c r="AD1042"/>
      <c r="AE1042"/>
      <c r="AF1042"/>
      <c r="AG1042"/>
      <c r="AH1042"/>
      <c r="AI1042"/>
      <c r="AJ1042" s="25"/>
      <c r="AK1042" s="2"/>
      <c r="AR1042" s="25"/>
      <c r="BA1042" s="2"/>
      <c r="BG1042" s="1"/>
    </row>
    <row r="1043" spans="28:59" ht="15" customHeight="1" x14ac:dyDescent="0.3">
      <c r="AB1043"/>
      <c r="AC1043"/>
      <c r="AD1043"/>
      <c r="AE1043"/>
      <c r="AF1043"/>
      <c r="AG1043"/>
      <c r="AH1043"/>
      <c r="AI1043"/>
      <c r="AJ1043" s="25"/>
      <c r="AK1043" s="2"/>
      <c r="AR1043" s="25"/>
      <c r="BA1043" s="2"/>
      <c r="BG1043" s="1"/>
    </row>
    <row r="1044" spans="28:59" ht="15" customHeight="1" x14ac:dyDescent="0.3">
      <c r="AB1044"/>
      <c r="AC1044"/>
      <c r="AD1044"/>
      <c r="AE1044"/>
      <c r="AF1044"/>
      <c r="AG1044"/>
      <c r="AH1044"/>
      <c r="AI1044"/>
      <c r="AJ1044" s="25"/>
      <c r="AK1044" s="2"/>
      <c r="AR1044" s="25"/>
      <c r="BA1044" s="2"/>
      <c r="BG1044" s="1"/>
    </row>
    <row r="1045" spans="28:59" ht="15" customHeight="1" x14ac:dyDescent="0.3">
      <c r="AB1045"/>
      <c r="AC1045"/>
      <c r="AD1045"/>
      <c r="AE1045"/>
      <c r="AF1045"/>
      <c r="AG1045"/>
      <c r="AH1045"/>
      <c r="AI1045"/>
      <c r="AJ1045" s="25"/>
      <c r="AK1045" s="2"/>
      <c r="AR1045" s="25"/>
      <c r="BA1045" s="2"/>
      <c r="BG1045" s="1"/>
    </row>
    <row r="1046" spans="28:59" ht="15" customHeight="1" x14ac:dyDescent="0.3">
      <c r="AB1046"/>
      <c r="AC1046"/>
      <c r="AD1046"/>
      <c r="AE1046"/>
      <c r="AF1046"/>
      <c r="AG1046"/>
      <c r="AH1046"/>
      <c r="AI1046"/>
      <c r="AJ1046" s="25"/>
      <c r="AK1046" s="2"/>
      <c r="AR1046" s="25"/>
      <c r="BA1046" s="2"/>
      <c r="BG1046" s="1"/>
    </row>
    <row r="1047" spans="28:59" ht="15" customHeight="1" x14ac:dyDescent="0.3">
      <c r="AB1047"/>
      <c r="AC1047"/>
      <c r="AD1047"/>
      <c r="AE1047"/>
      <c r="AF1047"/>
      <c r="AG1047"/>
      <c r="AH1047"/>
      <c r="AI1047"/>
      <c r="AJ1047" s="25"/>
      <c r="AK1047" s="2"/>
      <c r="AR1047" s="25"/>
      <c r="BA1047" s="2"/>
      <c r="BG1047" s="1"/>
    </row>
    <row r="1048" spans="28:59" ht="15" customHeight="1" x14ac:dyDescent="0.3">
      <c r="AB1048"/>
      <c r="AC1048"/>
      <c r="AD1048"/>
      <c r="AE1048"/>
      <c r="AF1048"/>
      <c r="AG1048"/>
      <c r="AH1048"/>
      <c r="AI1048"/>
      <c r="AJ1048" s="25"/>
      <c r="AK1048" s="2"/>
      <c r="AR1048" s="25"/>
      <c r="BA1048" s="2"/>
      <c r="BG1048" s="1"/>
    </row>
    <row r="1049" spans="28:59" ht="15" customHeight="1" x14ac:dyDescent="0.3">
      <c r="AB1049"/>
      <c r="AC1049"/>
      <c r="AD1049"/>
      <c r="AE1049"/>
      <c r="AF1049"/>
      <c r="AG1049"/>
      <c r="AH1049"/>
      <c r="AI1049"/>
      <c r="AJ1049" s="25"/>
      <c r="AK1049" s="2"/>
      <c r="AR1049" s="25"/>
      <c r="BA1049" s="2"/>
      <c r="BG1049" s="1"/>
    </row>
    <row r="1050" spans="28:59" ht="15" customHeight="1" x14ac:dyDescent="0.3">
      <c r="AB1050"/>
      <c r="AC1050"/>
      <c r="AD1050"/>
      <c r="AE1050"/>
      <c r="AF1050"/>
      <c r="AG1050"/>
      <c r="AH1050"/>
      <c r="AI1050"/>
      <c r="AJ1050" s="25"/>
      <c r="AK1050" s="2"/>
      <c r="AR1050" s="25"/>
      <c r="BA1050" s="2"/>
      <c r="BG1050" s="1"/>
    </row>
    <row r="1051" spans="28:59" ht="15" customHeight="1" x14ac:dyDescent="0.3">
      <c r="AB1051"/>
      <c r="AC1051"/>
      <c r="AD1051"/>
      <c r="AE1051"/>
      <c r="AF1051"/>
      <c r="AG1051"/>
      <c r="AH1051"/>
      <c r="AI1051"/>
      <c r="AJ1051" s="25"/>
      <c r="AK1051" s="2"/>
      <c r="AR1051" s="25"/>
      <c r="BA1051" s="2"/>
      <c r="BG1051" s="1"/>
    </row>
    <row r="1052" spans="28:59" ht="15" customHeight="1" x14ac:dyDescent="0.3">
      <c r="AB1052"/>
      <c r="AC1052"/>
      <c r="AD1052"/>
      <c r="AE1052"/>
      <c r="AF1052"/>
      <c r="AG1052"/>
      <c r="AH1052"/>
      <c r="AI1052"/>
      <c r="AJ1052" s="25"/>
      <c r="AK1052" s="2"/>
      <c r="AR1052" s="25"/>
      <c r="BA1052" s="2"/>
      <c r="BG1052" s="1"/>
    </row>
    <row r="1053" spans="28:59" ht="15" customHeight="1" x14ac:dyDescent="0.3">
      <c r="AB1053"/>
      <c r="AC1053"/>
      <c r="AD1053"/>
      <c r="AE1053"/>
      <c r="AF1053"/>
      <c r="AG1053"/>
      <c r="AH1053"/>
      <c r="AI1053"/>
      <c r="AJ1053" s="25"/>
      <c r="AK1053" s="2"/>
      <c r="AR1053" s="25"/>
      <c r="BA1053" s="2"/>
      <c r="BG1053" s="1"/>
    </row>
    <row r="1054" spans="28:59" ht="15" customHeight="1" x14ac:dyDescent="0.3">
      <c r="AB1054"/>
      <c r="AC1054"/>
      <c r="AD1054"/>
      <c r="AE1054"/>
      <c r="AF1054"/>
      <c r="AG1054"/>
      <c r="AH1054"/>
      <c r="AI1054"/>
      <c r="AJ1054" s="25"/>
      <c r="AK1054" s="2"/>
      <c r="AR1054" s="25"/>
      <c r="BA1054" s="2"/>
      <c r="BG1054" s="1"/>
    </row>
    <row r="1055" spans="28:59" ht="15" customHeight="1" x14ac:dyDescent="0.3">
      <c r="AB1055"/>
      <c r="AC1055"/>
      <c r="AD1055"/>
      <c r="AE1055"/>
      <c r="AF1055"/>
      <c r="AG1055"/>
      <c r="AH1055"/>
      <c r="AI1055"/>
      <c r="AJ1055" s="25"/>
      <c r="AK1055" s="2"/>
      <c r="AR1055" s="25"/>
      <c r="BA1055" s="2"/>
      <c r="BG1055" s="1"/>
    </row>
    <row r="1056" spans="28:59" ht="15" customHeight="1" x14ac:dyDescent="0.3">
      <c r="AB1056"/>
      <c r="AC1056"/>
      <c r="AD1056"/>
      <c r="AE1056"/>
      <c r="AF1056"/>
      <c r="AG1056"/>
      <c r="AH1056"/>
      <c r="AI1056"/>
      <c r="AJ1056" s="25"/>
      <c r="AK1056" s="2"/>
      <c r="AR1056" s="25"/>
      <c r="BA1056" s="2"/>
      <c r="BG1056" s="1"/>
    </row>
    <row r="1057" spans="28:59" ht="15" customHeight="1" x14ac:dyDescent="0.3">
      <c r="AB1057"/>
      <c r="AC1057"/>
      <c r="AD1057"/>
      <c r="AE1057"/>
      <c r="AF1057"/>
      <c r="AG1057"/>
      <c r="AH1057"/>
      <c r="AI1057"/>
      <c r="AJ1057" s="25"/>
      <c r="AK1057" s="2"/>
      <c r="AR1057" s="25"/>
      <c r="BA1057" s="2"/>
      <c r="BG1057" s="1"/>
    </row>
    <row r="1058" spans="28:59" ht="15" customHeight="1" x14ac:dyDescent="0.3">
      <c r="AB1058"/>
      <c r="AC1058"/>
      <c r="AD1058"/>
      <c r="AE1058"/>
      <c r="AF1058"/>
      <c r="AG1058"/>
      <c r="AH1058"/>
      <c r="AI1058"/>
      <c r="AJ1058" s="25"/>
      <c r="AK1058" s="2"/>
      <c r="AR1058" s="25"/>
      <c r="BA1058" s="2"/>
      <c r="BG1058" s="1"/>
    </row>
    <row r="1059" spans="28:59" ht="15" customHeight="1" x14ac:dyDescent="0.3">
      <c r="AB1059"/>
      <c r="AC1059"/>
      <c r="AD1059"/>
      <c r="AE1059"/>
      <c r="AF1059"/>
      <c r="AG1059"/>
      <c r="AH1059"/>
      <c r="AI1059"/>
      <c r="AJ1059" s="25"/>
      <c r="AK1059" s="2"/>
      <c r="AR1059" s="25"/>
      <c r="BA1059" s="2"/>
      <c r="BG1059" s="1"/>
    </row>
    <row r="1060" spans="28:59" ht="15" customHeight="1" x14ac:dyDescent="0.3">
      <c r="AB1060"/>
      <c r="AC1060"/>
      <c r="AD1060"/>
      <c r="AE1060"/>
      <c r="AF1060"/>
      <c r="AG1060"/>
      <c r="AH1060"/>
      <c r="AI1060"/>
      <c r="AJ1060" s="25"/>
      <c r="AK1060" s="2"/>
      <c r="AR1060" s="25"/>
      <c r="BA1060" s="2"/>
      <c r="BG1060" s="1"/>
    </row>
    <row r="1061" spans="28:59" ht="15" customHeight="1" x14ac:dyDescent="0.3">
      <c r="AB1061"/>
      <c r="AC1061"/>
      <c r="AD1061"/>
      <c r="AE1061"/>
      <c r="AF1061"/>
      <c r="AG1061"/>
      <c r="AH1061"/>
      <c r="AI1061"/>
      <c r="AJ1061" s="25"/>
      <c r="AK1061" s="2"/>
      <c r="AR1061" s="25"/>
      <c r="BA1061" s="2"/>
      <c r="BG1061" s="1"/>
    </row>
    <row r="1062" spans="28:59" ht="15" customHeight="1" x14ac:dyDescent="0.3">
      <c r="AB1062"/>
      <c r="AC1062"/>
      <c r="AD1062"/>
      <c r="AE1062"/>
      <c r="AF1062"/>
      <c r="AG1062"/>
      <c r="AH1062"/>
      <c r="AI1062"/>
      <c r="AJ1062" s="25"/>
      <c r="AK1062" s="2"/>
      <c r="AR1062" s="25"/>
      <c r="BA1062" s="2"/>
      <c r="BG1062" s="1"/>
    </row>
    <row r="1063" spans="28:59" ht="15" customHeight="1" x14ac:dyDescent="0.3">
      <c r="AB1063"/>
      <c r="AC1063"/>
      <c r="AD1063"/>
      <c r="AE1063"/>
      <c r="AF1063"/>
      <c r="AG1063"/>
      <c r="AH1063"/>
      <c r="AI1063"/>
      <c r="AJ1063" s="25"/>
      <c r="AK1063" s="2"/>
      <c r="AR1063" s="25"/>
      <c r="BA1063" s="2"/>
      <c r="BG1063" s="1"/>
    </row>
    <row r="1064" spans="28:59" ht="15" customHeight="1" x14ac:dyDescent="0.3">
      <c r="AB1064"/>
      <c r="AC1064"/>
      <c r="AD1064"/>
      <c r="AE1064"/>
      <c r="AF1064"/>
      <c r="AG1064"/>
      <c r="AH1064"/>
      <c r="AI1064"/>
      <c r="AJ1064" s="25"/>
      <c r="AK1064" s="2"/>
      <c r="AR1064" s="25"/>
      <c r="BA1064" s="2"/>
      <c r="BG1064" s="1"/>
    </row>
    <row r="1065" spans="28:59" ht="15" customHeight="1" x14ac:dyDescent="0.3">
      <c r="AB1065"/>
      <c r="AC1065"/>
      <c r="AD1065"/>
      <c r="AE1065"/>
      <c r="AF1065"/>
      <c r="AG1065"/>
      <c r="AH1065"/>
      <c r="AI1065"/>
      <c r="AJ1065" s="25"/>
      <c r="AK1065" s="2"/>
      <c r="AR1065" s="25"/>
      <c r="BA1065" s="2"/>
      <c r="BG1065" s="1"/>
    </row>
    <row r="1066" spans="28:59" ht="15" customHeight="1" x14ac:dyDescent="0.3">
      <c r="AB1066"/>
      <c r="AC1066"/>
      <c r="AD1066"/>
      <c r="AE1066"/>
      <c r="AF1066"/>
      <c r="AG1066"/>
      <c r="AH1066"/>
      <c r="AI1066"/>
      <c r="AJ1066" s="25"/>
      <c r="AK1066" s="2"/>
      <c r="AR1066" s="25"/>
      <c r="BA1066" s="2"/>
      <c r="BG1066" s="1"/>
    </row>
    <row r="1067" spans="28:59" ht="15" customHeight="1" x14ac:dyDescent="0.3">
      <c r="AB1067"/>
      <c r="AC1067"/>
      <c r="AD1067"/>
      <c r="AE1067"/>
      <c r="AF1067"/>
      <c r="AG1067"/>
      <c r="AH1067"/>
      <c r="AI1067"/>
      <c r="AJ1067" s="25"/>
      <c r="AK1067" s="2"/>
      <c r="AR1067" s="25"/>
      <c r="BA1067" s="2"/>
      <c r="BG1067" s="1"/>
    </row>
    <row r="1068" spans="28:59" ht="15" customHeight="1" x14ac:dyDescent="0.3">
      <c r="AB1068"/>
      <c r="AC1068"/>
      <c r="AD1068"/>
      <c r="AE1068"/>
      <c r="AF1068"/>
      <c r="AG1068"/>
      <c r="AH1068"/>
      <c r="AI1068"/>
      <c r="AJ1068" s="25"/>
      <c r="AK1068" s="2"/>
      <c r="AR1068" s="25"/>
      <c r="BA1068" s="2"/>
      <c r="BG1068" s="1"/>
    </row>
    <row r="1069" spans="28:59" ht="15" customHeight="1" x14ac:dyDescent="0.3">
      <c r="AB1069"/>
      <c r="AC1069"/>
      <c r="AD1069"/>
      <c r="AE1069"/>
      <c r="AF1069"/>
      <c r="AG1069"/>
      <c r="AH1069"/>
      <c r="AI1069"/>
      <c r="AJ1069" s="25"/>
      <c r="AK1069" s="2"/>
      <c r="AR1069" s="25"/>
      <c r="BA1069" s="2"/>
      <c r="BG1069" s="1"/>
    </row>
    <row r="1070" spans="28:59" ht="15" customHeight="1" x14ac:dyDescent="0.3">
      <c r="AB1070"/>
      <c r="AC1070"/>
      <c r="AD1070"/>
      <c r="AE1070"/>
      <c r="AF1070"/>
      <c r="AG1070"/>
      <c r="AH1070"/>
      <c r="AI1070"/>
      <c r="AJ1070" s="25"/>
      <c r="AK1070" s="2"/>
      <c r="AR1070" s="25"/>
      <c r="BA1070" s="2"/>
      <c r="BG1070" s="1"/>
    </row>
    <row r="1071" spans="28:59" ht="15" customHeight="1" x14ac:dyDescent="0.3">
      <c r="AB1071"/>
      <c r="AC1071"/>
      <c r="AD1071"/>
      <c r="AE1071"/>
      <c r="AF1071"/>
      <c r="AG1071"/>
      <c r="AH1071"/>
      <c r="AI1071"/>
      <c r="AJ1071" s="25"/>
      <c r="AK1071" s="2"/>
      <c r="AR1071" s="25"/>
      <c r="BA1071" s="2"/>
      <c r="BG1071" s="1"/>
    </row>
    <row r="1072" spans="28:59" ht="15" customHeight="1" x14ac:dyDescent="0.3">
      <c r="AB1072"/>
      <c r="AC1072"/>
      <c r="AD1072"/>
      <c r="AE1072"/>
      <c r="AF1072"/>
      <c r="AG1072"/>
      <c r="AH1072"/>
      <c r="AI1072"/>
      <c r="AJ1072" s="25"/>
      <c r="AK1072" s="2"/>
      <c r="AR1072" s="25"/>
      <c r="BA1072" s="2"/>
      <c r="BG1072" s="1"/>
    </row>
    <row r="1073" spans="28:59" ht="15" customHeight="1" x14ac:dyDescent="0.3">
      <c r="AB1073"/>
      <c r="AC1073"/>
      <c r="AD1073"/>
      <c r="AE1073"/>
      <c r="AF1073"/>
      <c r="AG1073"/>
      <c r="AH1073"/>
      <c r="AI1073"/>
      <c r="AJ1073" s="25"/>
      <c r="AK1073" s="2"/>
      <c r="AR1073" s="25"/>
      <c r="BA1073" s="2"/>
      <c r="BG1073" s="1"/>
    </row>
    <row r="1074" spans="28:59" ht="15" customHeight="1" x14ac:dyDescent="0.3">
      <c r="AB1074"/>
      <c r="AC1074"/>
      <c r="AD1074"/>
      <c r="AE1074"/>
      <c r="AF1074"/>
      <c r="AG1074"/>
      <c r="AH1074"/>
      <c r="AI1074"/>
      <c r="AJ1074" s="25"/>
      <c r="AK1074" s="2"/>
      <c r="AR1074" s="25"/>
      <c r="BA1074" s="2"/>
      <c r="BG1074" s="1"/>
    </row>
    <row r="1075" spans="28:59" ht="15" customHeight="1" x14ac:dyDescent="0.3">
      <c r="AB1075"/>
      <c r="AC1075"/>
      <c r="AD1075"/>
      <c r="AE1075"/>
      <c r="AF1075"/>
      <c r="AG1075"/>
      <c r="AH1075"/>
      <c r="AI1075"/>
      <c r="AJ1075" s="25"/>
      <c r="AK1075" s="2"/>
      <c r="AR1075" s="25"/>
      <c r="BA1075" s="2"/>
      <c r="BG1075" s="1"/>
    </row>
    <row r="1076" spans="28:59" ht="15" customHeight="1" x14ac:dyDescent="0.3">
      <c r="AB1076"/>
      <c r="AC1076"/>
      <c r="AD1076"/>
      <c r="AE1076"/>
      <c r="AF1076"/>
      <c r="AG1076"/>
      <c r="AH1076"/>
      <c r="AI1076"/>
      <c r="AJ1076" s="25"/>
      <c r="AK1076" s="2"/>
      <c r="AR1076" s="25"/>
      <c r="BA1076" s="2"/>
      <c r="BG1076" s="1"/>
    </row>
    <row r="1077" spans="28:59" ht="15" customHeight="1" x14ac:dyDescent="0.3">
      <c r="AB1077"/>
      <c r="AC1077"/>
      <c r="AD1077"/>
      <c r="AE1077"/>
      <c r="AF1077"/>
      <c r="AG1077"/>
      <c r="AH1077"/>
      <c r="AI1077"/>
      <c r="AJ1077" s="25"/>
      <c r="AK1077" s="2"/>
      <c r="AR1077" s="25"/>
      <c r="BA1077" s="2"/>
      <c r="BG1077" s="1"/>
    </row>
    <row r="1078" spans="28:59" ht="15" customHeight="1" x14ac:dyDescent="0.3">
      <c r="AB1078"/>
      <c r="AC1078"/>
      <c r="AD1078"/>
      <c r="AE1078"/>
      <c r="AF1078"/>
      <c r="AG1078"/>
      <c r="AH1078"/>
      <c r="AI1078"/>
      <c r="AJ1078" s="25"/>
      <c r="AK1078" s="2"/>
      <c r="AR1078" s="25"/>
      <c r="BA1078" s="2"/>
      <c r="BG1078" s="1"/>
    </row>
    <row r="1079" spans="28:59" ht="15" customHeight="1" x14ac:dyDescent="0.3">
      <c r="AB1079"/>
      <c r="AC1079"/>
      <c r="AD1079"/>
      <c r="AE1079"/>
      <c r="AF1079"/>
      <c r="AG1079"/>
      <c r="AH1079"/>
      <c r="AI1079"/>
      <c r="AJ1079" s="25"/>
      <c r="AK1079" s="2"/>
      <c r="AR1079" s="25"/>
      <c r="BA1079" s="2"/>
      <c r="BG1079" s="1"/>
    </row>
    <row r="1080" spans="28:59" ht="15" customHeight="1" x14ac:dyDescent="0.3">
      <c r="AB1080"/>
      <c r="AC1080"/>
      <c r="AD1080"/>
      <c r="AE1080"/>
      <c r="AF1080"/>
      <c r="AG1080"/>
      <c r="AH1080"/>
      <c r="AI1080"/>
      <c r="AJ1080" s="25"/>
      <c r="AK1080" s="2"/>
      <c r="AR1080" s="25"/>
      <c r="BA1080" s="2"/>
      <c r="BG1080" s="1"/>
    </row>
    <row r="1081" spans="28:59" ht="15" customHeight="1" x14ac:dyDescent="0.3">
      <c r="AB1081"/>
      <c r="AC1081"/>
      <c r="AD1081"/>
      <c r="AE1081"/>
      <c r="AF1081"/>
      <c r="AG1081"/>
      <c r="AH1081"/>
      <c r="AI1081"/>
      <c r="AJ1081" s="25"/>
      <c r="AK1081" s="2"/>
      <c r="AR1081" s="25"/>
      <c r="BA1081" s="2"/>
      <c r="BG1081" s="1"/>
    </row>
    <row r="1082" spans="28:59" ht="15" customHeight="1" x14ac:dyDescent="0.3">
      <c r="AB1082"/>
      <c r="AC1082"/>
      <c r="AD1082"/>
      <c r="AE1082"/>
      <c r="AF1082"/>
      <c r="AG1082"/>
      <c r="AH1082"/>
      <c r="AI1082"/>
      <c r="AJ1082" s="25"/>
      <c r="AK1082" s="2"/>
      <c r="AR1082" s="25"/>
      <c r="BA1082" s="2"/>
      <c r="BG1082" s="1"/>
    </row>
    <row r="1083" spans="28:59" ht="15" customHeight="1" x14ac:dyDescent="0.3">
      <c r="AB1083"/>
      <c r="AC1083"/>
      <c r="AD1083"/>
      <c r="AE1083"/>
      <c r="AF1083"/>
      <c r="AG1083"/>
      <c r="AH1083"/>
      <c r="AI1083"/>
      <c r="AJ1083" s="25"/>
      <c r="AK1083" s="2"/>
      <c r="AR1083" s="25"/>
      <c r="BA1083" s="2"/>
      <c r="BG1083" s="1"/>
    </row>
    <row r="1084" spans="28:59" ht="15" customHeight="1" x14ac:dyDescent="0.3">
      <c r="AB1084"/>
      <c r="AC1084"/>
      <c r="AD1084"/>
      <c r="AE1084"/>
      <c r="AF1084"/>
      <c r="AG1084"/>
      <c r="AH1084"/>
      <c r="AI1084"/>
      <c r="AJ1084" s="25"/>
      <c r="AK1084" s="2"/>
      <c r="AR1084" s="25"/>
      <c r="BA1084" s="2"/>
      <c r="BG1084" s="1"/>
    </row>
    <row r="1085" spans="28:59" ht="15" customHeight="1" x14ac:dyDescent="0.3">
      <c r="AB1085"/>
      <c r="AC1085"/>
      <c r="AD1085"/>
      <c r="AE1085"/>
      <c r="AF1085"/>
      <c r="AG1085"/>
      <c r="AH1085"/>
      <c r="AI1085"/>
      <c r="AJ1085" s="25"/>
      <c r="AK1085" s="2"/>
      <c r="AR1085" s="25"/>
      <c r="BA1085" s="2"/>
      <c r="BG1085" s="1"/>
    </row>
    <row r="1086" spans="28:59" ht="15" customHeight="1" x14ac:dyDescent="0.3">
      <c r="AB1086"/>
      <c r="AC1086"/>
      <c r="AD1086"/>
      <c r="AE1086"/>
      <c r="AF1086"/>
      <c r="AG1086"/>
      <c r="AH1086"/>
      <c r="AI1086"/>
      <c r="AJ1086" s="25"/>
      <c r="AK1086" s="2"/>
      <c r="AR1086" s="25"/>
      <c r="BA1086" s="2"/>
      <c r="BG1086" s="1"/>
    </row>
    <row r="1087" spans="28:59" ht="15" customHeight="1" x14ac:dyDescent="0.3">
      <c r="AB1087"/>
      <c r="AC1087"/>
      <c r="AD1087"/>
      <c r="AE1087"/>
      <c r="AF1087"/>
      <c r="AG1087"/>
      <c r="AH1087"/>
      <c r="AI1087"/>
      <c r="AJ1087" s="25"/>
      <c r="AK1087" s="2"/>
      <c r="AR1087" s="25"/>
      <c r="BA1087" s="2"/>
      <c r="BG1087" s="1"/>
    </row>
    <row r="1088" spans="28:59" ht="15" customHeight="1" x14ac:dyDescent="0.3">
      <c r="AB1088"/>
      <c r="AC1088"/>
      <c r="AD1088"/>
      <c r="AE1088"/>
      <c r="AF1088"/>
      <c r="AG1088"/>
      <c r="AH1088"/>
      <c r="AI1088"/>
      <c r="AJ1088" s="25"/>
      <c r="AK1088" s="2"/>
      <c r="AR1088" s="25"/>
      <c r="BA1088" s="2"/>
      <c r="BG1088" s="1"/>
    </row>
    <row r="1089" spans="28:59" ht="15" customHeight="1" x14ac:dyDescent="0.3">
      <c r="AB1089"/>
      <c r="AC1089"/>
      <c r="AD1089"/>
      <c r="AE1089"/>
      <c r="AF1089"/>
      <c r="AG1089"/>
      <c r="AH1089"/>
      <c r="AI1089"/>
      <c r="AJ1089" s="25"/>
      <c r="AK1089" s="2"/>
      <c r="AR1089" s="25"/>
      <c r="BA1089" s="2"/>
      <c r="BG1089" s="1"/>
    </row>
    <row r="1090" spans="28:59" ht="15" customHeight="1" x14ac:dyDescent="0.3">
      <c r="AB1090"/>
      <c r="AC1090"/>
      <c r="AD1090"/>
      <c r="AE1090"/>
      <c r="AF1090"/>
      <c r="AG1090"/>
      <c r="AH1090"/>
      <c r="AI1090"/>
      <c r="AJ1090" s="25"/>
      <c r="AK1090" s="2"/>
      <c r="AR1090" s="25"/>
      <c r="BA1090" s="2"/>
      <c r="BG1090" s="1"/>
    </row>
    <row r="1091" spans="28:59" ht="15" customHeight="1" x14ac:dyDescent="0.3">
      <c r="AB1091"/>
      <c r="AC1091"/>
      <c r="AD1091"/>
      <c r="AE1091"/>
      <c r="AF1091"/>
      <c r="AG1091"/>
      <c r="AH1091"/>
      <c r="AI1091"/>
      <c r="AJ1091" s="25"/>
      <c r="AK1091" s="2"/>
      <c r="AR1091" s="25"/>
      <c r="BA1091" s="2"/>
      <c r="BG1091" s="1"/>
    </row>
    <row r="1092" spans="28:59" ht="15" customHeight="1" x14ac:dyDescent="0.3">
      <c r="AB1092"/>
      <c r="AC1092"/>
      <c r="AD1092"/>
      <c r="AE1092"/>
      <c r="AF1092"/>
      <c r="AG1092"/>
      <c r="AH1092"/>
      <c r="AI1092"/>
      <c r="AJ1092" s="25"/>
      <c r="AK1092" s="2"/>
      <c r="AR1092" s="25"/>
      <c r="BA1092" s="2"/>
      <c r="BG1092" s="1"/>
    </row>
    <row r="1093" spans="28:59" ht="15" customHeight="1" x14ac:dyDescent="0.3">
      <c r="AB1093"/>
      <c r="AC1093"/>
      <c r="AD1093"/>
      <c r="AE1093"/>
      <c r="AF1093"/>
      <c r="AG1093"/>
      <c r="AH1093"/>
      <c r="AI1093"/>
      <c r="AJ1093" s="25"/>
      <c r="AK1093" s="2"/>
      <c r="AR1093" s="25"/>
      <c r="BA1093" s="2"/>
      <c r="BG1093" s="1"/>
    </row>
    <row r="1094" spans="28:59" ht="15" customHeight="1" x14ac:dyDescent="0.3">
      <c r="AB1094"/>
      <c r="AC1094"/>
      <c r="AD1094"/>
      <c r="AE1094"/>
      <c r="AF1094"/>
      <c r="AG1094"/>
      <c r="AH1094"/>
      <c r="AI1094"/>
      <c r="AJ1094" s="25"/>
      <c r="AK1094" s="2"/>
      <c r="AR1094" s="25"/>
      <c r="BA1094" s="2"/>
      <c r="BG1094" s="1"/>
    </row>
    <row r="1095" spans="28:59" ht="15" customHeight="1" x14ac:dyDescent="0.3">
      <c r="AB1095"/>
      <c r="AC1095"/>
      <c r="AD1095"/>
      <c r="AE1095"/>
      <c r="AF1095"/>
      <c r="AG1095"/>
      <c r="AH1095"/>
      <c r="AI1095"/>
      <c r="AJ1095" s="25"/>
      <c r="AK1095" s="2"/>
      <c r="AR1095" s="25"/>
      <c r="BA1095" s="2"/>
      <c r="BG1095" s="1"/>
    </row>
    <row r="1096" spans="28:59" ht="15" customHeight="1" x14ac:dyDescent="0.3">
      <c r="AB1096"/>
      <c r="AC1096"/>
      <c r="AD1096"/>
      <c r="AE1096"/>
      <c r="AF1096"/>
      <c r="AG1096"/>
      <c r="AH1096"/>
      <c r="AI1096"/>
      <c r="AJ1096" s="25"/>
      <c r="AK1096" s="2"/>
      <c r="AR1096" s="25"/>
      <c r="BA1096" s="2"/>
      <c r="BG1096" s="1"/>
    </row>
    <row r="1097" spans="28:59" ht="15" customHeight="1" x14ac:dyDescent="0.3">
      <c r="AB1097"/>
      <c r="AC1097"/>
      <c r="AD1097"/>
      <c r="AE1097"/>
      <c r="AF1097"/>
      <c r="AG1097"/>
      <c r="AH1097"/>
      <c r="AI1097"/>
      <c r="AJ1097" s="25"/>
      <c r="AK1097" s="2"/>
      <c r="AR1097" s="25"/>
      <c r="BA1097" s="2"/>
      <c r="BG1097" s="1"/>
    </row>
    <row r="1098" spans="28:59" ht="15" customHeight="1" x14ac:dyDescent="0.3">
      <c r="AB1098"/>
      <c r="AC1098"/>
      <c r="AD1098"/>
      <c r="AE1098"/>
      <c r="AF1098"/>
      <c r="AG1098"/>
      <c r="AH1098"/>
      <c r="AI1098"/>
      <c r="AJ1098" s="25"/>
      <c r="AK1098" s="2"/>
      <c r="AR1098" s="25"/>
      <c r="BA1098" s="2"/>
      <c r="BG1098" s="1"/>
    </row>
    <row r="1099" spans="28:59" ht="15" customHeight="1" x14ac:dyDescent="0.3">
      <c r="AB1099"/>
      <c r="AC1099"/>
      <c r="AD1099"/>
      <c r="AE1099"/>
      <c r="AF1099"/>
      <c r="AG1099"/>
      <c r="AH1099"/>
      <c r="AI1099"/>
      <c r="AJ1099" s="25"/>
      <c r="AK1099" s="2"/>
      <c r="AR1099" s="25"/>
      <c r="BA1099" s="2"/>
      <c r="BG1099" s="1"/>
    </row>
    <row r="1100" spans="28:59" ht="15" customHeight="1" x14ac:dyDescent="0.3">
      <c r="AB1100"/>
      <c r="AC1100"/>
      <c r="AD1100"/>
      <c r="AE1100"/>
      <c r="AF1100"/>
      <c r="AG1100"/>
      <c r="AH1100"/>
      <c r="AI1100"/>
      <c r="AJ1100" s="25"/>
      <c r="AK1100" s="2"/>
      <c r="AR1100" s="25"/>
      <c r="BA1100" s="2"/>
      <c r="BG1100" s="1"/>
    </row>
    <row r="1101" spans="28:59" ht="15" customHeight="1" x14ac:dyDescent="0.3">
      <c r="AB1101"/>
      <c r="AC1101"/>
      <c r="AD1101"/>
      <c r="AE1101"/>
      <c r="AF1101"/>
      <c r="AG1101"/>
      <c r="AH1101"/>
      <c r="AI1101"/>
      <c r="AJ1101" s="25"/>
      <c r="AK1101" s="2"/>
      <c r="AR1101" s="25"/>
      <c r="BA1101" s="2"/>
      <c r="BG1101" s="1"/>
    </row>
    <row r="1102" spans="28:59" ht="15" customHeight="1" x14ac:dyDescent="0.3">
      <c r="AB1102"/>
      <c r="AC1102"/>
      <c r="AD1102"/>
      <c r="AE1102"/>
      <c r="AF1102"/>
      <c r="AG1102"/>
      <c r="AH1102"/>
      <c r="AI1102"/>
      <c r="AJ1102" s="25"/>
      <c r="AK1102" s="2"/>
      <c r="AR1102" s="25"/>
      <c r="BA1102" s="2"/>
      <c r="BG1102" s="1"/>
    </row>
    <row r="1103" spans="28:59" ht="15" customHeight="1" x14ac:dyDescent="0.3">
      <c r="AB1103"/>
      <c r="AC1103"/>
      <c r="AD1103"/>
      <c r="AE1103"/>
      <c r="AF1103"/>
      <c r="AG1103"/>
      <c r="AH1103"/>
      <c r="AI1103"/>
      <c r="AJ1103" s="25"/>
      <c r="AK1103" s="2"/>
      <c r="AR1103" s="25"/>
      <c r="BA1103" s="2"/>
      <c r="BG1103" s="1"/>
    </row>
    <row r="1104" spans="28:59" ht="15" customHeight="1" x14ac:dyDescent="0.3">
      <c r="AB1104"/>
      <c r="AC1104"/>
      <c r="AD1104"/>
      <c r="AE1104"/>
      <c r="AF1104"/>
      <c r="AG1104"/>
      <c r="AH1104"/>
      <c r="AI1104"/>
      <c r="AJ1104" s="25"/>
      <c r="AK1104" s="2"/>
      <c r="AR1104" s="25"/>
      <c r="BA1104" s="2"/>
      <c r="BG1104" s="1"/>
    </row>
    <row r="1105" spans="28:59" ht="15" customHeight="1" x14ac:dyDescent="0.3">
      <c r="AB1105"/>
      <c r="AC1105"/>
      <c r="AD1105"/>
      <c r="AE1105"/>
      <c r="AF1105"/>
      <c r="AG1105"/>
      <c r="AH1105"/>
      <c r="AI1105"/>
      <c r="AJ1105" s="25"/>
      <c r="AK1105" s="2"/>
      <c r="AR1105" s="25"/>
      <c r="BA1105" s="2"/>
      <c r="BG1105" s="1"/>
    </row>
    <row r="1106" spans="28:59" ht="15" customHeight="1" x14ac:dyDescent="0.3">
      <c r="AB1106"/>
      <c r="AC1106"/>
      <c r="AD1106"/>
      <c r="AE1106"/>
      <c r="AF1106"/>
      <c r="AG1106"/>
      <c r="AH1106"/>
      <c r="AI1106"/>
      <c r="AJ1106" s="25"/>
      <c r="AK1106" s="2"/>
      <c r="AR1106" s="25"/>
      <c r="BA1106" s="2"/>
      <c r="BG1106" s="1"/>
    </row>
    <row r="1107" spans="28:59" ht="15" customHeight="1" x14ac:dyDescent="0.3">
      <c r="AB1107"/>
      <c r="AC1107"/>
      <c r="AD1107"/>
      <c r="AE1107"/>
      <c r="AF1107"/>
      <c r="AG1107"/>
      <c r="AH1107"/>
      <c r="AI1107"/>
      <c r="AJ1107" s="25"/>
      <c r="AK1107" s="2"/>
      <c r="AR1107" s="25"/>
      <c r="BA1107" s="2"/>
      <c r="BG1107" s="1"/>
    </row>
    <row r="1108" spans="28:59" ht="15" customHeight="1" x14ac:dyDescent="0.3">
      <c r="AB1108"/>
      <c r="AC1108"/>
      <c r="AD1108"/>
      <c r="AE1108"/>
      <c r="AF1108"/>
      <c r="AG1108"/>
      <c r="AH1108"/>
      <c r="AI1108"/>
      <c r="AJ1108" s="25"/>
      <c r="AK1108" s="2"/>
      <c r="AR1108" s="25"/>
      <c r="BA1108" s="2"/>
      <c r="BG1108" s="1"/>
    </row>
    <row r="1109" spans="28:59" ht="15" customHeight="1" x14ac:dyDescent="0.3">
      <c r="AB1109"/>
      <c r="AC1109"/>
      <c r="AD1109"/>
      <c r="AE1109"/>
      <c r="AF1109"/>
      <c r="AG1109"/>
      <c r="AH1109"/>
      <c r="AI1109"/>
      <c r="AJ1109" s="25"/>
      <c r="AK1109" s="2"/>
      <c r="AR1109" s="25"/>
      <c r="BA1109" s="2"/>
      <c r="BG1109" s="1"/>
    </row>
    <row r="1110" spans="28:59" ht="15" customHeight="1" x14ac:dyDescent="0.3">
      <c r="AB1110"/>
      <c r="AC1110"/>
      <c r="AD1110"/>
      <c r="AE1110"/>
      <c r="AF1110"/>
      <c r="AG1110"/>
      <c r="AH1110"/>
      <c r="AI1110"/>
      <c r="AJ1110" s="25"/>
      <c r="AK1110" s="2"/>
      <c r="AR1110" s="25"/>
      <c r="BA1110" s="2"/>
      <c r="BG1110" s="1"/>
    </row>
    <row r="1111" spans="28:59" ht="15" customHeight="1" x14ac:dyDescent="0.3">
      <c r="AB1111"/>
      <c r="AC1111"/>
      <c r="AD1111"/>
      <c r="AE1111"/>
      <c r="AF1111"/>
      <c r="AG1111"/>
      <c r="AH1111"/>
      <c r="AI1111"/>
      <c r="AJ1111" s="25"/>
      <c r="AK1111" s="2"/>
      <c r="AR1111" s="25"/>
      <c r="BA1111" s="2"/>
      <c r="BG1111" s="1"/>
    </row>
    <row r="1112" spans="28:59" ht="15" customHeight="1" x14ac:dyDescent="0.3">
      <c r="AB1112"/>
      <c r="AC1112"/>
      <c r="AD1112"/>
      <c r="AE1112"/>
      <c r="AF1112"/>
      <c r="AG1112"/>
      <c r="AH1112"/>
      <c r="AI1112"/>
      <c r="AJ1112" s="25"/>
      <c r="AK1112" s="2"/>
      <c r="AR1112" s="25"/>
      <c r="BA1112" s="2"/>
      <c r="BG1112" s="1"/>
    </row>
    <row r="1113" spans="28:59" ht="15" customHeight="1" x14ac:dyDescent="0.3">
      <c r="AB1113"/>
      <c r="AC1113"/>
      <c r="AD1113"/>
      <c r="AE1113"/>
      <c r="AF1113"/>
      <c r="AG1113"/>
      <c r="AH1113"/>
      <c r="AI1113"/>
      <c r="AJ1113" s="25"/>
      <c r="AK1113" s="2"/>
      <c r="AR1113" s="25"/>
      <c r="BA1113" s="2"/>
      <c r="BG1113" s="1"/>
    </row>
    <row r="1114" spans="28:59" ht="15" customHeight="1" x14ac:dyDescent="0.3">
      <c r="AB1114"/>
      <c r="AC1114"/>
      <c r="AD1114"/>
      <c r="AE1114"/>
      <c r="AF1114"/>
      <c r="AG1114"/>
      <c r="AH1114"/>
      <c r="AI1114"/>
      <c r="AJ1114" s="25"/>
      <c r="AK1114" s="2"/>
      <c r="AR1114" s="25"/>
      <c r="BA1114" s="2"/>
      <c r="BG1114" s="1"/>
    </row>
    <row r="1115" spans="28:59" ht="15" customHeight="1" x14ac:dyDescent="0.3">
      <c r="AB1115"/>
      <c r="AC1115"/>
      <c r="AD1115"/>
      <c r="AE1115"/>
      <c r="AF1115"/>
      <c r="AG1115"/>
      <c r="AH1115"/>
      <c r="AI1115"/>
      <c r="AJ1115" s="25"/>
      <c r="AK1115" s="2"/>
      <c r="AR1115" s="25"/>
      <c r="BA1115" s="2"/>
      <c r="BG1115" s="1"/>
    </row>
    <row r="1116" spans="28:59" ht="15" customHeight="1" x14ac:dyDescent="0.3">
      <c r="AB1116"/>
      <c r="AC1116"/>
      <c r="AD1116"/>
      <c r="AE1116"/>
      <c r="AF1116"/>
      <c r="AG1116"/>
      <c r="AH1116"/>
      <c r="AI1116"/>
      <c r="AJ1116" s="25"/>
      <c r="AK1116" s="2"/>
      <c r="AR1116" s="25"/>
      <c r="BA1116" s="2"/>
      <c r="BG1116" s="1"/>
    </row>
    <row r="1117" spans="28:59" ht="15" customHeight="1" x14ac:dyDescent="0.3">
      <c r="AB1117"/>
      <c r="AC1117"/>
      <c r="AD1117"/>
      <c r="AE1117"/>
      <c r="AF1117"/>
      <c r="AG1117"/>
      <c r="AH1117"/>
      <c r="AI1117"/>
      <c r="AJ1117" s="25"/>
      <c r="AK1117" s="2"/>
      <c r="AR1117" s="25"/>
      <c r="BA1117" s="2"/>
      <c r="BG1117" s="1"/>
    </row>
    <row r="1118" spans="28:59" ht="15" customHeight="1" x14ac:dyDescent="0.3">
      <c r="AB1118"/>
      <c r="AC1118"/>
      <c r="AD1118"/>
      <c r="AE1118"/>
      <c r="AF1118"/>
      <c r="AG1118"/>
      <c r="AH1118"/>
      <c r="AI1118"/>
      <c r="AJ1118" s="25"/>
      <c r="AK1118" s="2"/>
      <c r="AR1118" s="25"/>
      <c r="BA1118" s="2"/>
      <c r="BG1118" s="1"/>
    </row>
    <row r="1119" spans="28:59" ht="15" customHeight="1" x14ac:dyDescent="0.3">
      <c r="AB1119"/>
      <c r="AC1119"/>
      <c r="AD1119"/>
      <c r="AE1119"/>
      <c r="AF1119"/>
      <c r="AG1119"/>
      <c r="AH1119"/>
      <c r="AI1119"/>
      <c r="AJ1119" s="25"/>
      <c r="AK1119" s="2"/>
      <c r="AR1119" s="25"/>
      <c r="BA1119" s="2"/>
      <c r="BG1119" s="1"/>
    </row>
    <row r="1120" spans="28:59" ht="15" customHeight="1" x14ac:dyDescent="0.3">
      <c r="AB1120"/>
      <c r="AC1120"/>
      <c r="AD1120"/>
      <c r="AE1120"/>
      <c r="AF1120"/>
      <c r="AG1120"/>
      <c r="AH1120"/>
      <c r="AI1120"/>
      <c r="AJ1120" s="25"/>
      <c r="AK1120" s="2"/>
      <c r="AR1120" s="25"/>
      <c r="BA1120" s="2"/>
      <c r="BG1120" s="1"/>
    </row>
    <row r="1121" spans="28:59" ht="15" customHeight="1" x14ac:dyDescent="0.3">
      <c r="AB1121"/>
      <c r="AC1121"/>
      <c r="AD1121"/>
      <c r="AE1121"/>
      <c r="AF1121"/>
      <c r="AG1121"/>
      <c r="AH1121"/>
      <c r="AI1121"/>
      <c r="AJ1121" s="25"/>
      <c r="AK1121" s="2"/>
      <c r="AR1121" s="25"/>
      <c r="BA1121" s="2"/>
      <c r="BG1121" s="1"/>
    </row>
    <row r="1122" spans="28:59" ht="15" customHeight="1" x14ac:dyDescent="0.3">
      <c r="AB1122"/>
      <c r="AC1122"/>
      <c r="AD1122"/>
      <c r="AE1122"/>
      <c r="AF1122"/>
      <c r="AG1122"/>
      <c r="AH1122"/>
      <c r="AI1122"/>
      <c r="AJ1122" s="25"/>
      <c r="AK1122" s="2"/>
      <c r="AR1122" s="25"/>
      <c r="BA1122" s="2"/>
      <c r="BG1122" s="1"/>
    </row>
    <row r="1123" spans="28:59" ht="15" customHeight="1" x14ac:dyDescent="0.3">
      <c r="AB1123"/>
      <c r="AC1123"/>
      <c r="AD1123"/>
      <c r="AE1123"/>
      <c r="AF1123"/>
      <c r="AG1123"/>
      <c r="AH1123"/>
      <c r="AI1123"/>
      <c r="AJ1123" s="25"/>
      <c r="AK1123" s="2"/>
      <c r="AR1123" s="25"/>
      <c r="BA1123" s="2"/>
      <c r="BG1123" s="1"/>
    </row>
    <row r="1124" spans="28:59" ht="15" customHeight="1" x14ac:dyDescent="0.3">
      <c r="AB1124"/>
      <c r="AC1124"/>
      <c r="AD1124"/>
      <c r="AE1124"/>
      <c r="AF1124"/>
      <c r="AG1124"/>
      <c r="AH1124"/>
      <c r="AI1124"/>
      <c r="AJ1124" s="25"/>
      <c r="AK1124" s="2"/>
      <c r="AR1124" s="25"/>
      <c r="BA1124" s="2"/>
      <c r="BG1124" s="1"/>
    </row>
    <row r="1125" spans="28:59" ht="15" customHeight="1" x14ac:dyDescent="0.3">
      <c r="AB1125"/>
      <c r="AC1125"/>
      <c r="AD1125"/>
      <c r="AE1125"/>
      <c r="AF1125"/>
      <c r="AG1125"/>
      <c r="AH1125"/>
      <c r="AI1125"/>
      <c r="AJ1125" s="25"/>
      <c r="AK1125" s="2"/>
      <c r="AR1125" s="25"/>
      <c r="BA1125" s="2"/>
      <c r="BG1125" s="1"/>
    </row>
    <row r="1126" spans="28:59" ht="15" customHeight="1" x14ac:dyDescent="0.3">
      <c r="AB1126"/>
      <c r="AC1126"/>
      <c r="AD1126"/>
      <c r="AE1126"/>
      <c r="AF1126"/>
      <c r="AG1126"/>
      <c r="AH1126"/>
      <c r="AI1126"/>
      <c r="AJ1126" s="25"/>
      <c r="AK1126" s="2"/>
      <c r="AR1126" s="25"/>
      <c r="BA1126" s="2"/>
      <c r="BG1126" s="1"/>
    </row>
    <row r="1127" spans="28:59" ht="15" customHeight="1" x14ac:dyDescent="0.3">
      <c r="AB1127"/>
      <c r="AC1127"/>
      <c r="AD1127"/>
      <c r="AE1127"/>
      <c r="AF1127"/>
      <c r="AG1127"/>
      <c r="AH1127"/>
      <c r="AI1127"/>
      <c r="AJ1127" s="25"/>
      <c r="AK1127" s="2"/>
      <c r="AR1127" s="25"/>
      <c r="BA1127" s="2"/>
      <c r="BG1127" s="1"/>
    </row>
    <row r="1128" spans="28:59" ht="15" customHeight="1" x14ac:dyDescent="0.3">
      <c r="AB1128"/>
      <c r="AC1128"/>
      <c r="AD1128"/>
      <c r="AE1128"/>
      <c r="AF1128"/>
      <c r="AG1128"/>
      <c r="AH1128"/>
      <c r="AI1128"/>
      <c r="AJ1128" s="25"/>
      <c r="AK1128" s="2"/>
      <c r="AR1128" s="25"/>
      <c r="BA1128" s="2"/>
      <c r="BG1128" s="1"/>
    </row>
    <row r="1129" spans="28:59" ht="15" customHeight="1" x14ac:dyDescent="0.3">
      <c r="AB1129"/>
      <c r="AC1129"/>
      <c r="AD1129"/>
      <c r="AE1129"/>
      <c r="AF1129"/>
      <c r="AG1129"/>
      <c r="AH1129"/>
      <c r="AI1129"/>
      <c r="AJ1129" s="25"/>
      <c r="AK1129" s="2"/>
      <c r="AR1129" s="25"/>
      <c r="BA1129" s="2"/>
      <c r="BG1129" s="1"/>
    </row>
    <row r="1130" spans="28:59" ht="15" customHeight="1" x14ac:dyDescent="0.3">
      <c r="AB1130"/>
      <c r="AC1130"/>
      <c r="AD1130"/>
      <c r="AE1130"/>
      <c r="AF1130"/>
      <c r="AG1130"/>
      <c r="AH1130"/>
      <c r="AI1130"/>
      <c r="AJ1130" s="25"/>
      <c r="AK1130" s="2"/>
      <c r="AR1130" s="25"/>
      <c r="BA1130" s="2"/>
      <c r="BG1130" s="1"/>
    </row>
    <row r="1131" spans="28:59" ht="15" customHeight="1" x14ac:dyDescent="0.3">
      <c r="AB1131"/>
      <c r="AC1131"/>
      <c r="AD1131"/>
      <c r="AE1131"/>
      <c r="AF1131"/>
      <c r="AG1131"/>
      <c r="AH1131"/>
      <c r="AI1131"/>
      <c r="AJ1131" s="25"/>
      <c r="AK1131" s="2"/>
      <c r="AR1131" s="25"/>
      <c r="BA1131" s="2"/>
      <c r="BG1131" s="1"/>
    </row>
    <row r="1132" spans="28:59" ht="15" customHeight="1" x14ac:dyDescent="0.3">
      <c r="AB1132"/>
      <c r="AC1132"/>
      <c r="AD1132"/>
      <c r="AE1132"/>
      <c r="AF1132"/>
      <c r="AG1132"/>
      <c r="AH1132"/>
      <c r="AI1132"/>
      <c r="AJ1132" s="25"/>
      <c r="AK1132" s="2"/>
      <c r="AR1132" s="25"/>
      <c r="BA1132" s="2"/>
      <c r="BG1132" s="1"/>
    </row>
    <row r="1133" spans="28:59" ht="15" customHeight="1" x14ac:dyDescent="0.3">
      <c r="AB1133"/>
      <c r="AC1133"/>
      <c r="AD1133"/>
      <c r="AE1133"/>
      <c r="AF1133"/>
      <c r="AG1133"/>
      <c r="AH1133"/>
      <c r="AI1133"/>
      <c r="AJ1133" s="25"/>
      <c r="AK1133" s="2"/>
      <c r="AR1133" s="25"/>
      <c r="BA1133" s="2"/>
      <c r="BG1133" s="1"/>
    </row>
    <row r="1134" spans="28:59" ht="15" customHeight="1" x14ac:dyDescent="0.3">
      <c r="AB1134"/>
      <c r="AC1134"/>
      <c r="AD1134"/>
      <c r="AE1134"/>
      <c r="AF1134"/>
      <c r="AG1134"/>
      <c r="AH1134"/>
      <c r="AI1134"/>
      <c r="AJ1134" s="25"/>
      <c r="AK1134" s="2"/>
      <c r="AR1134" s="25"/>
      <c r="BA1134" s="2"/>
      <c r="BG1134" s="1"/>
    </row>
    <row r="1135" spans="28:59" ht="15" customHeight="1" x14ac:dyDescent="0.3">
      <c r="AB1135"/>
      <c r="AC1135"/>
      <c r="AD1135"/>
      <c r="AE1135"/>
      <c r="AF1135"/>
      <c r="AG1135"/>
      <c r="AH1135"/>
      <c r="AI1135"/>
      <c r="AJ1135" s="25"/>
      <c r="AK1135" s="2"/>
      <c r="AR1135" s="25"/>
      <c r="BA1135" s="2"/>
      <c r="BG1135" s="1"/>
    </row>
    <row r="1136" spans="28:59" ht="15" customHeight="1" x14ac:dyDescent="0.3">
      <c r="AB1136"/>
      <c r="AC1136"/>
      <c r="AD1136"/>
      <c r="AE1136"/>
      <c r="AF1136"/>
      <c r="AG1136"/>
      <c r="AH1136"/>
      <c r="AI1136"/>
      <c r="AJ1136" s="25"/>
      <c r="AK1136" s="2"/>
      <c r="AR1136" s="25"/>
      <c r="BA1136" s="2"/>
      <c r="BG1136" s="1"/>
    </row>
    <row r="1137" spans="28:59" ht="15" customHeight="1" x14ac:dyDescent="0.3">
      <c r="AB1137"/>
      <c r="AC1137"/>
      <c r="AD1137"/>
      <c r="AE1137"/>
      <c r="AF1137"/>
      <c r="AG1137"/>
      <c r="AH1137"/>
      <c r="AI1137"/>
      <c r="AJ1137" s="25"/>
      <c r="AK1137" s="2"/>
      <c r="AR1137" s="25"/>
      <c r="BA1137" s="2"/>
      <c r="BG1137" s="1"/>
    </row>
    <row r="1138" spans="28:59" ht="15" customHeight="1" x14ac:dyDescent="0.3">
      <c r="AB1138"/>
      <c r="AC1138"/>
      <c r="AD1138"/>
      <c r="AE1138"/>
      <c r="AF1138"/>
      <c r="AG1138"/>
      <c r="AH1138"/>
      <c r="AI1138"/>
      <c r="AJ1138" s="25"/>
      <c r="AK1138" s="2"/>
      <c r="AR1138" s="25"/>
      <c r="BA1138" s="2"/>
      <c r="BG1138" s="1"/>
    </row>
    <row r="1139" spans="28:59" ht="15" customHeight="1" x14ac:dyDescent="0.3">
      <c r="AB1139"/>
      <c r="AC1139"/>
      <c r="AD1139"/>
      <c r="AE1139"/>
      <c r="AF1139"/>
      <c r="AG1139"/>
      <c r="AH1139"/>
      <c r="AI1139"/>
      <c r="AJ1139" s="25"/>
      <c r="AK1139" s="2"/>
      <c r="AR1139" s="25"/>
      <c r="BA1139" s="2"/>
      <c r="BG1139" s="1"/>
    </row>
    <row r="1140" spans="28:59" ht="15" customHeight="1" x14ac:dyDescent="0.3">
      <c r="AB1140"/>
      <c r="AC1140"/>
      <c r="AD1140"/>
      <c r="AE1140"/>
      <c r="AF1140"/>
      <c r="AG1140"/>
      <c r="AH1140"/>
      <c r="AI1140"/>
      <c r="AJ1140" s="25"/>
      <c r="AK1140" s="2"/>
      <c r="AR1140" s="25"/>
      <c r="BA1140" s="2"/>
      <c r="BG1140" s="1"/>
    </row>
    <row r="1141" spans="28:59" ht="15" customHeight="1" x14ac:dyDescent="0.3">
      <c r="AB1141"/>
      <c r="AC1141"/>
      <c r="AD1141"/>
      <c r="AE1141"/>
      <c r="AF1141"/>
      <c r="AG1141"/>
      <c r="AH1141"/>
      <c r="AI1141"/>
      <c r="AJ1141" s="25"/>
      <c r="AK1141" s="2"/>
      <c r="AR1141" s="25"/>
      <c r="BA1141" s="2"/>
      <c r="BG1141" s="1"/>
    </row>
    <row r="1142" spans="28:59" ht="15" customHeight="1" x14ac:dyDescent="0.3">
      <c r="AB1142"/>
      <c r="AC1142"/>
      <c r="AD1142"/>
      <c r="AE1142"/>
      <c r="AF1142"/>
      <c r="AG1142"/>
      <c r="AH1142"/>
      <c r="AI1142"/>
      <c r="AJ1142" s="25"/>
      <c r="AK1142" s="2"/>
      <c r="AR1142" s="25"/>
      <c r="BA1142" s="2"/>
      <c r="BG1142" s="1"/>
    </row>
    <row r="1143" spans="28:59" ht="15" customHeight="1" x14ac:dyDescent="0.3">
      <c r="AB1143"/>
      <c r="AC1143"/>
      <c r="AD1143"/>
      <c r="AE1143"/>
      <c r="AF1143"/>
      <c r="AG1143"/>
      <c r="AH1143"/>
      <c r="AI1143"/>
      <c r="AJ1143" s="25"/>
      <c r="AK1143" s="2"/>
      <c r="AR1143" s="25"/>
      <c r="BA1143" s="2"/>
      <c r="BG1143" s="1"/>
    </row>
    <row r="1144" spans="28:59" ht="15" customHeight="1" x14ac:dyDescent="0.3">
      <c r="AB1144"/>
      <c r="AC1144"/>
      <c r="AD1144"/>
      <c r="AE1144"/>
      <c r="AF1144"/>
      <c r="AG1144"/>
      <c r="AH1144"/>
      <c r="AI1144"/>
      <c r="AJ1144" s="25"/>
      <c r="AK1144" s="2"/>
      <c r="AR1144" s="25"/>
      <c r="BA1144" s="2"/>
      <c r="BG1144" s="1"/>
    </row>
    <row r="1145" spans="28:59" ht="15" customHeight="1" x14ac:dyDescent="0.3">
      <c r="AB1145"/>
      <c r="AC1145"/>
      <c r="AD1145"/>
      <c r="AE1145"/>
      <c r="AF1145"/>
      <c r="AG1145"/>
      <c r="AH1145"/>
      <c r="AI1145"/>
      <c r="AJ1145" s="25"/>
      <c r="AK1145" s="2"/>
      <c r="AR1145" s="25"/>
      <c r="BA1145" s="2"/>
      <c r="BG1145" s="1"/>
    </row>
    <row r="1146" spans="28:59" ht="15" customHeight="1" x14ac:dyDescent="0.3">
      <c r="AB1146"/>
      <c r="AC1146"/>
      <c r="AD1146"/>
      <c r="AE1146"/>
      <c r="AF1146"/>
      <c r="AG1146"/>
      <c r="AH1146"/>
      <c r="AI1146"/>
      <c r="AJ1146" s="25"/>
      <c r="AK1146" s="2"/>
      <c r="AR1146" s="25"/>
      <c r="BA1146" s="2"/>
      <c r="BG1146" s="1"/>
    </row>
    <row r="1147" spans="28:59" ht="15" customHeight="1" x14ac:dyDescent="0.3">
      <c r="AB1147"/>
      <c r="AC1147"/>
      <c r="AD1147"/>
      <c r="AE1147"/>
      <c r="AF1147"/>
      <c r="AG1147"/>
      <c r="AH1147"/>
      <c r="AI1147"/>
      <c r="AJ1147" s="25"/>
      <c r="AK1147" s="2"/>
      <c r="AR1147" s="25"/>
      <c r="BA1147" s="2"/>
      <c r="BG1147" s="1"/>
    </row>
    <row r="1148" spans="28:59" ht="15" customHeight="1" x14ac:dyDescent="0.3">
      <c r="AB1148"/>
      <c r="AC1148"/>
      <c r="AD1148"/>
      <c r="AE1148"/>
      <c r="AF1148"/>
      <c r="AG1148"/>
      <c r="AH1148"/>
      <c r="AI1148"/>
      <c r="AJ1148" s="25"/>
      <c r="AK1148" s="2"/>
      <c r="AR1148" s="25"/>
      <c r="BA1148" s="2"/>
      <c r="BG1148" s="1"/>
    </row>
    <row r="1149" spans="28:59" ht="15" customHeight="1" x14ac:dyDescent="0.3">
      <c r="AB1149"/>
      <c r="AC1149"/>
      <c r="AD1149"/>
      <c r="AE1149"/>
      <c r="AF1149"/>
      <c r="AG1149"/>
      <c r="AH1149"/>
      <c r="AI1149"/>
      <c r="AJ1149" s="25"/>
      <c r="AK1149" s="2"/>
      <c r="AR1149" s="25"/>
      <c r="BA1149" s="2"/>
      <c r="BG1149" s="1"/>
    </row>
    <row r="1150" spans="28:59" ht="15" customHeight="1" x14ac:dyDescent="0.3">
      <c r="AB1150"/>
      <c r="AC1150"/>
      <c r="AD1150"/>
      <c r="AE1150"/>
      <c r="AF1150"/>
      <c r="AG1150"/>
      <c r="AH1150"/>
      <c r="AI1150"/>
      <c r="AJ1150" s="25"/>
      <c r="AK1150" s="2"/>
      <c r="AR1150" s="25"/>
      <c r="BA1150" s="2"/>
      <c r="BG1150" s="1"/>
    </row>
    <row r="1151" spans="28:59" ht="15" customHeight="1" x14ac:dyDescent="0.3">
      <c r="AB1151"/>
      <c r="AC1151"/>
      <c r="AD1151"/>
      <c r="AE1151"/>
      <c r="AF1151"/>
      <c r="AG1151"/>
      <c r="AH1151"/>
      <c r="AI1151"/>
      <c r="AJ1151" s="25"/>
      <c r="AK1151" s="2"/>
      <c r="AR1151" s="25"/>
      <c r="BA1151" s="2"/>
      <c r="BG1151" s="1"/>
    </row>
    <row r="1152" spans="28:59" ht="15" customHeight="1" x14ac:dyDescent="0.3">
      <c r="AB1152"/>
      <c r="AC1152"/>
      <c r="AD1152"/>
      <c r="AE1152"/>
      <c r="AF1152"/>
      <c r="AG1152"/>
      <c r="AH1152"/>
      <c r="AI1152"/>
      <c r="AJ1152" s="25"/>
      <c r="AK1152" s="2"/>
      <c r="AR1152" s="25"/>
      <c r="BA1152" s="2"/>
      <c r="BG1152" s="1"/>
    </row>
    <row r="1153" spans="28:59" ht="15" customHeight="1" x14ac:dyDescent="0.3">
      <c r="AB1153"/>
      <c r="AC1153"/>
      <c r="AD1153"/>
      <c r="AE1153"/>
      <c r="AF1153"/>
      <c r="AG1153"/>
      <c r="AH1153"/>
      <c r="AI1153"/>
      <c r="AJ1153" s="25"/>
      <c r="AK1153" s="2"/>
      <c r="AR1153" s="25"/>
      <c r="BA1153" s="2"/>
      <c r="BG1153" s="1"/>
    </row>
    <row r="1154" spans="28:59" ht="15" customHeight="1" x14ac:dyDescent="0.3">
      <c r="AB1154"/>
      <c r="AC1154"/>
      <c r="AD1154"/>
      <c r="AE1154"/>
      <c r="AF1154"/>
      <c r="AG1154"/>
      <c r="AH1154"/>
      <c r="AI1154"/>
      <c r="AJ1154" s="25"/>
      <c r="AK1154" s="2"/>
      <c r="AR1154" s="25"/>
      <c r="BA1154" s="2"/>
      <c r="BG1154" s="1"/>
    </row>
    <row r="1155" spans="28:59" ht="15" customHeight="1" x14ac:dyDescent="0.3">
      <c r="AB1155"/>
      <c r="AC1155"/>
      <c r="AD1155"/>
      <c r="AE1155"/>
      <c r="AF1155"/>
      <c r="AG1155"/>
      <c r="AH1155"/>
      <c r="AI1155"/>
      <c r="AJ1155" s="25"/>
      <c r="AK1155" s="2"/>
      <c r="AR1155" s="25"/>
      <c r="BA1155" s="2"/>
      <c r="BG1155" s="1"/>
    </row>
    <row r="1156" spans="28:59" ht="15" customHeight="1" x14ac:dyDescent="0.3">
      <c r="AB1156"/>
      <c r="AC1156"/>
      <c r="AD1156"/>
      <c r="AE1156"/>
      <c r="AF1156"/>
      <c r="AG1156"/>
      <c r="AH1156"/>
      <c r="AI1156"/>
      <c r="AJ1156" s="25"/>
      <c r="AK1156" s="2"/>
      <c r="AR1156" s="25"/>
      <c r="BA1156" s="2"/>
      <c r="BG1156" s="1"/>
    </row>
    <row r="1157" spans="28:59" ht="15" customHeight="1" x14ac:dyDescent="0.3">
      <c r="AB1157"/>
      <c r="AC1157"/>
      <c r="AD1157"/>
      <c r="AE1157"/>
      <c r="AF1157"/>
      <c r="AG1157"/>
      <c r="AH1157"/>
      <c r="AI1157"/>
      <c r="AJ1157" s="25"/>
      <c r="AK1157" s="2"/>
      <c r="AR1157" s="25"/>
      <c r="BA1157" s="2"/>
      <c r="BG1157" s="1"/>
    </row>
    <row r="1158" spans="28:59" ht="15" customHeight="1" x14ac:dyDescent="0.3">
      <c r="AB1158"/>
      <c r="AC1158"/>
      <c r="AD1158"/>
      <c r="AE1158"/>
      <c r="AF1158"/>
      <c r="AG1158"/>
      <c r="AH1158"/>
      <c r="AI1158"/>
      <c r="AJ1158" s="25"/>
      <c r="AK1158" s="2"/>
      <c r="AR1158" s="25"/>
      <c r="BA1158" s="2"/>
      <c r="BG1158" s="1"/>
    </row>
    <row r="1159" spans="28:59" ht="15" customHeight="1" x14ac:dyDescent="0.3">
      <c r="AB1159"/>
      <c r="AC1159"/>
      <c r="AD1159"/>
      <c r="AE1159"/>
      <c r="AF1159"/>
      <c r="AG1159"/>
      <c r="AH1159"/>
      <c r="AI1159"/>
      <c r="AJ1159" s="25"/>
      <c r="AK1159" s="2"/>
      <c r="AR1159" s="25"/>
      <c r="BA1159" s="2"/>
      <c r="BG1159" s="1"/>
    </row>
    <row r="1160" spans="28:59" ht="15" customHeight="1" x14ac:dyDescent="0.3">
      <c r="AB1160"/>
      <c r="AC1160"/>
      <c r="AD1160"/>
      <c r="AE1160"/>
      <c r="AF1160"/>
      <c r="AG1160"/>
      <c r="AH1160"/>
      <c r="AI1160"/>
      <c r="AJ1160" s="25"/>
      <c r="AK1160" s="2"/>
      <c r="AR1160" s="25"/>
      <c r="BA1160" s="2"/>
      <c r="BG1160" s="1"/>
    </row>
    <row r="1161" spans="28:59" ht="15" customHeight="1" x14ac:dyDescent="0.3">
      <c r="AB1161"/>
      <c r="AC1161"/>
      <c r="AD1161"/>
      <c r="AE1161"/>
      <c r="AF1161"/>
      <c r="AG1161"/>
      <c r="AH1161"/>
      <c r="AI1161"/>
      <c r="AJ1161" s="25"/>
      <c r="AK1161" s="2"/>
      <c r="AR1161" s="25"/>
      <c r="BA1161" s="2"/>
      <c r="BG1161" s="1"/>
    </row>
    <row r="1162" spans="28:59" ht="15" customHeight="1" x14ac:dyDescent="0.3">
      <c r="AB1162"/>
      <c r="AC1162"/>
      <c r="AD1162"/>
      <c r="AE1162"/>
      <c r="AF1162"/>
      <c r="AG1162"/>
      <c r="AH1162"/>
      <c r="AI1162"/>
      <c r="AJ1162" s="25"/>
      <c r="AK1162" s="2"/>
      <c r="AR1162" s="25"/>
      <c r="BA1162" s="2"/>
      <c r="BG1162" s="1"/>
    </row>
    <row r="1163" spans="28:59" ht="15" customHeight="1" x14ac:dyDescent="0.3">
      <c r="AB1163"/>
      <c r="AC1163"/>
      <c r="AD1163"/>
      <c r="AE1163"/>
      <c r="AF1163"/>
      <c r="AG1163"/>
      <c r="AH1163"/>
      <c r="AI1163"/>
      <c r="AJ1163" s="25"/>
      <c r="AK1163" s="2"/>
      <c r="AR1163" s="25"/>
      <c r="BA1163" s="2"/>
      <c r="BG1163" s="1"/>
    </row>
    <row r="1164" spans="28:59" ht="15" customHeight="1" x14ac:dyDescent="0.3">
      <c r="AB1164"/>
      <c r="AC1164"/>
      <c r="AD1164"/>
      <c r="AE1164"/>
      <c r="AF1164"/>
      <c r="AG1164"/>
      <c r="AH1164"/>
      <c r="AI1164"/>
      <c r="AJ1164" s="25"/>
      <c r="AK1164" s="2"/>
      <c r="AR1164" s="25"/>
      <c r="BA1164" s="2"/>
      <c r="BG1164" s="1"/>
    </row>
    <row r="1165" spans="28:59" ht="15" customHeight="1" x14ac:dyDescent="0.3">
      <c r="AB1165"/>
      <c r="AC1165"/>
      <c r="AD1165"/>
      <c r="AE1165"/>
      <c r="AF1165"/>
      <c r="AG1165"/>
      <c r="AH1165"/>
      <c r="AI1165"/>
      <c r="AJ1165" s="25"/>
      <c r="AK1165" s="2"/>
      <c r="AR1165" s="25"/>
      <c r="BA1165" s="2"/>
      <c r="BG1165" s="1"/>
    </row>
    <row r="1166" spans="28:59" ht="15" customHeight="1" x14ac:dyDescent="0.3">
      <c r="AB1166"/>
      <c r="AC1166"/>
      <c r="AD1166"/>
      <c r="AE1166"/>
      <c r="AF1166"/>
      <c r="AG1166"/>
      <c r="AH1166"/>
      <c r="AI1166"/>
      <c r="AJ1166" s="25"/>
      <c r="AK1166" s="2"/>
      <c r="AR1166" s="25"/>
      <c r="BA1166" s="2"/>
      <c r="BG1166" s="1"/>
    </row>
    <row r="1167" spans="28:59" ht="15" customHeight="1" x14ac:dyDescent="0.3">
      <c r="AB1167"/>
      <c r="AC1167"/>
      <c r="AD1167"/>
      <c r="AE1167"/>
      <c r="AF1167"/>
      <c r="AG1167"/>
      <c r="AH1167"/>
      <c r="AI1167"/>
      <c r="AJ1167" s="25"/>
      <c r="AK1167" s="2"/>
      <c r="AR1167" s="25"/>
      <c r="BA1167" s="2"/>
      <c r="BG1167" s="1"/>
    </row>
    <row r="1168" spans="28:59" ht="15" customHeight="1" x14ac:dyDescent="0.3">
      <c r="AB1168"/>
      <c r="AC1168"/>
      <c r="AD1168"/>
      <c r="AE1168"/>
      <c r="AF1168"/>
      <c r="AG1168"/>
      <c r="AH1168"/>
      <c r="AI1168"/>
      <c r="AJ1168" s="25"/>
      <c r="AK1168" s="2"/>
      <c r="AR1168" s="25"/>
      <c r="BA1168" s="2"/>
      <c r="BG1168" s="1"/>
    </row>
    <row r="1169" spans="28:59" ht="15" customHeight="1" x14ac:dyDescent="0.3">
      <c r="AB1169"/>
      <c r="AC1169"/>
      <c r="AD1169"/>
      <c r="AE1169"/>
      <c r="AF1169"/>
      <c r="AG1169"/>
      <c r="AH1169"/>
      <c r="AI1169"/>
      <c r="AJ1169" s="25"/>
      <c r="AK1169" s="2"/>
      <c r="AR1169" s="25"/>
      <c r="BA1169" s="2"/>
      <c r="BG1169" s="1"/>
    </row>
    <row r="1170" spans="28:59" ht="15" customHeight="1" x14ac:dyDescent="0.3">
      <c r="AB1170"/>
      <c r="AC1170"/>
      <c r="AD1170"/>
      <c r="AE1170"/>
      <c r="AF1170"/>
      <c r="AG1170"/>
      <c r="AH1170"/>
      <c r="AI1170"/>
      <c r="AJ1170" s="25"/>
      <c r="AK1170" s="2"/>
      <c r="AR1170" s="25"/>
      <c r="BA1170" s="2"/>
      <c r="BG1170" s="1"/>
    </row>
    <row r="1171" spans="28:59" ht="15" customHeight="1" x14ac:dyDescent="0.3">
      <c r="AB1171"/>
      <c r="AC1171"/>
      <c r="AD1171"/>
      <c r="AE1171"/>
      <c r="AF1171"/>
      <c r="AG1171"/>
      <c r="AH1171"/>
      <c r="AI1171"/>
      <c r="AJ1171" s="25"/>
      <c r="AK1171" s="2"/>
      <c r="AR1171" s="25"/>
      <c r="BA1171" s="2"/>
      <c r="BG1171" s="1"/>
    </row>
    <row r="1172" spans="28:59" ht="15" customHeight="1" x14ac:dyDescent="0.3">
      <c r="AB1172"/>
      <c r="AC1172"/>
      <c r="AD1172"/>
      <c r="AE1172"/>
      <c r="AF1172"/>
      <c r="AG1172"/>
      <c r="AH1172"/>
      <c r="AI1172"/>
      <c r="AJ1172" s="25"/>
      <c r="AK1172" s="2"/>
      <c r="AR1172" s="25"/>
      <c r="BA1172" s="2"/>
      <c r="BG1172" s="1"/>
    </row>
    <row r="1173" spans="28:59" ht="15" customHeight="1" x14ac:dyDescent="0.3">
      <c r="AB1173"/>
      <c r="AC1173"/>
      <c r="AD1173"/>
      <c r="AE1173"/>
      <c r="AF1173"/>
      <c r="AG1173"/>
      <c r="AH1173"/>
      <c r="AI1173"/>
      <c r="AJ1173" s="25"/>
      <c r="AK1173" s="2"/>
      <c r="AR1173" s="25"/>
      <c r="BA1173" s="2"/>
      <c r="BG1173" s="1"/>
    </row>
    <row r="1174" spans="28:59" ht="15" customHeight="1" x14ac:dyDescent="0.3">
      <c r="AB1174"/>
      <c r="AC1174"/>
      <c r="AD1174"/>
      <c r="AE1174"/>
      <c r="AF1174"/>
      <c r="AG1174"/>
      <c r="AH1174"/>
      <c r="AI1174"/>
      <c r="AJ1174" s="25"/>
      <c r="AK1174" s="2"/>
      <c r="AR1174" s="25"/>
      <c r="BA1174" s="2"/>
      <c r="BG1174" s="1"/>
    </row>
    <row r="1175" spans="28:59" ht="15" customHeight="1" x14ac:dyDescent="0.3">
      <c r="AB1175"/>
      <c r="AC1175"/>
      <c r="AD1175"/>
      <c r="AE1175"/>
      <c r="AF1175"/>
      <c r="AG1175"/>
      <c r="AH1175"/>
      <c r="AI1175"/>
      <c r="AJ1175" s="25"/>
      <c r="AK1175" s="2"/>
      <c r="AR1175" s="25"/>
      <c r="BA1175" s="2"/>
      <c r="BG1175" s="1"/>
    </row>
    <row r="1176" spans="28:59" ht="15" customHeight="1" x14ac:dyDescent="0.3">
      <c r="AB1176"/>
      <c r="AC1176"/>
      <c r="AD1176"/>
      <c r="AE1176"/>
      <c r="AF1176"/>
      <c r="AG1176"/>
      <c r="AH1176"/>
      <c r="AI1176"/>
      <c r="AJ1176" s="25"/>
      <c r="AK1176" s="2"/>
      <c r="AR1176" s="25"/>
      <c r="BA1176" s="2"/>
      <c r="BG1176" s="1"/>
    </row>
    <row r="1177" spans="28:59" ht="15" customHeight="1" x14ac:dyDescent="0.3">
      <c r="AB1177"/>
      <c r="AC1177"/>
      <c r="AD1177"/>
      <c r="AE1177"/>
      <c r="AF1177"/>
      <c r="AG1177"/>
      <c r="AH1177"/>
      <c r="AI1177"/>
      <c r="AJ1177" s="25"/>
      <c r="AK1177" s="2"/>
      <c r="AR1177" s="25"/>
      <c r="BA1177" s="2"/>
      <c r="BG1177" s="1"/>
    </row>
    <row r="1178" spans="28:59" ht="15" customHeight="1" x14ac:dyDescent="0.3">
      <c r="AB1178"/>
      <c r="AC1178"/>
      <c r="AD1178"/>
      <c r="AE1178"/>
      <c r="AF1178"/>
      <c r="AG1178"/>
      <c r="AH1178"/>
      <c r="AI1178"/>
      <c r="AJ1178" s="25"/>
      <c r="AK1178" s="2"/>
      <c r="AR1178" s="25"/>
      <c r="BA1178" s="2"/>
      <c r="BG1178" s="1"/>
    </row>
    <row r="1179" spans="28:59" ht="15" customHeight="1" x14ac:dyDescent="0.3">
      <c r="AB1179"/>
      <c r="AC1179"/>
      <c r="AD1179"/>
      <c r="AE1179"/>
      <c r="AF1179"/>
      <c r="AG1179"/>
      <c r="AH1179"/>
      <c r="AI1179"/>
      <c r="AJ1179" s="25"/>
      <c r="AK1179" s="2"/>
      <c r="AR1179" s="25"/>
      <c r="BA1179" s="2"/>
      <c r="BG1179" s="1"/>
    </row>
    <row r="1180" spans="28:59" ht="15" customHeight="1" x14ac:dyDescent="0.3">
      <c r="AB1180"/>
      <c r="AC1180"/>
      <c r="AD1180"/>
      <c r="AE1180"/>
      <c r="AF1180"/>
      <c r="AG1180"/>
      <c r="AH1180"/>
      <c r="AI1180"/>
      <c r="AJ1180" s="25"/>
      <c r="AK1180" s="2"/>
      <c r="AR1180" s="25"/>
      <c r="BA1180" s="2"/>
      <c r="BG1180" s="1"/>
    </row>
    <row r="1181" spans="28:59" ht="15" customHeight="1" x14ac:dyDescent="0.3">
      <c r="AB1181"/>
      <c r="AC1181"/>
      <c r="AD1181"/>
      <c r="AE1181"/>
      <c r="AF1181"/>
      <c r="AG1181"/>
      <c r="AH1181"/>
      <c r="AI1181"/>
      <c r="AJ1181" s="25"/>
      <c r="AK1181" s="2"/>
      <c r="AR1181" s="25"/>
      <c r="BA1181" s="2"/>
      <c r="BG1181" s="1"/>
    </row>
    <row r="1182" spans="28:59" ht="15" customHeight="1" x14ac:dyDescent="0.3">
      <c r="AB1182"/>
      <c r="AC1182"/>
      <c r="AD1182"/>
      <c r="AE1182"/>
      <c r="AF1182"/>
      <c r="AG1182"/>
      <c r="AH1182"/>
      <c r="AI1182"/>
      <c r="AJ1182" s="25"/>
      <c r="AK1182" s="2"/>
      <c r="AR1182" s="25"/>
      <c r="BA1182" s="2"/>
      <c r="BG1182" s="1"/>
    </row>
    <row r="1183" spans="28:59" ht="15" customHeight="1" x14ac:dyDescent="0.3">
      <c r="AB1183"/>
      <c r="AC1183"/>
      <c r="AD1183"/>
      <c r="AE1183"/>
      <c r="AF1183"/>
      <c r="AG1183"/>
      <c r="AH1183"/>
      <c r="AI1183"/>
      <c r="AJ1183" s="25"/>
      <c r="AK1183" s="2"/>
      <c r="AR1183" s="25"/>
      <c r="BA1183" s="2"/>
      <c r="BG1183" s="1"/>
    </row>
    <row r="1184" spans="28:59" ht="15" customHeight="1" x14ac:dyDescent="0.3">
      <c r="AB1184"/>
      <c r="AC1184"/>
      <c r="AD1184"/>
      <c r="AE1184"/>
      <c r="AF1184"/>
      <c r="AG1184"/>
      <c r="AH1184"/>
      <c r="AI1184"/>
      <c r="AJ1184" s="25"/>
      <c r="AK1184" s="2"/>
      <c r="AR1184" s="25"/>
      <c r="BA1184" s="2"/>
      <c r="BG1184" s="1"/>
    </row>
    <row r="1185" spans="28:59" ht="15" customHeight="1" x14ac:dyDescent="0.3">
      <c r="AB1185"/>
      <c r="AC1185"/>
      <c r="AD1185"/>
      <c r="AE1185"/>
      <c r="AF1185"/>
      <c r="AG1185"/>
      <c r="AH1185"/>
      <c r="AI1185"/>
      <c r="AJ1185" s="25"/>
      <c r="AK1185" s="2"/>
      <c r="AR1185" s="25"/>
      <c r="BA1185" s="2"/>
      <c r="BG1185" s="1"/>
    </row>
    <row r="1186" spans="28:59" ht="15" customHeight="1" x14ac:dyDescent="0.3">
      <c r="AB1186"/>
      <c r="AC1186"/>
      <c r="AD1186"/>
      <c r="AE1186"/>
      <c r="AF1186"/>
      <c r="AG1186"/>
      <c r="AH1186"/>
      <c r="AI1186"/>
      <c r="AJ1186" s="25"/>
      <c r="AK1186" s="2"/>
      <c r="AR1186" s="25"/>
      <c r="BA1186" s="2"/>
      <c r="BG1186" s="1"/>
    </row>
    <row r="1187" spans="28:59" ht="15" customHeight="1" x14ac:dyDescent="0.3">
      <c r="AB1187"/>
      <c r="AC1187"/>
      <c r="AD1187"/>
      <c r="AE1187"/>
      <c r="AF1187"/>
      <c r="AG1187"/>
      <c r="AH1187"/>
      <c r="AI1187"/>
      <c r="AJ1187" s="25"/>
      <c r="AK1187" s="2"/>
      <c r="AR1187" s="25"/>
      <c r="BA1187" s="2"/>
      <c r="BG1187" s="1"/>
    </row>
    <row r="1188" spans="28:59" ht="15" customHeight="1" x14ac:dyDescent="0.3">
      <c r="AB1188"/>
      <c r="AC1188"/>
      <c r="AD1188"/>
      <c r="AE1188"/>
      <c r="AF1188"/>
      <c r="AG1188"/>
      <c r="AH1188"/>
      <c r="AI1188"/>
      <c r="AJ1188" s="25"/>
      <c r="AK1188" s="2"/>
      <c r="AR1188" s="25"/>
      <c r="BA1188" s="2"/>
      <c r="BG1188" s="1"/>
    </row>
    <row r="1189" spans="28:59" ht="15" customHeight="1" x14ac:dyDescent="0.3">
      <c r="AB1189"/>
      <c r="AC1189"/>
      <c r="AD1189"/>
      <c r="AE1189"/>
      <c r="AF1189"/>
      <c r="AG1189"/>
      <c r="AH1189"/>
      <c r="AI1189"/>
      <c r="AJ1189" s="25"/>
      <c r="AK1189" s="2"/>
      <c r="AR1189" s="25"/>
      <c r="BA1189" s="2"/>
      <c r="BG1189" s="1"/>
    </row>
    <row r="1190" spans="28:59" ht="15" customHeight="1" x14ac:dyDescent="0.3">
      <c r="AB1190"/>
      <c r="AC1190"/>
      <c r="AD1190"/>
      <c r="AE1190"/>
      <c r="AF1190"/>
      <c r="AG1190"/>
      <c r="AH1190"/>
      <c r="AI1190"/>
      <c r="AJ1190" s="25"/>
      <c r="AK1190" s="2"/>
      <c r="AR1190" s="25"/>
      <c r="BA1190" s="2"/>
      <c r="BG1190" s="1"/>
    </row>
    <row r="1191" spans="28:59" ht="15" customHeight="1" x14ac:dyDescent="0.3">
      <c r="AB1191"/>
      <c r="AC1191"/>
      <c r="AD1191"/>
      <c r="AE1191"/>
      <c r="AF1191"/>
      <c r="AG1191"/>
      <c r="AH1191"/>
      <c r="AI1191"/>
      <c r="AJ1191" s="25"/>
      <c r="AK1191" s="2"/>
      <c r="AR1191" s="25"/>
      <c r="BA1191" s="2"/>
      <c r="BG1191" s="1"/>
    </row>
    <row r="1192" spans="28:59" ht="15" customHeight="1" x14ac:dyDescent="0.3">
      <c r="AB1192"/>
      <c r="AC1192"/>
      <c r="AD1192"/>
      <c r="AE1192"/>
      <c r="AF1192"/>
      <c r="AG1192"/>
      <c r="AH1192"/>
      <c r="AI1192"/>
      <c r="AJ1192" s="25"/>
      <c r="AK1192" s="2"/>
      <c r="AR1192" s="25"/>
      <c r="BA1192" s="2"/>
      <c r="BG1192" s="1"/>
    </row>
    <row r="1193" spans="28:59" ht="15" customHeight="1" x14ac:dyDescent="0.3">
      <c r="AB1193"/>
      <c r="AC1193"/>
      <c r="AD1193"/>
      <c r="AE1193"/>
      <c r="AF1193"/>
      <c r="AG1193"/>
      <c r="AH1193"/>
      <c r="AI1193"/>
      <c r="AJ1193" s="25"/>
      <c r="AK1193" s="2"/>
      <c r="AR1193" s="25"/>
      <c r="BA1193" s="2"/>
      <c r="BG1193" s="1"/>
    </row>
    <row r="1194" spans="28:59" ht="15" customHeight="1" x14ac:dyDescent="0.3">
      <c r="AB1194"/>
      <c r="AC1194"/>
      <c r="AD1194"/>
      <c r="AE1194"/>
      <c r="AF1194"/>
      <c r="AG1194"/>
      <c r="AH1194"/>
      <c r="AI1194"/>
      <c r="AJ1194" s="25"/>
      <c r="AK1194" s="2"/>
      <c r="AR1194" s="25"/>
      <c r="BA1194" s="2"/>
      <c r="BG1194" s="1"/>
    </row>
    <row r="1195" spans="28:59" ht="15" customHeight="1" x14ac:dyDescent="0.3">
      <c r="AB1195"/>
      <c r="AC1195"/>
      <c r="AD1195"/>
      <c r="AE1195"/>
      <c r="AF1195"/>
      <c r="AG1195"/>
      <c r="AH1195"/>
      <c r="AI1195"/>
      <c r="AJ1195" s="25"/>
      <c r="AK1195" s="2"/>
      <c r="AR1195" s="25"/>
      <c r="BA1195" s="2"/>
      <c r="BG1195" s="1"/>
    </row>
    <row r="1196" spans="28:59" ht="15" customHeight="1" x14ac:dyDescent="0.3">
      <c r="AB1196"/>
      <c r="AC1196"/>
      <c r="AD1196"/>
      <c r="AE1196"/>
      <c r="AF1196"/>
      <c r="AG1196"/>
      <c r="AH1196"/>
      <c r="AI1196"/>
      <c r="AJ1196" s="25"/>
      <c r="AK1196" s="2"/>
      <c r="AR1196" s="25"/>
      <c r="BA1196" s="2"/>
      <c r="BG1196" s="1"/>
    </row>
    <row r="1197" spans="28:59" ht="15" customHeight="1" x14ac:dyDescent="0.3">
      <c r="AB1197"/>
      <c r="AC1197"/>
      <c r="AD1197"/>
      <c r="AE1197"/>
      <c r="AF1197"/>
      <c r="AG1197"/>
      <c r="AH1197"/>
      <c r="AI1197"/>
      <c r="AJ1197" s="25"/>
      <c r="AK1197" s="2"/>
      <c r="AR1197" s="25"/>
      <c r="BA1197" s="2"/>
      <c r="BG1197" s="1"/>
    </row>
    <row r="1198" spans="28:59" ht="15" customHeight="1" x14ac:dyDescent="0.3">
      <c r="AB1198"/>
      <c r="AC1198"/>
      <c r="AD1198"/>
      <c r="AE1198"/>
      <c r="AF1198"/>
      <c r="AG1198"/>
      <c r="AH1198"/>
      <c r="AI1198"/>
      <c r="AJ1198" s="25"/>
      <c r="AK1198" s="2"/>
      <c r="AR1198" s="25"/>
      <c r="BA1198" s="2"/>
      <c r="BG1198" s="1"/>
    </row>
    <row r="1199" spans="28:59" ht="15" customHeight="1" x14ac:dyDescent="0.3">
      <c r="AB1199"/>
      <c r="AC1199"/>
      <c r="AD1199"/>
      <c r="AE1199"/>
      <c r="AF1199"/>
      <c r="AG1199"/>
      <c r="AH1199"/>
      <c r="AI1199"/>
      <c r="AJ1199" s="25"/>
      <c r="AK1199" s="2"/>
      <c r="AR1199" s="25"/>
      <c r="BA1199" s="2"/>
      <c r="BG1199" s="1"/>
    </row>
    <row r="1200" spans="28:59" ht="15" customHeight="1" x14ac:dyDescent="0.3">
      <c r="AB1200"/>
      <c r="AC1200"/>
      <c r="AD1200"/>
      <c r="AE1200"/>
      <c r="AF1200"/>
      <c r="AG1200"/>
      <c r="AH1200"/>
      <c r="AI1200"/>
      <c r="AJ1200" s="25"/>
      <c r="AK1200" s="2"/>
      <c r="AR1200" s="25"/>
      <c r="BA1200" s="2"/>
      <c r="BG1200" s="1"/>
    </row>
    <row r="1201" spans="28:59" ht="15" customHeight="1" x14ac:dyDescent="0.3">
      <c r="AB1201"/>
      <c r="AC1201"/>
      <c r="AD1201"/>
      <c r="AE1201"/>
      <c r="AF1201"/>
      <c r="AG1201"/>
      <c r="AH1201"/>
      <c r="AI1201"/>
      <c r="AJ1201" s="25"/>
      <c r="AK1201" s="2"/>
      <c r="AR1201" s="25"/>
      <c r="BA1201" s="2"/>
      <c r="BG1201" s="1"/>
    </row>
    <row r="1202" spans="28:59" ht="15" customHeight="1" x14ac:dyDescent="0.3">
      <c r="AB1202"/>
      <c r="AC1202"/>
      <c r="AD1202"/>
      <c r="AE1202"/>
      <c r="AF1202"/>
      <c r="AG1202"/>
      <c r="AH1202"/>
      <c r="AI1202"/>
      <c r="AJ1202" s="25"/>
      <c r="AK1202" s="2"/>
      <c r="AR1202" s="25"/>
      <c r="BA1202" s="2"/>
      <c r="BG1202" s="1"/>
    </row>
    <row r="1203" spans="28:59" ht="15" customHeight="1" x14ac:dyDescent="0.3">
      <c r="AB1203"/>
      <c r="AC1203"/>
      <c r="AD1203"/>
      <c r="AE1203"/>
      <c r="AF1203"/>
      <c r="AG1203"/>
      <c r="AH1203"/>
      <c r="AI1203"/>
      <c r="AJ1203" s="25"/>
      <c r="AK1203" s="2"/>
      <c r="AR1203" s="25"/>
      <c r="BA1203" s="2"/>
      <c r="BG1203" s="1"/>
    </row>
    <row r="1204" spans="28:59" ht="15" customHeight="1" x14ac:dyDescent="0.3">
      <c r="AB1204"/>
      <c r="AC1204"/>
      <c r="AD1204"/>
      <c r="AE1204"/>
      <c r="AF1204"/>
      <c r="AG1204"/>
      <c r="AH1204"/>
      <c r="AI1204"/>
      <c r="AJ1204" s="25"/>
      <c r="AK1204" s="2"/>
      <c r="AR1204" s="25"/>
      <c r="BA1204" s="2"/>
      <c r="BG1204" s="1"/>
    </row>
    <row r="1205" spans="28:59" ht="15" customHeight="1" x14ac:dyDescent="0.3">
      <c r="AB1205"/>
      <c r="AC1205"/>
      <c r="AD1205"/>
      <c r="AE1205"/>
      <c r="AF1205"/>
      <c r="AG1205"/>
      <c r="AH1205"/>
      <c r="AI1205"/>
      <c r="AJ1205" s="25"/>
      <c r="AK1205" s="2"/>
      <c r="AR1205" s="25"/>
      <c r="BA1205" s="2"/>
      <c r="BG1205" s="1"/>
    </row>
    <row r="1206" spans="28:59" ht="15" customHeight="1" x14ac:dyDescent="0.3">
      <c r="AB1206"/>
      <c r="AC1206"/>
      <c r="AD1206"/>
      <c r="AE1206"/>
      <c r="AF1206"/>
      <c r="AG1206"/>
      <c r="AH1206"/>
      <c r="AI1206"/>
      <c r="AJ1206" s="25"/>
      <c r="AK1206" s="2"/>
      <c r="AR1206" s="25"/>
      <c r="BA1206" s="2"/>
      <c r="BG1206" s="1"/>
    </row>
    <row r="1207" spans="28:59" ht="15" customHeight="1" x14ac:dyDescent="0.3">
      <c r="AB1207"/>
      <c r="AC1207"/>
      <c r="AD1207"/>
      <c r="AE1207"/>
      <c r="AF1207"/>
      <c r="AG1207"/>
      <c r="AH1207"/>
      <c r="AI1207"/>
      <c r="AJ1207" s="25"/>
      <c r="AK1207" s="2"/>
      <c r="AR1207" s="25"/>
      <c r="BA1207" s="2"/>
      <c r="BG1207" s="1"/>
    </row>
    <row r="1208" spans="28:59" ht="15" customHeight="1" x14ac:dyDescent="0.3">
      <c r="AB1208"/>
      <c r="AC1208"/>
      <c r="AD1208"/>
      <c r="AE1208"/>
      <c r="AF1208"/>
      <c r="AG1208"/>
      <c r="AH1208"/>
      <c r="AI1208"/>
      <c r="AJ1208" s="25"/>
      <c r="AK1208" s="2"/>
      <c r="AR1208" s="25"/>
      <c r="BA1208" s="2"/>
      <c r="BG1208" s="1"/>
    </row>
    <row r="1209" spans="28:59" ht="15" customHeight="1" x14ac:dyDescent="0.3">
      <c r="AB1209"/>
      <c r="AC1209"/>
      <c r="AD1209"/>
      <c r="AE1209"/>
      <c r="AF1209"/>
      <c r="AG1209"/>
      <c r="AH1209"/>
      <c r="AI1209"/>
      <c r="AJ1209" s="25"/>
      <c r="AK1209" s="2"/>
      <c r="AR1209" s="25"/>
      <c r="BA1209" s="2"/>
      <c r="BG1209" s="1"/>
    </row>
    <row r="1210" spans="28:59" ht="15" customHeight="1" x14ac:dyDescent="0.3">
      <c r="AB1210"/>
      <c r="AC1210"/>
      <c r="AD1210"/>
      <c r="AE1210"/>
      <c r="AF1210"/>
      <c r="AG1210"/>
      <c r="AH1210"/>
      <c r="AI1210"/>
      <c r="AJ1210" s="25"/>
      <c r="AK1210" s="2"/>
      <c r="AR1210" s="25"/>
      <c r="BA1210" s="2"/>
      <c r="BG1210" s="1"/>
    </row>
    <row r="1211" spans="28:59" ht="15" customHeight="1" x14ac:dyDescent="0.3">
      <c r="AB1211"/>
      <c r="AC1211"/>
      <c r="AD1211"/>
      <c r="AE1211"/>
      <c r="AF1211"/>
      <c r="AG1211"/>
      <c r="AH1211"/>
      <c r="AI1211"/>
      <c r="AJ1211" s="25"/>
      <c r="AK1211" s="2"/>
      <c r="AR1211" s="25"/>
      <c r="BA1211" s="2"/>
      <c r="BG1211" s="1"/>
    </row>
    <row r="1212" spans="28:59" ht="15" customHeight="1" x14ac:dyDescent="0.3">
      <c r="AB1212"/>
      <c r="AC1212"/>
      <c r="AD1212"/>
      <c r="AE1212"/>
      <c r="AF1212"/>
      <c r="AG1212"/>
      <c r="AH1212"/>
      <c r="AI1212"/>
      <c r="AJ1212" s="25"/>
      <c r="AK1212" s="2"/>
      <c r="AR1212" s="25"/>
      <c r="BA1212" s="2"/>
      <c r="BG1212" s="1"/>
    </row>
    <row r="1213" spans="28:59" ht="15" customHeight="1" x14ac:dyDescent="0.3">
      <c r="AB1213"/>
      <c r="AC1213"/>
      <c r="AD1213"/>
      <c r="AE1213"/>
      <c r="AF1213"/>
      <c r="AG1213"/>
      <c r="AH1213"/>
      <c r="AI1213"/>
      <c r="AJ1213" s="25"/>
      <c r="AK1213" s="2"/>
      <c r="AR1213" s="25"/>
      <c r="BA1213" s="2"/>
      <c r="BG1213" s="1"/>
    </row>
    <row r="1214" spans="28:59" ht="15" customHeight="1" x14ac:dyDescent="0.3">
      <c r="AB1214"/>
      <c r="AC1214"/>
      <c r="AD1214"/>
      <c r="AE1214"/>
      <c r="AF1214"/>
      <c r="AG1214"/>
      <c r="AH1214"/>
      <c r="AI1214"/>
      <c r="AJ1214" s="25"/>
      <c r="AK1214" s="2"/>
      <c r="AR1214" s="25"/>
      <c r="BA1214" s="2"/>
      <c r="BG1214" s="1"/>
    </row>
    <row r="1215" spans="28:59" ht="15" customHeight="1" x14ac:dyDescent="0.3">
      <c r="AB1215"/>
      <c r="AC1215"/>
      <c r="AD1215"/>
      <c r="AE1215"/>
      <c r="AF1215"/>
      <c r="AG1215"/>
      <c r="AH1215"/>
      <c r="AI1215"/>
      <c r="AJ1215" s="25"/>
      <c r="AK1215" s="2"/>
      <c r="AR1215" s="25"/>
      <c r="BA1215" s="2"/>
      <c r="BG1215" s="1"/>
    </row>
    <row r="1216" spans="28:59" ht="15" customHeight="1" x14ac:dyDescent="0.3">
      <c r="AB1216"/>
      <c r="AC1216"/>
      <c r="AD1216"/>
      <c r="AE1216"/>
      <c r="AF1216"/>
      <c r="AG1216"/>
      <c r="AH1216"/>
      <c r="AI1216"/>
      <c r="AJ1216" s="25"/>
      <c r="AK1216" s="2"/>
      <c r="AR1216" s="25"/>
      <c r="BA1216" s="2"/>
      <c r="BG1216" s="1"/>
    </row>
    <row r="1217" spans="28:59" ht="15" customHeight="1" x14ac:dyDescent="0.3">
      <c r="AB1217"/>
      <c r="AC1217"/>
      <c r="AD1217"/>
      <c r="AE1217"/>
      <c r="AF1217"/>
      <c r="AG1217"/>
      <c r="AH1217"/>
      <c r="AI1217"/>
      <c r="AJ1217" s="25"/>
      <c r="AK1217" s="2"/>
      <c r="AR1217" s="25"/>
      <c r="BA1217" s="2"/>
      <c r="BG1217" s="1"/>
    </row>
    <row r="1218" spans="28:59" ht="15" customHeight="1" x14ac:dyDescent="0.3">
      <c r="AB1218"/>
      <c r="AC1218"/>
      <c r="AD1218"/>
      <c r="AE1218"/>
      <c r="AF1218"/>
      <c r="AG1218"/>
      <c r="AH1218"/>
      <c r="AI1218"/>
      <c r="AJ1218" s="25"/>
      <c r="AK1218" s="2"/>
      <c r="AR1218" s="25"/>
      <c r="BA1218" s="2"/>
      <c r="BG1218" s="1"/>
    </row>
    <row r="1219" spans="28:59" ht="15" customHeight="1" x14ac:dyDescent="0.3">
      <c r="AB1219"/>
      <c r="AC1219"/>
      <c r="AD1219"/>
      <c r="AE1219"/>
      <c r="AF1219"/>
      <c r="AG1219"/>
      <c r="AH1219"/>
      <c r="AI1219"/>
      <c r="AJ1219" s="25"/>
      <c r="AK1219" s="2"/>
      <c r="AR1219" s="25"/>
      <c r="BA1219" s="2"/>
      <c r="BG1219" s="1"/>
    </row>
    <row r="1220" spans="28:59" ht="15" customHeight="1" x14ac:dyDescent="0.3">
      <c r="AB1220"/>
      <c r="AC1220"/>
      <c r="AD1220"/>
      <c r="AE1220"/>
      <c r="AF1220"/>
      <c r="AG1220"/>
      <c r="AH1220"/>
      <c r="AI1220"/>
      <c r="AJ1220" s="25"/>
      <c r="AK1220" s="2"/>
      <c r="AR1220" s="25"/>
      <c r="BA1220" s="2"/>
      <c r="BG1220" s="1"/>
    </row>
    <row r="1221" spans="28:59" ht="15" customHeight="1" x14ac:dyDescent="0.3">
      <c r="AB1221"/>
      <c r="AC1221"/>
      <c r="AD1221"/>
      <c r="AE1221"/>
      <c r="AF1221"/>
      <c r="AG1221"/>
      <c r="AH1221"/>
      <c r="AI1221"/>
      <c r="AJ1221" s="25"/>
      <c r="AK1221" s="2"/>
      <c r="AR1221" s="25"/>
      <c r="BA1221" s="2"/>
      <c r="BG1221" s="1"/>
    </row>
    <row r="1222" spans="28:59" ht="15" customHeight="1" x14ac:dyDescent="0.3">
      <c r="AB1222"/>
      <c r="AC1222"/>
      <c r="AD1222"/>
      <c r="AE1222"/>
      <c r="AF1222"/>
      <c r="AG1222"/>
      <c r="AH1222"/>
      <c r="AI1222"/>
      <c r="AJ1222" s="25"/>
      <c r="AK1222" s="2"/>
      <c r="AR1222" s="25"/>
      <c r="BA1222" s="2"/>
      <c r="BG1222" s="1"/>
    </row>
    <row r="1223" spans="28:59" ht="15" customHeight="1" x14ac:dyDescent="0.3">
      <c r="AB1223"/>
      <c r="AC1223"/>
      <c r="AD1223"/>
      <c r="AE1223"/>
      <c r="AF1223"/>
      <c r="AG1223"/>
      <c r="AH1223"/>
      <c r="AI1223"/>
      <c r="AJ1223" s="25"/>
      <c r="AK1223" s="2"/>
      <c r="AR1223" s="25"/>
      <c r="BA1223" s="2"/>
      <c r="BG1223" s="1"/>
    </row>
    <row r="1224" spans="28:59" ht="15" customHeight="1" x14ac:dyDescent="0.3">
      <c r="AB1224"/>
      <c r="AC1224"/>
      <c r="AD1224"/>
      <c r="AE1224"/>
      <c r="AF1224"/>
      <c r="AG1224"/>
      <c r="AH1224"/>
      <c r="AI1224"/>
      <c r="AJ1224" s="25"/>
      <c r="AK1224" s="2"/>
      <c r="AR1224" s="25"/>
      <c r="BA1224" s="2"/>
      <c r="BG1224" s="1"/>
    </row>
    <row r="1225" spans="28:59" ht="15" customHeight="1" x14ac:dyDescent="0.3">
      <c r="AB1225"/>
      <c r="AC1225"/>
      <c r="AD1225"/>
      <c r="AE1225"/>
      <c r="AF1225"/>
      <c r="AG1225"/>
      <c r="AH1225"/>
      <c r="AI1225"/>
      <c r="AJ1225" s="25"/>
      <c r="AK1225" s="2"/>
      <c r="AR1225" s="25"/>
      <c r="BA1225" s="2"/>
      <c r="BG1225" s="1"/>
    </row>
    <row r="1226" spans="28:59" ht="15" customHeight="1" x14ac:dyDescent="0.3">
      <c r="AB1226"/>
      <c r="AC1226"/>
      <c r="AD1226"/>
      <c r="AE1226"/>
      <c r="AF1226"/>
      <c r="AG1226"/>
      <c r="AH1226"/>
      <c r="AI1226"/>
      <c r="AJ1226" s="25"/>
      <c r="AK1226" s="2"/>
      <c r="AR1226" s="25"/>
      <c r="BA1226" s="2"/>
      <c r="BG1226" s="1"/>
    </row>
    <row r="1227" spans="28:59" ht="15" customHeight="1" x14ac:dyDescent="0.3">
      <c r="AB1227"/>
      <c r="AC1227"/>
      <c r="AD1227"/>
      <c r="AE1227"/>
      <c r="AF1227"/>
      <c r="AG1227"/>
      <c r="AH1227"/>
      <c r="AI1227"/>
      <c r="AJ1227" s="25"/>
      <c r="AK1227" s="2"/>
      <c r="AR1227" s="25"/>
      <c r="BA1227" s="2"/>
      <c r="BG1227" s="1"/>
    </row>
    <row r="1228" spans="28:59" ht="15" customHeight="1" x14ac:dyDescent="0.3">
      <c r="AB1228"/>
      <c r="AC1228"/>
      <c r="AD1228"/>
      <c r="AE1228"/>
      <c r="AF1228"/>
      <c r="AG1228"/>
      <c r="AH1228"/>
      <c r="AI1228"/>
      <c r="AJ1228" s="25"/>
      <c r="AK1228" s="2"/>
      <c r="AR1228" s="25"/>
      <c r="BA1228" s="2"/>
      <c r="BG1228" s="1"/>
    </row>
    <row r="1229" spans="28:59" ht="15" customHeight="1" x14ac:dyDescent="0.3">
      <c r="AB1229"/>
      <c r="AC1229"/>
      <c r="AD1229"/>
      <c r="AE1229"/>
      <c r="AF1229"/>
      <c r="AG1229"/>
      <c r="AH1229"/>
      <c r="AI1229"/>
      <c r="AJ1229" s="25"/>
      <c r="AK1229" s="2"/>
      <c r="AR1229" s="25"/>
      <c r="BA1229" s="2"/>
      <c r="BG1229" s="1"/>
    </row>
    <row r="1230" spans="28:59" ht="15" customHeight="1" x14ac:dyDescent="0.3">
      <c r="AB1230"/>
      <c r="AC1230"/>
      <c r="AD1230"/>
      <c r="AE1230"/>
      <c r="AF1230"/>
      <c r="AG1230"/>
      <c r="AH1230"/>
      <c r="AI1230"/>
      <c r="AJ1230" s="25"/>
      <c r="AK1230" s="2"/>
      <c r="AR1230" s="25"/>
      <c r="BA1230" s="2"/>
      <c r="BG1230" s="1"/>
    </row>
    <row r="1231" spans="28:59" ht="15" customHeight="1" x14ac:dyDescent="0.3">
      <c r="AB1231"/>
      <c r="AC1231"/>
      <c r="AD1231"/>
      <c r="AE1231"/>
      <c r="AF1231"/>
      <c r="AG1231"/>
      <c r="AH1231"/>
      <c r="AI1231"/>
      <c r="AJ1231" s="25"/>
      <c r="AK1231" s="2"/>
      <c r="AR1231" s="25"/>
      <c r="BA1231" s="2"/>
      <c r="BG1231" s="1"/>
    </row>
    <row r="1232" spans="28:59" ht="15" customHeight="1" x14ac:dyDescent="0.3">
      <c r="AB1232"/>
      <c r="AC1232"/>
      <c r="AD1232"/>
      <c r="AE1232"/>
      <c r="AF1232"/>
      <c r="AG1232"/>
      <c r="AH1232"/>
      <c r="AI1232"/>
      <c r="AJ1232" s="25"/>
      <c r="AK1232" s="2"/>
      <c r="AR1232" s="25"/>
      <c r="BA1232" s="2"/>
      <c r="BG1232" s="1"/>
    </row>
    <row r="1233" spans="28:59" ht="15" customHeight="1" x14ac:dyDescent="0.3">
      <c r="AB1233"/>
      <c r="AC1233"/>
      <c r="AD1233"/>
      <c r="AE1233"/>
      <c r="AF1233"/>
      <c r="AG1233"/>
      <c r="AH1233"/>
      <c r="AI1233"/>
      <c r="AJ1233" s="25"/>
      <c r="AK1233" s="2"/>
      <c r="AR1233" s="25"/>
      <c r="BA1233" s="2"/>
      <c r="BG1233" s="1"/>
    </row>
    <row r="1234" spans="28:59" ht="15" customHeight="1" x14ac:dyDescent="0.3">
      <c r="AB1234"/>
      <c r="AC1234"/>
      <c r="AD1234"/>
      <c r="AE1234"/>
      <c r="AF1234"/>
      <c r="AG1234"/>
      <c r="AH1234"/>
      <c r="AI1234"/>
      <c r="AJ1234" s="25"/>
      <c r="AK1234" s="2"/>
      <c r="AR1234" s="25"/>
      <c r="BA1234" s="2"/>
      <c r="BG1234" s="1"/>
    </row>
    <row r="1235" spans="28:59" ht="15" customHeight="1" x14ac:dyDescent="0.3">
      <c r="AB1235"/>
      <c r="AC1235"/>
      <c r="AD1235"/>
      <c r="AE1235"/>
      <c r="AF1235"/>
      <c r="AG1235"/>
      <c r="AH1235"/>
      <c r="AI1235"/>
      <c r="AJ1235" s="25"/>
      <c r="AK1235" s="2"/>
      <c r="AR1235" s="25"/>
      <c r="BA1235" s="2"/>
      <c r="BG1235" s="1"/>
    </row>
    <row r="1236" spans="28:59" ht="15" customHeight="1" x14ac:dyDescent="0.3">
      <c r="AB1236"/>
      <c r="AC1236"/>
      <c r="AD1236"/>
      <c r="AE1236"/>
      <c r="AF1236"/>
      <c r="AG1236"/>
      <c r="AH1236"/>
      <c r="AI1236"/>
      <c r="AJ1236" s="25"/>
      <c r="AK1236" s="2"/>
      <c r="AR1236" s="25"/>
      <c r="BA1236" s="2"/>
      <c r="BG1236" s="1"/>
    </row>
    <row r="1237" spans="28:59" ht="15" customHeight="1" x14ac:dyDescent="0.3">
      <c r="AB1237"/>
      <c r="AC1237"/>
      <c r="AD1237"/>
      <c r="AE1237"/>
      <c r="AF1237"/>
      <c r="AG1237"/>
      <c r="AH1237"/>
      <c r="AI1237"/>
      <c r="AJ1237" s="25"/>
      <c r="AK1237" s="2"/>
      <c r="AR1237" s="25"/>
      <c r="BA1237" s="2"/>
      <c r="BG1237" s="1"/>
    </row>
    <row r="1238" spans="28:59" ht="15" customHeight="1" x14ac:dyDescent="0.3">
      <c r="AB1238"/>
      <c r="AC1238"/>
      <c r="AD1238"/>
      <c r="AE1238"/>
      <c r="AF1238"/>
      <c r="AG1238"/>
      <c r="AH1238"/>
      <c r="AI1238"/>
      <c r="AJ1238" s="25"/>
      <c r="AK1238" s="2"/>
      <c r="AR1238" s="25"/>
      <c r="BA1238" s="2"/>
      <c r="BG1238" s="1"/>
    </row>
    <row r="1239" spans="28:59" ht="15" customHeight="1" x14ac:dyDescent="0.3">
      <c r="AB1239"/>
      <c r="AC1239"/>
      <c r="AD1239"/>
      <c r="AE1239"/>
      <c r="AF1239"/>
      <c r="AG1239"/>
      <c r="AH1239"/>
      <c r="AI1239"/>
      <c r="AJ1239" s="25"/>
      <c r="AK1239" s="2"/>
      <c r="AR1239" s="25"/>
      <c r="BA1239" s="2"/>
      <c r="BG1239" s="1"/>
    </row>
    <row r="1240" spans="28:59" ht="15" customHeight="1" x14ac:dyDescent="0.3">
      <c r="AB1240"/>
      <c r="AC1240"/>
      <c r="AD1240"/>
      <c r="AE1240"/>
      <c r="AF1240"/>
      <c r="AG1240"/>
      <c r="AH1240"/>
      <c r="AI1240"/>
      <c r="AJ1240" s="25"/>
      <c r="AK1240" s="2"/>
      <c r="AR1240" s="25"/>
      <c r="BA1240" s="2"/>
      <c r="BG1240" s="1"/>
    </row>
    <row r="1241" spans="28:59" ht="15" customHeight="1" x14ac:dyDescent="0.3">
      <c r="AB1241"/>
      <c r="AC1241"/>
      <c r="AD1241"/>
      <c r="AE1241"/>
      <c r="AF1241"/>
      <c r="AG1241"/>
      <c r="AH1241"/>
      <c r="AI1241"/>
      <c r="AJ1241" s="25"/>
      <c r="AK1241" s="2"/>
      <c r="AR1241" s="25"/>
      <c r="BA1241" s="2"/>
      <c r="BG1241" s="1"/>
    </row>
    <row r="1242" spans="28:59" ht="15" customHeight="1" x14ac:dyDescent="0.3">
      <c r="AB1242"/>
      <c r="AC1242"/>
      <c r="AD1242"/>
      <c r="AE1242"/>
      <c r="AF1242"/>
      <c r="AG1242"/>
      <c r="AH1242"/>
      <c r="AI1242"/>
      <c r="AJ1242" s="25"/>
      <c r="AK1242" s="2"/>
      <c r="AR1242" s="25"/>
      <c r="BA1242" s="2"/>
      <c r="BG1242" s="1"/>
    </row>
    <row r="1243" spans="28:59" ht="15" customHeight="1" x14ac:dyDescent="0.3">
      <c r="AB1243"/>
      <c r="AC1243"/>
      <c r="AD1243"/>
      <c r="AE1243"/>
      <c r="AF1243"/>
      <c r="AG1243"/>
      <c r="AH1243"/>
      <c r="AI1243"/>
      <c r="AJ1243" s="25"/>
      <c r="AK1243" s="2"/>
      <c r="AR1243" s="25"/>
      <c r="BA1243" s="2"/>
      <c r="BG1243" s="1"/>
    </row>
    <row r="1244" spans="28:59" ht="15" customHeight="1" x14ac:dyDescent="0.3">
      <c r="AB1244"/>
      <c r="AC1244"/>
      <c r="AD1244"/>
      <c r="AE1244"/>
      <c r="AF1244"/>
      <c r="AG1244"/>
      <c r="AH1244"/>
      <c r="AI1244"/>
      <c r="AJ1244" s="25"/>
      <c r="AK1244" s="2"/>
      <c r="AR1244" s="25"/>
      <c r="BA1244" s="2"/>
      <c r="BG1244" s="1"/>
    </row>
    <row r="1245" spans="28:59" ht="15" customHeight="1" x14ac:dyDescent="0.3">
      <c r="AB1245"/>
      <c r="AC1245"/>
      <c r="AD1245"/>
      <c r="AE1245"/>
      <c r="AF1245"/>
      <c r="AG1245"/>
      <c r="AH1245"/>
      <c r="AI1245"/>
      <c r="AJ1245" s="25"/>
      <c r="AK1245" s="2"/>
      <c r="AR1245" s="25"/>
      <c r="BA1245" s="2"/>
      <c r="BG1245" s="1"/>
    </row>
    <row r="1246" spans="28:59" ht="15" customHeight="1" x14ac:dyDescent="0.3">
      <c r="AB1246"/>
      <c r="AC1246"/>
      <c r="AD1246"/>
      <c r="AE1246"/>
      <c r="AF1246"/>
      <c r="AG1246"/>
      <c r="AH1246"/>
      <c r="AI1246"/>
      <c r="AJ1246" s="25"/>
      <c r="AK1246" s="2"/>
      <c r="AR1246" s="25"/>
      <c r="BA1246" s="2"/>
      <c r="BG1246" s="1"/>
    </row>
    <row r="1247" spans="28:59" ht="15" customHeight="1" x14ac:dyDescent="0.3">
      <c r="AB1247"/>
      <c r="AC1247"/>
      <c r="AD1247"/>
      <c r="AE1247"/>
      <c r="AF1247"/>
      <c r="AG1247"/>
      <c r="AH1247"/>
      <c r="AI1247"/>
      <c r="AJ1247" s="25"/>
      <c r="AK1247" s="2"/>
      <c r="AR1247" s="25"/>
      <c r="BA1247" s="2"/>
      <c r="BG1247" s="1"/>
    </row>
    <row r="1248" spans="28:59" ht="15" customHeight="1" x14ac:dyDescent="0.3">
      <c r="AB1248"/>
      <c r="AC1248"/>
      <c r="AD1248"/>
      <c r="AE1248"/>
      <c r="AF1248"/>
      <c r="AG1248"/>
      <c r="AH1248"/>
      <c r="AI1248"/>
      <c r="AJ1248" s="25"/>
      <c r="AK1248" s="2"/>
      <c r="AR1248" s="25"/>
      <c r="BA1248" s="2"/>
      <c r="BG1248" s="1"/>
    </row>
    <row r="1249" spans="28:59" ht="15" customHeight="1" x14ac:dyDescent="0.3">
      <c r="AB1249"/>
      <c r="AC1249"/>
      <c r="AD1249"/>
      <c r="AE1249"/>
      <c r="AF1249"/>
      <c r="AG1249"/>
      <c r="AH1249"/>
      <c r="AI1249"/>
      <c r="AJ1249" s="25"/>
      <c r="AK1249" s="2"/>
      <c r="AR1249" s="25"/>
      <c r="BA1249" s="2"/>
      <c r="BG1249" s="1"/>
    </row>
    <row r="1250" spans="28:59" ht="15" customHeight="1" x14ac:dyDescent="0.3">
      <c r="AB1250"/>
      <c r="AC1250"/>
      <c r="AD1250"/>
      <c r="AE1250"/>
      <c r="AF1250"/>
      <c r="AG1250"/>
      <c r="AH1250"/>
      <c r="AI1250"/>
      <c r="AJ1250" s="25"/>
      <c r="AK1250" s="2"/>
      <c r="AR1250" s="25"/>
      <c r="BA1250" s="2"/>
      <c r="BG1250" s="1"/>
    </row>
    <row r="1251" spans="28:59" ht="15" customHeight="1" x14ac:dyDescent="0.3">
      <c r="AB1251"/>
      <c r="AC1251"/>
      <c r="AD1251"/>
      <c r="AE1251"/>
      <c r="AF1251"/>
      <c r="AG1251"/>
      <c r="AH1251"/>
      <c r="AI1251"/>
      <c r="AJ1251" s="25"/>
      <c r="AK1251" s="2"/>
      <c r="AR1251" s="25"/>
      <c r="BA1251" s="2"/>
      <c r="BG1251" s="1"/>
    </row>
    <row r="1252" spans="28:59" ht="15" customHeight="1" x14ac:dyDescent="0.3">
      <c r="AB1252"/>
      <c r="AC1252"/>
      <c r="AD1252"/>
      <c r="AE1252"/>
      <c r="AF1252"/>
      <c r="AG1252"/>
      <c r="AH1252"/>
      <c r="AI1252"/>
      <c r="AJ1252" s="25"/>
      <c r="AK1252" s="2"/>
      <c r="AR1252" s="25"/>
      <c r="BA1252" s="2"/>
      <c r="BG1252" s="1"/>
    </row>
    <row r="1253" spans="28:59" ht="15" customHeight="1" x14ac:dyDescent="0.3">
      <c r="AB1253"/>
      <c r="AC1253"/>
      <c r="AD1253"/>
      <c r="AE1253"/>
      <c r="AF1253"/>
      <c r="AG1253"/>
      <c r="AH1253"/>
      <c r="AI1253"/>
      <c r="AJ1253" s="25"/>
      <c r="AK1253" s="2"/>
      <c r="AR1253" s="25"/>
      <c r="BA1253" s="2"/>
      <c r="BG1253" s="1"/>
    </row>
    <row r="1254" spans="28:59" ht="15" customHeight="1" x14ac:dyDescent="0.3">
      <c r="AB1254"/>
      <c r="AC1254"/>
      <c r="AD1254"/>
      <c r="AE1254"/>
      <c r="AF1254"/>
      <c r="AG1254"/>
      <c r="AH1254"/>
      <c r="AI1254"/>
      <c r="AJ1254" s="25"/>
      <c r="AK1254" s="2"/>
      <c r="AR1254" s="25"/>
      <c r="BA1254" s="2"/>
      <c r="BG1254" s="1"/>
    </row>
    <row r="1255" spans="28:59" ht="15" customHeight="1" x14ac:dyDescent="0.3">
      <c r="AB1255"/>
      <c r="AC1255"/>
      <c r="AD1255"/>
      <c r="AE1255"/>
      <c r="AF1255"/>
      <c r="AG1255"/>
      <c r="AH1255"/>
      <c r="AI1255"/>
      <c r="AJ1255" s="25"/>
      <c r="AK1255" s="2"/>
      <c r="AR1255" s="25"/>
      <c r="BA1255" s="2"/>
      <c r="BG1255" s="1"/>
    </row>
    <row r="1256" spans="28:59" ht="15" customHeight="1" x14ac:dyDescent="0.3">
      <c r="AB1256"/>
      <c r="AC1256"/>
      <c r="AD1256"/>
      <c r="AE1256"/>
      <c r="AF1256"/>
      <c r="AG1256"/>
      <c r="AH1256"/>
      <c r="AI1256"/>
      <c r="AJ1256" s="25"/>
      <c r="AK1256" s="2"/>
      <c r="AR1256" s="25"/>
      <c r="BA1256" s="2"/>
      <c r="BG1256" s="1"/>
    </row>
    <row r="1257" spans="28:59" ht="15" customHeight="1" x14ac:dyDescent="0.3">
      <c r="AB1257"/>
      <c r="AC1257"/>
      <c r="AD1257"/>
      <c r="AE1257"/>
      <c r="AF1257"/>
      <c r="AG1257"/>
      <c r="AH1257"/>
      <c r="AI1257"/>
      <c r="AJ1257" s="25"/>
      <c r="AK1257" s="2"/>
      <c r="AR1257" s="25"/>
      <c r="BA1257" s="2"/>
      <c r="BG1257" s="1"/>
    </row>
    <row r="1258" spans="28:59" ht="15" customHeight="1" x14ac:dyDescent="0.3">
      <c r="AB1258"/>
      <c r="AC1258"/>
      <c r="AD1258"/>
      <c r="AE1258"/>
      <c r="AF1258"/>
      <c r="AG1258"/>
      <c r="AH1258"/>
      <c r="AI1258"/>
      <c r="AJ1258" s="25"/>
      <c r="AK1258" s="2"/>
      <c r="AR1258" s="25"/>
      <c r="BA1258" s="2"/>
      <c r="BG1258" s="1"/>
    </row>
    <row r="1259" spans="28:59" ht="15" customHeight="1" x14ac:dyDescent="0.3">
      <c r="AB1259"/>
      <c r="AC1259"/>
      <c r="AD1259"/>
      <c r="AE1259"/>
      <c r="AF1259"/>
      <c r="AG1259"/>
      <c r="AH1259"/>
      <c r="AI1259"/>
      <c r="AJ1259" s="25"/>
      <c r="AK1259" s="2"/>
      <c r="AR1259" s="25"/>
      <c r="BA1259" s="2"/>
      <c r="BG1259" s="1"/>
    </row>
    <row r="1260" spans="28:59" ht="15" customHeight="1" x14ac:dyDescent="0.3">
      <c r="AB1260"/>
      <c r="AC1260"/>
      <c r="AD1260"/>
      <c r="AE1260"/>
      <c r="AF1260"/>
      <c r="AG1260"/>
      <c r="AH1260"/>
      <c r="AI1260"/>
      <c r="AJ1260" s="25"/>
      <c r="AK1260" s="2"/>
      <c r="AR1260" s="25"/>
      <c r="BA1260" s="2"/>
      <c r="BG1260" s="1"/>
    </row>
    <row r="1261" spans="28:59" ht="15" customHeight="1" x14ac:dyDescent="0.3">
      <c r="AB1261"/>
      <c r="AC1261"/>
      <c r="AD1261"/>
      <c r="AE1261"/>
      <c r="AF1261"/>
      <c r="AG1261"/>
      <c r="AH1261"/>
      <c r="AI1261"/>
      <c r="AJ1261" s="25"/>
      <c r="AK1261" s="2"/>
      <c r="AR1261" s="25"/>
      <c r="BA1261" s="2"/>
      <c r="BG1261" s="1"/>
    </row>
    <row r="1262" spans="28:59" ht="15" customHeight="1" x14ac:dyDescent="0.3">
      <c r="AB1262"/>
      <c r="AC1262"/>
      <c r="AD1262"/>
      <c r="AE1262"/>
      <c r="AF1262"/>
      <c r="AG1262"/>
      <c r="AH1262"/>
      <c r="AI1262"/>
      <c r="AJ1262" s="25"/>
      <c r="AK1262" s="2"/>
      <c r="AR1262" s="25"/>
      <c r="BA1262" s="2"/>
      <c r="BG1262" s="1"/>
    </row>
    <row r="1263" spans="28:59" ht="15" customHeight="1" x14ac:dyDescent="0.3">
      <c r="AB1263"/>
      <c r="AC1263"/>
      <c r="AD1263"/>
      <c r="AE1263"/>
      <c r="AF1263"/>
      <c r="AG1263"/>
      <c r="AH1263"/>
      <c r="AI1263"/>
      <c r="AJ1263" s="25"/>
      <c r="AK1263" s="2"/>
      <c r="AR1263" s="25"/>
      <c r="BA1263" s="2"/>
      <c r="BG1263" s="1"/>
    </row>
    <row r="1264" spans="28:59" ht="15" customHeight="1" x14ac:dyDescent="0.3">
      <c r="AB1264"/>
      <c r="AC1264"/>
      <c r="AD1264"/>
      <c r="AE1264"/>
      <c r="AF1264"/>
      <c r="AG1264"/>
      <c r="AH1264"/>
      <c r="AI1264"/>
      <c r="AJ1264" s="25"/>
      <c r="AK1264" s="2"/>
      <c r="AR1264" s="25"/>
      <c r="BA1264" s="2"/>
      <c r="BG1264" s="1"/>
    </row>
    <row r="1265" spans="28:59" ht="15" customHeight="1" x14ac:dyDescent="0.3">
      <c r="AB1265"/>
      <c r="AC1265"/>
      <c r="AD1265"/>
      <c r="AE1265"/>
      <c r="AF1265"/>
      <c r="AG1265"/>
      <c r="AH1265"/>
      <c r="AI1265"/>
      <c r="AJ1265" s="25"/>
      <c r="AK1265" s="2"/>
      <c r="AR1265" s="25"/>
      <c r="BA1265" s="2"/>
      <c r="BG1265" s="1"/>
    </row>
    <row r="1266" spans="28:59" ht="15" customHeight="1" x14ac:dyDescent="0.3">
      <c r="AB1266"/>
      <c r="AC1266"/>
      <c r="AD1266"/>
      <c r="AE1266"/>
      <c r="AF1266"/>
      <c r="AG1266"/>
      <c r="AH1266"/>
      <c r="AI1266"/>
      <c r="AJ1266" s="25"/>
      <c r="AK1266" s="2"/>
      <c r="AR1266" s="25"/>
      <c r="BA1266" s="2"/>
      <c r="BG1266" s="1"/>
    </row>
    <row r="1267" spans="28:59" ht="15" customHeight="1" x14ac:dyDescent="0.3">
      <c r="AB1267"/>
      <c r="AC1267"/>
      <c r="AD1267"/>
      <c r="AE1267"/>
      <c r="AF1267"/>
      <c r="AG1267"/>
      <c r="AH1267"/>
      <c r="AI1267"/>
      <c r="AJ1267" s="25"/>
      <c r="AK1267" s="2"/>
      <c r="AR1267" s="25"/>
      <c r="BA1267" s="2"/>
      <c r="BG1267" s="1"/>
    </row>
    <row r="1268" spans="28:59" ht="15" customHeight="1" x14ac:dyDescent="0.3">
      <c r="AB1268"/>
      <c r="AC1268"/>
      <c r="AD1268"/>
      <c r="AE1268"/>
      <c r="AF1268"/>
      <c r="AG1268"/>
      <c r="AH1268"/>
      <c r="AI1268"/>
      <c r="AJ1268" s="25"/>
      <c r="AK1268" s="2"/>
      <c r="AR1268" s="25"/>
      <c r="BA1268" s="2"/>
      <c r="BG1268" s="1"/>
    </row>
    <row r="1269" spans="28:59" ht="15" customHeight="1" x14ac:dyDescent="0.3">
      <c r="AB1269"/>
      <c r="AC1269"/>
      <c r="AD1269"/>
      <c r="AE1269"/>
      <c r="AF1269"/>
      <c r="AG1269"/>
      <c r="AH1269"/>
      <c r="AI1269"/>
      <c r="AJ1269" s="25"/>
      <c r="AK1269" s="2"/>
      <c r="AR1269" s="25"/>
      <c r="BA1269" s="2"/>
      <c r="BG1269" s="1"/>
    </row>
    <row r="1270" spans="28:59" ht="15" customHeight="1" x14ac:dyDescent="0.3">
      <c r="AB1270"/>
      <c r="AC1270"/>
      <c r="AD1270"/>
      <c r="AE1270"/>
      <c r="AF1270"/>
      <c r="AG1270"/>
      <c r="AH1270"/>
      <c r="AI1270"/>
      <c r="AJ1270" s="25"/>
      <c r="AK1270" s="2"/>
      <c r="AR1270" s="25"/>
      <c r="BA1270" s="2"/>
      <c r="BG1270" s="1"/>
    </row>
    <row r="1271" spans="28:59" ht="15" customHeight="1" x14ac:dyDescent="0.3">
      <c r="AB1271"/>
      <c r="AC1271"/>
      <c r="AD1271"/>
      <c r="AE1271"/>
      <c r="AF1271"/>
      <c r="AG1271"/>
      <c r="AH1271"/>
      <c r="AI1271"/>
      <c r="AJ1271" s="25"/>
      <c r="AK1271" s="2"/>
      <c r="AR1271" s="25"/>
      <c r="BA1271" s="2"/>
      <c r="BG1271" s="1"/>
    </row>
    <row r="1272" spans="28:59" ht="15" customHeight="1" x14ac:dyDescent="0.3">
      <c r="AB1272"/>
      <c r="AC1272"/>
      <c r="AD1272"/>
      <c r="AE1272"/>
      <c r="AF1272"/>
      <c r="AG1272"/>
      <c r="AH1272"/>
      <c r="AI1272"/>
      <c r="AJ1272" s="25"/>
      <c r="AK1272" s="2"/>
      <c r="AR1272" s="25"/>
      <c r="BA1272" s="2"/>
      <c r="BG1272" s="1"/>
    </row>
    <row r="1273" spans="28:59" ht="15" customHeight="1" x14ac:dyDescent="0.3">
      <c r="AB1273"/>
      <c r="AC1273"/>
      <c r="AD1273"/>
      <c r="AE1273"/>
      <c r="AF1273"/>
      <c r="AG1273"/>
      <c r="AH1273"/>
      <c r="AI1273"/>
      <c r="AJ1273" s="25"/>
      <c r="AK1273" s="2"/>
      <c r="AR1273" s="25"/>
      <c r="BA1273" s="2"/>
      <c r="BG1273" s="1"/>
    </row>
    <row r="1274" spans="28:59" ht="15" customHeight="1" x14ac:dyDescent="0.3">
      <c r="AB1274"/>
      <c r="AC1274"/>
      <c r="AD1274"/>
      <c r="AE1274"/>
      <c r="AF1274"/>
      <c r="AG1274"/>
      <c r="AH1274"/>
      <c r="AI1274"/>
      <c r="AJ1274" s="25"/>
      <c r="AK1274" s="2"/>
      <c r="AR1274" s="25"/>
      <c r="BA1274" s="2"/>
      <c r="BG1274" s="1"/>
    </row>
    <row r="1275" spans="28:59" ht="15" customHeight="1" x14ac:dyDescent="0.3">
      <c r="AB1275"/>
      <c r="AC1275"/>
      <c r="AD1275"/>
      <c r="AE1275"/>
      <c r="AF1275"/>
      <c r="AG1275"/>
      <c r="AH1275"/>
      <c r="AI1275"/>
      <c r="AJ1275" s="25"/>
      <c r="AK1275" s="2"/>
      <c r="AR1275" s="25"/>
      <c r="BA1275" s="2"/>
      <c r="BG1275" s="1"/>
    </row>
    <row r="1276" spans="28:59" ht="15" customHeight="1" x14ac:dyDescent="0.3">
      <c r="AB1276"/>
      <c r="AC1276"/>
      <c r="AD1276"/>
      <c r="AE1276"/>
      <c r="AF1276"/>
      <c r="AG1276"/>
      <c r="AH1276"/>
      <c r="AI1276"/>
      <c r="AJ1276" s="25"/>
      <c r="AK1276" s="2"/>
      <c r="AR1276" s="25"/>
      <c r="BA1276" s="2"/>
      <c r="BG1276" s="1"/>
    </row>
    <row r="1277" spans="28:59" ht="15" customHeight="1" x14ac:dyDescent="0.3">
      <c r="AB1277"/>
      <c r="AC1277"/>
      <c r="AD1277"/>
      <c r="AE1277"/>
      <c r="AF1277"/>
      <c r="AG1277"/>
      <c r="AH1277"/>
      <c r="AI1277"/>
      <c r="AJ1277" s="25"/>
      <c r="AK1277" s="2"/>
      <c r="AR1277" s="25"/>
      <c r="BA1277" s="2"/>
      <c r="BG1277" s="1"/>
    </row>
    <row r="1278" spans="28:59" ht="15" customHeight="1" x14ac:dyDescent="0.3">
      <c r="AB1278"/>
      <c r="AC1278"/>
      <c r="AD1278"/>
      <c r="AE1278"/>
      <c r="AF1278"/>
      <c r="AG1278"/>
      <c r="AH1278"/>
      <c r="AI1278"/>
      <c r="AJ1278" s="25"/>
      <c r="AK1278" s="2"/>
      <c r="AR1278" s="25"/>
      <c r="BA1278" s="2"/>
      <c r="BG1278" s="1"/>
    </row>
    <row r="1279" spans="28:59" ht="15" customHeight="1" x14ac:dyDescent="0.3">
      <c r="AB1279"/>
      <c r="AC1279"/>
      <c r="AD1279"/>
      <c r="AE1279"/>
      <c r="AF1279"/>
      <c r="AG1279"/>
      <c r="AH1279"/>
      <c r="AI1279"/>
      <c r="AJ1279" s="25"/>
      <c r="AK1279" s="2"/>
      <c r="AR1279" s="25"/>
      <c r="BA1279" s="2"/>
      <c r="BG1279" s="1"/>
    </row>
    <row r="1280" spans="28:59" ht="15" customHeight="1" x14ac:dyDescent="0.3">
      <c r="AB1280"/>
      <c r="AC1280"/>
      <c r="AD1280"/>
      <c r="AE1280"/>
      <c r="AF1280"/>
      <c r="AG1280"/>
      <c r="AH1280"/>
      <c r="AI1280"/>
      <c r="AJ1280" s="25"/>
      <c r="AK1280" s="2"/>
      <c r="AR1280" s="25"/>
      <c r="BA1280" s="2"/>
      <c r="BG1280" s="1"/>
    </row>
    <row r="1281" spans="28:59" ht="15" customHeight="1" x14ac:dyDescent="0.3">
      <c r="AB1281"/>
      <c r="AC1281"/>
      <c r="AD1281"/>
      <c r="AE1281"/>
      <c r="AF1281"/>
      <c r="AG1281"/>
      <c r="AH1281"/>
      <c r="AI1281"/>
      <c r="AJ1281" s="25"/>
      <c r="AK1281" s="2"/>
      <c r="AR1281" s="25"/>
      <c r="BA1281" s="2"/>
      <c r="BG1281" s="1"/>
    </row>
    <row r="1282" spans="28:59" ht="15" customHeight="1" x14ac:dyDescent="0.3">
      <c r="AB1282"/>
      <c r="AC1282"/>
      <c r="AD1282"/>
      <c r="AE1282"/>
      <c r="AF1282"/>
      <c r="AG1282"/>
      <c r="AH1282"/>
      <c r="AI1282"/>
      <c r="AJ1282" s="25"/>
      <c r="AK1282" s="2"/>
      <c r="AR1282" s="25"/>
      <c r="BA1282" s="2"/>
      <c r="BG1282" s="1"/>
    </row>
    <row r="1283" spans="28:59" ht="15" customHeight="1" x14ac:dyDescent="0.3">
      <c r="AB1283"/>
      <c r="AC1283"/>
      <c r="AD1283"/>
      <c r="AE1283"/>
      <c r="AF1283"/>
      <c r="AG1283"/>
      <c r="AH1283"/>
      <c r="AI1283"/>
      <c r="AJ1283" s="25"/>
      <c r="AK1283" s="2"/>
      <c r="AR1283" s="25"/>
      <c r="BA1283" s="2"/>
      <c r="BG1283" s="1"/>
    </row>
    <row r="1284" spans="28:59" ht="15" customHeight="1" x14ac:dyDescent="0.3">
      <c r="AB1284"/>
      <c r="AC1284"/>
      <c r="AD1284"/>
      <c r="AE1284"/>
      <c r="AF1284"/>
      <c r="AG1284"/>
      <c r="AH1284"/>
      <c r="AI1284"/>
      <c r="AJ1284" s="25"/>
      <c r="AK1284" s="2"/>
      <c r="AR1284" s="25"/>
      <c r="BA1284" s="2"/>
      <c r="BG1284" s="1"/>
    </row>
    <row r="1285" spans="28:59" ht="15" customHeight="1" x14ac:dyDescent="0.3">
      <c r="AB1285"/>
      <c r="AC1285"/>
      <c r="AD1285"/>
      <c r="AE1285"/>
      <c r="AF1285"/>
      <c r="AG1285"/>
      <c r="AH1285"/>
      <c r="AI1285"/>
      <c r="AJ1285" s="25"/>
      <c r="AK1285" s="2"/>
      <c r="AR1285" s="25"/>
      <c r="BA1285" s="2"/>
      <c r="BG1285" s="1"/>
    </row>
    <row r="1286" spans="28:59" ht="15" customHeight="1" x14ac:dyDescent="0.3">
      <c r="AB1286"/>
      <c r="AC1286"/>
      <c r="AD1286"/>
      <c r="AE1286"/>
      <c r="AF1286"/>
      <c r="AG1286"/>
      <c r="AH1286"/>
      <c r="AI1286"/>
      <c r="AJ1286" s="25"/>
      <c r="AK1286" s="2"/>
      <c r="AR1286" s="25"/>
      <c r="BA1286" s="2"/>
      <c r="BG1286" s="1"/>
    </row>
    <row r="1287" spans="28:59" ht="15" customHeight="1" x14ac:dyDescent="0.3">
      <c r="AB1287"/>
      <c r="AC1287"/>
      <c r="AD1287"/>
      <c r="AE1287"/>
      <c r="AF1287"/>
      <c r="AG1287"/>
      <c r="AH1287"/>
      <c r="AI1287"/>
      <c r="AJ1287" s="25"/>
      <c r="AK1287" s="2"/>
      <c r="AR1287" s="25"/>
      <c r="BA1287" s="2"/>
      <c r="BG1287" s="1"/>
    </row>
    <row r="1288" spans="28:59" ht="15" customHeight="1" x14ac:dyDescent="0.3">
      <c r="AB1288"/>
      <c r="AC1288"/>
      <c r="AD1288"/>
      <c r="AE1288"/>
      <c r="AF1288"/>
      <c r="AG1288"/>
      <c r="AH1288"/>
      <c r="AI1288"/>
      <c r="AJ1288" s="25"/>
      <c r="AK1288" s="2"/>
      <c r="AR1288" s="25"/>
      <c r="BA1288" s="2"/>
      <c r="BG1288" s="1"/>
    </row>
    <row r="1289" spans="28:59" ht="15" customHeight="1" x14ac:dyDescent="0.3">
      <c r="AB1289"/>
      <c r="AC1289"/>
      <c r="AD1289"/>
      <c r="AE1289"/>
      <c r="AF1289"/>
      <c r="AG1289"/>
      <c r="AH1289"/>
      <c r="AI1289"/>
      <c r="AJ1289" s="25"/>
      <c r="AK1289" s="2"/>
      <c r="AR1289" s="25"/>
      <c r="BA1289" s="2"/>
      <c r="BG1289" s="1"/>
    </row>
    <row r="1290" spans="28:59" ht="15" customHeight="1" x14ac:dyDescent="0.3">
      <c r="AB1290"/>
      <c r="AC1290"/>
      <c r="AD1290"/>
      <c r="AE1290"/>
      <c r="AF1290"/>
      <c r="AG1290"/>
      <c r="AH1290"/>
      <c r="AI1290"/>
      <c r="AJ1290" s="25"/>
      <c r="AK1290" s="2"/>
      <c r="AR1290" s="25"/>
      <c r="BA1290" s="2"/>
      <c r="BG1290" s="1"/>
    </row>
    <row r="1291" spans="28:59" ht="15" customHeight="1" x14ac:dyDescent="0.3">
      <c r="AB1291"/>
      <c r="AC1291"/>
      <c r="AD1291"/>
      <c r="AE1291"/>
      <c r="AF1291"/>
      <c r="AG1291"/>
      <c r="AH1291"/>
      <c r="AI1291"/>
      <c r="AJ1291" s="25"/>
      <c r="AK1291" s="2"/>
      <c r="AR1291" s="25"/>
      <c r="BA1291" s="2"/>
      <c r="BG1291" s="1"/>
    </row>
    <row r="1292" spans="28:59" ht="15" customHeight="1" x14ac:dyDescent="0.3">
      <c r="AB1292"/>
      <c r="AC1292"/>
      <c r="AD1292"/>
      <c r="AE1292"/>
      <c r="AF1292"/>
      <c r="AG1292"/>
      <c r="AH1292"/>
      <c r="AI1292"/>
      <c r="AJ1292" s="25"/>
      <c r="AK1292" s="2"/>
      <c r="AR1292" s="25"/>
      <c r="BA1292" s="2"/>
      <c r="BG1292" s="1"/>
    </row>
    <row r="1293" spans="28:59" ht="15" customHeight="1" x14ac:dyDescent="0.3">
      <c r="AB1293"/>
      <c r="AC1293"/>
      <c r="AD1293"/>
      <c r="AE1293"/>
      <c r="AF1293"/>
      <c r="AG1293"/>
      <c r="AH1293"/>
      <c r="AI1293"/>
      <c r="AJ1293" s="25"/>
      <c r="AK1293" s="2"/>
      <c r="AR1293" s="25"/>
      <c r="BA1293" s="2"/>
      <c r="BG1293" s="1"/>
    </row>
    <row r="1294" spans="28:59" ht="15" customHeight="1" x14ac:dyDescent="0.3">
      <c r="AB1294"/>
      <c r="AC1294"/>
      <c r="AD1294"/>
      <c r="AE1294"/>
      <c r="AF1294"/>
      <c r="AG1294"/>
      <c r="AH1294"/>
      <c r="AI1294"/>
      <c r="AJ1294" s="25"/>
      <c r="AK1294" s="2"/>
      <c r="AR1294" s="25"/>
      <c r="BA1294" s="2"/>
      <c r="BG1294" s="1"/>
    </row>
    <row r="1295" spans="28:59" ht="15" customHeight="1" x14ac:dyDescent="0.3">
      <c r="AB1295"/>
      <c r="AC1295"/>
      <c r="AD1295"/>
      <c r="AE1295"/>
      <c r="AF1295"/>
      <c r="AG1295"/>
      <c r="AH1295"/>
      <c r="AI1295"/>
      <c r="AJ1295" s="25"/>
      <c r="AK1295" s="2"/>
      <c r="AR1295" s="25"/>
      <c r="BA1295" s="2"/>
      <c r="BG1295" s="1"/>
    </row>
    <row r="1296" spans="28:59" ht="15" customHeight="1" x14ac:dyDescent="0.3">
      <c r="AB1296"/>
      <c r="AC1296"/>
      <c r="AD1296"/>
      <c r="AE1296"/>
      <c r="AF1296"/>
      <c r="AG1296"/>
      <c r="AH1296"/>
      <c r="AI1296"/>
      <c r="AJ1296" s="25"/>
      <c r="AK1296" s="2"/>
      <c r="AR1296" s="25"/>
      <c r="BA1296" s="2"/>
      <c r="BG1296" s="1"/>
    </row>
    <row r="1297" spans="28:59" ht="15" customHeight="1" x14ac:dyDescent="0.3">
      <c r="AB1297"/>
      <c r="AC1297"/>
      <c r="AD1297"/>
      <c r="AE1297"/>
      <c r="AF1297"/>
      <c r="AG1297"/>
      <c r="AH1297"/>
      <c r="AI1297"/>
      <c r="AJ1297" s="25"/>
      <c r="AK1297" s="2"/>
      <c r="AR1297" s="25"/>
      <c r="BA1297" s="2"/>
      <c r="BG1297" s="1"/>
    </row>
    <row r="1298" spans="28:59" ht="15" customHeight="1" x14ac:dyDescent="0.3">
      <c r="AB1298"/>
      <c r="AC1298"/>
      <c r="AD1298"/>
      <c r="AE1298"/>
      <c r="AF1298"/>
      <c r="AG1298"/>
      <c r="AH1298"/>
      <c r="AI1298"/>
      <c r="AJ1298" s="25"/>
      <c r="AK1298" s="2"/>
      <c r="AR1298" s="25"/>
      <c r="BA1298" s="2"/>
      <c r="BG1298" s="1"/>
    </row>
    <row r="1299" spans="28:59" ht="15" customHeight="1" x14ac:dyDescent="0.3">
      <c r="AB1299"/>
      <c r="AC1299"/>
      <c r="AD1299"/>
      <c r="AE1299"/>
      <c r="AF1299"/>
      <c r="AG1299"/>
      <c r="AH1299"/>
      <c r="AI1299"/>
      <c r="AJ1299" s="25"/>
      <c r="AK1299" s="2"/>
      <c r="AR1299" s="25"/>
      <c r="BA1299" s="2"/>
      <c r="BG1299" s="1"/>
    </row>
    <row r="1300" spans="28:59" ht="15" customHeight="1" x14ac:dyDescent="0.3">
      <c r="AB1300"/>
      <c r="AC1300"/>
      <c r="AD1300"/>
      <c r="AE1300"/>
      <c r="AF1300"/>
      <c r="AG1300"/>
      <c r="AH1300"/>
      <c r="AI1300"/>
      <c r="AJ1300" s="25"/>
      <c r="AK1300" s="2"/>
      <c r="AR1300" s="25"/>
      <c r="BA1300" s="2"/>
      <c r="BG1300" s="1"/>
    </row>
    <row r="1301" spans="28:59" ht="15" customHeight="1" x14ac:dyDescent="0.3">
      <c r="AB1301"/>
      <c r="AC1301"/>
      <c r="AD1301"/>
      <c r="AE1301"/>
      <c r="AF1301"/>
      <c r="AG1301"/>
      <c r="AH1301"/>
      <c r="AI1301"/>
      <c r="AJ1301" s="25"/>
      <c r="AK1301" s="2"/>
      <c r="AR1301" s="25"/>
      <c r="BA1301" s="2"/>
      <c r="BG1301" s="1"/>
    </row>
    <row r="1302" spans="28:59" ht="15" customHeight="1" x14ac:dyDescent="0.3">
      <c r="AB1302"/>
      <c r="AC1302"/>
      <c r="AD1302"/>
      <c r="AE1302"/>
      <c r="AF1302"/>
      <c r="AG1302"/>
      <c r="AH1302"/>
      <c r="AI1302"/>
      <c r="AJ1302" s="25"/>
      <c r="AK1302" s="2"/>
      <c r="AR1302" s="25"/>
      <c r="BA1302" s="2"/>
      <c r="BG1302" s="1"/>
    </row>
    <row r="1303" spans="28:59" ht="15" customHeight="1" x14ac:dyDescent="0.3">
      <c r="AB1303"/>
      <c r="AC1303"/>
      <c r="AD1303"/>
      <c r="AE1303"/>
      <c r="AF1303"/>
      <c r="AG1303"/>
      <c r="AH1303"/>
      <c r="AI1303"/>
      <c r="AJ1303" s="25"/>
      <c r="AK1303" s="2"/>
      <c r="AR1303" s="25"/>
      <c r="BA1303" s="2"/>
      <c r="BG1303" s="1"/>
    </row>
    <row r="1304" spans="28:59" ht="15" customHeight="1" x14ac:dyDescent="0.3">
      <c r="AB1304"/>
      <c r="AC1304"/>
      <c r="AD1304"/>
      <c r="AE1304"/>
      <c r="AF1304"/>
      <c r="AG1304"/>
      <c r="AH1304"/>
      <c r="AI1304"/>
      <c r="AJ1304" s="25"/>
      <c r="AK1304" s="2"/>
      <c r="AR1304" s="25"/>
      <c r="BA1304" s="2"/>
      <c r="BG1304" s="1"/>
    </row>
    <row r="1305" spans="28:59" ht="15" customHeight="1" x14ac:dyDescent="0.3">
      <c r="AB1305"/>
      <c r="AC1305"/>
      <c r="AD1305"/>
      <c r="AE1305"/>
      <c r="AF1305"/>
      <c r="AG1305"/>
      <c r="AH1305"/>
      <c r="AI1305"/>
      <c r="AJ1305" s="25"/>
      <c r="AK1305" s="2"/>
      <c r="AR1305" s="25"/>
      <c r="BA1305" s="2"/>
      <c r="BG1305" s="1"/>
    </row>
    <row r="1306" spans="28:59" ht="15" customHeight="1" x14ac:dyDescent="0.3">
      <c r="AB1306"/>
      <c r="AC1306"/>
      <c r="AD1306"/>
      <c r="AE1306"/>
      <c r="AF1306"/>
      <c r="AG1306"/>
      <c r="AH1306"/>
      <c r="AI1306"/>
      <c r="AJ1306" s="25"/>
      <c r="AK1306" s="2"/>
      <c r="AR1306" s="25"/>
      <c r="BA1306" s="2"/>
      <c r="BG1306" s="1"/>
    </row>
    <row r="1307" spans="28:59" ht="15" customHeight="1" x14ac:dyDescent="0.3">
      <c r="AB1307"/>
      <c r="AC1307"/>
      <c r="AD1307"/>
      <c r="AE1307"/>
      <c r="AF1307"/>
      <c r="AG1307"/>
      <c r="AH1307"/>
      <c r="AI1307"/>
      <c r="AJ1307" s="25"/>
      <c r="AK1307" s="2"/>
      <c r="AR1307" s="25"/>
      <c r="BA1307" s="2"/>
      <c r="BG1307" s="1"/>
    </row>
    <row r="1308" spans="28:59" ht="15" customHeight="1" x14ac:dyDescent="0.3">
      <c r="AB1308"/>
      <c r="AC1308"/>
      <c r="AD1308"/>
      <c r="AE1308"/>
      <c r="AF1308"/>
      <c r="AG1308"/>
      <c r="AH1308"/>
      <c r="AI1308"/>
      <c r="AJ1308" s="25"/>
      <c r="AK1308" s="2"/>
      <c r="AR1308" s="25"/>
      <c r="BA1308" s="2"/>
      <c r="BG1308" s="1"/>
    </row>
    <row r="1309" spans="28:59" ht="15" customHeight="1" x14ac:dyDescent="0.3">
      <c r="AB1309"/>
      <c r="AC1309"/>
      <c r="AD1309"/>
      <c r="AE1309"/>
      <c r="AF1309"/>
      <c r="AG1309"/>
      <c r="AH1309"/>
      <c r="AI1309"/>
      <c r="AJ1309" s="25"/>
      <c r="AK1309" s="2"/>
      <c r="AR1309" s="25"/>
      <c r="BA1309" s="2"/>
      <c r="BG1309" s="1"/>
    </row>
    <row r="1310" spans="28:59" ht="15" customHeight="1" x14ac:dyDescent="0.3">
      <c r="AB1310"/>
      <c r="AC1310"/>
      <c r="AD1310"/>
      <c r="AE1310"/>
      <c r="AF1310"/>
      <c r="AG1310"/>
      <c r="AH1310"/>
      <c r="AI1310"/>
      <c r="AJ1310" s="25"/>
      <c r="AK1310" s="2"/>
      <c r="AR1310" s="25"/>
      <c r="BA1310" s="2"/>
      <c r="BG1310" s="1"/>
    </row>
    <row r="1311" spans="28:59" ht="15" customHeight="1" x14ac:dyDescent="0.3">
      <c r="AB1311"/>
      <c r="AC1311"/>
      <c r="AD1311"/>
      <c r="AE1311"/>
      <c r="AF1311"/>
      <c r="AG1311"/>
      <c r="AH1311"/>
      <c r="AI1311"/>
      <c r="AJ1311" s="25"/>
      <c r="AK1311" s="2"/>
      <c r="AR1311" s="25"/>
      <c r="BA1311" s="2"/>
      <c r="BG1311" s="1"/>
    </row>
    <row r="1312" spans="28:59" ht="15" customHeight="1" x14ac:dyDescent="0.3">
      <c r="AB1312"/>
      <c r="AC1312"/>
      <c r="AD1312"/>
      <c r="AE1312"/>
      <c r="AF1312"/>
      <c r="AG1312"/>
      <c r="AH1312"/>
      <c r="AI1312"/>
      <c r="AJ1312" s="25"/>
      <c r="AK1312" s="2"/>
      <c r="AR1312" s="25"/>
      <c r="BA1312" s="2"/>
      <c r="BG1312" s="1"/>
    </row>
    <row r="1313" spans="28:59" ht="15" customHeight="1" x14ac:dyDescent="0.3">
      <c r="AB1313"/>
      <c r="AC1313"/>
      <c r="AD1313"/>
      <c r="AE1313"/>
      <c r="AF1313"/>
      <c r="AG1313"/>
      <c r="AH1313"/>
      <c r="AI1313"/>
      <c r="AJ1313" s="25"/>
      <c r="AK1313" s="2"/>
      <c r="AR1313" s="25"/>
      <c r="BA1313" s="2"/>
      <c r="BG1313" s="1"/>
    </row>
    <row r="1314" spans="28:59" ht="15" customHeight="1" x14ac:dyDescent="0.3">
      <c r="AB1314"/>
      <c r="AC1314"/>
      <c r="AD1314"/>
      <c r="AE1314"/>
      <c r="AF1314"/>
      <c r="AG1314"/>
      <c r="AH1314"/>
      <c r="AI1314"/>
      <c r="AJ1314" s="25"/>
      <c r="AK1314" s="2"/>
      <c r="AR1314" s="25"/>
      <c r="BA1314" s="2"/>
      <c r="BG1314" s="1"/>
    </row>
    <row r="1315" spans="28:59" ht="15" customHeight="1" x14ac:dyDescent="0.3">
      <c r="AB1315"/>
      <c r="AC1315"/>
      <c r="AD1315"/>
      <c r="AE1315"/>
      <c r="AF1315"/>
      <c r="AG1315"/>
      <c r="AH1315"/>
      <c r="AI1315"/>
      <c r="AJ1315" s="25"/>
      <c r="AK1315" s="2"/>
      <c r="AR1315" s="25"/>
      <c r="BA1315" s="2"/>
      <c r="BG1315" s="1"/>
    </row>
    <row r="1316" spans="28:59" ht="15" customHeight="1" x14ac:dyDescent="0.3">
      <c r="AB1316"/>
      <c r="AC1316"/>
      <c r="AD1316"/>
      <c r="AE1316"/>
      <c r="AF1316"/>
      <c r="AG1316"/>
      <c r="AH1316"/>
      <c r="AI1316"/>
      <c r="AJ1316" s="25"/>
      <c r="AK1316" s="2"/>
      <c r="AR1316" s="25"/>
      <c r="BA1316" s="2"/>
      <c r="BG1316" s="1"/>
    </row>
    <row r="1317" spans="28:59" ht="15" customHeight="1" x14ac:dyDescent="0.3">
      <c r="AB1317"/>
      <c r="AC1317"/>
      <c r="AD1317"/>
      <c r="AE1317"/>
      <c r="AF1317"/>
      <c r="AG1317"/>
      <c r="AH1317"/>
      <c r="AI1317"/>
      <c r="AJ1317" s="25"/>
      <c r="AK1317" s="2"/>
      <c r="AR1317" s="25"/>
      <c r="BA1317" s="2"/>
      <c r="BG1317" s="1"/>
    </row>
    <row r="1318" spans="28:59" ht="15" customHeight="1" x14ac:dyDescent="0.3">
      <c r="AB1318"/>
      <c r="AC1318"/>
      <c r="AD1318"/>
      <c r="AE1318"/>
      <c r="AF1318"/>
      <c r="AG1318"/>
      <c r="AH1318"/>
      <c r="AI1318"/>
      <c r="AJ1318" s="25"/>
      <c r="AK1318" s="2"/>
      <c r="AR1318" s="25"/>
      <c r="BA1318" s="2"/>
      <c r="BG1318" s="1"/>
    </row>
    <row r="1319" spans="28:59" ht="15" customHeight="1" x14ac:dyDescent="0.3">
      <c r="AB1319"/>
      <c r="AC1319"/>
      <c r="AD1319"/>
      <c r="AE1319"/>
      <c r="AF1319"/>
      <c r="AG1319"/>
      <c r="AH1319"/>
      <c r="AI1319"/>
      <c r="AJ1319" s="25"/>
      <c r="AK1319" s="2"/>
      <c r="AR1319" s="25"/>
      <c r="BA1319" s="2"/>
      <c r="BG1319" s="1"/>
    </row>
    <row r="1320" spans="28:59" ht="15" customHeight="1" x14ac:dyDescent="0.3">
      <c r="AB1320"/>
      <c r="AC1320"/>
      <c r="AD1320"/>
      <c r="AE1320"/>
      <c r="AF1320"/>
      <c r="AG1320"/>
      <c r="AH1320"/>
      <c r="AI1320"/>
      <c r="AJ1320" s="25"/>
      <c r="AK1320" s="2"/>
      <c r="AR1320" s="25"/>
      <c r="BA1320" s="2"/>
      <c r="BG1320" s="1"/>
    </row>
    <row r="1321" spans="28:59" ht="15" customHeight="1" x14ac:dyDescent="0.3">
      <c r="AB1321"/>
      <c r="AC1321"/>
      <c r="AD1321"/>
      <c r="AE1321"/>
      <c r="AF1321"/>
      <c r="AG1321"/>
      <c r="AH1321"/>
      <c r="AI1321"/>
      <c r="AJ1321" s="25"/>
      <c r="AK1321" s="2"/>
      <c r="AR1321" s="25"/>
      <c r="BA1321" s="2"/>
      <c r="BG1321" s="1"/>
    </row>
    <row r="1322" spans="28:59" ht="15" customHeight="1" x14ac:dyDescent="0.3">
      <c r="AB1322"/>
      <c r="AC1322"/>
      <c r="AD1322"/>
      <c r="AE1322"/>
      <c r="AF1322"/>
      <c r="AG1322"/>
      <c r="AH1322"/>
      <c r="AI1322"/>
      <c r="AJ1322" s="25"/>
      <c r="AK1322" s="2"/>
      <c r="AR1322" s="25"/>
      <c r="BA1322" s="2"/>
      <c r="BG1322" s="1"/>
    </row>
    <row r="1323" spans="28:59" ht="15" customHeight="1" x14ac:dyDescent="0.3">
      <c r="AB1323"/>
      <c r="AC1323"/>
      <c r="AD1323"/>
      <c r="AE1323"/>
      <c r="AF1323"/>
      <c r="AG1323"/>
      <c r="AH1323"/>
      <c r="AI1323"/>
      <c r="AJ1323" s="25"/>
      <c r="AK1323" s="2"/>
      <c r="AR1323" s="25"/>
      <c r="BA1323" s="2"/>
      <c r="BG1323" s="1"/>
    </row>
    <row r="1324" spans="28:59" ht="15" customHeight="1" x14ac:dyDescent="0.3">
      <c r="AB1324"/>
      <c r="AC1324"/>
      <c r="AD1324"/>
      <c r="AE1324"/>
      <c r="AF1324"/>
      <c r="AG1324"/>
      <c r="AH1324"/>
      <c r="AI1324"/>
      <c r="AJ1324" s="25"/>
      <c r="AK1324" s="2"/>
      <c r="AR1324" s="25"/>
      <c r="BA1324" s="2"/>
      <c r="BG1324" s="1"/>
    </row>
    <row r="1325" spans="28:59" ht="15" customHeight="1" x14ac:dyDescent="0.3">
      <c r="AB1325"/>
      <c r="AC1325"/>
      <c r="AD1325"/>
      <c r="AE1325"/>
      <c r="AF1325"/>
      <c r="AG1325"/>
      <c r="AH1325"/>
      <c r="AI1325"/>
      <c r="AJ1325" s="25"/>
      <c r="AK1325" s="2"/>
      <c r="AR1325" s="25"/>
      <c r="BA1325" s="2"/>
      <c r="BG1325" s="1"/>
    </row>
    <row r="1326" spans="28:59" ht="15" customHeight="1" x14ac:dyDescent="0.3">
      <c r="AB1326"/>
      <c r="AC1326"/>
      <c r="AD1326"/>
      <c r="AE1326"/>
      <c r="AF1326"/>
      <c r="AG1326"/>
      <c r="AH1326"/>
      <c r="AI1326"/>
      <c r="AJ1326" s="25"/>
      <c r="AK1326" s="2"/>
      <c r="AR1326" s="25"/>
      <c r="BA1326" s="2"/>
      <c r="BG1326" s="1"/>
    </row>
    <row r="1327" spans="28:59" ht="15" customHeight="1" x14ac:dyDescent="0.3">
      <c r="AB1327"/>
      <c r="AC1327"/>
      <c r="AD1327"/>
      <c r="AE1327"/>
      <c r="AF1327"/>
      <c r="AG1327"/>
      <c r="AH1327"/>
      <c r="AI1327"/>
      <c r="AJ1327" s="25"/>
      <c r="AK1327" s="2"/>
      <c r="AR1327" s="25"/>
      <c r="BA1327" s="2"/>
      <c r="BG1327" s="1"/>
    </row>
    <row r="1328" spans="28:59" ht="15" customHeight="1" x14ac:dyDescent="0.3">
      <c r="AB1328"/>
      <c r="AC1328"/>
      <c r="AD1328"/>
      <c r="AE1328"/>
      <c r="AF1328"/>
      <c r="AG1328"/>
      <c r="AH1328"/>
      <c r="AI1328"/>
      <c r="AJ1328" s="25"/>
      <c r="AK1328" s="2"/>
      <c r="AR1328" s="25"/>
      <c r="BA1328" s="2"/>
      <c r="BG1328" s="1"/>
    </row>
    <row r="1329" spans="28:59" ht="15" customHeight="1" x14ac:dyDescent="0.3">
      <c r="AB1329"/>
      <c r="AC1329"/>
      <c r="AD1329"/>
      <c r="AE1329"/>
      <c r="AF1329"/>
      <c r="AG1329"/>
      <c r="AH1329"/>
      <c r="AI1329"/>
      <c r="AJ1329" s="25"/>
      <c r="AK1329" s="2"/>
      <c r="AR1329" s="25"/>
      <c r="BA1329" s="2"/>
      <c r="BG1329" s="1"/>
    </row>
    <row r="1330" spans="28:59" ht="15" customHeight="1" x14ac:dyDescent="0.3">
      <c r="AB1330"/>
      <c r="AC1330"/>
      <c r="AD1330"/>
      <c r="AE1330"/>
      <c r="AF1330"/>
      <c r="AG1330"/>
      <c r="AH1330"/>
      <c r="AI1330"/>
      <c r="AJ1330" s="25"/>
      <c r="AK1330" s="2"/>
      <c r="AR1330" s="25"/>
      <c r="BA1330" s="2"/>
      <c r="BG1330" s="1"/>
    </row>
    <row r="1331" spans="28:59" ht="15" customHeight="1" x14ac:dyDescent="0.3">
      <c r="AB1331"/>
      <c r="AC1331"/>
      <c r="AD1331"/>
      <c r="AE1331"/>
      <c r="AF1331"/>
      <c r="AG1331"/>
      <c r="AH1331"/>
      <c r="AI1331"/>
      <c r="AJ1331" s="25"/>
      <c r="AK1331" s="2"/>
      <c r="AR1331" s="25"/>
      <c r="BA1331" s="2"/>
      <c r="BG1331" s="1"/>
    </row>
    <row r="1332" spans="28:59" ht="15" customHeight="1" x14ac:dyDescent="0.3">
      <c r="AB1332"/>
      <c r="AC1332"/>
      <c r="AD1332"/>
      <c r="AE1332"/>
      <c r="AF1332"/>
      <c r="AG1332"/>
      <c r="AH1332"/>
      <c r="AI1332"/>
      <c r="AJ1332" s="25"/>
      <c r="AK1332" s="2"/>
      <c r="AR1332" s="25"/>
      <c r="BA1332" s="2"/>
      <c r="BG1332" s="1"/>
    </row>
    <row r="1333" spans="28:59" ht="15" customHeight="1" x14ac:dyDescent="0.3">
      <c r="AB1333"/>
      <c r="AC1333"/>
      <c r="AD1333"/>
      <c r="AE1333"/>
      <c r="AF1333"/>
      <c r="AG1333"/>
      <c r="AH1333"/>
      <c r="AI1333"/>
      <c r="AJ1333" s="25"/>
      <c r="AK1333" s="2"/>
      <c r="AR1333" s="25"/>
      <c r="BA1333" s="2"/>
      <c r="BG1333" s="1"/>
    </row>
    <row r="1334" spans="28:59" ht="15" customHeight="1" x14ac:dyDescent="0.3">
      <c r="AB1334"/>
      <c r="AC1334"/>
      <c r="AD1334"/>
      <c r="AE1334"/>
      <c r="AF1334"/>
      <c r="AG1334"/>
      <c r="AH1334"/>
      <c r="AI1334"/>
      <c r="AJ1334" s="25"/>
      <c r="AK1334" s="2"/>
      <c r="AR1334" s="25"/>
      <c r="BA1334" s="2"/>
      <c r="BG1334" s="1"/>
    </row>
    <row r="1335" spans="28:59" ht="15" customHeight="1" x14ac:dyDescent="0.3">
      <c r="AB1335"/>
      <c r="AC1335"/>
      <c r="AD1335"/>
      <c r="AE1335"/>
      <c r="AF1335"/>
      <c r="AG1335"/>
      <c r="AH1335"/>
      <c r="AI1335"/>
      <c r="AJ1335" s="25"/>
      <c r="AK1335" s="2"/>
      <c r="AR1335" s="25"/>
      <c r="BA1335" s="2"/>
      <c r="BG1335" s="1"/>
    </row>
    <row r="1336" spans="28:59" ht="15" customHeight="1" x14ac:dyDescent="0.3">
      <c r="AB1336"/>
      <c r="AC1336"/>
      <c r="AD1336"/>
      <c r="AE1336"/>
      <c r="AF1336"/>
      <c r="AG1336"/>
      <c r="AH1336"/>
      <c r="AI1336"/>
      <c r="AJ1336" s="25"/>
      <c r="AK1336" s="2"/>
      <c r="AR1336" s="25"/>
      <c r="BA1336" s="2"/>
      <c r="BG1336" s="1"/>
    </row>
    <row r="1337" spans="28:59" ht="15" customHeight="1" x14ac:dyDescent="0.3">
      <c r="AB1337"/>
      <c r="AC1337"/>
      <c r="AD1337"/>
      <c r="AE1337"/>
      <c r="AF1337"/>
      <c r="AG1337"/>
      <c r="AH1337"/>
      <c r="AI1337"/>
      <c r="AJ1337" s="25"/>
      <c r="AK1337" s="2"/>
      <c r="AR1337" s="25"/>
      <c r="BA1337" s="2"/>
      <c r="BG1337" s="1"/>
    </row>
    <row r="1338" spans="28:59" ht="15" customHeight="1" x14ac:dyDescent="0.3">
      <c r="AB1338"/>
      <c r="AC1338"/>
      <c r="AD1338"/>
      <c r="AE1338"/>
      <c r="AF1338"/>
      <c r="AG1338"/>
      <c r="AH1338"/>
      <c r="AI1338"/>
      <c r="AJ1338" s="25"/>
      <c r="AK1338" s="2"/>
      <c r="AR1338" s="25"/>
      <c r="BA1338" s="2"/>
      <c r="BG1338" s="1"/>
    </row>
    <row r="1339" spans="28:59" ht="15" customHeight="1" x14ac:dyDescent="0.3">
      <c r="AB1339"/>
      <c r="AC1339"/>
      <c r="AD1339"/>
      <c r="AE1339"/>
      <c r="AF1339"/>
      <c r="AG1339"/>
      <c r="AH1339"/>
      <c r="AI1339"/>
      <c r="AJ1339" s="25"/>
      <c r="AK1339" s="2"/>
      <c r="AR1339" s="25"/>
      <c r="BA1339" s="2"/>
      <c r="BG1339" s="1"/>
    </row>
    <row r="1340" spans="28:59" ht="15" customHeight="1" x14ac:dyDescent="0.3">
      <c r="AB1340"/>
      <c r="AC1340"/>
      <c r="AD1340"/>
      <c r="AE1340"/>
      <c r="AF1340"/>
      <c r="AG1340"/>
      <c r="AH1340"/>
      <c r="AI1340"/>
      <c r="AJ1340" s="25"/>
      <c r="AK1340" s="2"/>
      <c r="AR1340" s="25"/>
      <c r="BA1340" s="2"/>
      <c r="BG1340" s="1"/>
    </row>
    <row r="1341" spans="28:59" ht="15" customHeight="1" x14ac:dyDescent="0.3">
      <c r="AB1341"/>
      <c r="AC1341"/>
      <c r="AD1341"/>
      <c r="AE1341"/>
      <c r="AF1341"/>
      <c r="AG1341"/>
      <c r="AH1341"/>
      <c r="AI1341"/>
      <c r="AJ1341" s="25"/>
      <c r="AK1341" s="2"/>
      <c r="AR1341" s="25"/>
      <c r="BA1341" s="2"/>
      <c r="BG1341" s="1"/>
    </row>
    <row r="1342" spans="28:59" ht="15" customHeight="1" x14ac:dyDescent="0.3">
      <c r="AB1342"/>
      <c r="AC1342"/>
      <c r="AD1342"/>
      <c r="AE1342"/>
      <c r="AF1342"/>
      <c r="AG1342"/>
      <c r="AH1342"/>
      <c r="AI1342"/>
      <c r="AJ1342" s="25"/>
      <c r="AK1342" s="2"/>
      <c r="AR1342" s="25"/>
      <c r="BA1342" s="2"/>
      <c r="BG1342" s="1"/>
    </row>
    <row r="1343" spans="28:59" ht="15" customHeight="1" x14ac:dyDescent="0.3">
      <c r="AB1343"/>
      <c r="AC1343"/>
      <c r="AD1343"/>
      <c r="AE1343"/>
      <c r="AF1343"/>
      <c r="AG1343"/>
      <c r="AH1343"/>
      <c r="AI1343"/>
      <c r="AJ1343" s="25"/>
      <c r="AK1343" s="2"/>
      <c r="AR1343" s="25"/>
      <c r="BA1343" s="2"/>
      <c r="BG1343" s="1"/>
    </row>
    <row r="1344" spans="28:59" ht="15" customHeight="1" x14ac:dyDescent="0.3">
      <c r="AB1344"/>
      <c r="AC1344"/>
      <c r="AD1344"/>
      <c r="AE1344"/>
      <c r="AF1344"/>
      <c r="AG1344"/>
      <c r="AH1344"/>
      <c r="AI1344"/>
      <c r="AJ1344" s="25"/>
      <c r="AK1344" s="2"/>
      <c r="AR1344" s="25"/>
      <c r="BA1344" s="2"/>
      <c r="BG1344" s="1"/>
    </row>
    <row r="1345" spans="28:59" ht="15" customHeight="1" x14ac:dyDescent="0.3">
      <c r="AB1345"/>
      <c r="AC1345"/>
      <c r="AD1345"/>
      <c r="AE1345"/>
      <c r="AF1345"/>
      <c r="AG1345"/>
      <c r="AH1345"/>
      <c r="AI1345"/>
      <c r="AJ1345" s="25"/>
      <c r="AK1345" s="2"/>
      <c r="AR1345" s="25"/>
      <c r="BA1345" s="2"/>
      <c r="BG1345" s="1"/>
    </row>
    <row r="1346" spans="28:59" ht="15" customHeight="1" x14ac:dyDescent="0.3">
      <c r="AB1346"/>
      <c r="AC1346"/>
      <c r="AD1346"/>
      <c r="AE1346"/>
      <c r="AF1346"/>
      <c r="AG1346"/>
      <c r="AH1346"/>
      <c r="AI1346"/>
      <c r="AJ1346" s="25"/>
      <c r="AK1346" s="2"/>
      <c r="AR1346" s="25"/>
      <c r="BA1346" s="2"/>
      <c r="BG1346" s="1"/>
    </row>
    <row r="1347" spans="28:59" ht="15" customHeight="1" x14ac:dyDescent="0.3">
      <c r="AB1347"/>
      <c r="AC1347"/>
      <c r="AD1347"/>
      <c r="AE1347"/>
      <c r="AF1347"/>
      <c r="AG1347"/>
      <c r="AH1347"/>
      <c r="AI1347"/>
      <c r="AJ1347" s="25"/>
      <c r="AK1347" s="2"/>
      <c r="AR1347" s="25"/>
      <c r="BA1347" s="2"/>
      <c r="BG1347" s="1"/>
    </row>
    <row r="1348" spans="28:59" ht="15" customHeight="1" x14ac:dyDescent="0.3">
      <c r="AB1348"/>
      <c r="AC1348"/>
      <c r="AD1348"/>
      <c r="AE1348"/>
      <c r="AF1348"/>
      <c r="AG1348"/>
      <c r="AH1348"/>
      <c r="AI1348"/>
      <c r="AJ1348" s="25"/>
      <c r="AK1348" s="2"/>
      <c r="AR1348" s="25"/>
      <c r="BA1348" s="2"/>
      <c r="BG1348" s="1"/>
    </row>
    <row r="1349" spans="28:59" ht="15" customHeight="1" x14ac:dyDescent="0.3">
      <c r="AB1349"/>
      <c r="AC1349"/>
      <c r="AD1349"/>
      <c r="AE1349"/>
      <c r="AF1349"/>
      <c r="AG1349"/>
      <c r="AH1349"/>
      <c r="AI1349"/>
      <c r="AJ1349" s="25"/>
      <c r="AK1349" s="2"/>
      <c r="AR1349" s="25"/>
      <c r="BA1349" s="2"/>
      <c r="BG1349" s="1"/>
    </row>
    <row r="1350" spans="28:59" ht="15" customHeight="1" x14ac:dyDescent="0.3">
      <c r="AB1350"/>
      <c r="AC1350"/>
      <c r="AD1350"/>
      <c r="AE1350"/>
      <c r="AF1350"/>
      <c r="AG1350"/>
      <c r="AH1350"/>
      <c r="AI1350"/>
      <c r="AJ1350" s="25"/>
      <c r="AK1350" s="2"/>
      <c r="AR1350" s="25"/>
      <c r="BA1350" s="2"/>
      <c r="BG1350" s="1"/>
    </row>
    <row r="1351" spans="28:59" ht="15" customHeight="1" x14ac:dyDescent="0.3">
      <c r="AB1351"/>
      <c r="AC1351"/>
      <c r="AD1351"/>
      <c r="AE1351"/>
      <c r="AF1351"/>
      <c r="AG1351"/>
      <c r="AH1351"/>
      <c r="AI1351"/>
      <c r="AJ1351" s="25"/>
      <c r="AK1351" s="2"/>
      <c r="AR1351" s="25"/>
      <c r="BA1351" s="2"/>
      <c r="BG1351" s="1"/>
    </row>
    <row r="1352" spans="28:59" ht="15" customHeight="1" x14ac:dyDescent="0.3">
      <c r="AB1352"/>
      <c r="AC1352"/>
      <c r="AD1352"/>
      <c r="AE1352"/>
      <c r="AF1352"/>
      <c r="AG1352"/>
      <c r="AH1352"/>
      <c r="AI1352"/>
      <c r="AJ1352" s="25"/>
      <c r="AK1352" s="2"/>
      <c r="AR1352" s="25"/>
      <c r="BA1352" s="2"/>
      <c r="BG1352" s="1"/>
    </row>
    <row r="1353" spans="28:59" ht="15" customHeight="1" x14ac:dyDescent="0.3">
      <c r="AB1353"/>
      <c r="AC1353"/>
      <c r="AD1353"/>
      <c r="AE1353"/>
      <c r="AF1353"/>
      <c r="AG1353"/>
      <c r="AH1353"/>
      <c r="AI1353"/>
      <c r="AJ1353" s="25"/>
      <c r="AK1353" s="2"/>
      <c r="AR1353" s="25"/>
      <c r="BA1353" s="2"/>
      <c r="BG1353" s="1"/>
    </row>
    <row r="1354" spans="28:59" ht="15" customHeight="1" x14ac:dyDescent="0.3">
      <c r="AB1354"/>
      <c r="AC1354"/>
      <c r="AD1354"/>
      <c r="AE1354"/>
      <c r="AF1354"/>
      <c r="AG1354"/>
      <c r="AH1354"/>
      <c r="AI1354"/>
      <c r="AJ1354" s="25"/>
      <c r="AK1354" s="2"/>
      <c r="AR1354" s="25"/>
      <c r="BA1354" s="2"/>
      <c r="BG1354" s="1"/>
    </row>
    <row r="1355" spans="28:59" ht="15" customHeight="1" x14ac:dyDescent="0.3">
      <c r="AB1355"/>
      <c r="AC1355"/>
      <c r="AD1355"/>
      <c r="AE1355"/>
      <c r="AF1355"/>
      <c r="AG1355"/>
      <c r="AH1355"/>
      <c r="AI1355"/>
      <c r="AJ1355" s="25"/>
      <c r="AK1355" s="2"/>
      <c r="AR1355" s="25"/>
      <c r="BA1355" s="2"/>
      <c r="BG1355" s="1"/>
    </row>
    <row r="1356" spans="28:59" ht="15" customHeight="1" x14ac:dyDescent="0.3">
      <c r="AB1356"/>
      <c r="AC1356"/>
      <c r="AD1356"/>
      <c r="AE1356"/>
      <c r="AF1356"/>
      <c r="AG1356"/>
      <c r="AH1356"/>
      <c r="AI1356"/>
      <c r="AJ1356" s="25"/>
      <c r="AK1356" s="2"/>
      <c r="AR1356" s="25"/>
      <c r="BA1356" s="2"/>
      <c r="BG1356" s="1"/>
    </row>
    <row r="1357" spans="28:59" ht="15" customHeight="1" x14ac:dyDescent="0.3">
      <c r="AB1357"/>
      <c r="AC1357"/>
      <c r="AD1357"/>
      <c r="AE1357"/>
      <c r="AF1357"/>
      <c r="AG1357"/>
      <c r="AH1357"/>
      <c r="AI1357"/>
      <c r="AJ1357" s="25"/>
      <c r="AK1357" s="2"/>
      <c r="AR1357" s="25"/>
      <c r="BA1357" s="2"/>
      <c r="BG1357" s="1"/>
    </row>
    <row r="1358" spans="28:59" ht="15" customHeight="1" x14ac:dyDescent="0.3">
      <c r="AB1358"/>
      <c r="AC1358"/>
      <c r="AD1358"/>
      <c r="AE1358"/>
      <c r="AF1358"/>
      <c r="AG1358"/>
      <c r="AH1358"/>
      <c r="AI1358"/>
      <c r="AJ1358" s="25"/>
      <c r="AK1358" s="2"/>
      <c r="AR1358" s="25"/>
      <c r="BA1358" s="2"/>
      <c r="BG1358" s="1"/>
    </row>
    <row r="1359" spans="28:59" ht="15" customHeight="1" x14ac:dyDescent="0.3">
      <c r="AB1359"/>
      <c r="AC1359"/>
      <c r="AD1359"/>
      <c r="AE1359"/>
      <c r="AF1359"/>
      <c r="AG1359"/>
      <c r="AH1359"/>
      <c r="AI1359"/>
      <c r="AJ1359" s="25"/>
      <c r="AK1359" s="2"/>
      <c r="AR1359" s="25"/>
      <c r="BA1359" s="2"/>
      <c r="BG1359" s="1"/>
    </row>
    <row r="1360" spans="28:59" ht="15" customHeight="1" x14ac:dyDescent="0.3">
      <c r="AB1360"/>
      <c r="AC1360"/>
      <c r="AD1360"/>
      <c r="AE1360"/>
      <c r="AF1360"/>
      <c r="AG1360"/>
      <c r="AH1360"/>
      <c r="AI1360"/>
      <c r="AJ1360" s="25"/>
      <c r="AK1360" s="2"/>
      <c r="AR1360" s="25"/>
      <c r="BA1360" s="2"/>
      <c r="BG1360" s="1"/>
    </row>
    <row r="1361" spans="28:59" ht="15" customHeight="1" x14ac:dyDescent="0.3">
      <c r="AB1361"/>
      <c r="AC1361"/>
      <c r="AD1361"/>
      <c r="AE1361"/>
      <c r="AF1361"/>
      <c r="AG1361"/>
      <c r="AH1361"/>
      <c r="AI1361"/>
      <c r="AJ1361" s="25"/>
      <c r="AK1361" s="2"/>
      <c r="AR1361" s="25"/>
      <c r="BA1361" s="2"/>
      <c r="BG1361" s="1"/>
    </row>
    <row r="1362" spans="28:59" ht="15" customHeight="1" x14ac:dyDescent="0.3">
      <c r="AB1362"/>
      <c r="AC1362"/>
      <c r="AD1362"/>
      <c r="AE1362"/>
      <c r="AF1362"/>
      <c r="AG1362"/>
      <c r="AH1362"/>
      <c r="AI1362"/>
      <c r="AJ1362" s="25"/>
      <c r="AK1362" s="2"/>
      <c r="AR1362" s="25"/>
      <c r="BA1362" s="2"/>
      <c r="BG1362" s="1"/>
    </row>
    <row r="1363" spans="28:59" ht="15" customHeight="1" x14ac:dyDescent="0.3">
      <c r="AB1363"/>
      <c r="AC1363"/>
      <c r="AD1363"/>
      <c r="AE1363"/>
      <c r="AF1363"/>
      <c r="AG1363"/>
      <c r="AH1363"/>
      <c r="AI1363"/>
      <c r="AJ1363" s="25"/>
      <c r="AK1363" s="2"/>
      <c r="AR1363" s="25"/>
      <c r="BA1363" s="2"/>
      <c r="BG1363" s="1"/>
    </row>
    <row r="1364" spans="28:59" ht="15" customHeight="1" x14ac:dyDescent="0.3">
      <c r="AB1364"/>
      <c r="AC1364"/>
      <c r="AD1364"/>
      <c r="AE1364"/>
      <c r="AF1364"/>
      <c r="AG1364"/>
      <c r="AH1364"/>
      <c r="AI1364"/>
      <c r="AJ1364" s="25"/>
      <c r="AK1364" s="2"/>
      <c r="AR1364" s="25"/>
      <c r="BA1364" s="2"/>
      <c r="BG1364" s="1"/>
    </row>
    <row r="1365" spans="28:59" ht="15" customHeight="1" x14ac:dyDescent="0.3">
      <c r="AB1365"/>
      <c r="AC1365"/>
      <c r="AD1365"/>
      <c r="AE1365"/>
      <c r="AF1365"/>
      <c r="AG1365"/>
      <c r="AH1365"/>
      <c r="AI1365"/>
      <c r="AJ1365" s="25"/>
      <c r="AK1365" s="2"/>
      <c r="AR1365" s="25"/>
      <c r="BA1365" s="2"/>
      <c r="BG1365" s="1"/>
    </row>
    <row r="1366" spans="28:59" ht="15" customHeight="1" x14ac:dyDescent="0.3">
      <c r="AB1366"/>
      <c r="AC1366"/>
      <c r="AD1366"/>
      <c r="AE1366"/>
      <c r="AF1366"/>
      <c r="AG1366"/>
      <c r="AH1366"/>
      <c r="AI1366"/>
      <c r="AJ1366" s="25"/>
      <c r="AK1366" s="2"/>
      <c r="AR1366" s="25"/>
      <c r="BA1366" s="2"/>
      <c r="BG1366" s="1"/>
    </row>
    <row r="1367" spans="28:59" ht="15" customHeight="1" x14ac:dyDescent="0.3">
      <c r="AB1367"/>
      <c r="AC1367"/>
      <c r="AD1367"/>
      <c r="AE1367"/>
      <c r="AF1367"/>
      <c r="AG1367"/>
      <c r="AH1367"/>
      <c r="AI1367"/>
      <c r="AJ1367" s="25"/>
      <c r="AK1367" s="2"/>
      <c r="AR1367" s="25"/>
      <c r="BA1367" s="2"/>
      <c r="BG1367" s="1"/>
    </row>
    <row r="1368" spans="28:59" ht="15" customHeight="1" x14ac:dyDescent="0.3">
      <c r="AB1368"/>
      <c r="AC1368"/>
      <c r="AD1368"/>
      <c r="AE1368"/>
      <c r="AF1368"/>
      <c r="AG1368"/>
      <c r="AH1368"/>
      <c r="AI1368"/>
      <c r="AJ1368" s="25"/>
      <c r="AK1368" s="2"/>
      <c r="AR1368" s="25"/>
      <c r="BA1368" s="2"/>
      <c r="BG1368" s="1"/>
    </row>
    <row r="1369" spans="28:59" ht="15" customHeight="1" x14ac:dyDescent="0.3">
      <c r="AB1369"/>
      <c r="AC1369"/>
      <c r="AD1369"/>
      <c r="AE1369"/>
      <c r="AF1369"/>
      <c r="AG1369"/>
      <c r="AH1369"/>
      <c r="AI1369"/>
      <c r="AJ1369" s="25"/>
      <c r="AK1369" s="2"/>
      <c r="AR1369" s="25"/>
      <c r="BA1369" s="2"/>
      <c r="BG1369" s="1"/>
    </row>
    <row r="1370" spans="28:59" ht="15" customHeight="1" x14ac:dyDescent="0.3">
      <c r="AB1370"/>
      <c r="AC1370"/>
      <c r="AD1370"/>
      <c r="AE1370"/>
      <c r="AF1370"/>
      <c r="AG1370"/>
      <c r="AH1370"/>
      <c r="AI1370"/>
      <c r="AJ1370" s="25"/>
      <c r="AK1370" s="2"/>
      <c r="AR1370" s="25"/>
      <c r="BA1370" s="2"/>
      <c r="BG1370" s="1"/>
    </row>
    <row r="1371" spans="28:59" ht="15" customHeight="1" x14ac:dyDescent="0.3">
      <c r="AB1371"/>
      <c r="AC1371"/>
      <c r="AD1371"/>
      <c r="AE1371"/>
      <c r="AF1371"/>
      <c r="AG1371"/>
      <c r="AH1371"/>
      <c r="AI1371"/>
      <c r="AJ1371" s="25"/>
      <c r="AK1371" s="2"/>
      <c r="AR1371" s="25"/>
      <c r="BA1371" s="2"/>
      <c r="BG1371" s="1"/>
    </row>
    <row r="1372" spans="28:59" ht="15" customHeight="1" x14ac:dyDescent="0.3">
      <c r="AB1372"/>
      <c r="AC1372"/>
      <c r="AD1372"/>
      <c r="AE1372"/>
      <c r="AF1372"/>
      <c r="AG1372"/>
      <c r="AH1372"/>
      <c r="AI1372"/>
      <c r="AJ1372" s="25"/>
      <c r="AK1372" s="2"/>
      <c r="AR1372" s="25"/>
      <c r="BA1372" s="2"/>
      <c r="BG1372" s="1"/>
    </row>
    <row r="1373" spans="28:59" ht="15" customHeight="1" x14ac:dyDescent="0.3">
      <c r="AB1373"/>
      <c r="AC1373"/>
      <c r="AD1373"/>
      <c r="AE1373"/>
      <c r="AF1373"/>
      <c r="AG1373"/>
      <c r="AH1373"/>
      <c r="AI1373"/>
      <c r="AJ1373" s="25"/>
      <c r="AK1373" s="2"/>
      <c r="AR1373" s="25"/>
      <c r="BA1373" s="2"/>
      <c r="BG1373" s="1"/>
    </row>
    <row r="1374" spans="28:59" ht="15" customHeight="1" x14ac:dyDescent="0.3">
      <c r="AB1374"/>
      <c r="AC1374"/>
      <c r="AD1374"/>
      <c r="AE1374"/>
      <c r="AF1374"/>
      <c r="AG1374"/>
      <c r="AH1374"/>
      <c r="AI1374"/>
      <c r="AJ1374" s="25"/>
      <c r="AK1374" s="2"/>
      <c r="AR1374" s="25"/>
      <c r="BA1374" s="2"/>
      <c r="BG1374" s="1"/>
    </row>
    <row r="1375" spans="28:59" ht="15" customHeight="1" x14ac:dyDescent="0.3">
      <c r="AB1375"/>
      <c r="AC1375"/>
      <c r="AD1375"/>
      <c r="AE1375"/>
      <c r="AF1375"/>
      <c r="AG1375"/>
      <c r="AH1375"/>
      <c r="AI1375"/>
      <c r="AJ1375" s="25"/>
      <c r="AK1375" s="2"/>
      <c r="AR1375" s="25"/>
      <c r="BA1375" s="2"/>
      <c r="BG1375" s="1"/>
    </row>
    <row r="1376" spans="28:59" ht="15" customHeight="1" x14ac:dyDescent="0.3">
      <c r="AB1376"/>
      <c r="AC1376"/>
      <c r="AD1376"/>
      <c r="AE1376"/>
      <c r="AF1376"/>
      <c r="AG1376"/>
      <c r="AH1376"/>
      <c r="AI1376"/>
      <c r="AJ1376" s="25"/>
      <c r="AK1376" s="2"/>
      <c r="AR1376" s="25"/>
      <c r="BA1376" s="2"/>
      <c r="BG1376" s="1"/>
    </row>
    <row r="1377" spans="28:59" ht="15" customHeight="1" x14ac:dyDescent="0.3">
      <c r="AB1377"/>
      <c r="AC1377"/>
      <c r="AD1377"/>
      <c r="AE1377"/>
      <c r="AF1377"/>
      <c r="AG1377"/>
      <c r="AH1377"/>
      <c r="AI1377"/>
      <c r="AJ1377" s="25"/>
      <c r="AK1377" s="2"/>
      <c r="AR1377" s="25"/>
      <c r="BA1377" s="2"/>
      <c r="BG1377" s="1"/>
    </row>
    <row r="1378" spans="28:59" ht="15" customHeight="1" x14ac:dyDescent="0.3">
      <c r="AB1378"/>
      <c r="AC1378"/>
      <c r="AD1378"/>
      <c r="AE1378"/>
      <c r="AF1378"/>
      <c r="AG1378"/>
      <c r="AH1378"/>
      <c r="AI1378"/>
      <c r="AJ1378" s="25"/>
      <c r="AK1378" s="2"/>
      <c r="AR1378" s="25"/>
      <c r="BA1378" s="2"/>
      <c r="BG1378" s="1"/>
    </row>
    <row r="1379" spans="28:59" ht="15" customHeight="1" x14ac:dyDescent="0.3">
      <c r="AB1379"/>
      <c r="AC1379"/>
      <c r="AD1379"/>
      <c r="AE1379"/>
      <c r="AF1379"/>
      <c r="AG1379"/>
      <c r="AH1379"/>
      <c r="AI1379"/>
      <c r="AJ1379" s="25"/>
      <c r="AK1379" s="2"/>
      <c r="AR1379" s="25"/>
      <c r="BA1379" s="2"/>
      <c r="BG1379" s="1"/>
    </row>
    <row r="1380" spans="28:59" ht="15" customHeight="1" x14ac:dyDescent="0.3">
      <c r="AB1380"/>
      <c r="AC1380"/>
      <c r="AD1380"/>
      <c r="AE1380"/>
      <c r="AF1380"/>
      <c r="AG1380"/>
      <c r="AH1380"/>
      <c r="AI1380"/>
      <c r="AJ1380" s="25"/>
      <c r="AK1380" s="2"/>
      <c r="AR1380" s="25"/>
      <c r="BA1380" s="2"/>
      <c r="BG1380" s="1"/>
    </row>
    <row r="1381" spans="28:59" ht="15" customHeight="1" x14ac:dyDescent="0.3">
      <c r="AB1381"/>
      <c r="AC1381"/>
      <c r="AD1381"/>
      <c r="AE1381"/>
      <c r="AF1381"/>
      <c r="AG1381"/>
      <c r="AH1381"/>
      <c r="AI1381"/>
      <c r="AJ1381" s="25"/>
      <c r="AK1381" s="2"/>
      <c r="AR1381" s="25"/>
      <c r="BA1381" s="2"/>
      <c r="BG1381" s="1"/>
    </row>
    <row r="1382" spans="28:59" ht="15" customHeight="1" x14ac:dyDescent="0.3">
      <c r="AB1382"/>
      <c r="AC1382"/>
      <c r="AD1382"/>
      <c r="AE1382"/>
      <c r="AF1382"/>
      <c r="AG1382"/>
      <c r="AH1382"/>
      <c r="AI1382"/>
      <c r="AJ1382" s="25"/>
      <c r="AK1382" s="2"/>
      <c r="AR1382" s="25"/>
      <c r="BA1382" s="2"/>
      <c r="BG1382" s="1"/>
    </row>
    <row r="1383" spans="28:59" ht="15" customHeight="1" x14ac:dyDescent="0.3">
      <c r="AB1383"/>
      <c r="AC1383"/>
      <c r="AD1383"/>
      <c r="AE1383"/>
      <c r="AF1383"/>
      <c r="AG1383"/>
      <c r="AH1383"/>
      <c r="AI1383"/>
      <c r="AJ1383" s="25"/>
      <c r="AK1383" s="2"/>
      <c r="AR1383" s="25"/>
      <c r="BA1383" s="2"/>
      <c r="BG1383" s="1"/>
    </row>
    <row r="1384" spans="28:59" ht="15" customHeight="1" x14ac:dyDescent="0.3">
      <c r="AB1384"/>
      <c r="AC1384"/>
      <c r="AD1384"/>
      <c r="AE1384"/>
      <c r="AF1384"/>
      <c r="AG1384"/>
      <c r="AH1384"/>
      <c r="AI1384"/>
      <c r="AJ1384" s="25"/>
      <c r="AK1384" s="2"/>
      <c r="AR1384" s="25"/>
      <c r="BA1384" s="2"/>
      <c r="BG1384" s="1"/>
    </row>
    <row r="1385" spans="28:59" ht="15" customHeight="1" x14ac:dyDescent="0.3">
      <c r="AB1385"/>
      <c r="AC1385"/>
      <c r="AD1385"/>
      <c r="AE1385"/>
      <c r="AF1385"/>
      <c r="AG1385"/>
      <c r="AH1385"/>
      <c r="AI1385"/>
      <c r="AJ1385" s="25"/>
      <c r="AK1385" s="2"/>
      <c r="AR1385" s="25"/>
      <c r="BA1385" s="2"/>
      <c r="BG1385" s="1"/>
    </row>
    <row r="1386" spans="28:59" ht="15" customHeight="1" x14ac:dyDescent="0.3">
      <c r="AB1386"/>
      <c r="AC1386"/>
      <c r="AD1386"/>
      <c r="AE1386"/>
      <c r="AF1386"/>
      <c r="AG1386"/>
      <c r="AH1386"/>
      <c r="AI1386"/>
      <c r="AJ1386" s="25"/>
      <c r="AK1386" s="2"/>
      <c r="AR1386" s="25"/>
      <c r="BA1386" s="2"/>
      <c r="BG1386" s="1"/>
    </row>
    <row r="1387" spans="28:59" ht="15" customHeight="1" x14ac:dyDescent="0.3">
      <c r="AB1387"/>
      <c r="AC1387"/>
      <c r="AD1387"/>
      <c r="AE1387"/>
      <c r="AF1387"/>
      <c r="AG1387"/>
      <c r="AH1387"/>
      <c r="AI1387"/>
      <c r="AJ1387" s="25"/>
      <c r="AK1387" s="2"/>
      <c r="AR1387" s="25"/>
      <c r="BA1387" s="2"/>
      <c r="BG1387" s="1"/>
    </row>
    <row r="1388" spans="28:59" ht="15" customHeight="1" x14ac:dyDescent="0.3">
      <c r="AB1388"/>
      <c r="AC1388"/>
      <c r="AD1388"/>
      <c r="AE1388"/>
      <c r="AF1388"/>
      <c r="AG1388"/>
      <c r="AH1388"/>
      <c r="AI1388"/>
      <c r="AJ1388" s="25"/>
      <c r="AK1388" s="2"/>
      <c r="AR1388" s="25"/>
      <c r="BA1388" s="2"/>
      <c r="BG1388" s="1"/>
    </row>
    <row r="1389" spans="28:59" ht="15" customHeight="1" x14ac:dyDescent="0.3">
      <c r="AB1389"/>
      <c r="AC1389"/>
      <c r="AD1389"/>
      <c r="AE1389"/>
      <c r="AF1389"/>
      <c r="AG1389"/>
      <c r="AH1389"/>
      <c r="AI1389"/>
      <c r="AJ1389" s="25"/>
      <c r="AK1389" s="2"/>
      <c r="AR1389" s="25"/>
      <c r="BA1389" s="2"/>
      <c r="BG1389" s="1"/>
    </row>
    <row r="1390" spans="28:59" ht="15" customHeight="1" x14ac:dyDescent="0.3">
      <c r="AB1390"/>
      <c r="AC1390"/>
      <c r="AD1390"/>
      <c r="AE1390"/>
      <c r="AF1390"/>
      <c r="AG1390"/>
      <c r="AH1390"/>
      <c r="AI1390"/>
      <c r="AJ1390" s="25"/>
      <c r="AK1390" s="2"/>
      <c r="AR1390" s="25"/>
      <c r="BA1390" s="2"/>
      <c r="BG1390" s="1"/>
    </row>
    <row r="1391" spans="28:59" ht="15" customHeight="1" x14ac:dyDescent="0.3">
      <c r="AB1391"/>
      <c r="AC1391"/>
      <c r="AD1391"/>
      <c r="AE1391"/>
      <c r="AF1391"/>
      <c r="AG1391"/>
      <c r="AH1391"/>
      <c r="AI1391"/>
      <c r="AJ1391" s="25"/>
      <c r="AK1391" s="2"/>
      <c r="AR1391" s="25"/>
      <c r="BA1391" s="2"/>
      <c r="BG1391" s="1"/>
    </row>
    <row r="1392" spans="28:59" ht="15" customHeight="1" x14ac:dyDescent="0.3">
      <c r="AB1392"/>
      <c r="AC1392"/>
      <c r="AD1392"/>
      <c r="AE1392"/>
      <c r="AF1392"/>
      <c r="AG1392"/>
      <c r="AH1392"/>
      <c r="AI1392"/>
      <c r="AJ1392" s="25"/>
      <c r="AK1392" s="2"/>
      <c r="AR1392" s="25"/>
      <c r="BA1392" s="2"/>
      <c r="BG1392" s="1"/>
    </row>
    <row r="1393" spans="1:68" ht="15" customHeight="1" x14ac:dyDescent="0.3">
      <c r="AB1393"/>
      <c r="AC1393"/>
      <c r="AD1393"/>
      <c r="AE1393"/>
      <c r="AF1393"/>
      <c r="AG1393"/>
      <c r="AH1393"/>
      <c r="AI1393"/>
      <c r="AJ1393" s="25"/>
      <c r="AK1393" s="2"/>
      <c r="AR1393" s="25"/>
      <c r="BA1393" s="2"/>
      <c r="BG1393" s="1"/>
    </row>
    <row r="1394" spans="1:68" ht="15" customHeight="1" x14ac:dyDescent="0.3">
      <c r="AB1394"/>
      <c r="AC1394"/>
      <c r="AD1394"/>
      <c r="AE1394"/>
      <c r="AF1394"/>
      <c r="AG1394"/>
      <c r="AH1394"/>
      <c r="AI1394"/>
      <c r="AJ1394" s="25"/>
      <c r="AK1394" s="2"/>
      <c r="AR1394" s="25"/>
      <c r="BA1394" s="2"/>
      <c r="BG1394" s="1"/>
    </row>
    <row r="1395" spans="1:68" ht="15" customHeight="1" x14ac:dyDescent="0.3">
      <c r="AB1395"/>
      <c r="AC1395"/>
      <c r="AD1395"/>
      <c r="AE1395"/>
      <c r="AF1395"/>
      <c r="AG1395"/>
      <c r="AH1395"/>
      <c r="AI1395"/>
      <c r="AJ1395" s="25"/>
      <c r="AK1395" s="2"/>
      <c r="AR1395" s="25"/>
      <c r="BA1395" s="2"/>
      <c r="BG1395" s="1"/>
    </row>
    <row r="1396" spans="1:68" ht="15" customHeight="1" x14ac:dyDescent="0.3">
      <c r="AB1396"/>
      <c r="AC1396"/>
      <c r="AD1396"/>
      <c r="AE1396"/>
      <c r="AF1396"/>
      <c r="AG1396"/>
      <c r="AH1396"/>
      <c r="AI1396"/>
      <c r="AJ1396" s="25"/>
      <c r="AK1396" s="2"/>
      <c r="AR1396" s="25"/>
      <c r="BA1396" s="2"/>
      <c r="BG1396" s="1"/>
    </row>
    <row r="1397" spans="1:68" ht="15" customHeight="1" x14ac:dyDescent="0.3">
      <c r="AB1397"/>
      <c r="AC1397"/>
      <c r="AD1397"/>
      <c r="AE1397"/>
      <c r="AF1397"/>
      <c r="AG1397"/>
      <c r="AH1397"/>
      <c r="AI1397"/>
      <c r="AJ1397" s="25"/>
      <c r="AK1397" s="2"/>
      <c r="AR1397" s="25"/>
      <c r="BA1397" s="2"/>
      <c r="BG1397" s="1"/>
    </row>
    <row r="1398" spans="1:68" ht="15" customHeight="1" x14ac:dyDescent="0.3">
      <c r="AB1398"/>
      <c r="AC1398"/>
      <c r="AD1398"/>
      <c r="AE1398"/>
      <c r="AF1398"/>
      <c r="AG1398"/>
      <c r="AH1398"/>
      <c r="AI1398"/>
      <c r="AJ1398" s="25"/>
      <c r="AK1398" s="2"/>
      <c r="AR1398" s="25"/>
      <c r="BA1398" s="2"/>
      <c r="BG1398" s="1"/>
    </row>
    <row r="1399" spans="1:68" ht="15" customHeight="1" x14ac:dyDescent="0.3">
      <c r="AB1399"/>
      <c r="AC1399"/>
      <c r="AD1399"/>
      <c r="AE1399"/>
      <c r="AF1399"/>
      <c r="AG1399"/>
      <c r="AH1399"/>
      <c r="AI1399"/>
      <c r="AJ1399" s="25"/>
      <c r="AK1399" s="2"/>
      <c r="AR1399" s="25"/>
      <c r="BA1399" s="2"/>
      <c r="BG1399" s="1"/>
    </row>
    <row r="1400" spans="1:68" ht="15" customHeight="1" x14ac:dyDescent="0.3">
      <c r="AB1400"/>
      <c r="AC1400"/>
      <c r="AD1400"/>
      <c r="AE1400"/>
      <c r="AF1400"/>
      <c r="AG1400"/>
      <c r="AH1400"/>
      <c r="AI1400"/>
      <c r="AJ1400" s="25"/>
      <c r="AK1400" s="2"/>
      <c r="AR1400" s="25"/>
      <c r="BA1400" s="2"/>
      <c r="BG1400" s="1"/>
    </row>
    <row r="1401" spans="1:68" s="11" customFormat="1" ht="15" customHeight="1" x14ac:dyDescent="0.3">
      <c r="A1401" s="2"/>
      <c r="B1401" s="1"/>
      <c r="C1401" s="1"/>
      <c r="D1401" s="1"/>
      <c r="E1401" s="1"/>
      <c r="F1401" s="1"/>
      <c r="G1401" s="1"/>
      <c r="H1401" s="1"/>
      <c r="I1401" s="10"/>
      <c r="J1401" s="2"/>
      <c r="K1401" s="1"/>
      <c r="L1401" s="1"/>
      <c r="M1401" s="1"/>
      <c r="N1401" s="1"/>
      <c r="O1401" s="1"/>
      <c r="P1401" s="1"/>
      <c r="Q1401" s="2"/>
      <c r="R1401" s="10"/>
      <c r="S1401" s="2"/>
      <c r="T1401" s="1"/>
      <c r="U1401" s="1"/>
      <c r="V1401" s="1"/>
      <c r="W1401" s="1"/>
      <c r="X1401" s="1"/>
      <c r="Y1401" s="1"/>
      <c r="Z1401" s="1"/>
      <c r="AA1401" s="10"/>
      <c r="AB1401"/>
      <c r="AC1401"/>
      <c r="AD1401"/>
      <c r="AE1401"/>
      <c r="AF1401"/>
      <c r="AG1401"/>
      <c r="AH1401"/>
      <c r="AI1401"/>
      <c r="AJ1401" s="28"/>
      <c r="AK1401" s="26"/>
      <c r="AP1401" s="1"/>
      <c r="AR1401" s="28"/>
      <c r="AS1401" s="26"/>
      <c r="AY1401" s="26"/>
      <c r="AZ1401" s="27"/>
      <c r="BA1401" s="2"/>
      <c r="BB1401" s="1"/>
      <c r="BC1401" s="1"/>
      <c r="BD1401" s="1"/>
      <c r="BE1401" s="1"/>
      <c r="BF1401" s="1"/>
      <c r="BG1401" s="1"/>
      <c r="BH1401" s="27"/>
      <c r="BP1401" s="27"/>
    </row>
  </sheetData>
  <dataValidations xWindow="120" yWindow="350" count="19">
    <dataValidation allowBlank="1" showInputMessage="1" showErrorMessage="1" prompt="Alpha A-" sqref="AO1:AO1401 F1:F1401" xr:uid="{867C8780-7C86-4FF0-9167-2714089A32CD}"/>
    <dataValidation allowBlank="1" showInputMessage="1" showErrorMessage="1" prompt="A-" sqref="E1:E1401" xr:uid="{28C9CB56-B9AE-41A2-B713-956DA5DDD905}"/>
    <dataValidation allowBlank="1" showInputMessage="1" showErrorMessage="1" prompt="HA" sqref="D1:D1401" xr:uid="{E6867430-E173-461C-871E-6AE6B70E5082}"/>
    <dataValidation allowBlank="1" showInputMessage="1" showErrorMessage="1" prompt="Alpha BH+" sqref="BD1:BD1401 X1:X1401" xr:uid="{1D4C66E3-CF23-48FC-93BB-A54766D8AA5B}"/>
    <dataValidation allowBlank="1" showInputMessage="1" showErrorMessage="1" prompt="Volume Titrant (Acid)" sqref="Z1:Z1401" xr:uid="{33E8EB0A-55E3-4C73-B82C-442596175F4B}"/>
    <dataValidation allowBlank="1" showInputMessage="1" showErrorMessage="1" prompt="B" sqref="W1:W1401" xr:uid="{147CC4DF-1F72-4E62-A256-1B2419CFE09F}"/>
    <dataValidation allowBlank="1" showInputMessage="1" showErrorMessage="1" prompt="BH+" sqref="V1:V1401" xr:uid="{D79E7E78-23B8-4D06-8103-7F8E53020CDE}"/>
    <dataValidation allowBlank="1" showInputMessage="1" showErrorMessage="1" prompt="OH-" sqref="U1:U1401 C1:C1401" xr:uid="{756CD598-DE40-4998-BB9A-75DDE261E9C2}"/>
    <dataValidation allowBlank="1" showInputMessage="1" showErrorMessage="1" prompt="Phi" sqref="BF1:BF1401 Y1:Y1401 G1:G1401" xr:uid="{88D7A583-2603-44E1-8477-832929CAA046}"/>
    <dataValidation allowBlank="1" showInputMessage="1" showErrorMessage="1" prompt="H+" sqref="T1:T1401 B1:B1401" xr:uid="{CBFA251B-C552-407B-A270-34EECE63E996}"/>
    <dataValidation allowBlank="1" showInputMessage="1" showErrorMessage="1" prompt="pH" sqref="AK1:AK1401 BA1:BA1401 A1:A1401 S1:S1401" xr:uid="{54C5E4C2-6E56-4770-8377-BC74E943F2BE}"/>
    <dataValidation allowBlank="1" showInputMessage="1" showErrorMessage="1" prompt="WASB_x000a_" sqref="I1:I1401" xr:uid="{FDE42B2D-C6AE-4E11-90D7-6C65E327706A}"/>
    <dataValidation allowBlank="1" showInputMessage="1" showErrorMessage="1" prompt="SAWB" sqref="AA1:AA1401" xr:uid="{4D060B13-0013-4401-A861-21B540BBF92F}"/>
    <dataValidation allowBlank="1" showInputMessage="1" showErrorMessage="1" prompt="[H+]" sqref="AL1:AL1401 BB1:BB1401" xr:uid="{B2E34B9A-24CC-4E7C-B9DE-2EDFA11309FC}"/>
    <dataValidation allowBlank="1" showInputMessage="1" showErrorMessage="1" prompt="[OH-]" sqref="AM1:AM1401 BC1:BC1401" xr:uid="{793C32D9-35C9-4575-9FED-201F0880C1EE}"/>
    <dataValidation allowBlank="1" showInputMessage="1" showErrorMessage="1" prompt="Alpha HA-" sqref="AN1:AN1401" xr:uid="{05F0B4BF-7684-4CD7-9622-333E3F8DB561}"/>
    <dataValidation allowBlank="1" showInputMessage="1" showErrorMessage="1" prompt="phi" sqref="AP1:AP1401" xr:uid="{253DBFE4-F602-49B0-8708-D1E3AEACD889}"/>
    <dataValidation allowBlank="1" showInputMessage="1" showErrorMessage="1" prompt="Volume Titrant" sqref="AQ1:AQ1401 BG1:BG1401" xr:uid="{A64A4F37-839A-455F-B3C3-AB7CF62CE668}"/>
    <dataValidation allowBlank="1" showInputMessage="1" showErrorMessage="1" prompt="Alpha BH2 2+" sqref="BE1:BE1401" xr:uid="{56625669-9B45-42E0-901C-6051CA4C7E6C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Monoprotic</vt:lpstr>
      <vt:lpstr>Diprotic</vt:lpstr>
      <vt:lpstr>CalcSheet</vt:lpstr>
      <vt:lpstr>dpSAWB_Ca</vt:lpstr>
      <vt:lpstr>dpSAWB_Cb</vt:lpstr>
      <vt:lpstr>dpSAWB_Kb1</vt:lpstr>
      <vt:lpstr>dpSAWB_Kb2</vt:lpstr>
      <vt:lpstr>dpSAWB_Vb</vt:lpstr>
      <vt:lpstr>dpWASB_Ca</vt:lpstr>
      <vt:lpstr>dpWASB_Cb</vt:lpstr>
      <vt:lpstr>dpWASB_Ka1</vt:lpstr>
      <vt:lpstr>dpWASB_Ka2</vt:lpstr>
      <vt:lpstr>dpWASB_Va</vt:lpstr>
      <vt:lpstr>Kw</vt:lpstr>
      <vt:lpstr>SAWB_Ca</vt:lpstr>
      <vt:lpstr>SAWB_Cb</vt:lpstr>
      <vt:lpstr>SAWB_DVe</vt:lpstr>
      <vt:lpstr>SAWB_Ka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2019-12-02T19:32:37Z</dcterms:modified>
</cp:coreProperties>
</file>